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688e1c314ba2ed0f/Documents/"/>
    </mc:Choice>
  </mc:AlternateContent>
  <xr:revisionPtr revIDLastSave="1" documentId="8_{141BD1E4-5F4D-4F9D-B2EA-4E37D6F9991E}" xr6:coauthVersionLast="47" xr6:coauthVersionMax="47" xr10:uidLastSave="{5D5EAE72-071C-49DC-86DD-C8BC2D23422C}"/>
  <bookViews>
    <workbookView xWindow="-108" yWindow="-108" windowWidth="23256" windowHeight="12456" firstSheet="2" activeTab="5" xr2:uid="{00000000-000D-0000-FFFF-FFFF00000000}"/>
  </bookViews>
  <sheets>
    <sheet name="Customer_Dim" sheetId="1" r:id="rId1"/>
    <sheet name="Product_Dim" sheetId="2" r:id="rId2"/>
    <sheet name="Store_Dim" sheetId="3" r:id="rId3"/>
    <sheet name="Sales_Fact" sheetId="4" r:id="rId4"/>
    <sheet name="Analysis" sheetId="7" r:id="rId5"/>
    <sheet name="Pivot Table" sheetId="8" r:id="rId6"/>
    <sheet name="Data visualization" sheetId="9" r:id="rId7"/>
    <sheet name="Dashboard" sheetId="10" r:id="rId8"/>
    <sheet name="Summary" sheetId="6" r:id="rId9"/>
  </sheets>
  <definedNames>
    <definedName name="Slicer_Loyalty_Level">#N/A</definedName>
    <definedName name="Slicer_Store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4" l="1"/>
  <c r="H2" i="4"/>
  <c r="I2" i="2"/>
  <c r="G2" i="2"/>
  <c r="I3" i="2"/>
  <c r="M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 i="4"/>
  <c r="C38" i="7"/>
  <c r="G48" i="7" l="1"/>
  <c r="C28" i="7"/>
  <c r="C35" i="7"/>
  <c r="C25" i="7"/>
  <c r="C22" i="7"/>
  <c r="R3" i="4" l="1"/>
  <c r="R1114" i="4"/>
  <c r="R1225" i="4"/>
  <c r="R1336" i="4"/>
  <c r="R1447" i="4"/>
  <c r="R1558" i="4"/>
  <c r="R1669" i="4"/>
  <c r="R1780" i="4"/>
  <c r="R1891" i="4"/>
  <c r="R4" i="4"/>
  <c r="R115" i="4"/>
  <c r="R226" i="4"/>
  <c r="R337" i="4"/>
  <c r="R448" i="4"/>
  <c r="R559" i="4"/>
  <c r="R670" i="4"/>
  <c r="R781" i="4"/>
  <c r="R892" i="4"/>
  <c r="R1003" i="4"/>
  <c r="R1115" i="4"/>
  <c r="R1126" i="4"/>
  <c r="R1137" i="4"/>
  <c r="R1148" i="4"/>
  <c r="R1159" i="4"/>
  <c r="R1170" i="4"/>
  <c r="R1181" i="4"/>
  <c r="R1192" i="4"/>
  <c r="R1203" i="4"/>
  <c r="R1214" i="4"/>
  <c r="R1226" i="4"/>
  <c r="R1237" i="4"/>
  <c r="R1248" i="4"/>
  <c r="R1259" i="4"/>
  <c r="R1270" i="4"/>
  <c r="R1281" i="4"/>
  <c r="R1292" i="4"/>
  <c r="R1303" i="4"/>
  <c r="R1314" i="4"/>
  <c r="R1325" i="4"/>
  <c r="R1337" i="4"/>
  <c r="R1348" i="4"/>
  <c r="R1359" i="4"/>
  <c r="R1370" i="4"/>
  <c r="R1381" i="4"/>
  <c r="R1392" i="4"/>
  <c r="R1403" i="4"/>
  <c r="R1414" i="4"/>
  <c r="R1425" i="4"/>
  <c r="R1436" i="4"/>
  <c r="R1448" i="4"/>
  <c r="R1459" i="4"/>
  <c r="R1470" i="4"/>
  <c r="R1481" i="4"/>
  <c r="R1492" i="4"/>
  <c r="R1503" i="4"/>
  <c r="R1514" i="4"/>
  <c r="R1525" i="4"/>
  <c r="R1536" i="4"/>
  <c r="R1547" i="4"/>
  <c r="R1559" i="4"/>
  <c r="R1570" i="4"/>
  <c r="R1581" i="4"/>
  <c r="R1592" i="4"/>
  <c r="R1603" i="4"/>
  <c r="R1614" i="4"/>
  <c r="R1625" i="4"/>
  <c r="R1636" i="4"/>
  <c r="R1647" i="4"/>
  <c r="R1658" i="4"/>
  <c r="R1670" i="4"/>
  <c r="R1681" i="4"/>
  <c r="R1692" i="4"/>
  <c r="R1703" i="4"/>
  <c r="R1714" i="4"/>
  <c r="R1725" i="4"/>
  <c r="R1736" i="4"/>
  <c r="R1747" i="4"/>
  <c r="R1758" i="4"/>
  <c r="R1769" i="4"/>
  <c r="R1781" i="4"/>
  <c r="R1792" i="4"/>
  <c r="R1803" i="4"/>
  <c r="R1814" i="4"/>
  <c r="R1825" i="4"/>
  <c r="R1836" i="4"/>
  <c r="R1847" i="4"/>
  <c r="R1858" i="4"/>
  <c r="R1869" i="4"/>
  <c r="R1880" i="4"/>
  <c r="R1892" i="4"/>
  <c r="R1903" i="4"/>
  <c r="R1914" i="4"/>
  <c r="R1925" i="4"/>
  <c r="R1936" i="4"/>
  <c r="R1947" i="4"/>
  <c r="R1958" i="4"/>
  <c r="R1969" i="4"/>
  <c r="R1980" i="4"/>
  <c r="R1991" i="4"/>
  <c r="R5" i="4"/>
  <c r="R16" i="4"/>
  <c r="R27" i="4"/>
  <c r="R38" i="4"/>
  <c r="R49" i="4"/>
  <c r="R60" i="4"/>
  <c r="R71" i="4"/>
  <c r="R82" i="4"/>
  <c r="R93" i="4"/>
  <c r="R104" i="4"/>
  <c r="R116" i="4"/>
  <c r="R127" i="4"/>
  <c r="R138" i="4"/>
  <c r="R149" i="4"/>
  <c r="R160" i="4"/>
  <c r="R171" i="4"/>
  <c r="R182" i="4"/>
  <c r="R193" i="4"/>
  <c r="R204" i="4"/>
  <c r="R215" i="4"/>
  <c r="R227" i="4"/>
  <c r="R238" i="4"/>
  <c r="R249" i="4"/>
  <c r="R260" i="4"/>
  <c r="R271" i="4"/>
  <c r="R282" i="4"/>
  <c r="R293" i="4"/>
  <c r="R304" i="4"/>
  <c r="R315" i="4"/>
  <c r="R326" i="4"/>
  <c r="R338" i="4"/>
  <c r="R349" i="4"/>
  <c r="R360" i="4"/>
  <c r="R371" i="4"/>
  <c r="R382" i="4"/>
  <c r="R393" i="4"/>
  <c r="R404" i="4"/>
  <c r="R415" i="4"/>
  <c r="R426" i="4"/>
  <c r="R437" i="4"/>
  <c r="R449" i="4"/>
  <c r="R460" i="4"/>
  <c r="R471" i="4"/>
  <c r="R482" i="4"/>
  <c r="R493" i="4"/>
  <c r="R504" i="4"/>
  <c r="R515" i="4"/>
  <c r="R526" i="4"/>
  <c r="R537" i="4"/>
  <c r="R548" i="4"/>
  <c r="R560" i="4"/>
  <c r="R571" i="4"/>
  <c r="R582" i="4"/>
  <c r="R593" i="4"/>
  <c r="R604" i="4"/>
  <c r="R615" i="4"/>
  <c r="R626" i="4"/>
  <c r="R637" i="4"/>
  <c r="R648" i="4"/>
  <c r="R659" i="4"/>
  <c r="R671" i="4"/>
  <c r="R682" i="4"/>
  <c r="R693" i="4"/>
  <c r="R704" i="4"/>
  <c r="R715" i="4"/>
  <c r="R726" i="4"/>
  <c r="R737" i="4"/>
  <c r="R748" i="4"/>
  <c r="R759" i="4"/>
  <c r="R770" i="4"/>
  <c r="R782" i="4"/>
  <c r="R793" i="4"/>
  <c r="R804" i="4"/>
  <c r="R815" i="4"/>
  <c r="R826" i="4"/>
  <c r="R837" i="4"/>
  <c r="R848" i="4"/>
  <c r="R859" i="4"/>
  <c r="R870" i="4"/>
  <c r="R881" i="4"/>
  <c r="R893" i="4"/>
  <c r="R904" i="4"/>
  <c r="R915" i="4"/>
  <c r="R926" i="4"/>
  <c r="R937" i="4"/>
  <c r="R948" i="4"/>
  <c r="R959" i="4"/>
  <c r="R970" i="4"/>
  <c r="R981" i="4"/>
  <c r="R992" i="4"/>
  <c r="R1004" i="4"/>
  <c r="R1015" i="4"/>
  <c r="R1026" i="4"/>
  <c r="R1037" i="4"/>
  <c r="R1048" i="4"/>
  <c r="R1059" i="4"/>
  <c r="R1070" i="4"/>
  <c r="R1081" i="4"/>
  <c r="R1092" i="4"/>
  <c r="R1103" i="4"/>
  <c r="R1116" i="4"/>
  <c r="R1117" i="4"/>
  <c r="R1118" i="4"/>
  <c r="R1119" i="4"/>
  <c r="R1120" i="4"/>
  <c r="R1121" i="4"/>
  <c r="R1122" i="4"/>
  <c r="R1123" i="4"/>
  <c r="R1124" i="4"/>
  <c r="R1125" i="4"/>
  <c r="R1127" i="4"/>
  <c r="R1128" i="4"/>
  <c r="R1129" i="4"/>
  <c r="R1130" i="4"/>
  <c r="R1131" i="4"/>
  <c r="R1132" i="4"/>
  <c r="R1133" i="4"/>
  <c r="R1134" i="4"/>
  <c r="R1135" i="4"/>
  <c r="R1136" i="4"/>
  <c r="R1138" i="4"/>
  <c r="R1139" i="4"/>
  <c r="R1140" i="4"/>
  <c r="R1141" i="4"/>
  <c r="R1142" i="4"/>
  <c r="R1143" i="4"/>
  <c r="R1144" i="4"/>
  <c r="R1145" i="4"/>
  <c r="R1146" i="4"/>
  <c r="R1147" i="4"/>
  <c r="R1149" i="4"/>
  <c r="R1150" i="4"/>
  <c r="R1151" i="4"/>
  <c r="R1152" i="4"/>
  <c r="R1153" i="4"/>
  <c r="R1154" i="4"/>
  <c r="R1155" i="4"/>
  <c r="R1156" i="4"/>
  <c r="R1157" i="4"/>
  <c r="R1158" i="4"/>
  <c r="R1160" i="4"/>
  <c r="R1161" i="4"/>
  <c r="R1162" i="4"/>
  <c r="R1163" i="4"/>
  <c r="R1164" i="4"/>
  <c r="R1165" i="4"/>
  <c r="R1166" i="4"/>
  <c r="R1167" i="4"/>
  <c r="R1168" i="4"/>
  <c r="R1169" i="4"/>
  <c r="R1171" i="4"/>
  <c r="R1172" i="4"/>
  <c r="R1173" i="4"/>
  <c r="R1174" i="4"/>
  <c r="R1175" i="4"/>
  <c r="R1176" i="4"/>
  <c r="R1177" i="4"/>
  <c r="R1178" i="4"/>
  <c r="R1179" i="4"/>
  <c r="R1180" i="4"/>
  <c r="R1182" i="4"/>
  <c r="R1183" i="4"/>
  <c r="R1184" i="4"/>
  <c r="R1185" i="4"/>
  <c r="R1186" i="4"/>
  <c r="R1187" i="4"/>
  <c r="R1188" i="4"/>
  <c r="R1189" i="4"/>
  <c r="R1190" i="4"/>
  <c r="R1191" i="4"/>
  <c r="R1193" i="4"/>
  <c r="R1194" i="4"/>
  <c r="R1195" i="4"/>
  <c r="R1196" i="4"/>
  <c r="R1197" i="4"/>
  <c r="R1198" i="4"/>
  <c r="R1199" i="4"/>
  <c r="R1200" i="4"/>
  <c r="R1201" i="4"/>
  <c r="R1202" i="4"/>
  <c r="R1204" i="4"/>
  <c r="R1205" i="4"/>
  <c r="R1206" i="4"/>
  <c r="R1207" i="4"/>
  <c r="R1208" i="4"/>
  <c r="R1209" i="4"/>
  <c r="R1210" i="4"/>
  <c r="R1211" i="4"/>
  <c r="R1212" i="4"/>
  <c r="R1213" i="4"/>
  <c r="R1215" i="4"/>
  <c r="R1216" i="4"/>
  <c r="R1217" i="4"/>
  <c r="R1218" i="4"/>
  <c r="R1219" i="4"/>
  <c r="R1220" i="4"/>
  <c r="R1221" i="4"/>
  <c r="R1222" i="4"/>
  <c r="R1223" i="4"/>
  <c r="R1224" i="4"/>
  <c r="R1227" i="4"/>
  <c r="R1228" i="4"/>
  <c r="R1229" i="4"/>
  <c r="R1230" i="4"/>
  <c r="R1231" i="4"/>
  <c r="R1232" i="4"/>
  <c r="R1233" i="4"/>
  <c r="R1234" i="4"/>
  <c r="R1235" i="4"/>
  <c r="R1236" i="4"/>
  <c r="R1238" i="4"/>
  <c r="R1239" i="4"/>
  <c r="R1240" i="4"/>
  <c r="R1241" i="4"/>
  <c r="R1242" i="4"/>
  <c r="R1243" i="4"/>
  <c r="R1244" i="4"/>
  <c r="R1245" i="4"/>
  <c r="R1246" i="4"/>
  <c r="R1247" i="4"/>
  <c r="R1249" i="4"/>
  <c r="R1250" i="4"/>
  <c r="R1251" i="4"/>
  <c r="R1252" i="4"/>
  <c r="R1253" i="4"/>
  <c r="R1254" i="4"/>
  <c r="R1255" i="4"/>
  <c r="R1256" i="4"/>
  <c r="R1257" i="4"/>
  <c r="R1258" i="4"/>
  <c r="R1260" i="4"/>
  <c r="R1261" i="4"/>
  <c r="R1262" i="4"/>
  <c r="R1263" i="4"/>
  <c r="R1264" i="4"/>
  <c r="R1265" i="4"/>
  <c r="R1266" i="4"/>
  <c r="R1267" i="4"/>
  <c r="R1268" i="4"/>
  <c r="R1269" i="4"/>
  <c r="R1271" i="4"/>
  <c r="R1272" i="4"/>
  <c r="R1273" i="4"/>
  <c r="R1274" i="4"/>
  <c r="R1275" i="4"/>
  <c r="R1276" i="4"/>
  <c r="R1277" i="4"/>
  <c r="R1278" i="4"/>
  <c r="R1279" i="4"/>
  <c r="R1280" i="4"/>
  <c r="R1282" i="4"/>
  <c r="R1283" i="4"/>
  <c r="R1284" i="4"/>
  <c r="R1285" i="4"/>
  <c r="R1286" i="4"/>
  <c r="R1287" i="4"/>
  <c r="R1288" i="4"/>
  <c r="R1289" i="4"/>
  <c r="R1290" i="4"/>
  <c r="R1291" i="4"/>
  <c r="R1293" i="4"/>
  <c r="R1294" i="4"/>
  <c r="R1295" i="4"/>
  <c r="R1296" i="4"/>
  <c r="R1297" i="4"/>
  <c r="R1298" i="4"/>
  <c r="R1299" i="4"/>
  <c r="R1300" i="4"/>
  <c r="R1301" i="4"/>
  <c r="R1302" i="4"/>
  <c r="R1304" i="4"/>
  <c r="R1305" i="4"/>
  <c r="R1306" i="4"/>
  <c r="R1307" i="4"/>
  <c r="R1308" i="4"/>
  <c r="R1309" i="4"/>
  <c r="R1310" i="4"/>
  <c r="R1311" i="4"/>
  <c r="R1312" i="4"/>
  <c r="R1313" i="4"/>
  <c r="R1315" i="4"/>
  <c r="R1316" i="4"/>
  <c r="R1317" i="4"/>
  <c r="R1318" i="4"/>
  <c r="R1319" i="4"/>
  <c r="R1320" i="4"/>
  <c r="R1321" i="4"/>
  <c r="R1322" i="4"/>
  <c r="R1323" i="4"/>
  <c r="R1324" i="4"/>
  <c r="R1326" i="4"/>
  <c r="R1327" i="4"/>
  <c r="R1328" i="4"/>
  <c r="R1329" i="4"/>
  <c r="R1330" i="4"/>
  <c r="R1331" i="4"/>
  <c r="R1332" i="4"/>
  <c r="R1333" i="4"/>
  <c r="R1334" i="4"/>
  <c r="R1335" i="4"/>
  <c r="R1338" i="4"/>
  <c r="R1339" i="4"/>
  <c r="R1340" i="4"/>
  <c r="R1341" i="4"/>
  <c r="R1342" i="4"/>
  <c r="R1343" i="4"/>
  <c r="R1344" i="4"/>
  <c r="R1345" i="4"/>
  <c r="R1346" i="4"/>
  <c r="R1347" i="4"/>
  <c r="R1349" i="4"/>
  <c r="R1350" i="4"/>
  <c r="R1351" i="4"/>
  <c r="R1352" i="4"/>
  <c r="R1353" i="4"/>
  <c r="R1354" i="4"/>
  <c r="R1355" i="4"/>
  <c r="R1356" i="4"/>
  <c r="R1357" i="4"/>
  <c r="R1358" i="4"/>
  <c r="R1360" i="4"/>
  <c r="R1361" i="4"/>
  <c r="R1362" i="4"/>
  <c r="R1363" i="4"/>
  <c r="R1364" i="4"/>
  <c r="R1365" i="4"/>
  <c r="R1366" i="4"/>
  <c r="R1367" i="4"/>
  <c r="R1368" i="4"/>
  <c r="R1369" i="4"/>
  <c r="R1371" i="4"/>
  <c r="R1372" i="4"/>
  <c r="R1373" i="4"/>
  <c r="R1374" i="4"/>
  <c r="R1375" i="4"/>
  <c r="R1376" i="4"/>
  <c r="R1377" i="4"/>
  <c r="R1378" i="4"/>
  <c r="R1379" i="4"/>
  <c r="R1380" i="4"/>
  <c r="R1382" i="4"/>
  <c r="R1383" i="4"/>
  <c r="R1384" i="4"/>
  <c r="R1385" i="4"/>
  <c r="R1386" i="4"/>
  <c r="R1387" i="4"/>
  <c r="R1388" i="4"/>
  <c r="R1389" i="4"/>
  <c r="R1390" i="4"/>
  <c r="R1391" i="4"/>
  <c r="R1393" i="4"/>
  <c r="R1394" i="4"/>
  <c r="R1395" i="4"/>
  <c r="R1396" i="4"/>
  <c r="R1397" i="4"/>
  <c r="R1398" i="4"/>
  <c r="R1399" i="4"/>
  <c r="R1400" i="4"/>
  <c r="R1401" i="4"/>
  <c r="R1402" i="4"/>
  <c r="R1404" i="4"/>
  <c r="R1405" i="4"/>
  <c r="R1406" i="4"/>
  <c r="R1407" i="4"/>
  <c r="R1408" i="4"/>
  <c r="R1409" i="4"/>
  <c r="R1410" i="4"/>
  <c r="R1411" i="4"/>
  <c r="R1412" i="4"/>
  <c r="R1413" i="4"/>
  <c r="R1415" i="4"/>
  <c r="R1416" i="4"/>
  <c r="R1417" i="4"/>
  <c r="R1418" i="4"/>
  <c r="R1419" i="4"/>
  <c r="R1420" i="4"/>
  <c r="R1421" i="4"/>
  <c r="R1422" i="4"/>
  <c r="R1423" i="4"/>
  <c r="R1424" i="4"/>
  <c r="R1426" i="4"/>
  <c r="R1427" i="4"/>
  <c r="R1428" i="4"/>
  <c r="R1429" i="4"/>
  <c r="R1430" i="4"/>
  <c r="R1431" i="4"/>
  <c r="R1432" i="4"/>
  <c r="R1433" i="4"/>
  <c r="R1434" i="4"/>
  <c r="R1435" i="4"/>
  <c r="R1437" i="4"/>
  <c r="R1438" i="4"/>
  <c r="R1439" i="4"/>
  <c r="R1440" i="4"/>
  <c r="R1441" i="4"/>
  <c r="R1442" i="4"/>
  <c r="R1443" i="4"/>
  <c r="R1444" i="4"/>
  <c r="R1445" i="4"/>
  <c r="R1446" i="4"/>
  <c r="R1449" i="4"/>
  <c r="R1450" i="4"/>
  <c r="R1451" i="4"/>
  <c r="R1452" i="4"/>
  <c r="R1453" i="4"/>
  <c r="R1454" i="4"/>
  <c r="R1455" i="4"/>
  <c r="R1456" i="4"/>
  <c r="R1457" i="4"/>
  <c r="R1458" i="4"/>
  <c r="R1460" i="4"/>
  <c r="R1461" i="4"/>
  <c r="R1462" i="4"/>
  <c r="R1463" i="4"/>
  <c r="R1464" i="4"/>
  <c r="R1465" i="4"/>
  <c r="R1466" i="4"/>
  <c r="R1467" i="4"/>
  <c r="R1468" i="4"/>
  <c r="R1469" i="4"/>
  <c r="R1471" i="4"/>
  <c r="R1472" i="4"/>
  <c r="R1473" i="4"/>
  <c r="R1474" i="4"/>
  <c r="R1475" i="4"/>
  <c r="R1476" i="4"/>
  <c r="R1477" i="4"/>
  <c r="R1478" i="4"/>
  <c r="R1479" i="4"/>
  <c r="R1480" i="4"/>
  <c r="R1482" i="4"/>
  <c r="R1483" i="4"/>
  <c r="R1484" i="4"/>
  <c r="R1485" i="4"/>
  <c r="R1486" i="4"/>
  <c r="R1487" i="4"/>
  <c r="R1488" i="4"/>
  <c r="R1489" i="4"/>
  <c r="R1490" i="4"/>
  <c r="R1491" i="4"/>
  <c r="R1493" i="4"/>
  <c r="R1494" i="4"/>
  <c r="R1495" i="4"/>
  <c r="R1496" i="4"/>
  <c r="R1497" i="4"/>
  <c r="R1498" i="4"/>
  <c r="R1499" i="4"/>
  <c r="R1500" i="4"/>
  <c r="R1501" i="4"/>
  <c r="R1502" i="4"/>
  <c r="R1504" i="4"/>
  <c r="R1505" i="4"/>
  <c r="R1506" i="4"/>
  <c r="R1507" i="4"/>
  <c r="R1508" i="4"/>
  <c r="R1509" i="4"/>
  <c r="R1510" i="4"/>
  <c r="R1511" i="4"/>
  <c r="R1512" i="4"/>
  <c r="R1513" i="4"/>
  <c r="R1515" i="4"/>
  <c r="R1516" i="4"/>
  <c r="R1517" i="4"/>
  <c r="R1518" i="4"/>
  <c r="R1519" i="4"/>
  <c r="R1520" i="4"/>
  <c r="R1521" i="4"/>
  <c r="R1522" i="4"/>
  <c r="R1523" i="4"/>
  <c r="R1524" i="4"/>
  <c r="R1526" i="4"/>
  <c r="R1527" i="4"/>
  <c r="R1528" i="4"/>
  <c r="R1529" i="4"/>
  <c r="R1530" i="4"/>
  <c r="R1531" i="4"/>
  <c r="R1532" i="4"/>
  <c r="R1533" i="4"/>
  <c r="R1534" i="4"/>
  <c r="R1535" i="4"/>
  <c r="R1537" i="4"/>
  <c r="R1538" i="4"/>
  <c r="R1539" i="4"/>
  <c r="R1540" i="4"/>
  <c r="R1541" i="4"/>
  <c r="R1542" i="4"/>
  <c r="R1543" i="4"/>
  <c r="R1544" i="4"/>
  <c r="R1545" i="4"/>
  <c r="R1546" i="4"/>
  <c r="R1548" i="4"/>
  <c r="R1549" i="4"/>
  <c r="R1550" i="4"/>
  <c r="R1551" i="4"/>
  <c r="R1552" i="4"/>
  <c r="R1553" i="4"/>
  <c r="R1554" i="4"/>
  <c r="R1555" i="4"/>
  <c r="R1556" i="4"/>
  <c r="R1557" i="4"/>
  <c r="R1560" i="4"/>
  <c r="R1561" i="4"/>
  <c r="R1562" i="4"/>
  <c r="R1563" i="4"/>
  <c r="R1564" i="4"/>
  <c r="R1565" i="4"/>
  <c r="R1566" i="4"/>
  <c r="R1567" i="4"/>
  <c r="R1568" i="4"/>
  <c r="R1569" i="4"/>
  <c r="R1571" i="4"/>
  <c r="R1572" i="4"/>
  <c r="R1573" i="4"/>
  <c r="R1574" i="4"/>
  <c r="R1575" i="4"/>
  <c r="R1576" i="4"/>
  <c r="R1577" i="4"/>
  <c r="R1578" i="4"/>
  <c r="R1579" i="4"/>
  <c r="R1580" i="4"/>
  <c r="R1582" i="4"/>
  <c r="R1583" i="4"/>
  <c r="R1584" i="4"/>
  <c r="R1585" i="4"/>
  <c r="R1586" i="4"/>
  <c r="R1587" i="4"/>
  <c r="R1588" i="4"/>
  <c r="R1589" i="4"/>
  <c r="R1590" i="4"/>
  <c r="R1591" i="4"/>
  <c r="R1593" i="4"/>
  <c r="R1594" i="4"/>
  <c r="R1595" i="4"/>
  <c r="R1596" i="4"/>
  <c r="R1597" i="4"/>
  <c r="R1598" i="4"/>
  <c r="R1599" i="4"/>
  <c r="R1600" i="4"/>
  <c r="R1601" i="4"/>
  <c r="R1602" i="4"/>
  <c r="R1604" i="4"/>
  <c r="R1605" i="4"/>
  <c r="R1606" i="4"/>
  <c r="R1607" i="4"/>
  <c r="R1608" i="4"/>
  <c r="R1609" i="4"/>
  <c r="R1610" i="4"/>
  <c r="R1611" i="4"/>
  <c r="R1612" i="4"/>
  <c r="R1613" i="4"/>
  <c r="R1615" i="4"/>
  <c r="R1616" i="4"/>
  <c r="R1617" i="4"/>
  <c r="R1618" i="4"/>
  <c r="R1619" i="4"/>
  <c r="R1620" i="4"/>
  <c r="R1621" i="4"/>
  <c r="R1622" i="4"/>
  <c r="R1623" i="4"/>
  <c r="R1624" i="4"/>
  <c r="R1626" i="4"/>
  <c r="R1627" i="4"/>
  <c r="R1628" i="4"/>
  <c r="R1629" i="4"/>
  <c r="R1630" i="4"/>
  <c r="R1631" i="4"/>
  <c r="R1632" i="4"/>
  <c r="R1633" i="4"/>
  <c r="R1634" i="4"/>
  <c r="R1635" i="4"/>
  <c r="R1637" i="4"/>
  <c r="R1638" i="4"/>
  <c r="R1639" i="4"/>
  <c r="R1640" i="4"/>
  <c r="R1641" i="4"/>
  <c r="R1642" i="4"/>
  <c r="R1643" i="4"/>
  <c r="R1644" i="4"/>
  <c r="R1645" i="4"/>
  <c r="R1646" i="4"/>
  <c r="R1648" i="4"/>
  <c r="R1649" i="4"/>
  <c r="R1650" i="4"/>
  <c r="R1651" i="4"/>
  <c r="R1652" i="4"/>
  <c r="R1653" i="4"/>
  <c r="R1654" i="4"/>
  <c r="R1655" i="4"/>
  <c r="R1656" i="4"/>
  <c r="R1657" i="4"/>
  <c r="R1659" i="4"/>
  <c r="R1660" i="4"/>
  <c r="R1661" i="4"/>
  <c r="R1662" i="4"/>
  <c r="R1663" i="4"/>
  <c r="R1664" i="4"/>
  <c r="R1665" i="4"/>
  <c r="R1666" i="4"/>
  <c r="R1667" i="4"/>
  <c r="R1668" i="4"/>
  <c r="R1671" i="4"/>
  <c r="R1672" i="4"/>
  <c r="R1673" i="4"/>
  <c r="R1674" i="4"/>
  <c r="R1675" i="4"/>
  <c r="R1676" i="4"/>
  <c r="R1677" i="4"/>
  <c r="R1678" i="4"/>
  <c r="R1679" i="4"/>
  <c r="R1680" i="4"/>
  <c r="R1682" i="4"/>
  <c r="R1683" i="4"/>
  <c r="R1684" i="4"/>
  <c r="R1685" i="4"/>
  <c r="R1686" i="4"/>
  <c r="R1687" i="4"/>
  <c r="R1688" i="4"/>
  <c r="R1689" i="4"/>
  <c r="R1690" i="4"/>
  <c r="R1691" i="4"/>
  <c r="R1693" i="4"/>
  <c r="R1694" i="4"/>
  <c r="R1695" i="4"/>
  <c r="R1696" i="4"/>
  <c r="R1697" i="4"/>
  <c r="R1698" i="4"/>
  <c r="R1699" i="4"/>
  <c r="R1700" i="4"/>
  <c r="R1701" i="4"/>
  <c r="R1702" i="4"/>
  <c r="R1704" i="4"/>
  <c r="R1705" i="4"/>
  <c r="R1706" i="4"/>
  <c r="R1707" i="4"/>
  <c r="R1708" i="4"/>
  <c r="R1709" i="4"/>
  <c r="R1710" i="4"/>
  <c r="R1711" i="4"/>
  <c r="R1712" i="4"/>
  <c r="R1713" i="4"/>
  <c r="R1715" i="4"/>
  <c r="R1716" i="4"/>
  <c r="R1717" i="4"/>
  <c r="R1718" i="4"/>
  <c r="R1719" i="4"/>
  <c r="R1720" i="4"/>
  <c r="R1721" i="4"/>
  <c r="R1722" i="4"/>
  <c r="R1723" i="4"/>
  <c r="R1724" i="4"/>
  <c r="R1726" i="4"/>
  <c r="R1727" i="4"/>
  <c r="R1728" i="4"/>
  <c r="R1729" i="4"/>
  <c r="R1730" i="4"/>
  <c r="R1731" i="4"/>
  <c r="R1732" i="4"/>
  <c r="R1733" i="4"/>
  <c r="R1734" i="4"/>
  <c r="R1735" i="4"/>
  <c r="R1737" i="4"/>
  <c r="R1738" i="4"/>
  <c r="R1739" i="4"/>
  <c r="R1740" i="4"/>
  <c r="R1741" i="4"/>
  <c r="R1742" i="4"/>
  <c r="R1743" i="4"/>
  <c r="R1744" i="4"/>
  <c r="R1745" i="4"/>
  <c r="R1746" i="4"/>
  <c r="R1748" i="4"/>
  <c r="R1749" i="4"/>
  <c r="R1750" i="4"/>
  <c r="R1751" i="4"/>
  <c r="R1752" i="4"/>
  <c r="R1753" i="4"/>
  <c r="R1754" i="4"/>
  <c r="R1755" i="4"/>
  <c r="R1756" i="4"/>
  <c r="R1757" i="4"/>
  <c r="R1759" i="4"/>
  <c r="R1760" i="4"/>
  <c r="R1761" i="4"/>
  <c r="R1762" i="4"/>
  <c r="R1763" i="4"/>
  <c r="R1764" i="4"/>
  <c r="R1765" i="4"/>
  <c r="R1766" i="4"/>
  <c r="R1767" i="4"/>
  <c r="R1768" i="4"/>
  <c r="R1770" i="4"/>
  <c r="R1771" i="4"/>
  <c r="R1772" i="4"/>
  <c r="R1773" i="4"/>
  <c r="R1774" i="4"/>
  <c r="R1775" i="4"/>
  <c r="R1776" i="4"/>
  <c r="R1777" i="4"/>
  <c r="R1778" i="4"/>
  <c r="R1779" i="4"/>
  <c r="R1782" i="4"/>
  <c r="R1783" i="4"/>
  <c r="R1784" i="4"/>
  <c r="R1785" i="4"/>
  <c r="R1786" i="4"/>
  <c r="R1787" i="4"/>
  <c r="R1788" i="4"/>
  <c r="R1789" i="4"/>
  <c r="R1790" i="4"/>
  <c r="R1791" i="4"/>
  <c r="R1793" i="4"/>
  <c r="R1794" i="4"/>
  <c r="R1795" i="4"/>
  <c r="R1796" i="4"/>
  <c r="R1797" i="4"/>
  <c r="R1798" i="4"/>
  <c r="R1799" i="4"/>
  <c r="R1800" i="4"/>
  <c r="R1801" i="4"/>
  <c r="R1802" i="4"/>
  <c r="R1804" i="4"/>
  <c r="R1805" i="4"/>
  <c r="R1806" i="4"/>
  <c r="R1807" i="4"/>
  <c r="R1808" i="4"/>
  <c r="R1809" i="4"/>
  <c r="R1810" i="4"/>
  <c r="R1811" i="4"/>
  <c r="R1812" i="4"/>
  <c r="R1813" i="4"/>
  <c r="R1815" i="4"/>
  <c r="R1816" i="4"/>
  <c r="R1817" i="4"/>
  <c r="R1818" i="4"/>
  <c r="R1819" i="4"/>
  <c r="R1820" i="4"/>
  <c r="R1821" i="4"/>
  <c r="R1822" i="4"/>
  <c r="R1823" i="4"/>
  <c r="R1824" i="4"/>
  <c r="R1826" i="4"/>
  <c r="R1827" i="4"/>
  <c r="R1828" i="4"/>
  <c r="R1829" i="4"/>
  <c r="R1830" i="4"/>
  <c r="R1831" i="4"/>
  <c r="R1832" i="4"/>
  <c r="R1833" i="4"/>
  <c r="R1834" i="4"/>
  <c r="R1835" i="4"/>
  <c r="R1837" i="4"/>
  <c r="R1838" i="4"/>
  <c r="R1839" i="4"/>
  <c r="R1840" i="4"/>
  <c r="R1841" i="4"/>
  <c r="R1842" i="4"/>
  <c r="R1843" i="4"/>
  <c r="R1844" i="4"/>
  <c r="R1845" i="4"/>
  <c r="R1846" i="4"/>
  <c r="R1848" i="4"/>
  <c r="R1849" i="4"/>
  <c r="R1850" i="4"/>
  <c r="R1851" i="4"/>
  <c r="R1852" i="4"/>
  <c r="R1853" i="4"/>
  <c r="R1854" i="4"/>
  <c r="R1855" i="4"/>
  <c r="R1856" i="4"/>
  <c r="R1857" i="4"/>
  <c r="R1859" i="4"/>
  <c r="R1860" i="4"/>
  <c r="R1861" i="4"/>
  <c r="R1862" i="4"/>
  <c r="R1863" i="4"/>
  <c r="R1864" i="4"/>
  <c r="R1865" i="4"/>
  <c r="R1866" i="4"/>
  <c r="R1867" i="4"/>
  <c r="R1868" i="4"/>
  <c r="R1870" i="4"/>
  <c r="R1871" i="4"/>
  <c r="R1872" i="4"/>
  <c r="R1873" i="4"/>
  <c r="R1874" i="4"/>
  <c r="R1875" i="4"/>
  <c r="R1876" i="4"/>
  <c r="R1877" i="4"/>
  <c r="R1878" i="4"/>
  <c r="R1879" i="4"/>
  <c r="R1881" i="4"/>
  <c r="R1882" i="4"/>
  <c r="R1883" i="4"/>
  <c r="R1884" i="4"/>
  <c r="R1885" i="4"/>
  <c r="R1886" i="4"/>
  <c r="R1887" i="4"/>
  <c r="R1888" i="4"/>
  <c r="R1889" i="4"/>
  <c r="R1890" i="4"/>
  <c r="R1893" i="4"/>
  <c r="R1894" i="4"/>
  <c r="R1895" i="4"/>
  <c r="R1896" i="4"/>
  <c r="R1897" i="4"/>
  <c r="R1898" i="4"/>
  <c r="R1899" i="4"/>
  <c r="R1900" i="4"/>
  <c r="R1901" i="4"/>
  <c r="R1902" i="4"/>
  <c r="R1904" i="4"/>
  <c r="R1905" i="4"/>
  <c r="R1906" i="4"/>
  <c r="R1907" i="4"/>
  <c r="R1908" i="4"/>
  <c r="R1909" i="4"/>
  <c r="R1910" i="4"/>
  <c r="R1911" i="4"/>
  <c r="R1912" i="4"/>
  <c r="R1913" i="4"/>
  <c r="R1915" i="4"/>
  <c r="R1916" i="4"/>
  <c r="R1917" i="4"/>
  <c r="R1918" i="4"/>
  <c r="R1919" i="4"/>
  <c r="R1920" i="4"/>
  <c r="R1921" i="4"/>
  <c r="R1922" i="4"/>
  <c r="R1923" i="4"/>
  <c r="R1924" i="4"/>
  <c r="R1926" i="4"/>
  <c r="R1927" i="4"/>
  <c r="R1928" i="4"/>
  <c r="R1929" i="4"/>
  <c r="R1930" i="4"/>
  <c r="R1931" i="4"/>
  <c r="R1932" i="4"/>
  <c r="R1933" i="4"/>
  <c r="R1934" i="4"/>
  <c r="R1935" i="4"/>
  <c r="R1937" i="4"/>
  <c r="R1938" i="4"/>
  <c r="R1939" i="4"/>
  <c r="R1940" i="4"/>
  <c r="R1941" i="4"/>
  <c r="R1942" i="4"/>
  <c r="R1943" i="4"/>
  <c r="R1944" i="4"/>
  <c r="R1945" i="4"/>
  <c r="R1946" i="4"/>
  <c r="R1948" i="4"/>
  <c r="R1949" i="4"/>
  <c r="R1950" i="4"/>
  <c r="R1951" i="4"/>
  <c r="R1952" i="4"/>
  <c r="R1953" i="4"/>
  <c r="R1954" i="4"/>
  <c r="R1955" i="4"/>
  <c r="R1956" i="4"/>
  <c r="R1957" i="4"/>
  <c r="R1959" i="4"/>
  <c r="R1960" i="4"/>
  <c r="R1961" i="4"/>
  <c r="R1962" i="4"/>
  <c r="R1963" i="4"/>
  <c r="R1964" i="4"/>
  <c r="R1965" i="4"/>
  <c r="R1966" i="4"/>
  <c r="R1967" i="4"/>
  <c r="R1968" i="4"/>
  <c r="R1970" i="4"/>
  <c r="R1971" i="4"/>
  <c r="R1972" i="4"/>
  <c r="R1973" i="4"/>
  <c r="R1974" i="4"/>
  <c r="R1975" i="4"/>
  <c r="R1976" i="4"/>
  <c r="R1977" i="4"/>
  <c r="R1978" i="4"/>
  <c r="R1979" i="4"/>
  <c r="R1981" i="4"/>
  <c r="R1982" i="4"/>
  <c r="R1983" i="4"/>
  <c r="R1984" i="4"/>
  <c r="R1985" i="4"/>
  <c r="R1986" i="4"/>
  <c r="R1987" i="4"/>
  <c r="R1988" i="4"/>
  <c r="R1989" i="4"/>
  <c r="R1990" i="4"/>
  <c r="R1992" i="4"/>
  <c r="R1993" i="4"/>
  <c r="R1994" i="4"/>
  <c r="R1995" i="4"/>
  <c r="R1996" i="4"/>
  <c r="R1997" i="4"/>
  <c r="R1998" i="4"/>
  <c r="R1999" i="4"/>
  <c r="R2000" i="4"/>
  <c r="R2001" i="4"/>
  <c r="R6" i="4"/>
  <c r="R7" i="4"/>
  <c r="R8" i="4"/>
  <c r="R9" i="4"/>
  <c r="R10" i="4"/>
  <c r="R11" i="4"/>
  <c r="R12" i="4"/>
  <c r="R13" i="4"/>
  <c r="R14" i="4"/>
  <c r="R15" i="4"/>
  <c r="R17" i="4"/>
  <c r="R18" i="4"/>
  <c r="R19" i="4"/>
  <c r="R20" i="4"/>
  <c r="R21" i="4"/>
  <c r="R22" i="4"/>
  <c r="R23" i="4"/>
  <c r="R24" i="4"/>
  <c r="R25" i="4"/>
  <c r="R26" i="4"/>
  <c r="R28" i="4"/>
  <c r="R29" i="4"/>
  <c r="R30" i="4"/>
  <c r="R31" i="4"/>
  <c r="R32" i="4"/>
  <c r="R33" i="4"/>
  <c r="R34" i="4"/>
  <c r="R35" i="4"/>
  <c r="R36" i="4"/>
  <c r="R37" i="4"/>
  <c r="R39" i="4"/>
  <c r="R40" i="4"/>
  <c r="R41" i="4"/>
  <c r="R42" i="4"/>
  <c r="R43" i="4"/>
  <c r="R44" i="4"/>
  <c r="R45" i="4"/>
  <c r="R46" i="4"/>
  <c r="R47" i="4"/>
  <c r="R48" i="4"/>
  <c r="R50" i="4"/>
  <c r="R51" i="4"/>
  <c r="R52" i="4"/>
  <c r="R53" i="4"/>
  <c r="R54" i="4"/>
  <c r="R55" i="4"/>
  <c r="R56" i="4"/>
  <c r="R57" i="4"/>
  <c r="R58" i="4"/>
  <c r="R59" i="4"/>
  <c r="R61" i="4"/>
  <c r="R62" i="4"/>
  <c r="R63" i="4"/>
  <c r="R64" i="4"/>
  <c r="R65" i="4"/>
  <c r="R66" i="4"/>
  <c r="R67" i="4"/>
  <c r="R68" i="4"/>
  <c r="R69" i="4"/>
  <c r="R70" i="4"/>
  <c r="R72" i="4"/>
  <c r="R73" i="4"/>
  <c r="R74" i="4"/>
  <c r="R75" i="4"/>
  <c r="R76" i="4"/>
  <c r="R77" i="4"/>
  <c r="R78" i="4"/>
  <c r="R79" i="4"/>
  <c r="R80" i="4"/>
  <c r="R81" i="4"/>
  <c r="R83" i="4"/>
  <c r="R84" i="4"/>
  <c r="R85" i="4"/>
  <c r="R86" i="4"/>
  <c r="R87" i="4"/>
  <c r="R88" i="4"/>
  <c r="R89" i="4"/>
  <c r="R90" i="4"/>
  <c r="R91" i="4"/>
  <c r="R92" i="4"/>
  <c r="R94" i="4"/>
  <c r="R95" i="4"/>
  <c r="R96" i="4"/>
  <c r="R97" i="4"/>
  <c r="R98" i="4"/>
  <c r="R99" i="4"/>
  <c r="R100" i="4"/>
  <c r="R101" i="4"/>
  <c r="R102" i="4"/>
  <c r="R103" i="4"/>
  <c r="R105" i="4"/>
  <c r="R106" i="4"/>
  <c r="R107" i="4"/>
  <c r="R108" i="4"/>
  <c r="R109" i="4"/>
  <c r="R110" i="4"/>
  <c r="R111" i="4"/>
  <c r="R112" i="4"/>
  <c r="R113" i="4"/>
  <c r="R114" i="4"/>
  <c r="R117" i="4"/>
  <c r="R118" i="4"/>
  <c r="R119" i="4"/>
  <c r="R120" i="4"/>
  <c r="R121" i="4"/>
  <c r="R122" i="4"/>
  <c r="R123" i="4"/>
  <c r="R124" i="4"/>
  <c r="R125" i="4"/>
  <c r="R126" i="4"/>
  <c r="R128" i="4"/>
  <c r="R129" i="4"/>
  <c r="R130" i="4"/>
  <c r="R131" i="4"/>
  <c r="R132" i="4"/>
  <c r="R133" i="4"/>
  <c r="R134" i="4"/>
  <c r="R135" i="4"/>
  <c r="R136" i="4"/>
  <c r="R137" i="4"/>
  <c r="R139" i="4"/>
  <c r="R140" i="4"/>
  <c r="R141" i="4"/>
  <c r="R142" i="4"/>
  <c r="R143" i="4"/>
  <c r="R144" i="4"/>
  <c r="R145" i="4"/>
  <c r="R146" i="4"/>
  <c r="R147" i="4"/>
  <c r="D48" i="7" s="1"/>
  <c r="R148" i="4"/>
  <c r="R150" i="4"/>
  <c r="R151" i="4"/>
  <c r="R152" i="4"/>
  <c r="R153" i="4"/>
  <c r="R154" i="4"/>
  <c r="R155" i="4"/>
  <c r="R156" i="4"/>
  <c r="R157" i="4"/>
  <c r="R158" i="4"/>
  <c r="R159" i="4"/>
  <c r="R161" i="4"/>
  <c r="R162" i="4"/>
  <c r="R163" i="4"/>
  <c r="R164" i="4"/>
  <c r="R165" i="4"/>
  <c r="R166" i="4"/>
  <c r="R167" i="4"/>
  <c r="R168" i="4"/>
  <c r="R169" i="4"/>
  <c r="R170" i="4"/>
  <c r="R172" i="4"/>
  <c r="R173" i="4"/>
  <c r="R174" i="4"/>
  <c r="R175" i="4"/>
  <c r="R176" i="4"/>
  <c r="R177" i="4"/>
  <c r="R178" i="4"/>
  <c r="R179" i="4"/>
  <c r="R180" i="4"/>
  <c r="R181" i="4"/>
  <c r="R183" i="4"/>
  <c r="R184" i="4"/>
  <c r="R185" i="4"/>
  <c r="R186" i="4"/>
  <c r="R187" i="4"/>
  <c r="R188" i="4"/>
  <c r="R189" i="4"/>
  <c r="R190" i="4"/>
  <c r="R191" i="4"/>
  <c r="R192" i="4"/>
  <c r="R194" i="4"/>
  <c r="R195" i="4"/>
  <c r="R196" i="4"/>
  <c r="R197" i="4"/>
  <c r="R198" i="4"/>
  <c r="R199" i="4"/>
  <c r="R200" i="4"/>
  <c r="R201" i="4"/>
  <c r="R202" i="4"/>
  <c r="R203" i="4"/>
  <c r="R205" i="4"/>
  <c r="R206" i="4"/>
  <c r="R207" i="4"/>
  <c r="R208" i="4"/>
  <c r="R209" i="4"/>
  <c r="R210" i="4"/>
  <c r="R211" i="4"/>
  <c r="R212" i="4"/>
  <c r="R213" i="4"/>
  <c r="R214" i="4"/>
  <c r="R216" i="4"/>
  <c r="R217" i="4"/>
  <c r="R218" i="4"/>
  <c r="R219" i="4"/>
  <c r="R220" i="4"/>
  <c r="R221" i="4"/>
  <c r="R222" i="4"/>
  <c r="R223" i="4"/>
  <c r="R224" i="4"/>
  <c r="R225" i="4"/>
  <c r="R228" i="4"/>
  <c r="R229" i="4"/>
  <c r="R230" i="4"/>
  <c r="R231" i="4"/>
  <c r="R232" i="4"/>
  <c r="R233" i="4"/>
  <c r="R234" i="4"/>
  <c r="R235" i="4"/>
  <c r="R236" i="4"/>
  <c r="R237" i="4"/>
  <c r="R239" i="4"/>
  <c r="R240" i="4"/>
  <c r="R241" i="4"/>
  <c r="R242" i="4"/>
  <c r="R243" i="4"/>
  <c r="R244" i="4"/>
  <c r="R245" i="4"/>
  <c r="R246" i="4"/>
  <c r="R247" i="4"/>
  <c r="R248" i="4"/>
  <c r="R250" i="4"/>
  <c r="R251" i="4"/>
  <c r="R252" i="4"/>
  <c r="R253" i="4"/>
  <c r="R254" i="4"/>
  <c r="R255" i="4"/>
  <c r="R256" i="4"/>
  <c r="R257" i="4"/>
  <c r="R258" i="4"/>
  <c r="R259" i="4"/>
  <c r="R261" i="4"/>
  <c r="R262" i="4"/>
  <c r="R263" i="4"/>
  <c r="R264" i="4"/>
  <c r="R265" i="4"/>
  <c r="R266" i="4"/>
  <c r="R267" i="4"/>
  <c r="R268" i="4"/>
  <c r="R269" i="4"/>
  <c r="R270" i="4"/>
  <c r="R272" i="4"/>
  <c r="R273" i="4"/>
  <c r="R274" i="4"/>
  <c r="R275" i="4"/>
  <c r="R276" i="4"/>
  <c r="R277" i="4"/>
  <c r="R278" i="4"/>
  <c r="R279" i="4"/>
  <c r="R280" i="4"/>
  <c r="R281" i="4"/>
  <c r="R283" i="4"/>
  <c r="R284" i="4"/>
  <c r="R285" i="4"/>
  <c r="R286" i="4"/>
  <c r="R287" i="4"/>
  <c r="R288" i="4"/>
  <c r="R289" i="4"/>
  <c r="R290" i="4"/>
  <c r="R291" i="4"/>
  <c r="R292" i="4"/>
  <c r="R294" i="4"/>
  <c r="R295" i="4"/>
  <c r="R296" i="4"/>
  <c r="R297" i="4"/>
  <c r="R298" i="4"/>
  <c r="R299" i="4"/>
  <c r="R300" i="4"/>
  <c r="R301" i="4"/>
  <c r="R302" i="4"/>
  <c r="R303" i="4"/>
  <c r="R305" i="4"/>
  <c r="R306" i="4"/>
  <c r="R307" i="4"/>
  <c r="R308" i="4"/>
  <c r="R309" i="4"/>
  <c r="R310" i="4"/>
  <c r="R311" i="4"/>
  <c r="R312" i="4"/>
  <c r="R313" i="4"/>
  <c r="R314" i="4"/>
  <c r="R316" i="4"/>
  <c r="R317" i="4"/>
  <c r="R318" i="4"/>
  <c r="R319" i="4"/>
  <c r="R320" i="4"/>
  <c r="R321" i="4"/>
  <c r="R322" i="4"/>
  <c r="R323" i="4"/>
  <c r="R324" i="4"/>
  <c r="R325" i="4"/>
  <c r="R327" i="4"/>
  <c r="R328" i="4"/>
  <c r="R329" i="4"/>
  <c r="R330" i="4"/>
  <c r="R331" i="4"/>
  <c r="R332" i="4"/>
  <c r="R333" i="4"/>
  <c r="R334" i="4"/>
  <c r="R335" i="4"/>
  <c r="R336" i="4"/>
  <c r="R339" i="4"/>
  <c r="R340" i="4"/>
  <c r="R341" i="4"/>
  <c r="R342" i="4"/>
  <c r="R343" i="4"/>
  <c r="R344" i="4"/>
  <c r="R345" i="4"/>
  <c r="R346" i="4"/>
  <c r="R347" i="4"/>
  <c r="R348" i="4"/>
  <c r="R350" i="4"/>
  <c r="R351" i="4"/>
  <c r="R352" i="4"/>
  <c r="R353" i="4"/>
  <c r="R354" i="4"/>
  <c r="R355" i="4"/>
  <c r="R356" i="4"/>
  <c r="R357" i="4"/>
  <c r="R358" i="4"/>
  <c r="R359" i="4"/>
  <c r="R361" i="4"/>
  <c r="R362" i="4"/>
  <c r="R363" i="4"/>
  <c r="R364" i="4"/>
  <c r="R365" i="4"/>
  <c r="R366" i="4"/>
  <c r="R367" i="4"/>
  <c r="R368" i="4"/>
  <c r="R369" i="4"/>
  <c r="R370" i="4"/>
  <c r="R372" i="4"/>
  <c r="R373" i="4"/>
  <c r="R374" i="4"/>
  <c r="R375" i="4"/>
  <c r="R376" i="4"/>
  <c r="R377" i="4"/>
  <c r="R378" i="4"/>
  <c r="R379" i="4"/>
  <c r="R380" i="4"/>
  <c r="R381" i="4"/>
  <c r="R383" i="4"/>
  <c r="R384" i="4"/>
  <c r="R385" i="4"/>
  <c r="R386" i="4"/>
  <c r="R387" i="4"/>
  <c r="R388" i="4"/>
  <c r="R389" i="4"/>
  <c r="R390" i="4"/>
  <c r="R391" i="4"/>
  <c r="R392" i="4"/>
  <c r="R394" i="4"/>
  <c r="R395" i="4"/>
  <c r="R396" i="4"/>
  <c r="R397" i="4"/>
  <c r="R398" i="4"/>
  <c r="R399" i="4"/>
  <c r="R400" i="4"/>
  <c r="R401" i="4"/>
  <c r="R402" i="4"/>
  <c r="R403" i="4"/>
  <c r="R405" i="4"/>
  <c r="R406" i="4"/>
  <c r="R407" i="4"/>
  <c r="R408" i="4"/>
  <c r="R409" i="4"/>
  <c r="R410" i="4"/>
  <c r="R411" i="4"/>
  <c r="R412" i="4"/>
  <c r="R413" i="4"/>
  <c r="R414" i="4"/>
  <c r="R416" i="4"/>
  <c r="R417" i="4"/>
  <c r="R418" i="4"/>
  <c r="R419" i="4"/>
  <c r="R420" i="4"/>
  <c r="R421" i="4"/>
  <c r="R422" i="4"/>
  <c r="R423" i="4"/>
  <c r="R424" i="4"/>
  <c r="R425" i="4"/>
  <c r="R427" i="4"/>
  <c r="R428" i="4"/>
  <c r="R429" i="4"/>
  <c r="R430" i="4"/>
  <c r="R431" i="4"/>
  <c r="R432" i="4"/>
  <c r="R433" i="4"/>
  <c r="R434" i="4"/>
  <c r="R435" i="4"/>
  <c r="R436" i="4"/>
  <c r="R438" i="4"/>
  <c r="R439" i="4"/>
  <c r="R440" i="4"/>
  <c r="R441" i="4"/>
  <c r="R442" i="4"/>
  <c r="R443" i="4"/>
  <c r="R444" i="4"/>
  <c r="R445" i="4"/>
  <c r="R446" i="4"/>
  <c r="R447" i="4"/>
  <c r="R450" i="4"/>
  <c r="R451" i="4"/>
  <c r="R452" i="4"/>
  <c r="R453" i="4"/>
  <c r="R454" i="4"/>
  <c r="R455" i="4"/>
  <c r="R456" i="4"/>
  <c r="R457" i="4"/>
  <c r="R458" i="4"/>
  <c r="R459" i="4"/>
  <c r="R461" i="4"/>
  <c r="R462" i="4"/>
  <c r="R463" i="4"/>
  <c r="R464" i="4"/>
  <c r="R465" i="4"/>
  <c r="R466" i="4"/>
  <c r="R467" i="4"/>
  <c r="R468" i="4"/>
  <c r="R469" i="4"/>
  <c r="R470" i="4"/>
  <c r="R472" i="4"/>
  <c r="R473" i="4"/>
  <c r="R474" i="4"/>
  <c r="R475" i="4"/>
  <c r="R476" i="4"/>
  <c r="R477" i="4"/>
  <c r="R478" i="4"/>
  <c r="R479" i="4"/>
  <c r="R480" i="4"/>
  <c r="R481" i="4"/>
  <c r="R483" i="4"/>
  <c r="R484" i="4"/>
  <c r="R485" i="4"/>
  <c r="R486" i="4"/>
  <c r="R487" i="4"/>
  <c r="R488" i="4"/>
  <c r="R489" i="4"/>
  <c r="R490" i="4"/>
  <c r="R491" i="4"/>
  <c r="R492" i="4"/>
  <c r="R494" i="4"/>
  <c r="R495" i="4"/>
  <c r="R496" i="4"/>
  <c r="R497" i="4"/>
  <c r="R498" i="4"/>
  <c r="R499" i="4"/>
  <c r="R500" i="4"/>
  <c r="R501" i="4"/>
  <c r="R502" i="4"/>
  <c r="R503" i="4"/>
  <c r="R505" i="4"/>
  <c r="R506" i="4"/>
  <c r="R507" i="4"/>
  <c r="R508" i="4"/>
  <c r="R509" i="4"/>
  <c r="R510" i="4"/>
  <c r="R511" i="4"/>
  <c r="R512" i="4"/>
  <c r="R513" i="4"/>
  <c r="R514" i="4"/>
  <c r="R516" i="4"/>
  <c r="R517" i="4"/>
  <c r="R518" i="4"/>
  <c r="R519" i="4"/>
  <c r="R520" i="4"/>
  <c r="R521" i="4"/>
  <c r="R522" i="4"/>
  <c r="R523" i="4"/>
  <c r="R524" i="4"/>
  <c r="R525" i="4"/>
  <c r="R527" i="4"/>
  <c r="R528" i="4"/>
  <c r="R529" i="4"/>
  <c r="R530" i="4"/>
  <c r="R531" i="4"/>
  <c r="R532" i="4"/>
  <c r="R533" i="4"/>
  <c r="R534" i="4"/>
  <c r="R535" i="4"/>
  <c r="R536" i="4"/>
  <c r="R538" i="4"/>
  <c r="R539" i="4"/>
  <c r="R540" i="4"/>
  <c r="R541" i="4"/>
  <c r="R542" i="4"/>
  <c r="R543" i="4"/>
  <c r="R544" i="4"/>
  <c r="R545" i="4"/>
  <c r="R546" i="4"/>
  <c r="R547" i="4"/>
  <c r="R549" i="4"/>
  <c r="R550" i="4"/>
  <c r="R551" i="4"/>
  <c r="R552" i="4"/>
  <c r="R553" i="4"/>
  <c r="R554" i="4"/>
  <c r="R555" i="4"/>
  <c r="R556" i="4"/>
  <c r="R557" i="4"/>
  <c r="R558" i="4"/>
  <c r="R561" i="4"/>
  <c r="R562" i="4"/>
  <c r="R563" i="4"/>
  <c r="R564" i="4"/>
  <c r="R565" i="4"/>
  <c r="R566" i="4"/>
  <c r="R567" i="4"/>
  <c r="R568" i="4"/>
  <c r="R569" i="4"/>
  <c r="R570" i="4"/>
  <c r="R572" i="4"/>
  <c r="R573" i="4"/>
  <c r="R574" i="4"/>
  <c r="R575" i="4"/>
  <c r="R576" i="4"/>
  <c r="R577" i="4"/>
  <c r="R578" i="4"/>
  <c r="R579" i="4"/>
  <c r="R580" i="4"/>
  <c r="R581" i="4"/>
  <c r="R583" i="4"/>
  <c r="R584" i="4"/>
  <c r="R585" i="4"/>
  <c r="R586" i="4"/>
  <c r="R587" i="4"/>
  <c r="R588" i="4"/>
  <c r="R589" i="4"/>
  <c r="R590" i="4"/>
  <c r="R591" i="4"/>
  <c r="R592" i="4"/>
  <c r="R594" i="4"/>
  <c r="R595" i="4"/>
  <c r="R596" i="4"/>
  <c r="R597" i="4"/>
  <c r="R598" i="4"/>
  <c r="R599" i="4"/>
  <c r="R600" i="4"/>
  <c r="R601" i="4"/>
  <c r="R602" i="4"/>
  <c r="R603" i="4"/>
  <c r="R605" i="4"/>
  <c r="R606" i="4"/>
  <c r="R607" i="4"/>
  <c r="R608" i="4"/>
  <c r="R609" i="4"/>
  <c r="R610" i="4"/>
  <c r="R611" i="4"/>
  <c r="R612" i="4"/>
  <c r="R613" i="4"/>
  <c r="R614" i="4"/>
  <c r="R616" i="4"/>
  <c r="R617" i="4"/>
  <c r="R618" i="4"/>
  <c r="R619" i="4"/>
  <c r="R620" i="4"/>
  <c r="R621" i="4"/>
  <c r="R622" i="4"/>
  <c r="R623" i="4"/>
  <c r="R624" i="4"/>
  <c r="R625" i="4"/>
  <c r="R627" i="4"/>
  <c r="R628" i="4"/>
  <c r="R629" i="4"/>
  <c r="R630" i="4"/>
  <c r="R631" i="4"/>
  <c r="R632" i="4"/>
  <c r="R633" i="4"/>
  <c r="R634" i="4"/>
  <c r="R635" i="4"/>
  <c r="R636" i="4"/>
  <c r="R638" i="4"/>
  <c r="R639" i="4"/>
  <c r="R640" i="4"/>
  <c r="R641" i="4"/>
  <c r="R642" i="4"/>
  <c r="R643" i="4"/>
  <c r="R644" i="4"/>
  <c r="R645" i="4"/>
  <c r="R646" i="4"/>
  <c r="R647" i="4"/>
  <c r="R649" i="4"/>
  <c r="R650" i="4"/>
  <c r="R651" i="4"/>
  <c r="R652" i="4"/>
  <c r="R653" i="4"/>
  <c r="R654" i="4"/>
  <c r="R655" i="4"/>
  <c r="R656" i="4"/>
  <c r="R657" i="4"/>
  <c r="R658" i="4"/>
  <c r="R660" i="4"/>
  <c r="R661" i="4"/>
  <c r="R662" i="4"/>
  <c r="R663" i="4"/>
  <c r="R664" i="4"/>
  <c r="R665" i="4"/>
  <c r="R666" i="4"/>
  <c r="R667" i="4"/>
  <c r="R668" i="4"/>
  <c r="R669" i="4"/>
  <c r="R672" i="4"/>
  <c r="R673" i="4"/>
  <c r="R674" i="4"/>
  <c r="R675" i="4"/>
  <c r="R676" i="4"/>
  <c r="R677" i="4"/>
  <c r="R678" i="4"/>
  <c r="R679" i="4"/>
  <c r="R680" i="4"/>
  <c r="R681" i="4"/>
  <c r="R683" i="4"/>
  <c r="R684" i="4"/>
  <c r="R685" i="4"/>
  <c r="R686" i="4"/>
  <c r="R687" i="4"/>
  <c r="R688" i="4"/>
  <c r="R689" i="4"/>
  <c r="R690" i="4"/>
  <c r="R691" i="4"/>
  <c r="R692" i="4"/>
  <c r="R694" i="4"/>
  <c r="R695" i="4"/>
  <c r="R696" i="4"/>
  <c r="R697" i="4"/>
  <c r="R698" i="4"/>
  <c r="R699" i="4"/>
  <c r="R700" i="4"/>
  <c r="R701" i="4"/>
  <c r="R702" i="4"/>
  <c r="R703" i="4"/>
  <c r="R705" i="4"/>
  <c r="R706" i="4"/>
  <c r="R707" i="4"/>
  <c r="R708" i="4"/>
  <c r="R709" i="4"/>
  <c r="R710" i="4"/>
  <c r="R711" i="4"/>
  <c r="R712" i="4"/>
  <c r="R713" i="4"/>
  <c r="R714" i="4"/>
  <c r="R716" i="4"/>
  <c r="R717" i="4"/>
  <c r="R718" i="4"/>
  <c r="R719" i="4"/>
  <c r="R720" i="4"/>
  <c r="R721" i="4"/>
  <c r="R722" i="4"/>
  <c r="R723" i="4"/>
  <c r="R724" i="4"/>
  <c r="R725" i="4"/>
  <c r="R727" i="4"/>
  <c r="R728" i="4"/>
  <c r="R729" i="4"/>
  <c r="R730" i="4"/>
  <c r="R731" i="4"/>
  <c r="R732" i="4"/>
  <c r="R733" i="4"/>
  <c r="R734" i="4"/>
  <c r="R735" i="4"/>
  <c r="R736" i="4"/>
  <c r="R738" i="4"/>
  <c r="R739" i="4"/>
  <c r="R740" i="4"/>
  <c r="R741" i="4"/>
  <c r="R742" i="4"/>
  <c r="R743" i="4"/>
  <c r="R744" i="4"/>
  <c r="R745" i="4"/>
  <c r="R746" i="4"/>
  <c r="R747" i="4"/>
  <c r="R749" i="4"/>
  <c r="R750" i="4"/>
  <c r="R751" i="4"/>
  <c r="R752" i="4"/>
  <c r="R753" i="4"/>
  <c r="R754" i="4"/>
  <c r="R755" i="4"/>
  <c r="R756" i="4"/>
  <c r="R757" i="4"/>
  <c r="R758" i="4"/>
  <c r="R760" i="4"/>
  <c r="R761" i="4"/>
  <c r="R762" i="4"/>
  <c r="R763" i="4"/>
  <c r="R764" i="4"/>
  <c r="R765" i="4"/>
  <c r="R766" i="4"/>
  <c r="R767" i="4"/>
  <c r="R768" i="4"/>
  <c r="R769" i="4"/>
  <c r="R771" i="4"/>
  <c r="R772" i="4"/>
  <c r="R773" i="4"/>
  <c r="R774" i="4"/>
  <c r="R775" i="4"/>
  <c r="R776" i="4"/>
  <c r="R777" i="4"/>
  <c r="R778" i="4"/>
  <c r="R779" i="4"/>
  <c r="R780" i="4"/>
  <c r="R783" i="4"/>
  <c r="R784" i="4"/>
  <c r="R785" i="4"/>
  <c r="R786" i="4"/>
  <c r="R787" i="4"/>
  <c r="R788" i="4"/>
  <c r="R789" i="4"/>
  <c r="R790" i="4"/>
  <c r="R791" i="4"/>
  <c r="R792" i="4"/>
  <c r="R794" i="4"/>
  <c r="R795" i="4"/>
  <c r="R796" i="4"/>
  <c r="R797" i="4"/>
  <c r="R798" i="4"/>
  <c r="R799" i="4"/>
  <c r="R800" i="4"/>
  <c r="R801" i="4"/>
  <c r="R802" i="4"/>
  <c r="R803" i="4"/>
  <c r="R805" i="4"/>
  <c r="R806" i="4"/>
  <c r="R807" i="4"/>
  <c r="R808" i="4"/>
  <c r="R809" i="4"/>
  <c r="R810" i="4"/>
  <c r="R811" i="4"/>
  <c r="R812" i="4"/>
  <c r="R813" i="4"/>
  <c r="R814" i="4"/>
  <c r="R816" i="4"/>
  <c r="R817" i="4"/>
  <c r="R818" i="4"/>
  <c r="R819" i="4"/>
  <c r="R820" i="4"/>
  <c r="R821" i="4"/>
  <c r="R822" i="4"/>
  <c r="R823" i="4"/>
  <c r="R824" i="4"/>
  <c r="R825" i="4"/>
  <c r="R827" i="4"/>
  <c r="R828" i="4"/>
  <c r="R829" i="4"/>
  <c r="R830" i="4"/>
  <c r="R831" i="4"/>
  <c r="R832" i="4"/>
  <c r="R833" i="4"/>
  <c r="R834" i="4"/>
  <c r="R835" i="4"/>
  <c r="R836" i="4"/>
  <c r="R838" i="4"/>
  <c r="R839" i="4"/>
  <c r="R840" i="4"/>
  <c r="R841" i="4"/>
  <c r="R842" i="4"/>
  <c r="R843" i="4"/>
  <c r="R844" i="4"/>
  <c r="R845" i="4"/>
  <c r="R846" i="4"/>
  <c r="R847" i="4"/>
  <c r="R849" i="4"/>
  <c r="R850" i="4"/>
  <c r="R851" i="4"/>
  <c r="R852" i="4"/>
  <c r="R853" i="4"/>
  <c r="R854" i="4"/>
  <c r="R855" i="4"/>
  <c r="R856" i="4"/>
  <c r="R857" i="4"/>
  <c r="R858" i="4"/>
  <c r="R860" i="4"/>
  <c r="R861" i="4"/>
  <c r="R862" i="4"/>
  <c r="R863" i="4"/>
  <c r="R864" i="4"/>
  <c r="R865" i="4"/>
  <c r="R866" i="4"/>
  <c r="R867" i="4"/>
  <c r="R868" i="4"/>
  <c r="R869" i="4"/>
  <c r="R871" i="4"/>
  <c r="R872" i="4"/>
  <c r="R873" i="4"/>
  <c r="R874" i="4"/>
  <c r="R875" i="4"/>
  <c r="R876" i="4"/>
  <c r="R877" i="4"/>
  <c r="R878" i="4"/>
  <c r="R879" i="4"/>
  <c r="R880" i="4"/>
  <c r="R882" i="4"/>
  <c r="R883" i="4"/>
  <c r="R884" i="4"/>
  <c r="R885" i="4"/>
  <c r="R886" i="4"/>
  <c r="R887" i="4"/>
  <c r="R888" i="4"/>
  <c r="R889" i="4"/>
  <c r="R890" i="4"/>
  <c r="R891" i="4"/>
  <c r="R894" i="4"/>
  <c r="R895" i="4"/>
  <c r="R896" i="4"/>
  <c r="R897" i="4"/>
  <c r="R898" i="4"/>
  <c r="R899" i="4"/>
  <c r="R900" i="4"/>
  <c r="R901" i="4"/>
  <c r="R902" i="4"/>
  <c r="R903" i="4"/>
  <c r="R905" i="4"/>
  <c r="R906" i="4"/>
  <c r="R907" i="4"/>
  <c r="R908" i="4"/>
  <c r="R909" i="4"/>
  <c r="R910" i="4"/>
  <c r="R911" i="4"/>
  <c r="R912" i="4"/>
  <c r="R913" i="4"/>
  <c r="R914" i="4"/>
  <c r="R916" i="4"/>
  <c r="R917" i="4"/>
  <c r="R918" i="4"/>
  <c r="R919" i="4"/>
  <c r="R920" i="4"/>
  <c r="R921" i="4"/>
  <c r="R922" i="4"/>
  <c r="R923" i="4"/>
  <c r="R924" i="4"/>
  <c r="R925" i="4"/>
  <c r="R927" i="4"/>
  <c r="R928" i="4"/>
  <c r="R929" i="4"/>
  <c r="R930" i="4"/>
  <c r="R931" i="4"/>
  <c r="R932" i="4"/>
  <c r="R933" i="4"/>
  <c r="R934" i="4"/>
  <c r="R935" i="4"/>
  <c r="R936" i="4"/>
  <c r="R938" i="4"/>
  <c r="R939" i="4"/>
  <c r="R940" i="4"/>
  <c r="R941" i="4"/>
  <c r="R942" i="4"/>
  <c r="R943" i="4"/>
  <c r="R944" i="4"/>
  <c r="R945" i="4"/>
  <c r="R946" i="4"/>
  <c r="R947" i="4"/>
  <c r="R949" i="4"/>
  <c r="R950" i="4"/>
  <c r="R951" i="4"/>
  <c r="R952" i="4"/>
  <c r="R953" i="4"/>
  <c r="R954" i="4"/>
  <c r="R955" i="4"/>
  <c r="R956" i="4"/>
  <c r="R957" i="4"/>
  <c r="R958" i="4"/>
  <c r="R960" i="4"/>
  <c r="R961" i="4"/>
  <c r="R962" i="4"/>
  <c r="R963" i="4"/>
  <c r="R964" i="4"/>
  <c r="R965" i="4"/>
  <c r="R966" i="4"/>
  <c r="R967" i="4"/>
  <c r="R968" i="4"/>
  <c r="R969" i="4"/>
  <c r="R971" i="4"/>
  <c r="R972" i="4"/>
  <c r="R973" i="4"/>
  <c r="R974" i="4"/>
  <c r="R975" i="4"/>
  <c r="R976" i="4"/>
  <c r="R977" i="4"/>
  <c r="R978" i="4"/>
  <c r="R979" i="4"/>
  <c r="R980" i="4"/>
  <c r="R982" i="4"/>
  <c r="R983" i="4"/>
  <c r="R984" i="4"/>
  <c r="R985" i="4"/>
  <c r="R986" i="4"/>
  <c r="R987" i="4"/>
  <c r="R988" i="4"/>
  <c r="R989" i="4"/>
  <c r="R990" i="4"/>
  <c r="R991" i="4"/>
  <c r="R993" i="4"/>
  <c r="R994" i="4"/>
  <c r="R995" i="4"/>
  <c r="R996" i="4"/>
  <c r="R997" i="4"/>
  <c r="R998" i="4"/>
  <c r="R999" i="4"/>
  <c r="R1000" i="4"/>
  <c r="R1001" i="4"/>
  <c r="R1002" i="4"/>
  <c r="R1005" i="4"/>
  <c r="R1006" i="4"/>
  <c r="R1007" i="4"/>
  <c r="R1008" i="4"/>
  <c r="R1009" i="4"/>
  <c r="R1010" i="4"/>
  <c r="R1011" i="4"/>
  <c r="R1012" i="4"/>
  <c r="R1013" i="4"/>
  <c r="R1014" i="4"/>
  <c r="R1016" i="4"/>
  <c r="R1017" i="4"/>
  <c r="R1018" i="4"/>
  <c r="R1019" i="4"/>
  <c r="R1020" i="4"/>
  <c r="R1021" i="4"/>
  <c r="R1022" i="4"/>
  <c r="R1023" i="4"/>
  <c r="R1024" i="4"/>
  <c r="R1025" i="4"/>
  <c r="R1027" i="4"/>
  <c r="R1028" i="4"/>
  <c r="R1029" i="4"/>
  <c r="R1030" i="4"/>
  <c r="R1031" i="4"/>
  <c r="R1032" i="4"/>
  <c r="R1033" i="4"/>
  <c r="R1034" i="4"/>
  <c r="R1035" i="4"/>
  <c r="R1036" i="4"/>
  <c r="R1038" i="4"/>
  <c r="R1039" i="4"/>
  <c r="R1040" i="4"/>
  <c r="R1041" i="4"/>
  <c r="R1042" i="4"/>
  <c r="R1043" i="4"/>
  <c r="R1044" i="4"/>
  <c r="R1045" i="4"/>
  <c r="R1046" i="4"/>
  <c r="R1047" i="4"/>
  <c r="R1049" i="4"/>
  <c r="R1050" i="4"/>
  <c r="R1051" i="4"/>
  <c r="R1052" i="4"/>
  <c r="R1053" i="4"/>
  <c r="R1054" i="4"/>
  <c r="R1055" i="4"/>
  <c r="R1056" i="4"/>
  <c r="R1057" i="4"/>
  <c r="R1058" i="4"/>
  <c r="R1060" i="4"/>
  <c r="R1061" i="4"/>
  <c r="R1062" i="4"/>
  <c r="R1063" i="4"/>
  <c r="R1064" i="4"/>
  <c r="R1065" i="4"/>
  <c r="R1066" i="4"/>
  <c r="R1067" i="4"/>
  <c r="R1068" i="4"/>
  <c r="R1069" i="4"/>
  <c r="R1071" i="4"/>
  <c r="R1072" i="4"/>
  <c r="R1073" i="4"/>
  <c r="R1074" i="4"/>
  <c r="R1075" i="4"/>
  <c r="R1076" i="4"/>
  <c r="R1077" i="4"/>
  <c r="R1078" i="4"/>
  <c r="R1079" i="4"/>
  <c r="R1080" i="4"/>
  <c r="R1082" i="4"/>
  <c r="R1083" i="4"/>
  <c r="R1084" i="4"/>
  <c r="R1085" i="4"/>
  <c r="R1086" i="4"/>
  <c r="R1087" i="4"/>
  <c r="R1088" i="4"/>
  <c r="R1089" i="4"/>
  <c r="R1090" i="4"/>
  <c r="R1091" i="4"/>
  <c r="R1093" i="4"/>
  <c r="R1094" i="4"/>
  <c r="R1095" i="4"/>
  <c r="R1096" i="4"/>
  <c r="R1097" i="4"/>
  <c r="R1098" i="4"/>
  <c r="R1099" i="4"/>
  <c r="R1100" i="4"/>
  <c r="R1101" i="4"/>
  <c r="R1102" i="4"/>
  <c r="R1104" i="4"/>
  <c r="R1105" i="4"/>
  <c r="R1106" i="4"/>
  <c r="R1107" i="4"/>
  <c r="R1108" i="4"/>
  <c r="R1109" i="4"/>
  <c r="R1110" i="4"/>
  <c r="R1111" i="4"/>
  <c r="R1112" i="4"/>
  <c r="R1113" i="4"/>
  <c r="R2" i="4"/>
  <c r="M3" i="4"/>
  <c r="M1114" i="4"/>
  <c r="M1225" i="4"/>
  <c r="M1336" i="4"/>
  <c r="M1447" i="4"/>
  <c r="M1558" i="4"/>
  <c r="M1669" i="4"/>
  <c r="M1780" i="4"/>
  <c r="M1891" i="4"/>
  <c r="M4" i="4"/>
  <c r="M115" i="4"/>
  <c r="M226" i="4"/>
  <c r="M337" i="4"/>
  <c r="M448" i="4"/>
  <c r="M559" i="4"/>
  <c r="M670" i="4"/>
  <c r="M781" i="4"/>
  <c r="M892" i="4"/>
  <c r="M1003" i="4"/>
  <c r="M1115" i="4"/>
  <c r="M1126" i="4"/>
  <c r="M1137" i="4"/>
  <c r="M1148" i="4"/>
  <c r="M1159" i="4"/>
  <c r="M1170" i="4"/>
  <c r="M1181" i="4"/>
  <c r="M1192" i="4"/>
  <c r="M1203" i="4"/>
  <c r="M1214" i="4"/>
  <c r="M1226" i="4"/>
  <c r="M1237" i="4"/>
  <c r="M1248" i="4"/>
  <c r="M1259" i="4"/>
  <c r="M1270" i="4"/>
  <c r="M1281" i="4"/>
  <c r="M1292" i="4"/>
  <c r="M1303" i="4"/>
  <c r="M1314" i="4"/>
  <c r="M1325" i="4"/>
  <c r="M1337" i="4"/>
  <c r="M1348" i="4"/>
  <c r="M1359" i="4"/>
  <c r="M1370" i="4"/>
  <c r="M1381" i="4"/>
  <c r="M1392" i="4"/>
  <c r="M1403" i="4"/>
  <c r="M1414" i="4"/>
  <c r="M1425" i="4"/>
  <c r="M1436" i="4"/>
  <c r="M1448" i="4"/>
  <c r="M1459" i="4"/>
  <c r="M1470" i="4"/>
  <c r="M1481" i="4"/>
  <c r="M1492" i="4"/>
  <c r="M1503" i="4"/>
  <c r="M1514" i="4"/>
  <c r="M1525" i="4"/>
  <c r="M1536" i="4"/>
  <c r="M1547" i="4"/>
  <c r="M1559" i="4"/>
  <c r="M1570" i="4"/>
  <c r="M1581" i="4"/>
  <c r="M1592" i="4"/>
  <c r="M1603" i="4"/>
  <c r="M1614" i="4"/>
  <c r="M1625" i="4"/>
  <c r="M1636" i="4"/>
  <c r="M1647" i="4"/>
  <c r="M1658" i="4"/>
  <c r="M1670" i="4"/>
  <c r="M1681" i="4"/>
  <c r="M1692" i="4"/>
  <c r="M1703" i="4"/>
  <c r="M1714" i="4"/>
  <c r="M1725" i="4"/>
  <c r="M1736" i="4"/>
  <c r="M1747" i="4"/>
  <c r="M1758" i="4"/>
  <c r="M1769" i="4"/>
  <c r="M1781" i="4"/>
  <c r="M1792" i="4"/>
  <c r="M1803" i="4"/>
  <c r="M1814" i="4"/>
  <c r="M1825" i="4"/>
  <c r="M1836" i="4"/>
  <c r="M1847" i="4"/>
  <c r="M1858" i="4"/>
  <c r="M1869" i="4"/>
  <c r="M1880" i="4"/>
  <c r="M1892" i="4"/>
  <c r="M1903" i="4"/>
  <c r="M1914" i="4"/>
  <c r="M1925" i="4"/>
  <c r="M1936" i="4"/>
  <c r="M1947" i="4"/>
  <c r="M1958" i="4"/>
  <c r="M1969" i="4"/>
  <c r="M1980" i="4"/>
  <c r="M1991" i="4"/>
  <c r="M5" i="4"/>
  <c r="M16" i="4"/>
  <c r="M27" i="4"/>
  <c r="M38" i="4"/>
  <c r="M49" i="4"/>
  <c r="M60" i="4"/>
  <c r="M71" i="4"/>
  <c r="M82" i="4"/>
  <c r="M93" i="4"/>
  <c r="M104" i="4"/>
  <c r="M116" i="4"/>
  <c r="M127" i="4"/>
  <c r="M138" i="4"/>
  <c r="M149" i="4"/>
  <c r="M160" i="4"/>
  <c r="M171" i="4"/>
  <c r="M182" i="4"/>
  <c r="M193" i="4"/>
  <c r="M204" i="4"/>
  <c r="M215" i="4"/>
  <c r="M227" i="4"/>
  <c r="M238" i="4"/>
  <c r="M249" i="4"/>
  <c r="M260" i="4"/>
  <c r="M271" i="4"/>
  <c r="M282" i="4"/>
  <c r="M293" i="4"/>
  <c r="M304" i="4"/>
  <c r="M315" i="4"/>
  <c r="M326" i="4"/>
  <c r="M338" i="4"/>
  <c r="M349" i="4"/>
  <c r="M360" i="4"/>
  <c r="M371" i="4"/>
  <c r="M382" i="4"/>
  <c r="M393" i="4"/>
  <c r="M404" i="4"/>
  <c r="M415" i="4"/>
  <c r="M426" i="4"/>
  <c r="M437" i="4"/>
  <c r="M449" i="4"/>
  <c r="M460" i="4"/>
  <c r="M471" i="4"/>
  <c r="M482" i="4"/>
  <c r="M493" i="4"/>
  <c r="M504" i="4"/>
  <c r="M515" i="4"/>
  <c r="M526" i="4"/>
  <c r="M537" i="4"/>
  <c r="M548" i="4"/>
  <c r="M560" i="4"/>
  <c r="M571" i="4"/>
  <c r="M582" i="4"/>
  <c r="M593" i="4"/>
  <c r="M604" i="4"/>
  <c r="M615" i="4"/>
  <c r="M626" i="4"/>
  <c r="M637" i="4"/>
  <c r="M648" i="4"/>
  <c r="M659" i="4"/>
  <c r="M671" i="4"/>
  <c r="M682" i="4"/>
  <c r="M693" i="4"/>
  <c r="M704" i="4"/>
  <c r="M715" i="4"/>
  <c r="M726" i="4"/>
  <c r="M737" i="4"/>
  <c r="M748" i="4"/>
  <c r="M759" i="4"/>
  <c r="M770" i="4"/>
  <c r="M782" i="4"/>
  <c r="M793" i="4"/>
  <c r="M804" i="4"/>
  <c r="M815" i="4"/>
  <c r="M826" i="4"/>
  <c r="M837" i="4"/>
  <c r="M848" i="4"/>
  <c r="M859" i="4"/>
  <c r="M870" i="4"/>
  <c r="M881" i="4"/>
  <c r="M893" i="4"/>
  <c r="M904" i="4"/>
  <c r="M915" i="4"/>
  <c r="M926" i="4"/>
  <c r="M937" i="4"/>
  <c r="M948" i="4"/>
  <c r="M959" i="4"/>
  <c r="M970" i="4"/>
  <c r="M981" i="4"/>
  <c r="M992" i="4"/>
  <c r="M1004" i="4"/>
  <c r="M1015" i="4"/>
  <c r="M1026" i="4"/>
  <c r="M1037" i="4"/>
  <c r="M1048" i="4"/>
  <c r="M1059" i="4"/>
  <c r="M1070" i="4"/>
  <c r="M1081" i="4"/>
  <c r="M1092" i="4"/>
  <c r="M1103" i="4"/>
  <c r="M1116" i="4"/>
  <c r="M1117" i="4"/>
  <c r="M1118" i="4"/>
  <c r="M1119" i="4"/>
  <c r="M1120" i="4"/>
  <c r="M1121" i="4"/>
  <c r="M1122" i="4"/>
  <c r="M1123" i="4"/>
  <c r="M1124" i="4"/>
  <c r="M1125" i="4"/>
  <c r="M1127" i="4"/>
  <c r="M1128" i="4"/>
  <c r="M1129" i="4"/>
  <c r="M1130" i="4"/>
  <c r="M1131" i="4"/>
  <c r="M1132" i="4"/>
  <c r="M1133" i="4"/>
  <c r="M1134" i="4"/>
  <c r="M1135" i="4"/>
  <c r="M1136" i="4"/>
  <c r="M1138" i="4"/>
  <c r="M1139" i="4"/>
  <c r="M1140" i="4"/>
  <c r="M1141" i="4"/>
  <c r="M1142" i="4"/>
  <c r="M1143" i="4"/>
  <c r="M1144" i="4"/>
  <c r="M1145" i="4"/>
  <c r="M1146" i="4"/>
  <c r="M1147" i="4"/>
  <c r="M1149" i="4"/>
  <c r="M1150" i="4"/>
  <c r="M1151" i="4"/>
  <c r="M1152" i="4"/>
  <c r="M1153" i="4"/>
  <c r="M1154" i="4"/>
  <c r="M1155" i="4"/>
  <c r="M1156" i="4"/>
  <c r="M1157" i="4"/>
  <c r="M1158" i="4"/>
  <c r="M1160" i="4"/>
  <c r="M1161" i="4"/>
  <c r="M1162" i="4"/>
  <c r="M1163" i="4"/>
  <c r="M1164" i="4"/>
  <c r="M1165" i="4"/>
  <c r="M1166" i="4"/>
  <c r="M1167" i="4"/>
  <c r="M1168" i="4"/>
  <c r="M1169" i="4"/>
  <c r="M1171" i="4"/>
  <c r="M1172" i="4"/>
  <c r="M1173" i="4"/>
  <c r="M1174" i="4"/>
  <c r="M1175" i="4"/>
  <c r="M1176" i="4"/>
  <c r="M1177" i="4"/>
  <c r="M1178" i="4"/>
  <c r="M1179" i="4"/>
  <c r="M1180" i="4"/>
  <c r="M1182" i="4"/>
  <c r="M1183" i="4"/>
  <c r="M1184" i="4"/>
  <c r="M1185" i="4"/>
  <c r="M1186" i="4"/>
  <c r="M1187" i="4"/>
  <c r="M1188" i="4"/>
  <c r="M1189" i="4"/>
  <c r="M1190" i="4"/>
  <c r="M1191" i="4"/>
  <c r="M1193" i="4"/>
  <c r="M1194" i="4"/>
  <c r="M1195" i="4"/>
  <c r="M1196" i="4"/>
  <c r="M1197" i="4"/>
  <c r="M1198" i="4"/>
  <c r="M1199" i="4"/>
  <c r="M1200" i="4"/>
  <c r="M1201" i="4"/>
  <c r="M1202" i="4"/>
  <c r="M1204" i="4"/>
  <c r="M1205" i="4"/>
  <c r="M1206" i="4"/>
  <c r="M1207" i="4"/>
  <c r="M1208" i="4"/>
  <c r="M1209" i="4"/>
  <c r="M1210" i="4"/>
  <c r="M1211" i="4"/>
  <c r="M1212" i="4"/>
  <c r="M1213" i="4"/>
  <c r="M1215" i="4"/>
  <c r="M1216" i="4"/>
  <c r="M1217" i="4"/>
  <c r="M1218" i="4"/>
  <c r="M1219" i="4"/>
  <c r="M1220" i="4"/>
  <c r="M1221" i="4"/>
  <c r="M1222" i="4"/>
  <c r="M1223" i="4"/>
  <c r="M1224" i="4"/>
  <c r="M1227" i="4"/>
  <c r="M1228" i="4"/>
  <c r="M1229" i="4"/>
  <c r="M1230" i="4"/>
  <c r="M1231" i="4"/>
  <c r="M1232" i="4"/>
  <c r="M1233" i="4"/>
  <c r="M1234" i="4"/>
  <c r="M1235" i="4"/>
  <c r="M1236" i="4"/>
  <c r="M1238" i="4"/>
  <c r="M1239" i="4"/>
  <c r="M1240" i="4"/>
  <c r="M1241" i="4"/>
  <c r="M1242" i="4"/>
  <c r="M1243" i="4"/>
  <c r="M1244" i="4"/>
  <c r="M1245" i="4"/>
  <c r="M1246" i="4"/>
  <c r="M1247" i="4"/>
  <c r="M1249" i="4"/>
  <c r="M1250" i="4"/>
  <c r="M1251" i="4"/>
  <c r="M1252" i="4"/>
  <c r="M1253" i="4"/>
  <c r="M1254" i="4"/>
  <c r="M1255" i="4"/>
  <c r="M1256" i="4"/>
  <c r="M1257" i="4"/>
  <c r="M1258" i="4"/>
  <c r="M1260" i="4"/>
  <c r="M1261" i="4"/>
  <c r="M1262" i="4"/>
  <c r="M1263" i="4"/>
  <c r="M1264" i="4"/>
  <c r="M1265" i="4"/>
  <c r="M1266" i="4"/>
  <c r="M1267" i="4"/>
  <c r="M1268" i="4"/>
  <c r="M1269" i="4"/>
  <c r="M1271" i="4"/>
  <c r="M1272" i="4"/>
  <c r="M1273" i="4"/>
  <c r="M1274" i="4"/>
  <c r="M1275" i="4"/>
  <c r="M1276" i="4"/>
  <c r="M1277" i="4"/>
  <c r="M1278" i="4"/>
  <c r="M1279" i="4"/>
  <c r="M1280" i="4"/>
  <c r="M1282" i="4"/>
  <c r="M1283" i="4"/>
  <c r="M1284" i="4"/>
  <c r="M1285" i="4"/>
  <c r="M1286" i="4"/>
  <c r="M1287" i="4"/>
  <c r="M1288" i="4"/>
  <c r="M1289" i="4"/>
  <c r="M1290" i="4"/>
  <c r="M1291" i="4"/>
  <c r="M1293" i="4"/>
  <c r="M1294" i="4"/>
  <c r="M1295" i="4"/>
  <c r="M1296" i="4"/>
  <c r="M1297" i="4"/>
  <c r="M1298" i="4"/>
  <c r="M1299" i="4"/>
  <c r="M1300" i="4"/>
  <c r="M1301" i="4"/>
  <c r="M1302" i="4"/>
  <c r="M1304" i="4"/>
  <c r="M1305" i="4"/>
  <c r="M1306" i="4"/>
  <c r="M1307" i="4"/>
  <c r="M1308" i="4"/>
  <c r="M1309" i="4"/>
  <c r="M1310" i="4"/>
  <c r="M1311" i="4"/>
  <c r="M1312" i="4"/>
  <c r="M1313" i="4"/>
  <c r="M1315" i="4"/>
  <c r="M1316" i="4"/>
  <c r="M1317" i="4"/>
  <c r="M1318" i="4"/>
  <c r="M1319" i="4"/>
  <c r="M1320" i="4"/>
  <c r="M1321" i="4"/>
  <c r="M1322" i="4"/>
  <c r="M1323" i="4"/>
  <c r="M1324" i="4"/>
  <c r="M1326" i="4"/>
  <c r="M1327" i="4"/>
  <c r="M1328" i="4"/>
  <c r="M1329" i="4"/>
  <c r="M1330" i="4"/>
  <c r="M1331" i="4"/>
  <c r="M1332" i="4"/>
  <c r="M1333" i="4"/>
  <c r="M1334" i="4"/>
  <c r="M1335" i="4"/>
  <c r="M1338" i="4"/>
  <c r="M1339" i="4"/>
  <c r="M1340" i="4"/>
  <c r="M1341" i="4"/>
  <c r="M1342" i="4"/>
  <c r="M1343" i="4"/>
  <c r="M1344" i="4"/>
  <c r="M1345" i="4"/>
  <c r="M1346" i="4"/>
  <c r="M1347" i="4"/>
  <c r="M1349" i="4"/>
  <c r="M1350" i="4"/>
  <c r="M1351" i="4"/>
  <c r="M1352" i="4"/>
  <c r="M1353" i="4"/>
  <c r="M1354" i="4"/>
  <c r="M1355" i="4"/>
  <c r="M1356" i="4"/>
  <c r="M1357" i="4"/>
  <c r="M1358" i="4"/>
  <c r="M1360" i="4"/>
  <c r="M1361" i="4"/>
  <c r="M1362" i="4"/>
  <c r="M1363" i="4"/>
  <c r="M1364" i="4"/>
  <c r="M1365" i="4"/>
  <c r="M1366" i="4"/>
  <c r="M1367" i="4"/>
  <c r="M1368" i="4"/>
  <c r="M1369" i="4"/>
  <c r="M1371" i="4"/>
  <c r="M1372" i="4"/>
  <c r="M1373" i="4"/>
  <c r="M1374" i="4"/>
  <c r="M1375" i="4"/>
  <c r="M1376" i="4"/>
  <c r="M1377" i="4"/>
  <c r="M1378" i="4"/>
  <c r="M1379" i="4"/>
  <c r="M1380" i="4"/>
  <c r="M1382" i="4"/>
  <c r="M1383" i="4"/>
  <c r="M1384" i="4"/>
  <c r="M1385" i="4"/>
  <c r="M1386" i="4"/>
  <c r="M1387" i="4"/>
  <c r="M1388" i="4"/>
  <c r="M1389" i="4"/>
  <c r="M1390" i="4"/>
  <c r="M1391" i="4"/>
  <c r="M1393" i="4"/>
  <c r="M1394" i="4"/>
  <c r="M1395" i="4"/>
  <c r="M1396" i="4"/>
  <c r="M1397" i="4"/>
  <c r="M1398" i="4"/>
  <c r="M1399" i="4"/>
  <c r="M1400" i="4"/>
  <c r="M1401" i="4"/>
  <c r="M1402" i="4"/>
  <c r="M1404" i="4"/>
  <c r="M1405" i="4"/>
  <c r="M1406" i="4"/>
  <c r="M1407" i="4"/>
  <c r="M1408" i="4"/>
  <c r="M1409" i="4"/>
  <c r="M1410" i="4"/>
  <c r="M1411" i="4"/>
  <c r="M1412" i="4"/>
  <c r="M1413" i="4"/>
  <c r="M1415" i="4"/>
  <c r="M1416" i="4"/>
  <c r="M1417" i="4"/>
  <c r="M1418" i="4"/>
  <c r="M1419" i="4"/>
  <c r="M1420" i="4"/>
  <c r="M1421" i="4"/>
  <c r="M1422" i="4"/>
  <c r="M1423" i="4"/>
  <c r="M1424" i="4"/>
  <c r="M1426" i="4"/>
  <c r="M1427" i="4"/>
  <c r="M1428" i="4"/>
  <c r="M1429" i="4"/>
  <c r="M1430" i="4"/>
  <c r="M1431" i="4"/>
  <c r="M1432" i="4"/>
  <c r="M1433" i="4"/>
  <c r="M1434" i="4"/>
  <c r="M1435" i="4"/>
  <c r="M1437" i="4"/>
  <c r="M1438" i="4"/>
  <c r="M1439" i="4"/>
  <c r="M1440" i="4"/>
  <c r="M1441" i="4"/>
  <c r="M1442" i="4"/>
  <c r="M1443" i="4"/>
  <c r="M1444" i="4"/>
  <c r="M1445" i="4"/>
  <c r="M1446" i="4"/>
  <c r="M1449" i="4"/>
  <c r="M1450" i="4"/>
  <c r="M1451" i="4"/>
  <c r="M1452" i="4"/>
  <c r="M1453" i="4"/>
  <c r="M1454" i="4"/>
  <c r="M1455" i="4"/>
  <c r="M1456" i="4"/>
  <c r="M1457" i="4"/>
  <c r="M1458" i="4"/>
  <c r="M1460" i="4"/>
  <c r="M1461" i="4"/>
  <c r="M1462" i="4"/>
  <c r="M1463" i="4"/>
  <c r="M1464" i="4"/>
  <c r="M1465" i="4"/>
  <c r="M1466" i="4"/>
  <c r="M1467" i="4"/>
  <c r="M1468" i="4"/>
  <c r="M1469" i="4"/>
  <c r="M1471" i="4"/>
  <c r="M1472" i="4"/>
  <c r="M1473" i="4"/>
  <c r="M1474" i="4"/>
  <c r="M1475" i="4"/>
  <c r="M1476" i="4"/>
  <c r="M1477" i="4"/>
  <c r="M1478" i="4"/>
  <c r="M1479" i="4"/>
  <c r="M1480" i="4"/>
  <c r="M1482" i="4"/>
  <c r="M1483" i="4"/>
  <c r="M1484" i="4"/>
  <c r="M1485" i="4"/>
  <c r="M1486" i="4"/>
  <c r="M1487" i="4"/>
  <c r="M1488" i="4"/>
  <c r="M1489" i="4"/>
  <c r="M1490" i="4"/>
  <c r="M1491" i="4"/>
  <c r="M1493" i="4"/>
  <c r="M1494" i="4"/>
  <c r="M1495" i="4"/>
  <c r="M1496" i="4"/>
  <c r="M1497" i="4"/>
  <c r="M1498" i="4"/>
  <c r="M1499" i="4"/>
  <c r="M1500" i="4"/>
  <c r="M1501" i="4"/>
  <c r="M1502" i="4"/>
  <c r="M1504" i="4"/>
  <c r="M1505" i="4"/>
  <c r="M1506" i="4"/>
  <c r="M1507" i="4"/>
  <c r="M1508" i="4"/>
  <c r="M1509" i="4"/>
  <c r="M1510" i="4"/>
  <c r="M1511" i="4"/>
  <c r="M1512" i="4"/>
  <c r="M1513" i="4"/>
  <c r="M1515" i="4"/>
  <c r="M1516" i="4"/>
  <c r="M1517" i="4"/>
  <c r="M1518" i="4"/>
  <c r="M1519" i="4"/>
  <c r="M1520" i="4"/>
  <c r="M1521" i="4"/>
  <c r="M1522" i="4"/>
  <c r="M1523" i="4"/>
  <c r="M1524" i="4"/>
  <c r="M1526" i="4"/>
  <c r="M1527" i="4"/>
  <c r="M1528" i="4"/>
  <c r="M1529" i="4"/>
  <c r="M1530" i="4"/>
  <c r="M1531" i="4"/>
  <c r="M1532" i="4"/>
  <c r="M1533" i="4"/>
  <c r="M1534" i="4"/>
  <c r="M1535" i="4"/>
  <c r="M1537" i="4"/>
  <c r="M1538" i="4"/>
  <c r="M1539" i="4"/>
  <c r="M1540" i="4"/>
  <c r="M1541" i="4"/>
  <c r="M1542" i="4"/>
  <c r="M1543" i="4"/>
  <c r="M1544" i="4"/>
  <c r="M1545" i="4"/>
  <c r="M1546" i="4"/>
  <c r="M1548" i="4"/>
  <c r="M1549" i="4"/>
  <c r="M1550" i="4"/>
  <c r="M1551" i="4"/>
  <c r="M1552" i="4"/>
  <c r="M1553" i="4"/>
  <c r="M1554" i="4"/>
  <c r="M1555" i="4"/>
  <c r="M1556" i="4"/>
  <c r="M1557" i="4"/>
  <c r="M1560" i="4"/>
  <c r="M1561" i="4"/>
  <c r="M1562" i="4"/>
  <c r="M1563" i="4"/>
  <c r="M1564" i="4"/>
  <c r="M1565" i="4"/>
  <c r="M1566" i="4"/>
  <c r="M1567" i="4"/>
  <c r="M1568" i="4"/>
  <c r="M1569" i="4"/>
  <c r="M1571" i="4"/>
  <c r="M1572" i="4"/>
  <c r="M1573" i="4"/>
  <c r="M1574" i="4"/>
  <c r="M1575" i="4"/>
  <c r="M1576" i="4"/>
  <c r="M1577" i="4"/>
  <c r="M1578" i="4"/>
  <c r="M1579" i="4"/>
  <c r="M1580" i="4"/>
  <c r="M1582" i="4"/>
  <c r="M1583" i="4"/>
  <c r="M1584" i="4"/>
  <c r="M1585" i="4"/>
  <c r="M1586" i="4"/>
  <c r="M1587" i="4"/>
  <c r="M1588" i="4"/>
  <c r="M1589" i="4"/>
  <c r="M1590" i="4"/>
  <c r="M1591" i="4"/>
  <c r="M1593" i="4"/>
  <c r="M1594" i="4"/>
  <c r="M1595" i="4"/>
  <c r="M1596" i="4"/>
  <c r="M1597" i="4"/>
  <c r="M1598" i="4"/>
  <c r="M1599" i="4"/>
  <c r="M1600" i="4"/>
  <c r="M1601" i="4"/>
  <c r="M1602" i="4"/>
  <c r="M1604" i="4"/>
  <c r="M1605" i="4"/>
  <c r="M1606" i="4"/>
  <c r="M1607" i="4"/>
  <c r="M1608" i="4"/>
  <c r="M1609" i="4"/>
  <c r="M1610" i="4"/>
  <c r="M1611" i="4"/>
  <c r="M1612" i="4"/>
  <c r="M1613" i="4"/>
  <c r="M1615" i="4"/>
  <c r="M1616" i="4"/>
  <c r="M1617" i="4"/>
  <c r="M1618" i="4"/>
  <c r="M1619" i="4"/>
  <c r="M1620" i="4"/>
  <c r="M1621" i="4"/>
  <c r="M1622" i="4"/>
  <c r="M1623" i="4"/>
  <c r="M1624" i="4"/>
  <c r="M1626" i="4"/>
  <c r="M1627" i="4"/>
  <c r="M1628" i="4"/>
  <c r="M1629" i="4"/>
  <c r="M1630" i="4"/>
  <c r="M1631" i="4"/>
  <c r="M1632" i="4"/>
  <c r="M1633" i="4"/>
  <c r="M1634" i="4"/>
  <c r="M1635" i="4"/>
  <c r="M1637" i="4"/>
  <c r="M1638" i="4"/>
  <c r="M1639" i="4"/>
  <c r="M1640" i="4"/>
  <c r="M1641" i="4"/>
  <c r="M1642" i="4"/>
  <c r="M1643" i="4"/>
  <c r="M1644" i="4"/>
  <c r="M1645" i="4"/>
  <c r="M1646" i="4"/>
  <c r="M1648" i="4"/>
  <c r="M1649" i="4"/>
  <c r="M1650" i="4"/>
  <c r="M1651" i="4"/>
  <c r="M1652" i="4"/>
  <c r="M1653" i="4"/>
  <c r="M1654" i="4"/>
  <c r="M1655" i="4"/>
  <c r="M1656" i="4"/>
  <c r="M1657" i="4"/>
  <c r="M1659" i="4"/>
  <c r="M1660" i="4"/>
  <c r="M1661" i="4"/>
  <c r="M1662" i="4"/>
  <c r="M1663" i="4"/>
  <c r="M1664" i="4"/>
  <c r="M1665" i="4"/>
  <c r="M1666" i="4"/>
  <c r="M1667" i="4"/>
  <c r="M1668" i="4"/>
  <c r="M1671" i="4"/>
  <c r="M1672" i="4"/>
  <c r="M1673" i="4"/>
  <c r="M1674" i="4"/>
  <c r="M1675" i="4"/>
  <c r="M1676" i="4"/>
  <c r="M1677" i="4"/>
  <c r="M1678" i="4"/>
  <c r="M1679" i="4"/>
  <c r="M1680" i="4"/>
  <c r="M1682" i="4"/>
  <c r="M1683" i="4"/>
  <c r="M1684" i="4"/>
  <c r="M1685" i="4"/>
  <c r="M1686" i="4"/>
  <c r="M1687" i="4"/>
  <c r="M1688" i="4"/>
  <c r="M1689" i="4"/>
  <c r="M1690" i="4"/>
  <c r="M1691" i="4"/>
  <c r="M1693" i="4"/>
  <c r="M1694" i="4"/>
  <c r="M1695" i="4"/>
  <c r="M1696" i="4"/>
  <c r="M1697" i="4"/>
  <c r="M1698" i="4"/>
  <c r="M1699" i="4"/>
  <c r="M1700" i="4"/>
  <c r="M1701" i="4"/>
  <c r="M1702" i="4"/>
  <c r="M1704" i="4"/>
  <c r="M1705" i="4"/>
  <c r="M1706" i="4"/>
  <c r="M1707" i="4"/>
  <c r="M1708" i="4"/>
  <c r="M1709" i="4"/>
  <c r="M1710" i="4"/>
  <c r="M1711" i="4"/>
  <c r="M1712" i="4"/>
  <c r="M1713" i="4"/>
  <c r="M1715" i="4"/>
  <c r="M1716" i="4"/>
  <c r="M1717" i="4"/>
  <c r="M1718" i="4"/>
  <c r="M1719" i="4"/>
  <c r="M1720" i="4"/>
  <c r="M1721" i="4"/>
  <c r="M1722" i="4"/>
  <c r="M1723" i="4"/>
  <c r="M1724" i="4"/>
  <c r="M1726" i="4"/>
  <c r="M1727" i="4"/>
  <c r="M1728" i="4"/>
  <c r="M1729" i="4"/>
  <c r="M1730" i="4"/>
  <c r="M1731" i="4"/>
  <c r="M1732" i="4"/>
  <c r="M1733" i="4"/>
  <c r="M1734" i="4"/>
  <c r="M1735" i="4"/>
  <c r="M1737" i="4"/>
  <c r="M1738" i="4"/>
  <c r="M1739" i="4"/>
  <c r="M1740" i="4"/>
  <c r="M1741" i="4"/>
  <c r="M1742" i="4"/>
  <c r="M1743" i="4"/>
  <c r="M1744" i="4"/>
  <c r="M1745" i="4"/>
  <c r="M1746" i="4"/>
  <c r="M1748" i="4"/>
  <c r="M1749" i="4"/>
  <c r="M1750" i="4"/>
  <c r="M1751" i="4"/>
  <c r="M1752" i="4"/>
  <c r="M1753" i="4"/>
  <c r="M1754" i="4"/>
  <c r="M1755" i="4"/>
  <c r="M1756" i="4"/>
  <c r="M1757" i="4"/>
  <c r="M1759" i="4"/>
  <c r="M1760" i="4"/>
  <c r="M1761" i="4"/>
  <c r="M1762" i="4"/>
  <c r="M1763" i="4"/>
  <c r="M1764" i="4"/>
  <c r="M1765" i="4"/>
  <c r="M1766" i="4"/>
  <c r="M1767" i="4"/>
  <c r="M1768" i="4"/>
  <c r="M1770" i="4"/>
  <c r="M1771" i="4"/>
  <c r="M1772" i="4"/>
  <c r="M1773" i="4"/>
  <c r="M1774" i="4"/>
  <c r="M1775" i="4"/>
  <c r="M1776" i="4"/>
  <c r="M1777" i="4"/>
  <c r="M1778" i="4"/>
  <c r="M1779" i="4"/>
  <c r="M1782" i="4"/>
  <c r="M1783" i="4"/>
  <c r="M1784" i="4"/>
  <c r="M1785" i="4"/>
  <c r="M1786" i="4"/>
  <c r="M1787" i="4"/>
  <c r="M1788" i="4"/>
  <c r="M1789" i="4"/>
  <c r="M1790" i="4"/>
  <c r="M1791" i="4"/>
  <c r="M1793" i="4"/>
  <c r="M1794" i="4"/>
  <c r="M1795" i="4"/>
  <c r="M1796" i="4"/>
  <c r="M1797" i="4"/>
  <c r="M1798" i="4"/>
  <c r="M1799" i="4"/>
  <c r="M1800" i="4"/>
  <c r="M1801" i="4"/>
  <c r="M1802" i="4"/>
  <c r="M1804" i="4"/>
  <c r="M1805" i="4"/>
  <c r="M1806" i="4"/>
  <c r="M1807" i="4"/>
  <c r="M1808" i="4"/>
  <c r="M1809" i="4"/>
  <c r="M1810" i="4"/>
  <c r="M1811" i="4"/>
  <c r="M1812" i="4"/>
  <c r="M1813" i="4"/>
  <c r="M1815" i="4"/>
  <c r="M1816" i="4"/>
  <c r="M1817" i="4"/>
  <c r="M1818" i="4"/>
  <c r="M1819" i="4"/>
  <c r="M1820" i="4"/>
  <c r="M1821" i="4"/>
  <c r="M1822" i="4"/>
  <c r="M1823" i="4"/>
  <c r="M1824" i="4"/>
  <c r="M1826" i="4"/>
  <c r="M1827" i="4"/>
  <c r="M1828" i="4"/>
  <c r="M1829" i="4"/>
  <c r="M1830" i="4"/>
  <c r="M1831" i="4"/>
  <c r="M1832" i="4"/>
  <c r="M1833" i="4"/>
  <c r="M1834" i="4"/>
  <c r="M1835" i="4"/>
  <c r="M1837" i="4"/>
  <c r="M1838" i="4"/>
  <c r="M1839" i="4"/>
  <c r="M1840" i="4"/>
  <c r="M1841" i="4"/>
  <c r="M1842" i="4"/>
  <c r="M1843" i="4"/>
  <c r="M1844" i="4"/>
  <c r="M1845" i="4"/>
  <c r="M1846" i="4"/>
  <c r="M1848" i="4"/>
  <c r="M1849" i="4"/>
  <c r="M1850" i="4"/>
  <c r="M1851" i="4"/>
  <c r="M1852" i="4"/>
  <c r="M1853" i="4"/>
  <c r="M1854" i="4"/>
  <c r="M1855" i="4"/>
  <c r="M1856" i="4"/>
  <c r="M1857" i="4"/>
  <c r="M1859" i="4"/>
  <c r="M1860" i="4"/>
  <c r="M1861" i="4"/>
  <c r="M1862" i="4"/>
  <c r="M1863" i="4"/>
  <c r="M1864" i="4"/>
  <c r="M1865" i="4"/>
  <c r="M1866" i="4"/>
  <c r="M1867" i="4"/>
  <c r="M1868" i="4"/>
  <c r="M1870" i="4"/>
  <c r="M1871" i="4"/>
  <c r="M1872" i="4"/>
  <c r="M1873" i="4"/>
  <c r="M1874" i="4"/>
  <c r="M1875" i="4"/>
  <c r="M1876" i="4"/>
  <c r="M1877" i="4"/>
  <c r="M1878" i="4"/>
  <c r="M1879" i="4"/>
  <c r="M1881" i="4"/>
  <c r="M1882" i="4"/>
  <c r="M1883" i="4"/>
  <c r="M1884" i="4"/>
  <c r="M1885" i="4"/>
  <c r="M1886" i="4"/>
  <c r="M1887" i="4"/>
  <c r="M1888" i="4"/>
  <c r="M1889" i="4"/>
  <c r="M1890" i="4"/>
  <c r="M1893" i="4"/>
  <c r="M1894" i="4"/>
  <c r="M1895" i="4"/>
  <c r="M1896" i="4"/>
  <c r="M1897" i="4"/>
  <c r="M1898" i="4"/>
  <c r="M1899" i="4"/>
  <c r="M1900" i="4"/>
  <c r="M1901" i="4"/>
  <c r="M1902" i="4"/>
  <c r="M1904" i="4"/>
  <c r="M1905" i="4"/>
  <c r="M1906" i="4"/>
  <c r="M1907" i="4"/>
  <c r="M1908" i="4"/>
  <c r="M1909" i="4"/>
  <c r="M1910" i="4"/>
  <c r="M1911" i="4"/>
  <c r="M1912" i="4"/>
  <c r="M1913" i="4"/>
  <c r="M1915" i="4"/>
  <c r="M1916" i="4"/>
  <c r="M1917" i="4"/>
  <c r="M1918" i="4"/>
  <c r="M1919" i="4"/>
  <c r="M1920" i="4"/>
  <c r="M1921" i="4"/>
  <c r="M1922" i="4"/>
  <c r="M1923" i="4"/>
  <c r="M1924" i="4"/>
  <c r="M1926" i="4"/>
  <c r="M1927" i="4"/>
  <c r="M1928" i="4"/>
  <c r="M1929" i="4"/>
  <c r="M1930" i="4"/>
  <c r="M1931" i="4"/>
  <c r="M1932" i="4"/>
  <c r="M1933" i="4"/>
  <c r="M1934" i="4"/>
  <c r="M1935" i="4"/>
  <c r="M1937" i="4"/>
  <c r="M1938" i="4"/>
  <c r="M1939" i="4"/>
  <c r="M1940" i="4"/>
  <c r="M1941" i="4"/>
  <c r="M1942" i="4"/>
  <c r="M1943" i="4"/>
  <c r="M1944" i="4"/>
  <c r="M1945" i="4"/>
  <c r="M1946" i="4"/>
  <c r="M1948" i="4"/>
  <c r="M1949" i="4"/>
  <c r="M1950" i="4"/>
  <c r="M1951" i="4"/>
  <c r="M1952" i="4"/>
  <c r="M1953" i="4"/>
  <c r="M1954" i="4"/>
  <c r="M1955" i="4"/>
  <c r="M1956" i="4"/>
  <c r="M1957" i="4"/>
  <c r="M1959" i="4"/>
  <c r="M1960" i="4"/>
  <c r="M1961" i="4"/>
  <c r="M1962" i="4"/>
  <c r="M1963" i="4"/>
  <c r="M1964" i="4"/>
  <c r="M1965" i="4"/>
  <c r="M1966" i="4"/>
  <c r="M1967" i="4"/>
  <c r="M1968" i="4"/>
  <c r="M1970" i="4"/>
  <c r="M1971" i="4"/>
  <c r="M1972" i="4"/>
  <c r="M1973" i="4"/>
  <c r="M1974" i="4"/>
  <c r="M1975" i="4"/>
  <c r="M1976" i="4"/>
  <c r="M1977" i="4"/>
  <c r="M1978" i="4"/>
  <c r="M1979" i="4"/>
  <c r="M1981" i="4"/>
  <c r="M1982" i="4"/>
  <c r="M1983" i="4"/>
  <c r="M1984" i="4"/>
  <c r="M1985" i="4"/>
  <c r="M1986" i="4"/>
  <c r="M1987" i="4"/>
  <c r="M1988" i="4"/>
  <c r="M1989" i="4"/>
  <c r="M1990" i="4"/>
  <c r="M1992" i="4"/>
  <c r="M1993" i="4"/>
  <c r="M1994" i="4"/>
  <c r="M1995" i="4"/>
  <c r="M1996" i="4"/>
  <c r="M1997" i="4"/>
  <c r="M1998" i="4"/>
  <c r="M1999" i="4"/>
  <c r="M2000" i="4"/>
  <c r="M2001" i="4"/>
  <c r="M6" i="4"/>
  <c r="M7" i="4"/>
  <c r="M8" i="4"/>
  <c r="M9" i="4"/>
  <c r="M10" i="4"/>
  <c r="M11" i="4"/>
  <c r="M12" i="4"/>
  <c r="M13" i="4"/>
  <c r="M14" i="4"/>
  <c r="M15" i="4"/>
  <c r="M17" i="4"/>
  <c r="M18" i="4"/>
  <c r="M19" i="4"/>
  <c r="M20" i="4"/>
  <c r="M21" i="4"/>
  <c r="M22" i="4"/>
  <c r="M23" i="4"/>
  <c r="M24" i="4"/>
  <c r="M25" i="4"/>
  <c r="M26" i="4"/>
  <c r="M28" i="4"/>
  <c r="M29" i="4"/>
  <c r="M30" i="4"/>
  <c r="M31" i="4"/>
  <c r="M32" i="4"/>
  <c r="M33" i="4"/>
  <c r="M34" i="4"/>
  <c r="M35" i="4"/>
  <c r="M36" i="4"/>
  <c r="M37" i="4"/>
  <c r="M39" i="4"/>
  <c r="M40" i="4"/>
  <c r="M41" i="4"/>
  <c r="M42" i="4"/>
  <c r="M43" i="4"/>
  <c r="M44" i="4"/>
  <c r="M45" i="4"/>
  <c r="M46" i="4"/>
  <c r="M47" i="4"/>
  <c r="M48" i="4"/>
  <c r="M50" i="4"/>
  <c r="M51" i="4"/>
  <c r="M52" i="4"/>
  <c r="M53" i="4"/>
  <c r="M54" i="4"/>
  <c r="M55" i="4"/>
  <c r="M56" i="4"/>
  <c r="M57" i="4"/>
  <c r="M58" i="4"/>
  <c r="M59" i="4"/>
  <c r="M61" i="4"/>
  <c r="M62" i="4"/>
  <c r="M63" i="4"/>
  <c r="M64" i="4"/>
  <c r="M65" i="4"/>
  <c r="M66" i="4"/>
  <c r="M67" i="4"/>
  <c r="M68" i="4"/>
  <c r="M69" i="4"/>
  <c r="M70" i="4"/>
  <c r="M72" i="4"/>
  <c r="M73" i="4"/>
  <c r="M74" i="4"/>
  <c r="M75" i="4"/>
  <c r="M76" i="4"/>
  <c r="M77" i="4"/>
  <c r="M78" i="4"/>
  <c r="M79" i="4"/>
  <c r="M80" i="4"/>
  <c r="M81" i="4"/>
  <c r="M83" i="4"/>
  <c r="M84" i="4"/>
  <c r="M85" i="4"/>
  <c r="M86" i="4"/>
  <c r="M87" i="4"/>
  <c r="M88" i="4"/>
  <c r="M89" i="4"/>
  <c r="M90" i="4"/>
  <c r="M91" i="4"/>
  <c r="M92" i="4"/>
  <c r="M94" i="4"/>
  <c r="M95" i="4"/>
  <c r="M96" i="4"/>
  <c r="M97" i="4"/>
  <c r="M98" i="4"/>
  <c r="M99" i="4"/>
  <c r="M100" i="4"/>
  <c r="M101" i="4"/>
  <c r="M102" i="4"/>
  <c r="M103" i="4"/>
  <c r="M105" i="4"/>
  <c r="M106" i="4"/>
  <c r="M107" i="4"/>
  <c r="M108" i="4"/>
  <c r="M109" i="4"/>
  <c r="M110" i="4"/>
  <c r="M111" i="4"/>
  <c r="M112" i="4"/>
  <c r="M113" i="4"/>
  <c r="M114" i="4"/>
  <c r="M117" i="4"/>
  <c r="M118" i="4"/>
  <c r="M119" i="4"/>
  <c r="M120" i="4"/>
  <c r="M121" i="4"/>
  <c r="M122" i="4"/>
  <c r="M123" i="4"/>
  <c r="M124" i="4"/>
  <c r="M125" i="4"/>
  <c r="M126" i="4"/>
  <c r="M128" i="4"/>
  <c r="M129" i="4"/>
  <c r="M130" i="4"/>
  <c r="M131" i="4"/>
  <c r="M132" i="4"/>
  <c r="M133" i="4"/>
  <c r="M134" i="4"/>
  <c r="M135" i="4"/>
  <c r="M136" i="4"/>
  <c r="M137" i="4"/>
  <c r="M139" i="4"/>
  <c r="M140" i="4"/>
  <c r="M141" i="4"/>
  <c r="M142" i="4"/>
  <c r="M143" i="4"/>
  <c r="M144" i="4"/>
  <c r="M145" i="4"/>
  <c r="M146" i="4"/>
  <c r="M147" i="4"/>
  <c r="H48" i="7" s="1"/>
  <c r="M148" i="4"/>
  <c r="M150" i="4"/>
  <c r="M151" i="4"/>
  <c r="M152" i="4"/>
  <c r="M153" i="4"/>
  <c r="M154" i="4"/>
  <c r="M155" i="4"/>
  <c r="M156" i="4"/>
  <c r="M157" i="4"/>
  <c r="M158" i="4"/>
  <c r="M159" i="4"/>
  <c r="M161" i="4"/>
  <c r="M162" i="4"/>
  <c r="M163" i="4"/>
  <c r="M164" i="4"/>
  <c r="M165" i="4"/>
  <c r="M166" i="4"/>
  <c r="M167" i="4"/>
  <c r="M168" i="4"/>
  <c r="M169" i="4"/>
  <c r="M170" i="4"/>
  <c r="M172" i="4"/>
  <c r="M173" i="4"/>
  <c r="M174" i="4"/>
  <c r="M175" i="4"/>
  <c r="M176" i="4"/>
  <c r="M177" i="4"/>
  <c r="M178" i="4"/>
  <c r="M179" i="4"/>
  <c r="M180" i="4"/>
  <c r="M181" i="4"/>
  <c r="M183" i="4"/>
  <c r="M184" i="4"/>
  <c r="M185" i="4"/>
  <c r="M186" i="4"/>
  <c r="M187" i="4"/>
  <c r="M188" i="4"/>
  <c r="M189" i="4"/>
  <c r="M190" i="4"/>
  <c r="M191" i="4"/>
  <c r="M192" i="4"/>
  <c r="M194" i="4"/>
  <c r="M195" i="4"/>
  <c r="M196" i="4"/>
  <c r="M197" i="4"/>
  <c r="M198" i="4"/>
  <c r="M199" i="4"/>
  <c r="M200" i="4"/>
  <c r="M201" i="4"/>
  <c r="M202" i="4"/>
  <c r="M203" i="4"/>
  <c r="M205" i="4"/>
  <c r="M206" i="4"/>
  <c r="M207" i="4"/>
  <c r="M208" i="4"/>
  <c r="M209" i="4"/>
  <c r="M210" i="4"/>
  <c r="M211" i="4"/>
  <c r="M212" i="4"/>
  <c r="M213" i="4"/>
  <c r="M214" i="4"/>
  <c r="M216" i="4"/>
  <c r="M217" i="4"/>
  <c r="M218" i="4"/>
  <c r="M219" i="4"/>
  <c r="M220" i="4"/>
  <c r="M221" i="4"/>
  <c r="M222" i="4"/>
  <c r="M223" i="4"/>
  <c r="M224" i="4"/>
  <c r="M225" i="4"/>
  <c r="M228" i="4"/>
  <c r="M229" i="4"/>
  <c r="M230" i="4"/>
  <c r="M231" i="4"/>
  <c r="M232" i="4"/>
  <c r="M233" i="4"/>
  <c r="M234" i="4"/>
  <c r="M235" i="4"/>
  <c r="M236" i="4"/>
  <c r="M237" i="4"/>
  <c r="M239" i="4"/>
  <c r="M240" i="4"/>
  <c r="M241" i="4"/>
  <c r="M242" i="4"/>
  <c r="M243" i="4"/>
  <c r="M244" i="4"/>
  <c r="M245" i="4"/>
  <c r="M246" i="4"/>
  <c r="M247" i="4"/>
  <c r="M248" i="4"/>
  <c r="M250" i="4"/>
  <c r="M251" i="4"/>
  <c r="M252" i="4"/>
  <c r="M253" i="4"/>
  <c r="M254" i="4"/>
  <c r="M255" i="4"/>
  <c r="M256" i="4"/>
  <c r="M257" i="4"/>
  <c r="M258" i="4"/>
  <c r="M259" i="4"/>
  <c r="M261" i="4"/>
  <c r="M262" i="4"/>
  <c r="M263" i="4"/>
  <c r="M264" i="4"/>
  <c r="M265" i="4"/>
  <c r="M266" i="4"/>
  <c r="M267" i="4"/>
  <c r="M268" i="4"/>
  <c r="M269" i="4"/>
  <c r="M270" i="4"/>
  <c r="M272" i="4"/>
  <c r="M273" i="4"/>
  <c r="M274" i="4"/>
  <c r="M275" i="4"/>
  <c r="M276" i="4"/>
  <c r="M277" i="4"/>
  <c r="M278" i="4"/>
  <c r="M279" i="4"/>
  <c r="M280" i="4"/>
  <c r="M281" i="4"/>
  <c r="M283" i="4"/>
  <c r="M284" i="4"/>
  <c r="M285" i="4"/>
  <c r="M286" i="4"/>
  <c r="M287" i="4"/>
  <c r="M288" i="4"/>
  <c r="M289" i="4"/>
  <c r="M290" i="4"/>
  <c r="M291" i="4"/>
  <c r="M292" i="4"/>
  <c r="M294" i="4"/>
  <c r="M295" i="4"/>
  <c r="M296" i="4"/>
  <c r="M297" i="4"/>
  <c r="M298" i="4"/>
  <c r="M299" i="4"/>
  <c r="M300" i="4"/>
  <c r="M301" i="4"/>
  <c r="M302" i="4"/>
  <c r="M303" i="4"/>
  <c r="M305" i="4"/>
  <c r="M306" i="4"/>
  <c r="M307" i="4"/>
  <c r="M308" i="4"/>
  <c r="M309" i="4"/>
  <c r="M310" i="4"/>
  <c r="M311" i="4"/>
  <c r="M312" i="4"/>
  <c r="M313" i="4"/>
  <c r="M314" i="4"/>
  <c r="M316" i="4"/>
  <c r="M317" i="4"/>
  <c r="M318" i="4"/>
  <c r="M319" i="4"/>
  <c r="M320" i="4"/>
  <c r="M321" i="4"/>
  <c r="M322" i="4"/>
  <c r="M323" i="4"/>
  <c r="M324" i="4"/>
  <c r="M325" i="4"/>
  <c r="M327" i="4"/>
  <c r="M328" i="4"/>
  <c r="M329" i="4"/>
  <c r="M330" i="4"/>
  <c r="M331" i="4"/>
  <c r="M332" i="4"/>
  <c r="M333" i="4"/>
  <c r="M334" i="4"/>
  <c r="M335" i="4"/>
  <c r="M336" i="4"/>
  <c r="M339" i="4"/>
  <c r="M340" i="4"/>
  <c r="M341" i="4"/>
  <c r="M342" i="4"/>
  <c r="M343" i="4"/>
  <c r="M344" i="4"/>
  <c r="M345" i="4"/>
  <c r="M346" i="4"/>
  <c r="M347" i="4"/>
  <c r="M348" i="4"/>
  <c r="M350" i="4"/>
  <c r="M351" i="4"/>
  <c r="M352" i="4"/>
  <c r="M353" i="4"/>
  <c r="M354" i="4"/>
  <c r="M355" i="4"/>
  <c r="M356" i="4"/>
  <c r="M357" i="4"/>
  <c r="M358" i="4"/>
  <c r="M359" i="4"/>
  <c r="M361" i="4"/>
  <c r="M362" i="4"/>
  <c r="M363" i="4"/>
  <c r="M364" i="4"/>
  <c r="M365" i="4"/>
  <c r="M366" i="4"/>
  <c r="M367" i="4"/>
  <c r="M368" i="4"/>
  <c r="M369" i="4"/>
  <c r="M370" i="4"/>
  <c r="M372" i="4"/>
  <c r="M373" i="4"/>
  <c r="M374" i="4"/>
  <c r="M375" i="4"/>
  <c r="M376" i="4"/>
  <c r="M377" i="4"/>
  <c r="M378" i="4"/>
  <c r="M379" i="4"/>
  <c r="M380" i="4"/>
  <c r="M381" i="4"/>
  <c r="M383" i="4"/>
  <c r="M384" i="4"/>
  <c r="M385" i="4"/>
  <c r="M386" i="4"/>
  <c r="M387" i="4"/>
  <c r="M388" i="4"/>
  <c r="M389" i="4"/>
  <c r="M390" i="4"/>
  <c r="M391" i="4"/>
  <c r="M392" i="4"/>
  <c r="M394" i="4"/>
  <c r="M395" i="4"/>
  <c r="M396" i="4"/>
  <c r="M397" i="4"/>
  <c r="M398" i="4"/>
  <c r="M399" i="4"/>
  <c r="M400" i="4"/>
  <c r="M401" i="4"/>
  <c r="M402" i="4"/>
  <c r="M403" i="4"/>
  <c r="M405" i="4"/>
  <c r="M406" i="4"/>
  <c r="M407" i="4"/>
  <c r="M408" i="4"/>
  <c r="M409" i="4"/>
  <c r="M410" i="4"/>
  <c r="M411" i="4"/>
  <c r="M412" i="4"/>
  <c r="M413" i="4"/>
  <c r="M414" i="4"/>
  <c r="M416" i="4"/>
  <c r="M417" i="4"/>
  <c r="M418" i="4"/>
  <c r="M419" i="4"/>
  <c r="M420" i="4"/>
  <c r="M421" i="4"/>
  <c r="M422" i="4"/>
  <c r="M423" i="4"/>
  <c r="M424" i="4"/>
  <c r="M425" i="4"/>
  <c r="M427" i="4"/>
  <c r="M428" i="4"/>
  <c r="M429" i="4"/>
  <c r="M430" i="4"/>
  <c r="M431" i="4"/>
  <c r="M432" i="4"/>
  <c r="M433" i="4"/>
  <c r="M434" i="4"/>
  <c r="M435" i="4"/>
  <c r="M436" i="4"/>
  <c r="M438" i="4"/>
  <c r="M439" i="4"/>
  <c r="M440" i="4"/>
  <c r="M441" i="4"/>
  <c r="M442" i="4"/>
  <c r="M443" i="4"/>
  <c r="M444" i="4"/>
  <c r="M445" i="4"/>
  <c r="M446" i="4"/>
  <c r="M447" i="4"/>
  <c r="M450" i="4"/>
  <c r="M451" i="4"/>
  <c r="M452" i="4"/>
  <c r="M453" i="4"/>
  <c r="M454" i="4"/>
  <c r="M455" i="4"/>
  <c r="M456" i="4"/>
  <c r="M457" i="4"/>
  <c r="M458" i="4"/>
  <c r="M459" i="4"/>
  <c r="M461" i="4"/>
  <c r="M462" i="4"/>
  <c r="M463" i="4"/>
  <c r="M464" i="4"/>
  <c r="M465" i="4"/>
  <c r="M466" i="4"/>
  <c r="M467" i="4"/>
  <c r="M468" i="4"/>
  <c r="M469" i="4"/>
  <c r="M470" i="4"/>
  <c r="M472" i="4"/>
  <c r="M473" i="4"/>
  <c r="M474" i="4"/>
  <c r="M475" i="4"/>
  <c r="M476" i="4"/>
  <c r="M477" i="4"/>
  <c r="M478" i="4"/>
  <c r="M479" i="4"/>
  <c r="M480" i="4"/>
  <c r="M481" i="4"/>
  <c r="M483" i="4"/>
  <c r="M484" i="4"/>
  <c r="M485" i="4"/>
  <c r="M486" i="4"/>
  <c r="M487" i="4"/>
  <c r="M488" i="4"/>
  <c r="M489" i="4"/>
  <c r="M490" i="4"/>
  <c r="M491" i="4"/>
  <c r="M492" i="4"/>
  <c r="M494" i="4"/>
  <c r="M495" i="4"/>
  <c r="M496" i="4"/>
  <c r="M497" i="4"/>
  <c r="M498" i="4"/>
  <c r="M499" i="4"/>
  <c r="M500" i="4"/>
  <c r="M501" i="4"/>
  <c r="M502" i="4"/>
  <c r="M503" i="4"/>
  <c r="M505" i="4"/>
  <c r="M506" i="4"/>
  <c r="M507" i="4"/>
  <c r="M508" i="4"/>
  <c r="M509" i="4"/>
  <c r="M510" i="4"/>
  <c r="M511" i="4"/>
  <c r="M512" i="4"/>
  <c r="M513" i="4"/>
  <c r="M514" i="4"/>
  <c r="M516" i="4"/>
  <c r="M517" i="4"/>
  <c r="M518" i="4"/>
  <c r="M519" i="4"/>
  <c r="M520" i="4"/>
  <c r="M521" i="4"/>
  <c r="M522" i="4"/>
  <c r="M523" i="4"/>
  <c r="M524" i="4"/>
  <c r="M525" i="4"/>
  <c r="M527" i="4"/>
  <c r="M528" i="4"/>
  <c r="M529" i="4"/>
  <c r="M530" i="4"/>
  <c r="M531" i="4"/>
  <c r="M532" i="4"/>
  <c r="M533" i="4"/>
  <c r="M534" i="4"/>
  <c r="M535" i="4"/>
  <c r="M536" i="4"/>
  <c r="M538" i="4"/>
  <c r="M539" i="4"/>
  <c r="M540" i="4"/>
  <c r="M541" i="4"/>
  <c r="M542" i="4"/>
  <c r="M543" i="4"/>
  <c r="M544" i="4"/>
  <c r="M545" i="4"/>
  <c r="M546" i="4"/>
  <c r="M547" i="4"/>
  <c r="M549" i="4"/>
  <c r="M550" i="4"/>
  <c r="M551" i="4"/>
  <c r="M552" i="4"/>
  <c r="M553" i="4"/>
  <c r="M554" i="4"/>
  <c r="M555" i="4"/>
  <c r="M556" i="4"/>
  <c r="M557" i="4"/>
  <c r="M558" i="4"/>
  <c r="M561" i="4"/>
  <c r="M562" i="4"/>
  <c r="M563" i="4"/>
  <c r="M564" i="4"/>
  <c r="M565" i="4"/>
  <c r="M566" i="4"/>
  <c r="M567" i="4"/>
  <c r="M568" i="4"/>
  <c r="M569" i="4"/>
  <c r="M570" i="4"/>
  <c r="M572" i="4"/>
  <c r="M573" i="4"/>
  <c r="M574" i="4"/>
  <c r="M575" i="4"/>
  <c r="M576" i="4"/>
  <c r="M577" i="4"/>
  <c r="M578" i="4"/>
  <c r="M579" i="4"/>
  <c r="M580" i="4"/>
  <c r="M581" i="4"/>
  <c r="M583" i="4"/>
  <c r="M584" i="4"/>
  <c r="M585" i="4"/>
  <c r="M586" i="4"/>
  <c r="M587" i="4"/>
  <c r="M588" i="4"/>
  <c r="M589" i="4"/>
  <c r="M590" i="4"/>
  <c r="M591" i="4"/>
  <c r="M592" i="4"/>
  <c r="M594" i="4"/>
  <c r="M595" i="4"/>
  <c r="M596" i="4"/>
  <c r="M597" i="4"/>
  <c r="M598" i="4"/>
  <c r="M599" i="4"/>
  <c r="M600" i="4"/>
  <c r="M601" i="4"/>
  <c r="M602" i="4"/>
  <c r="M603" i="4"/>
  <c r="M605" i="4"/>
  <c r="M606" i="4"/>
  <c r="M607" i="4"/>
  <c r="M608" i="4"/>
  <c r="M609" i="4"/>
  <c r="M610" i="4"/>
  <c r="M611" i="4"/>
  <c r="M612" i="4"/>
  <c r="M613" i="4"/>
  <c r="M614" i="4"/>
  <c r="M616" i="4"/>
  <c r="M617" i="4"/>
  <c r="M618" i="4"/>
  <c r="M619" i="4"/>
  <c r="M620" i="4"/>
  <c r="M621" i="4"/>
  <c r="M622" i="4"/>
  <c r="M623" i="4"/>
  <c r="M624" i="4"/>
  <c r="M625" i="4"/>
  <c r="M627" i="4"/>
  <c r="M628" i="4"/>
  <c r="M629" i="4"/>
  <c r="M630" i="4"/>
  <c r="M631" i="4"/>
  <c r="M632" i="4"/>
  <c r="M633" i="4"/>
  <c r="M634" i="4"/>
  <c r="M635" i="4"/>
  <c r="M636" i="4"/>
  <c r="M638" i="4"/>
  <c r="M639" i="4"/>
  <c r="M640" i="4"/>
  <c r="M641" i="4"/>
  <c r="M642" i="4"/>
  <c r="M643" i="4"/>
  <c r="M644" i="4"/>
  <c r="M645" i="4"/>
  <c r="M646" i="4"/>
  <c r="M647" i="4"/>
  <c r="M649" i="4"/>
  <c r="M650" i="4"/>
  <c r="M651" i="4"/>
  <c r="M652" i="4"/>
  <c r="M653" i="4"/>
  <c r="M654" i="4"/>
  <c r="M655" i="4"/>
  <c r="M656" i="4"/>
  <c r="M657" i="4"/>
  <c r="M658" i="4"/>
  <c r="M660" i="4"/>
  <c r="M661" i="4"/>
  <c r="M662" i="4"/>
  <c r="M663" i="4"/>
  <c r="M664" i="4"/>
  <c r="M665" i="4"/>
  <c r="M666" i="4"/>
  <c r="M667" i="4"/>
  <c r="M668" i="4"/>
  <c r="M669" i="4"/>
  <c r="M672" i="4"/>
  <c r="M673" i="4"/>
  <c r="M674" i="4"/>
  <c r="M675" i="4"/>
  <c r="M676" i="4"/>
  <c r="M677" i="4"/>
  <c r="M678" i="4"/>
  <c r="M679" i="4"/>
  <c r="M680" i="4"/>
  <c r="M681" i="4"/>
  <c r="M683" i="4"/>
  <c r="M684" i="4"/>
  <c r="M685" i="4"/>
  <c r="M686" i="4"/>
  <c r="M687" i="4"/>
  <c r="M688" i="4"/>
  <c r="M689" i="4"/>
  <c r="M690" i="4"/>
  <c r="M691" i="4"/>
  <c r="M692" i="4"/>
  <c r="M694" i="4"/>
  <c r="M695" i="4"/>
  <c r="M696" i="4"/>
  <c r="M697" i="4"/>
  <c r="M698" i="4"/>
  <c r="M699" i="4"/>
  <c r="M700" i="4"/>
  <c r="M701" i="4"/>
  <c r="M702" i="4"/>
  <c r="M703" i="4"/>
  <c r="M705" i="4"/>
  <c r="M706" i="4"/>
  <c r="M707" i="4"/>
  <c r="M708" i="4"/>
  <c r="M709" i="4"/>
  <c r="M710" i="4"/>
  <c r="M711" i="4"/>
  <c r="M712" i="4"/>
  <c r="M713" i="4"/>
  <c r="M714" i="4"/>
  <c r="M716" i="4"/>
  <c r="M717" i="4"/>
  <c r="M718" i="4"/>
  <c r="M719" i="4"/>
  <c r="M720" i="4"/>
  <c r="M721" i="4"/>
  <c r="M722" i="4"/>
  <c r="M723" i="4"/>
  <c r="M724" i="4"/>
  <c r="M725" i="4"/>
  <c r="M727" i="4"/>
  <c r="M728" i="4"/>
  <c r="M729" i="4"/>
  <c r="M730" i="4"/>
  <c r="M731" i="4"/>
  <c r="M732" i="4"/>
  <c r="M733" i="4"/>
  <c r="M734" i="4"/>
  <c r="M735" i="4"/>
  <c r="M736" i="4"/>
  <c r="M738" i="4"/>
  <c r="M739" i="4"/>
  <c r="M740" i="4"/>
  <c r="M741" i="4"/>
  <c r="M742" i="4"/>
  <c r="M743" i="4"/>
  <c r="M744" i="4"/>
  <c r="M745" i="4"/>
  <c r="M746" i="4"/>
  <c r="M747" i="4"/>
  <c r="M749" i="4"/>
  <c r="M750" i="4"/>
  <c r="M751" i="4"/>
  <c r="M752" i="4"/>
  <c r="M753" i="4"/>
  <c r="M754" i="4"/>
  <c r="M755" i="4"/>
  <c r="M756" i="4"/>
  <c r="M757" i="4"/>
  <c r="M758" i="4"/>
  <c r="M760" i="4"/>
  <c r="M761" i="4"/>
  <c r="M762" i="4"/>
  <c r="M763" i="4"/>
  <c r="M764" i="4"/>
  <c r="M765" i="4"/>
  <c r="M766" i="4"/>
  <c r="M767" i="4"/>
  <c r="M768" i="4"/>
  <c r="M769" i="4"/>
  <c r="M771" i="4"/>
  <c r="M772" i="4"/>
  <c r="M773" i="4"/>
  <c r="M774" i="4"/>
  <c r="M775" i="4"/>
  <c r="M776" i="4"/>
  <c r="M777" i="4"/>
  <c r="M778" i="4"/>
  <c r="M779" i="4"/>
  <c r="M780" i="4"/>
  <c r="M783" i="4"/>
  <c r="M784" i="4"/>
  <c r="M785" i="4"/>
  <c r="M786" i="4"/>
  <c r="M787" i="4"/>
  <c r="M788" i="4"/>
  <c r="M789" i="4"/>
  <c r="M790" i="4"/>
  <c r="M791" i="4"/>
  <c r="M792" i="4"/>
  <c r="M794" i="4"/>
  <c r="M795" i="4"/>
  <c r="M796" i="4"/>
  <c r="M797" i="4"/>
  <c r="M798" i="4"/>
  <c r="M799" i="4"/>
  <c r="M800" i="4"/>
  <c r="M801" i="4"/>
  <c r="M802" i="4"/>
  <c r="M803" i="4"/>
  <c r="M805" i="4"/>
  <c r="M806" i="4"/>
  <c r="M807" i="4"/>
  <c r="M808" i="4"/>
  <c r="M809" i="4"/>
  <c r="M810" i="4"/>
  <c r="M811" i="4"/>
  <c r="M812" i="4"/>
  <c r="M813" i="4"/>
  <c r="M814" i="4"/>
  <c r="M816" i="4"/>
  <c r="M817" i="4"/>
  <c r="M818" i="4"/>
  <c r="M819" i="4"/>
  <c r="M820" i="4"/>
  <c r="M821" i="4"/>
  <c r="M822" i="4"/>
  <c r="M823" i="4"/>
  <c r="M824" i="4"/>
  <c r="M825" i="4"/>
  <c r="M827" i="4"/>
  <c r="M828" i="4"/>
  <c r="M829" i="4"/>
  <c r="M830" i="4"/>
  <c r="M831" i="4"/>
  <c r="M832" i="4"/>
  <c r="M833" i="4"/>
  <c r="M834" i="4"/>
  <c r="M835" i="4"/>
  <c r="M836" i="4"/>
  <c r="M838" i="4"/>
  <c r="M839" i="4"/>
  <c r="M840" i="4"/>
  <c r="M841" i="4"/>
  <c r="M842" i="4"/>
  <c r="M843" i="4"/>
  <c r="M844" i="4"/>
  <c r="M845" i="4"/>
  <c r="M846" i="4"/>
  <c r="M847" i="4"/>
  <c r="M849" i="4"/>
  <c r="M850" i="4"/>
  <c r="M851" i="4"/>
  <c r="M852" i="4"/>
  <c r="M853" i="4"/>
  <c r="M854" i="4"/>
  <c r="M855" i="4"/>
  <c r="M856" i="4"/>
  <c r="M857" i="4"/>
  <c r="M858" i="4"/>
  <c r="M860" i="4"/>
  <c r="M861" i="4"/>
  <c r="M862" i="4"/>
  <c r="M863" i="4"/>
  <c r="M864" i="4"/>
  <c r="M865" i="4"/>
  <c r="M866" i="4"/>
  <c r="M867" i="4"/>
  <c r="M868" i="4"/>
  <c r="M869" i="4"/>
  <c r="M871" i="4"/>
  <c r="M872" i="4"/>
  <c r="M873" i="4"/>
  <c r="M874" i="4"/>
  <c r="M875" i="4"/>
  <c r="M876" i="4"/>
  <c r="M877" i="4"/>
  <c r="M878" i="4"/>
  <c r="M879" i="4"/>
  <c r="M880" i="4"/>
  <c r="M882" i="4"/>
  <c r="M883" i="4"/>
  <c r="M884" i="4"/>
  <c r="M885" i="4"/>
  <c r="M886" i="4"/>
  <c r="M887" i="4"/>
  <c r="M888" i="4"/>
  <c r="M889" i="4"/>
  <c r="M890" i="4"/>
  <c r="M891" i="4"/>
  <c r="M894" i="4"/>
  <c r="M895" i="4"/>
  <c r="M896" i="4"/>
  <c r="M897" i="4"/>
  <c r="M898" i="4"/>
  <c r="M899" i="4"/>
  <c r="M900" i="4"/>
  <c r="M901" i="4"/>
  <c r="M902" i="4"/>
  <c r="M903" i="4"/>
  <c r="M905" i="4"/>
  <c r="M906" i="4"/>
  <c r="M907" i="4"/>
  <c r="M908" i="4"/>
  <c r="M909" i="4"/>
  <c r="M910" i="4"/>
  <c r="M911" i="4"/>
  <c r="M912" i="4"/>
  <c r="M913" i="4"/>
  <c r="M914" i="4"/>
  <c r="M916" i="4"/>
  <c r="M917" i="4"/>
  <c r="M918" i="4"/>
  <c r="M919" i="4"/>
  <c r="M920" i="4"/>
  <c r="M921" i="4"/>
  <c r="M922" i="4"/>
  <c r="M923" i="4"/>
  <c r="M924" i="4"/>
  <c r="M925" i="4"/>
  <c r="M927" i="4"/>
  <c r="M928" i="4"/>
  <c r="M929" i="4"/>
  <c r="M930" i="4"/>
  <c r="M931" i="4"/>
  <c r="M932" i="4"/>
  <c r="M933" i="4"/>
  <c r="M934" i="4"/>
  <c r="M935" i="4"/>
  <c r="M936" i="4"/>
  <c r="M938" i="4"/>
  <c r="M939" i="4"/>
  <c r="M940" i="4"/>
  <c r="M941" i="4"/>
  <c r="M942" i="4"/>
  <c r="M943" i="4"/>
  <c r="M944" i="4"/>
  <c r="M945" i="4"/>
  <c r="M946" i="4"/>
  <c r="M947" i="4"/>
  <c r="M949" i="4"/>
  <c r="M950" i="4"/>
  <c r="M951" i="4"/>
  <c r="M952" i="4"/>
  <c r="M953" i="4"/>
  <c r="M954" i="4"/>
  <c r="M955" i="4"/>
  <c r="M956" i="4"/>
  <c r="M957" i="4"/>
  <c r="M958" i="4"/>
  <c r="M960" i="4"/>
  <c r="M961" i="4"/>
  <c r="M962" i="4"/>
  <c r="M963" i="4"/>
  <c r="M964" i="4"/>
  <c r="M965" i="4"/>
  <c r="M966" i="4"/>
  <c r="M967" i="4"/>
  <c r="M968" i="4"/>
  <c r="M969" i="4"/>
  <c r="M971" i="4"/>
  <c r="M972" i="4"/>
  <c r="M973" i="4"/>
  <c r="M974" i="4"/>
  <c r="M975" i="4"/>
  <c r="M976" i="4"/>
  <c r="M977" i="4"/>
  <c r="M978" i="4"/>
  <c r="M979" i="4"/>
  <c r="M980" i="4"/>
  <c r="M982" i="4"/>
  <c r="M983" i="4"/>
  <c r="M984" i="4"/>
  <c r="M985" i="4"/>
  <c r="M986" i="4"/>
  <c r="M987" i="4"/>
  <c r="M988" i="4"/>
  <c r="M989" i="4"/>
  <c r="M990" i="4"/>
  <c r="M991" i="4"/>
  <c r="M993" i="4"/>
  <c r="M994" i="4"/>
  <c r="M995" i="4"/>
  <c r="M996" i="4"/>
  <c r="M997" i="4"/>
  <c r="M998" i="4"/>
  <c r="M999" i="4"/>
  <c r="M1000" i="4"/>
  <c r="M1001" i="4"/>
  <c r="M1002" i="4"/>
  <c r="M1005" i="4"/>
  <c r="M1006" i="4"/>
  <c r="M1007" i="4"/>
  <c r="M1008" i="4"/>
  <c r="M1009" i="4"/>
  <c r="M1010" i="4"/>
  <c r="M1011" i="4"/>
  <c r="M1012" i="4"/>
  <c r="M1013" i="4"/>
  <c r="M1014" i="4"/>
  <c r="M1016" i="4"/>
  <c r="M1017" i="4"/>
  <c r="M1018" i="4"/>
  <c r="M1019" i="4"/>
  <c r="M1020" i="4"/>
  <c r="M1021" i="4"/>
  <c r="M1022" i="4"/>
  <c r="M1023" i="4"/>
  <c r="M1024" i="4"/>
  <c r="M1025" i="4"/>
  <c r="M1027" i="4"/>
  <c r="M1028" i="4"/>
  <c r="M1029" i="4"/>
  <c r="M1030" i="4"/>
  <c r="M1031" i="4"/>
  <c r="M1032" i="4"/>
  <c r="M1033" i="4"/>
  <c r="M1034" i="4"/>
  <c r="M1035" i="4"/>
  <c r="M1036" i="4"/>
  <c r="M1038" i="4"/>
  <c r="M1039" i="4"/>
  <c r="M1040" i="4"/>
  <c r="M1041" i="4"/>
  <c r="M1042" i="4"/>
  <c r="M1043" i="4"/>
  <c r="M1044" i="4"/>
  <c r="M1045" i="4"/>
  <c r="M1046" i="4"/>
  <c r="M1047" i="4"/>
  <c r="M1049" i="4"/>
  <c r="M1050" i="4"/>
  <c r="M1051" i="4"/>
  <c r="M1052" i="4"/>
  <c r="M1053" i="4"/>
  <c r="M1054" i="4"/>
  <c r="M1055" i="4"/>
  <c r="M1056" i="4"/>
  <c r="M1057" i="4"/>
  <c r="M1058" i="4"/>
  <c r="M1060" i="4"/>
  <c r="M1061" i="4"/>
  <c r="M1062" i="4"/>
  <c r="M1063" i="4"/>
  <c r="M1064" i="4"/>
  <c r="M1065" i="4"/>
  <c r="M1066" i="4"/>
  <c r="M1067" i="4"/>
  <c r="M1068" i="4"/>
  <c r="M1069" i="4"/>
  <c r="M1071" i="4"/>
  <c r="M1072" i="4"/>
  <c r="M1073" i="4"/>
  <c r="M1074" i="4"/>
  <c r="M1075" i="4"/>
  <c r="M1076" i="4"/>
  <c r="M1077" i="4"/>
  <c r="M1078" i="4"/>
  <c r="M1079" i="4"/>
  <c r="M1080" i="4"/>
  <c r="M1082" i="4"/>
  <c r="M1083" i="4"/>
  <c r="M1084" i="4"/>
  <c r="M1085" i="4"/>
  <c r="M1086" i="4"/>
  <c r="M1087" i="4"/>
  <c r="M1088" i="4"/>
  <c r="M1089" i="4"/>
  <c r="M1090" i="4"/>
  <c r="M1091" i="4"/>
  <c r="M1093" i="4"/>
  <c r="M1094" i="4"/>
  <c r="M1095" i="4"/>
  <c r="M1096" i="4"/>
  <c r="M1097" i="4"/>
  <c r="M1098" i="4"/>
  <c r="M1099" i="4"/>
  <c r="M1100" i="4"/>
  <c r="M1101" i="4"/>
  <c r="M1102" i="4"/>
  <c r="M1104" i="4"/>
  <c r="M1105" i="4"/>
  <c r="M1106" i="4"/>
  <c r="M1107" i="4"/>
  <c r="M1108" i="4"/>
  <c r="M1109" i="4"/>
  <c r="M1110" i="4"/>
  <c r="M1111" i="4"/>
  <c r="M1112" i="4"/>
  <c r="M1113" i="4"/>
  <c r="Q3" i="4"/>
  <c r="Q1114" i="4"/>
  <c r="Q1225" i="4"/>
  <c r="Q1336" i="4"/>
  <c r="Q1447" i="4"/>
  <c r="Q1558" i="4"/>
  <c r="Q1669" i="4"/>
  <c r="Q1780" i="4"/>
  <c r="Q1891" i="4"/>
  <c r="Q4" i="4"/>
  <c r="Q115" i="4"/>
  <c r="Q226" i="4"/>
  <c r="Q337" i="4"/>
  <c r="Q448" i="4"/>
  <c r="Q559" i="4"/>
  <c r="Q670" i="4"/>
  <c r="Q781" i="4"/>
  <c r="Q892" i="4"/>
  <c r="Q1003" i="4"/>
  <c r="Q1115" i="4"/>
  <c r="Q1126" i="4"/>
  <c r="Q1137" i="4"/>
  <c r="Q1148" i="4"/>
  <c r="Q1159" i="4"/>
  <c r="Q1170" i="4"/>
  <c r="Q1181" i="4"/>
  <c r="Q1192" i="4"/>
  <c r="Q1203" i="4"/>
  <c r="Q1214" i="4"/>
  <c r="Q1226" i="4"/>
  <c r="Q1237" i="4"/>
  <c r="Q1248" i="4"/>
  <c r="Q1259" i="4"/>
  <c r="Q1270" i="4"/>
  <c r="Q1281" i="4"/>
  <c r="Q1292" i="4"/>
  <c r="Q1303" i="4"/>
  <c r="Q1314" i="4"/>
  <c r="Q1325" i="4"/>
  <c r="Q1337" i="4"/>
  <c r="Q1348" i="4"/>
  <c r="Q1359" i="4"/>
  <c r="Q1370" i="4"/>
  <c r="Q1381" i="4"/>
  <c r="Q1392" i="4"/>
  <c r="Q1403" i="4"/>
  <c r="Q1414" i="4"/>
  <c r="Q1425" i="4"/>
  <c r="Q1436" i="4"/>
  <c r="Q1448" i="4"/>
  <c r="Q1459" i="4"/>
  <c r="Q1470" i="4"/>
  <c r="Q1481" i="4"/>
  <c r="Q1492" i="4"/>
  <c r="Q1503" i="4"/>
  <c r="Q1514" i="4"/>
  <c r="Q1525" i="4"/>
  <c r="Q1536" i="4"/>
  <c r="Q1547" i="4"/>
  <c r="Q1559" i="4"/>
  <c r="Q1570" i="4"/>
  <c r="Q1581" i="4"/>
  <c r="Q1592" i="4"/>
  <c r="Q1603" i="4"/>
  <c r="Q1614" i="4"/>
  <c r="Q1625" i="4"/>
  <c r="Q1636" i="4"/>
  <c r="Q1647" i="4"/>
  <c r="Q1658" i="4"/>
  <c r="Q1670" i="4"/>
  <c r="Q1681" i="4"/>
  <c r="Q1692" i="4"/>
  <c r="Q1703" i="4"/>
  <c r="Q1714" i="4"/>
  <c r="Q1725" i="4"/>
  <c r="Q1736" i="4"/>
  <c r="Q1747" i="4"/>
  <c r="Q1758" i="4"/>
  <c r="Q1769" i="4"/>
  <c r="Q1781" i="4"/>
  <c r="Q1792" i="4"/>
  <c r="Q1803" i="4"/>
  <c r="Q1814" i="4"/>
  <c r="Q1825" i="4"/>
  <c r="Q1836" i="4"/>
  <c r="Q1847" i="4"/>
  <c r="Q1858" i="4"/>
  <c r="Q1869" i="4"/>
  <c r="Q1880" i="4"/>
  <c r="Q1892" i="4"/>
  <c r="Q1903" i="4"/>
  <c r="Q1914" i="4"/>
  <c r="Q1925" i="4"/>
  <c r="Q1936" i="4"/>
  <c r="Q1947" i="4"/>
  <c r="Q1958" i="4"/>
  <c r="Q1969" i="4"/>
  <c r="Q1980" i="4"/>
  <c r="Q1991" i="4"/>
  <c r="Q5" i="4"/>
  <c r="Q16" i="4"/>
  <c r="Q27" i="4"/>
  <c r="Q38" i="4"/>
  <c r="Q49" i="4"/>
  <c r="Q60" i="4"/>
  <c r="Q71" i="4"/>
  <c r="Q82" i="4"/>
  <c r="Q93" i="4"/>
  <c r="Q104" i="4"/>
  <c r="Q116" i="4"/>
  <c r="Q127" i="4"/>
  <c r="Q138" i="4"/>
  <c r="Q149" i="4"/>
  <c r="Q160" i="4"/>
  <c r="Q171" i="4"/>
  <c r="Q182" i="4"/>
  <c r="Q193" i="4"/>
  <c r="Q204" i="4"/>
  <c r="Q215" i="4"/>
  <c r="Q227" i="4"/>
  <c r="Q238" i="4"/>
  <c r="Q249" i="4"/>
  <c r="Q260" i="4"/>
  <c r="Q271" i="4"/>
  <c r="Q282" i="4"/>
  <c r="Q293" i="4"/>
  <c r="Q304" i="4"/>
  <c r="Q315" i="4"/>
  <c r="Q326" i="4"/>
  <c r="Q338" i="4"/>
  <c r="Q349" i="4"/>
  <c r="Q360" i="4"/>
  <c r="Q371" i="4"/>
  <c r="Q382" i="4"/>
  <c r="Q393" i="4"/>
  <c r="Q404" i="4"/>
  <c r="Q415" i="4"/>
  <c r="Q426" i="4"/>
  <c r="Q437" i="4"/>
  <c r="Q449" i="4"/>
  <c r="Q460" i="4"/>
  <c r="Q471" i="4"/>
  <c r="Q482" i="4"/>
  <c r="Q493" i="4"/>
  <c r="Q504" i="4"/>
  <c r="Q515" i="4"/>
  <c r="Q526" i="4"/>
  <c r="Q537" i="4"/>
  <c r="Q548" i="4"/>
  <c r="Q560" i="4"/>
  <c r="Q571" i="4"/>
  <c r="Q582" i="4"/>
  <c r="Q593" i="4"/>
  <c r="Q604" i="4"/>
  <c r="Q615" i="4"/>
  <c r="Q626" i="4"/>
  <c r="Q637" i="4"/>
  <c r="Q648" i="4"/>
  <c r="Q659" i="4"/>
  <c r="Q671" i="4"/>
  <c r="Q682" i="4"/>
  <c r="Q693" i="4"/>
  <c r="Q704" i="4"/>
  <c r="Q715" i="4"/>
  <c r="Q726" i="4"/>
  <c r="Q737" i="4"/>
  <c r="Q748" i="4"/>
  <c r="Q759" i="4"/>
  <c r="Q770" i="4"/>
  <c r="Q782" i="4"/>
  <c r="Q793" i="4"/>
  <c r="Q804" i="4"/>
  <c r="Q815" i="4"/>
  <c r="Q826" i="4"/>
  <c r="Q837" i="4"/>
  <c r="Q848" i="4"/>
  <c r="Q859" i="4"/>
  <c r="Q870" i="4"/>
  <c r="Q881" i="4"/>
  <c r="Q893" i="4"/>
  <c r="Q904" i="4"/>
  <c r="Q915" i="4"/>
  <c r="Q926" i="4"/>
  <c r="Q937" i="4"/>
  <c r="Q948" i="4"/>
  <c r="Q959" i="4"/>
  <c r="Q970" i="4"/>
  <c r="Q981" i="4"/>
  <c r="Q992" i="4"/>
  <c r="Q1004" i="4"/>
  <c r="Q1015" i="4"/>
  <c r="Q1026" i="4"/>
  <c r="Q1037" i="4"/>
  <c r="Q1048" i="4"/>
  <c r="Q1059" i="4"/>
  <c r="Q1070" i="4"/>
  <c r="Q1081" i="4"/>
  <c r="Q1092" i="4"/>
  <c r="Q1103" i="4"/>
  <c r="Q1116" i="4"/>
  <c r="Q1117" i="4"/>
  <c r="Q1118" i="4"/>
  <c r="Q1119" i="4"/>
  <c r="Q1120" i="4"/>
  <c r="Q1121" i="4"/>
  <c r="Q1122" i="4"/>
  <c r="Q1123" i="4"/>
  <c r="Q1124" i="4"/>
  <c r="Q1125" i="4"/>
  <c r="Q1127" i="4"/>
  <c r="Q1128" i="4"/>
  <c r="Q1129" i="4"/>
  <c r="Q1130" i="4"/>
  <c r="Q1131" i="4"/>
  <c r="Q1132" i="4"/>
  <c r="Q1133" i="4"/>
  <c r="Q1134" i="4"/>
  <c r="Q1135" i="4"/>
  <c r="Q1136" i="4"/>
  <c r="Q1138" i="4"/>
  <c r="Q1139" i="4"/>
  <c r="Q1140" i="4"/>
  <c r="Q1141" i="4"/>
  <c r="Q1142" i="4"/>
  <c r="Q1143" i="4"/>
  <c r="Q1144" i="4"/>
  <c r="Q1145" i="4"/>
  <c r="Q1146" i="4"/>
  <c r="Q1147" i="4"/>
  <c r="Q1149" i="4"/>
  <c r="Q1150" i="4"/>
  <c r="Q1151" i="4"/>
  <c r="Q1152" i="4"/>
  <c r="Q1153" i="4"/>
  <c r="Q1154" i="4"/>
  <c r="Q1155" i="4"/>
  <c r="Q1156" i="4"/>
  <c r="Q1157" i="4"/>
  <c r="Q1158" i="4"/>
  <c r="Q1160" i="4"/>
  <c r="Q1161" i="4"/>
  <c r="Q1162" i="4"/>
  <c r="Q1163" i="4"/>
  <c r="Q1164" i="4"/>
  <c r="Q1165" i="4"/>
  <c r="Q1166" i="4"/>
  <c r="Q1167" i="4"/>
  <c r="Q1168" i="4"/>
  <c r="Q1169" i="4"/>
  <c r="Q1171" i="4"/>
  <c r="Q1172" i="4"/>
  <c r="Q1173" i="4"/>
  <c r="Q1174" i="4"/>
  <c r="Q1175" i="4"/>
  <c r="Q1176" i="4"/>
  <c r="Q1177" i="4"/>
  <c r="Q1178" i="4"/>
  <c r="Q1179" i="4"/>
  <c r="Q1180" i="4"/>
  <c r="Q1182" i="4"/>
  <c r="Q1183" i="4"/>
  <c r="Q1184" i="4"/>
  <c r="Q1185" i="4"/>
  <c r="Q1186" i="4"/>
  <c r="Q1187" i="4"/>
  <c r="Q1188" i="4"/>
  <c r="Q1189" i="4"/>
  <c r="Q1190" i="4"/>
  <c r="Q1191" i="4"/>
  <c r="Q1193" i="4"/>
  <c r="Q1194" i="4"/>
  <c r="Q1195" i="4"/>
  <c r="Q1196" i="4"/>
  <c r="Q1197" i="4"/>
  <c r="Q1198" i="4"/>
  <c r="Q1199" i="4"/>
  <c r="Q1200" i="4"/>
  <c r="Q1201" i="4"/>
  <c r="Q1202" i="4"/>
  <c r="Q1204" i="4"/>
  <c r="Q1205" i="4"/>
  <c r="Q1206" i="4"/>
  <c r="Q1207" i="4"/>
  <c r="Q1208" i="4"/>
  <c r="Q1209" i="4"/>
  <c r="Q1210" i="4"/>
  <c r="Q1211" i="4"/>
  <c r="Q1212" i="4"/>
  <c r="Q1213" i="4"/>
  <c r="Q1215" i="4"/>
  <c r="Q1216" i="4"/>
  <c r="Q1217" i="4"/>
  <c r="Q1218" i="4"/>
  <c r="Q1219" i="4"/>
  <c r="Q1220" i="4"/>
  <c r="Q1221" i="4"/>
  <c r="Q1222" i="4"/>
  <c r="Q1223" i="4"/>
  <c r="Q1224" i="4"/>
  <c r="Q1227" i="4"/>
  <c r="Q1228" i="4"/>
  <c r="Q1229" i="4"/>
  <c r="Q1230" i="4"/>
  <c r="Q1231" i="4"/>
  <c r="Q1232" i="4"/>
  <c r="Q1233" i="4"/>
  <c r="Q1234" i="4"/>
  <c r="Q1235" i="4"/>
  <c r="Q1236" i="4"/>
  <c r="Q1238" i="4"/>
  <c r="Q1239" i="4"/>
  <c r="Q1240" i="4"/>
  <c r="Q1241" i="4"/>
  <c r="Q1242" i="4"/>
  <c r="Q1243" i="4"/>
  <c r="Q1244" i="4"/>
  <c r="Q1245" i="4"/>
  <c r="Q1246" i="4"/>
  <c r="Q1247" i="4"/>
  <c r="Q1249" i="4"/>
  <c r="Q1250" i="4"/>
  <c r="Q1251" i="4"/>
  <c r="Q1252" i="4"/>
  <c r="Q1253" i="4"/>
  <c r="Q1254" i="4"/>
  <c r="Q1255" i="4"/>
  <c r="Q1256" i="4"/>
  <c r="Q1257" i="4"/>
  <c r="Q1258" i="4"/>
  <c r="Q1260" i="4"/>
  <c r="Q1261" i="4"/>
  <c r="Q1262" i="4"/>
  <c r="Q1263" i="4"/>
  <c r="Q1264" i="4"/>
  <c r="Q1265" i="4"/>
  <c r="Q1266" i="4"/>
  <c r="Q1267" i="4"/>
  <c r="Q1268" i="4"/>
  <c r="Q1269" i="4"/>
  <c r="Q1271" i="4"/>
  <c r="Q1272" i="4"/>
  <c r="Q1273" i="4"/>
  <c r="Q1274" i="4"/>
  <c r="Q1275" i="4"/>
  <c r="Q1276" i="4"/>
  <c r="Q1277" i="4"/>
  <c r="Q1278" i="4"/>
  <c r="Q1279" i="4"/>
  <c r="Q1280" i="4"/>
  <c r="Q1282" i="4"/>
  <c r="Q1283" i="4"/>
  <c r="Q1284" i="4"/>
  <c r="Q1285" i="4"/>
  <c r="Q1286" i="4"/>
  <c r="Q1287" i="4"/>
  <c r="Q1288" i="4"/>
  <c r="Q1289" i="4"/>
  <c r="Q1290" i="4"/>
  <c r="Q1291" i="4"/>
  <c r="Q1293" i="4"/>
  <c r="Q1294" i="4"/>
  <c r="Q1295" i="4"/>
  <c r="Q1296" i="4"/>
  <c r="Q1297" i="4"/>
  <c r="Q1298" i="4"/>
  <c r="Q1299" i="4"/>
  <c r="Q1300" i="4"/>
  <c r="Q1301" i="4"/>
  <c r="Q1302" i="4"/>
  <c r="Q1304" i="4"/>
  <c r="Q1305" i="4"/>
  <c r="Q1306" i="4"/>
  <c r="Q1307" i="4"/>
  <c r="Q1308" i="4"/>
  <c r="Q1309" i="4"/>
  <c r="Q1310" i="4"/>
  <c r="Q1311" i="4"/>
  <c r="Q1312" i="4"/>
  <c r="Q1313" i="4"/>
  <c r="Q1315" i="4"/>
  <c r="Q1316" i="4"/>
  <c r="Q1317" i="4"/>
  <c r="Q1318" i="4"/>
  <c r="Q1319" i="4"/>
  <c r="Q1320" i="4"/>
  <c r="Q1321" i="4"/>
  <c r="Q1322" i="4"/>
  <c r="Q1323" i="4"/>
  <c r="Q1324" i="4"/>
  <c r="Q1326" i="4"/>
  <c r="Q1327" i="4"/>
  <c r="Q1328" i="4"/>
  <c r="Q1329" i="4"/>
  <c r="Q1330" i="4"/>
  <c r="Q1331" i="4"/>
  <c r="Q1332" i="4"/>
  <c r="Q1333" i="4"/>
  <c r="Q1334" i="4"/>
  <c r="Q1335" i="4"/>
  <c r="Q1338" i="4"/>
  <c r="Q1339" i="4"/>
  <c r="Q1340" i="4"/>
  <c r="Q1341" i="4"/>
  <c r="Q1342" i="4"/>
  <c r="Q1343" i="4"/>
  <c r="Q1344" i="4"/>
  <c r="Q1345" i="4"/>
  <c r="Q1346" i="4"/>
  <c r="Q1347" i="4"/>
  <c r="Q1349" i="4"/>
  <c r="Q1350" i="4"/>
  <c r="Q1351" i="4"/>
  <c r="Q1352" i="4"/>
  <c r="Q1353" i="4"/>
  <c r="Q1354" i="4"/>
  <c r="Q1355" i="4"/>
  <c r="Q1356" i="4"/>
  <c r="Q1357" i="4"/>
  <c r="Q1358" i="4"/>
  <c r="Q1360" i="4"/>
  <c r="Q1361" i="4"/>
  <c r="Q1362" i="4"/>
  <c r="Q1363" i="4"/>
  <c r="Q1364" i="4"/>
  <c r="Q1365" i="4"/>
  <c r="Q1366" i="4"/>
  <c r="Q1367" i="4"/>
  <c r="Q1368" i="4"/>
  <c r="Q1369" i="4"/>
  <c r="Q1371" i="4"/>
  <c r="Q1372" i="4"/>
  <c r="Q1373" i="4"/>
  <c r="Q1374" i="4"/>
  <c r="Q1375" i="4"/>
  <c r="Q1376" i="4"/>
  <c r="Q1377" i="4"/>
  <c r="Q1378" i="4"/>
  <c r="Q1379" i="4"/>
  <c r="Q1380" i="4"/>
  <c r="Q1382" i="4"/>
  <c r="Q1383" i="4"/>
  <c r="Q1384" i="4"/>
  <c r="Q1385" i="4"/>
  <c r="Q1386" i="4"/>
  <c r="Q1387" i="4"/>
  <c r="Q1388" i="4"/>
  <c r="Q1389" i="4"/>
  <c r="Q1390" i="4"/>
  <c r="Q1391" i="4"/>
  <c r="Q1393" i="4"/>
  <c r="Q1394" i="4"/>
  <c r="Q1395" i="4"/>
  <c r="Q1396" i="4"/>
  <c r="Q1397" i="4"/>
  <c r="Q1398" i="4"/>
  <c r="Q1399" i="4"/>
  <c r="Q1400" i="4"/>
  <c r="Q1401" i="4"/>
  <c r="Q1402" i="4"/>
  <c r="Q1404" i="4"/>
  <c r="Q1405" i="4"/>
  <c r="Q1406" i="4"/>
  <c r="Q1407" i="4"/>
  <c r="Q1408" i="4"/>
  <c r="Q1409" i="4"/>
  <c r="Q1410" i="4"/>
  <c r="Q1411" i="4"/>
  <c r="Q1412" i="4"/>
  <c r="Q1413" i="4"/>
  <c r="Q1415" i="4"/>
  <c r="Q1416" i="4"/>
  <c r="Q1417" i="4"/>
  <c r="Q1418" i="4"/>
  <c r="Q1419" i="4"/>
  <c r="Q1420" i="4"/>
  <c r="Q1421" i="4"/>
  <c r="Q1422" i="4"/>
  <c r="Q1423" i="4"/>
  <c r="Q1424" i="4"/>
  <c r="Q1426" i="4"/>
  <c r="Q1427" i="4"/>
  <c r="Q1428" i="4"/>
  <c r="Q1429" i="4"/>
  <c r="Q1430" i="4"/>
  <c r="Q1431" i="4"/>
  <c r="Q1432" i="4"/>
  <c r="Q1433" i="4"/>
  <c r="Q1434" i="4"/>
  <c r="Q1435" i="4"/>
  <c r="Q1437" i="4"/>
  <c r="Q1438" i="4"/>
  <c r="Q1439" i="4"/>
  <c r="Q1440" i="4"/>
  <c r="Q1441" i="4"/>
  <c r="Q1442" i="4"/>
  <c r="Q1443" i="4"/>
  <c r="Q1444" i="4"/>
  <c r="Q1445" i="4"/>
  <c r="Q1446" i="4"/>
  <c r="Q1449" i="4"/>
  <c r="Q1450" i="4"/>
  <c r="Q1451" i="4"/>
  <c r="Q1452" i="4"/>
  <c r="Q1453" i="4"/>
  <c r="Q1454" i="4"/>
  <c r="Q1455" i="4"/>
  <c r="Q1456" i="4"/>
  <c r="Q1457" i="4"/>
  <c r="Q1458" i="4"/>
  <c r="Q1460" i="4"/>
  <c r="Q1461" i="4"/>
  <c r="Q1462" i="4"/>
  <c r="Q1463" i="4"/>
  <c r="Q1464" i="4"/>
  <c r="Q1465" i="4"/>
  <c r="Q1466" i="4"/>
  <c r="Q1467" i="4"/>
  <c r="Q1468" i="4"/>
  <c r="Q1469" i="4"/>
  <c r="Q1471" i="4"/>
  <c r="Q1472" i="4"/>
  <c r="Q1473" i="4"/>
  <c r="Q1474" i="4"/>
  <c r="Q1475" i="4"/>
  <c r="Q1476" i="4"/>
  <c r="Q1477" i="4"/>
  <c r="Q1478" i="4"/>
  <c r="Q1479" i="4"/>
  <c r="Q1480" i="4"/>
  <c r="Q1482" i="4"/>
  <c r="Q1483" i="4"/>
  <c r="Q1484" i="4"/>
  <c r="Q1485" i="4"/>
  <c r="Q1486" i="4"/>
  <c r="Q1487" i="4"/>
  <c r="Q1488" i="4"/>
  <c r="Q1489" i="4"/>
  <c r="Q1490" i="4"/>
  <c r="Q1491" i="4"/>
  <c r="Q1493" i="4"/>
  <c r="Q1494" i="4"/>
  <c r="Q1495" i="4"/>
  <c r="Q1496" i="4"/>
  <c r="Q1497" i="4"/>
  <c r="Q1498" i="4"/>
  <c r="Q1499" i="4"/>
  <c r="Q1500" i="4"/>
  <c r="Q1501" i="4"/>
  <c r="Q1502" i="4"/>
  <c r="Q1504" i="4"/>
  <c r="Q1505" i="4"/>
  <c r="Q1506" i="4"/>
  <c r="Q1507" i="4"/>
  <c r="Q1508" i="4"/>
  <c r="Q1509" i="4"/>
  <c r="Q1510" i="4"/>
  <c r="Q1511" i="4"/>
  <c r="Q1512" i="4"/>
  <c r="Q1513" i="4"/>
  <c r="Q1515" i="4"/>
  <c r="Q1516" i="4"/>
  <c r="Q1517" i="4"/>
  <c r="Q1518" i="4"/>
  <c r="Q1519" i="4"/>
  <c r="Q1520" i="4"/>
  <c r="Q1521" i="4"/>
  <c r="Q1522" i="4"/>
  <c r="Q1523" i="4"/>
  <c r="Q1524" i="4"/>
  <c r="Q1526" i="4"/>
  <c r="Q1527" i="4"/>
  <c r="Q1528" i="4"/>
  <c r="Q1529" i="4"/>
  <c r="Q1530" i="4"/>
  <c r="Q1531" i="4"/>
  <c r="Q1532" i="4"/>
  <c r="Q1533" i="4"/>
  <c r="Q1534" i="4"/>
  <c r="Q1535" i="4"/>
  <c r="Q1537" i="4"/>
  <c r="Q1538" i="4"/>
  <c r="Q1539" i="4"/>
  <c r="Q1540" i="4"/>
  <c r="Q1541" i="4"/>
  <c r="Q1542" i="4"/>
  <c r="Q1543" i="4"/>
  <c r="Q1544" i="4"/>
  <c r="Q1545" i="4"/>
  <c r="Q1546" i="4"/>
  <c r="Q1548" i="4"/>
  <c r="Q1549" i="4"/>
  <c r="Q1550" i="4"/>
  <c r="Q1551" i="4"/>
  <c r="Q1552" i="4"/>
  <c r="Q1553" i="4"/>
  <c r="Q1554" i="4"/>
  <c r="Q1555" i="4"/>
  <c r="Q1556" i="4"/>
  <c r="Q1557" i="4"/>
  <c r="Q1560" i="4"/>
  <c r="Q1561" i="4"/>
  <c r="Q1562" i="4"/>
  <c r="Q1563" i="4"/>
  <c r="Q1564" i="4"/>
  <c r="Q1565" i="4"/>
  <c r="Q1566" i="4"/>
  <c r="Q1567" i="4"/>
  <c r="Q1568" i="4"/>
  <c r="Q1569" i="4"/>
  <c r="Q1571" i="4"/>
  <c r="Q1572" i="4"/>
  <c r="Q1573" i="4"/>
  <c r="Q1574" i="4"/>
  <c r="Q1575" i="4"/>
  <c r="Q1576" i="4"/>
  <c r="Q1577" i="4"/>
  <c r="Q1578" i="4"/>
  <c r="Q1579" i="4"/>
  <c r="Q1580" i="4"/>
  <c r="Q1582" i="4"/>
  <c r="Q1583" i="4"/>
  <c r="Q1584" i="4"/>
  <c r="Q1585" i="4"/>
  <c r="Q1586" i="4"/>
  <c r="Q1587" i="4"/>
  <c r="Q1588" i="4"/>
  <c r="Q1589" i="4"/>
  <c r="Q1590" i="4"/>
  <c r="Q1591" i="4"/>
  <c r="Q1593" i="4"/>
  <c r="Q1594" i="4"/>
  <c r="Q1595" i="4"/>
  <c r="Q1596" i="4"/>
  <c r="Q1597" i="4"/>
  <c r="Q1598" i="4"/>
  <c r="Q1599" i="4"/>
  <c r="Q1600" i="4"/>
  <c r="Q1601" i="4"/>
  <c r="Q1602" i="4"/>
  <c r="Q1604" i="4"/>
  <c r="Q1605" i="4"/>
  <c r="Q1606" i="4"/>
  <c r="Q1607" i="4"/>
  <c r="Q1608" i="4"/>
  <c r="Q1609" i="4"/>
  <c r="Q1610" i="4"/>
  <c r="Q1611" i="4"/>
  <c r="Q1612" i="4"/>
  <c r="Q1613" i="4"/>
  <c r="Q1615" i="4"/>
  <c r="Q1616" i="4"/>
  <c r="Q1617" i="4"/>
  <c r="Q1618" i="4"/>
  <c r="Q1619" i="4"/>
  <c r="Q1620" i="4"/>
  <c r="Q1621" i="4"/>
  <c r="Q1622" i="4"/>
  <c r="Q1623" i="4"/>
  <c r="Q1624" i="4"/>
  <c r="Q1626" i="4"/>
  <c r="Q1627" i="4"/>
  <c r="Q1628" i="4"/>
  <c r="Q1629" i="4"/>
  <c r="Q1630" i="4"/>
  <c r="Q1631" i="4"/>
  <c r="Q1632" i="4"/>
  <c r="Q1633" i="4"/>
  <c r="Q1634" i="4"/>
  <c r="Q1635" i="4"/>
  <c r="Q1637" i="4"/>
  <c r="Q1638" i="4"/>
  <c r="Q1639" i="4"/>
  <c r="Q1640" i="4"/>
  <c r="Q1641" i="4"/>
  <c r="Q1642" i="4"/>
  <c r="Q1643" i="4"/>
  <c r="Q1644" i="4"/>
  <c r="Q1645" i="4"/>
  <c r="Q1646" i="4"/>
  <c r="Q1648" i="4"/>
  <c r="Q1649" i="4"/>
  <c r="Q1650" i="4"/>
  <c r="Q1651" i="4"/>
  <c r="Q1652" i="4"/>
  <c r="Q1653" i="4"/>
  <c r="Q1654" i="4"/>
  <c r="Q1655" i="4"/>
  <c r="Q1656" i="4"/>
  <c r="Q1657" i="4"/>
  <c r="Q1659" i="4"/>
  <c r="Q1660" i="4"/>
  <c r="Q1661" i="4"/>
  <c r="Q1662" i="4"/>
  <c r="Q1663" i="4"/>
  <c r="Q1664" i="4"/>
  <c r="Q1665" i="4"/>
  <c r="Q1666" i="4"/>
  <c r="Q1667" i="4"/>
  <c r="Q1668" i="4"/>
  <c r="Q1671" i="4"/>
  <c r="Q1672" i="4"/>
  <c r="Q1673" i="4"/>
  <c r="Q1674" i="4"/>
  <c r="Q1675" i="4"/>
  <c r="Q1676" i="4"/>
  <c r="Q1677" i="4"/>
  <c r="Q1678" i="4"/>
  <c r="Q1679" i="4"/>
  <c r="Q1680" i="4"/>
  <c r="Q1682" i="4"/>
  <c r="Q1683" i="4"/>
  <c r="Q1684" i="4"/>
  <c r="Q1685" i="4"/>
  <c r="Q1686" i="4"/>
  <c r="Q1687" i="4"/>
  <c r="Q1688" i="4"/>
  <c r="Q1689" i="4"/>
  <c r="Q1690" i="4"/>
  <c r="Q1691" i="4"/>
  <c r="Q1693" i="4"/>
  <c r="Q1694" i="4"/>
  <c r="Q1695" i="4"/>
  <c r="Q1696" i="4"/>
  <c r="Q1697" i="4"/>
  <c r="Q1698" i="4"/>
  <c r="Q1699" i="4"/>
  <c r="Q1700" i="4"/>
  <c r="Q1701" i="4"/>
  <c r="Q1702" i="4"/>
  <c r="Q1704" i="4"/>
  <c r="Q1705" i="4"/>
  <c r="Q1706" i="4"/>
  <c r="Q1707" i="4"/>
  <c r="Q1708" i="4"/>
  <c r="Q1709" i="4"/>
  <c r="Q1710" i="4"/>
  <c r="Q1711" i="4"/>
  <c r="Q1712" i="4"/>
  <c r="Q1713" i="4"/>
  <c r="Q1715" i="4"/>
  <c r="Q1716" i="4"/>
  <c r="Q1717" i="4"/>
  <c r="Q1718" i="4"/>
  <c r="Q1719" i="4"/>
  <c r="Q1720" i="4"/>
  <c r="Q1721" i="4"/>
  <c r="Q1722" i="4"/>
  <c r="Q1723" i="4"/>
  <c r="Q1724" i="4"/>
  <c r="Q1726" i="4"/>
  <c r="Q1727" i="4"/>
  <c r="Q1728" i="4"/>
  <c r="Q1729" i="4"/>
  <c r="Q1730" i="4"/>
  <c r="Q1731" i="4"/>
  <c r="Q1732" i="4"/>
  <c r="Q1733" i="4"/>
  <c r="Q1734" i="4"/>
  <c r="Q1735" i="4"/>
  <c r="Q1737" i="4"/>
  <c r="Q1738" i="4"/>
  <c r="Q1739" i="4"/>
  <c r="Q1740" i="4"/>
  <c r="Q1741" i="4"/>
  <c r="Q1742" i="4"/>
  <c r="Q1743" i="4"/>
  <c r="Q1744" i="4"/>
  <c r="Q1745" i="4"/>
  <c r="Q1746" i="4"/>
  <c r="Q1748" i="4"/>
  <c r="Q1749" i="4"/>
  <c r="Q1750" i="4"/>
  <c r="Q1751" i="4"/>
  <c r="Q1752" i="4"/>
  <c r="Q1753" i="4"/>
  <c r="Q1754" i="4"/>
  <c r="Q1755" i="4"/>
  <c r="Q1756" i="4"/>
  <c r="Q1757" i="4"/>
  <c r="Q1759" i="4"/>
  <c r="Q1760" i="4"/>
  <c r="Q1761" i="4"/>
  <c r="Q1762" i="4"/>
  <c r="Q1763" i="4"/>
  <c r="Q1764" i="4"/>
  <c r="Q1765" i="4"/>
  <c r="Q1766" i="4"/>
  <c r="Q1767" i="4"/>
  <c r="Q1768" i="4"/>
  <c r="Q1770" i="4"/>
  <c r="Q1771" i="4"/>
  <c r="Q1772" i="4"/>
  <c r="Q1773" i="4"/>
  <c r="Q1774" i="4"/>
  <c r="Q1775" i="4"/>
  <c r="Q1776" i="4"/>
  <c r="Q1777" i="4"/>
  <c r="Q1778" i="4"/>
  <c r="Q1779" i="4"/>
  <c r="Q1782" i="4"/>
  <c r="Q1783" i="4"/>
  <c r="Q1784" i="4"/>
  <c r="Q1785" i="4"/>
  <c r="Q1786" i="4"/>
  <c r="Q1787" i="4"/>
  <c r="Q1788" i="4"/>
  <c r="Q1789" i="4"/>
  <c r="Q1790" i="4"/>
  <c r="Q1791" i="4"/>
  <c r="Q1793" i="4"/>
  <c r="Q1794" i="4"/>
  <c r="Q1795" i="4"/>
  <c r="Q1796" i="4"/>
  <c r="Q1797" i="4"/>
  <c r="Q1798" i="4"/>
  <c r="Q1799" i="4"/>
  <c r="Q1800" i="4"/>
  <c r="Q1801" i="4"/>
  <c r="Q1802" i="4"/>
  <c r="Q1804" i="4"/>
  <c r="Q1805" i="4"/>
  <c r="Q1806" i="4"/>
  <c r="Q1807" i="4"/>
  <c r="Q1808" i="4"/>
  <c r="Q1809" i="4"/>
  <c r="Q1810" i="4"/>
  <c r="Q1811" i="4"/>
  <c r="Q1812" i="4"/>
  <c r="Q1813" i="4"/>
  <c r="Q1815" i="4"/>
  <c r="Q1816" i="4"/>
  <c r="Q1817" i="4"/>
  <c r="Q1818" i="4"/>
  <c r="Q1819" i="4"/>
  <c r="Q1820" i="4"/>
  <c r="Q1821" i="4"/>
  <c r="Q1822" i="4"/>
  <c r="Q1823" i="4"/>
  <c r="Q1824" i="4"/>
  <c r="Q1826" i="4"/>
  <c r="Q1827" i="4"/>
  <c r="Q1828" i="4"/>
  <c r="Q1829" i="4"/>
  <c r="Q1830" i="4"/>
  <c r="Q1831" i="4"/>
  <c r="Q1832" i="4"/>
  <c r="Q1833" i="4"/>
  <c r="Q1834" i="4"/>
  <c r="Q1835" i="4"/>
  <c r="Q1837" i="4"/>
  <c r="Q1838" i="4"/>
  <c r="Q1839" i="4"/>
  <c r="Q1840" i="4"/>
  <c r="Q1841" i="4"/>
  <c r="Q1842" i="4"/>
  <c r="Q1843" i="4"/>
  <c r="Q1844" i="4"/>
  <c r="Q1845" i="4"/>
  <c r="Q1846" i="4"/>
  <c r="Q1848" i="4"/>
  <c r="Q1849" i="4"/>
  <c r="Q1850" i="4"/>
  <c r="Q1851" i="4"/>
  <c r="Q1852" i="4"/>
  <c r="Q1853" i="4"/>
  <c r="Q1854" i="4"/>
  <c r="Q1855" i="4"/>
  <c r="Q1856" i="4"/>
  <c r="Q1857" i="4"/>
  <c r="Q1859" i="4"/>
  <c r="Q1860" i="4"/>
  <c r="Q1861" i="4"/>
  <c r="Q1862" i="4"/>
  <c r="Q1863" i="4"/>
  <c r="Q1864" i="4"/>
  <c r="Q1865" i="4"/>
  <c r="Q1866" i="4"/>
  <c r="Q1867" i="4"/>
  <c r="Q1868" i="4"/>
  <c r="Q1870" i="4"/>
  <c r="Q1871" i="4"/>
  <c r="Q1872" i="4"/>
  <c r="Q1873" i="4"/>
  <c r="Q1874" i="4"/>
  <c r="Q1875" i="4"/>
  <c r="Q1876" i="4"/>
  <c r="Q1877" i="4"/>
  <c r="Q1878" i="4"/>
  <c r="Q1879" i="4"/>
  <c r="Q1881" i="4"/>
  <c r="Q1882" i="4"/>
  <c r="Q1883" i="4"/>
  <c r="Q1884" i="4"/>
  <c r="Q1885" i="4"/>
  <c r="Q1886" i="4"/>
  <c r="Q1887" i="4"/>
  <c r="Q1888" i="4"/>
  <c r="Q1889" i="4"/>
  <c r="Q1890" i="4"/>
  <c r="Q1893" i="4"/>
  <c r="Q1894" i="4"/>
  <c r="Q1895" i="4"/>
  <c r="Q1896" i="4"/>
  <c r="Q1897" i="4"/>
  <c r="Q1898" i="4"/>
  <c r="Q1899" i="4"/>
  <c r="Q1900" i="4"/>
  <c r="Q1901" i="4"/>
  <c r="Q1902" i="4"/>
  <c r="Q1904" i="4"/>
  <c r="Q1905" i="4"/>
  <c r="Q1906" i="4"/>
  <c r="Q1907" i="4"/>
  <c r="Q1908" i="4"/>
  <c r="Q1909" i="4"/>
  <c r="Q1910" i="4"/>
  <c r="Q1911" i="4"/>
  <c r="Q1912" i="4"/>
  <c r="Q1913" i="4"/>
  <c r="Q1915" i="4"/>
  <c r="Q1916" i="4"/>
  <c r="Q1917" i="4"/>
  <c r="Q1918" i="4"/>
  <c r="Q1919" i="4"/>
  <c r="Q1920" i="4"/>
  <c r="Q1921" i="4"/>
  <c r="Q1922" i="4"/>
  <c r="Q1923" i="4"/>
  <c r="Q1924" i="4"/>
  <c r="Q1926" i="4"/>
  <c r="Q1927" i="4"/>
  <c r="Q1928" i="4"/>
  <c r="Q1929" i="4"/>
  <c r="Q1930" i="4"/>
  <c r="Q1931" i="4"/>
  <c r="Q1932" i="4"/>
  <c r="Q1933" i="4"/>
  <c r="Q1934" i="4"/>
  <c r="Q1935" i="4"/>
  <c r="Q1937" i="4"/>
  <c r="Q1938" i="4"/>
  <c r="Q1939" i="4"/>
  <c r="Q1940" i="4"/>
  <c r="Q1941" i="4"/>
  <c r="Q1942" i="4"/>
  <c r="Q1943" i="4"/>
  <c r="Q1944" i="4"/>
  <c r="Q1945" i="4"/>
  <c r="Q1946" i="4"/>
  <c r="Q1948" i="4"/>
  <c r="Q1949" i="4"/>
  <c r="Q1950" i="4"/>
  <c r="Q1951" i="4"/>
  <c r="Q1952" i="4"/>
  <c r="Q1953" i="4"/>
  <c r="Q1954" i="4"/>
  <c r="Q1955" i="4"/>
  <c r="Q1956" i="4"/>
  <c r="Q1957" i="4"/>
  <c r="Q1959" i="4"/>
  <c r="Q1960" i="4"/>
  <c r="Q1961" i="4"/>
  <c r="Q1962" i="4"/>
  <c r="Q1963" i="4"/>
  <c r="Q1964" i="4"/>
  <c r="Q1965" i="4"/>
  <c r="Q1966" i="4"/>
  <c r="Q1967" i="4"/>
  <c r="Q1968" i="4"/>
  <c r="Q1970" i="4"/>
  <c r="Q1971" i="4"/>
  <c r="Q1972" i="4"/>
  <c r="Q1973" i="4"/>
  <c r="Q1974" i="4"/>
  <c r="Q1975" i="4"/>
  <c r="Q1976" i="4"/>
  <c r="Q1977" i="4"/>
  <c r="Q1978" i="4"/>
  <c r="Q1979" i="4"/>
  <c r="Q1981" i="4"/>
  <c r="Q1982" i="4"/>
  <c r="Q1983" i="4"/>
  <c r="Q1984" i="4"/>
  <c r="Q1985" i="4"/>
  <c r="Q1986" i="4"/>
  <c r="Q1987" i="4"/>
  <c r="Q1988" i="4"/>
  <c r="Q1989" i="4"/>
  <c r="Q1990" i="4"/>
  <c r="Q1992" i="4"/>
  <c r="Q1993" i="4"/>
  <c r="Q1994" i="4"/>
  <c r="Q1995" i="4"/>
  <c r="Q1996" i="4"/>
  <c r="Q1997" i="4"/>
  <c r="Q1998" i="4"/>
  <c r="Q1999" i="4"/>
  <c r="Q2000" i="4"/>
  <c r="Q2001" i="4"/>
  <c r="Q6" i="4"/>
  <c r="Q7" i="4"/>
  <c r="Q8" i="4"/>
  <c r="Q9" i="4"/>
  <c r="Q10" i="4"/>
  <c r="Q11" i="4"/>
  <c r="Q12" i="4"/>
  <c r="Q13" i="4"/>
  <c r="Q14" i="4"/>
  <c r="Q15" i="4"/>
  <c r="Q17" i="4"/>
  <c r="Q18" i="4"/>
  <c r="Q19" i="4"/>
  <c r="Q20" i="4"/>
  <c r="Q21" i="4"/>
  <c r="Q22" i="4"/>
  <c r="Q23" i="4"/>
  <c r="Q24" i="4"/>
  <c r="Q25" i="4"/>
  <c r="Q26" i="4"/>
  <c r="Q28" i="4"/>
  <c r="Q29" i="4"/>
  <c r="Q30" i="4"/>
  <c r="Q31" i="4"/>
  <c r="Q32" i="4"/>
  <c r="Q33" i="4"/>
  <c r="Q34" i="4"/>
  <c r="Q35" i="4"/>
  <c r="Q36" i="4"/>
  <c r="Q37" i="4"/>
  <c r="Q39" i="4"/>
  <c r="Q40" i="4"/>
  <c r="Q41" i="4"/>
  <c r="Q42" i="4"/>
  <c r="Q43" i="4"/>
  <c r="Q44" i="4"/>
  <c r="Q45" i="4"/>
  <c r="Q46" i="4"/>
  <c r="Q47" i="4"/>
  <c r="Q48" i="4"/>
  <c r="Q50" i="4"/>
  <c r="Q51" i="4"/>
  <c r="Q52" i="4"/>
  <c r="Q53" i="4"/>
  <c r="Q54" i="4"/>
  <c r="Q55" i="4"/>
  <c r="Q56" i="4"/>
  <c r="Q57" i="4"/>
  <c r="Q58" i="4"/>
  <c r="Q59" i="4"/>
  <c r="Q61" i="4"/>
  <c r="Q62" i="4"/>
  <c r="Q63" i="4"/>
  <c r="Q64" i="4"/>
  <c r="Q65" i="4"/>
  <c r="Q66" i="4"/>
  <c r="Q67" i="4"/>
  <c r="Q68" i="4"/>
  <c r="Q69" i="4"/>
  <c r="Q70" i="4"/>
  <c r="Q72" i="4"/>
  <c r="Q73" i="4"/>
  <c r="Q74" i="4"/>
  <c r="Q75" i="4"/>
  <c r="Q76" i="4"/>
  <c r="Q77" i="4"/>
  <c r="Q78" i="4"/>
  <c r="Q79" i="4"/>
  <c r="Q80" i="4"/>
  <c r="Q81" i="4"/>
  <c r="Q83" i="4"/>
  <c r="Q84" i="4"/>
  <c r="Q85" i="4"/>
  <c r="Q86" i="4"/>
  <c r="Q87" i="4"/>
  <c r="Q88" i="4"/>
  <c r="Q89" i="4"/>
  <c r="Q90" i="4"/>
  <c r="Q91" i="4"/>
  <c r="Q92" i="4"/>
  <c r="Q94" i="4"/>
  <c r="Q95" i="4"/>
  <c r="Q96" i="4"/>
  <c r="Q97" i="4"/>
  <c r="Q98" i="4"/>
  <c r="Q99" i="4"/>
  <c r="Q100" i="4"/>
  <c r="Q101" i="4"/>
  <c r="Q102" i="4"/>
  <c r="Q103" i="4"/>
  <c r="Q105" i="4"/>
  <c r="Q106" i="4"/>
  <c r="Q107" i="4"/>
  <c r="Q108" i="4"/>
  <c r="Q109" i="4"/>
  <c r="Q110" i="4"/>
  <c r="Q111" i="4"/>
  <c r="Q112" i="4"/>
  <c r="Q113" i="4"/>
  <c r="Q114" i="4"/>
  <c r="Q117" i="4"/>
  <c r="Q118" i="4"/>
  <c r="Q119" i="4"/>
  <c r="Q120" i="4"/>
  <c r="Q121" i="4"/>
  <c r="Q122" i="4"/>
  <c r="Q123" i="4"/>
  <c r="Q124" i="4"/>
  <c r="Q125" i="4"/>
  <c r="Q126" i="4"/>
  <c r="Q128" i="4"/>
  <c r="Q129" i="4"/>
  <c r="Q130" i="4"/>
  <c r="Q131" i="4"/>
  <c r="Q132" i="4"/>
  <c r="Q133" i="4"/>
  <c r="Q134" i="4"/>
  <c r="Q135" i="4"/>
  <c r="Q136" i="4"/>
  <c r="Q137" i="4"/>
  <c r="Q139" i="4"/>
  <c r="Q140" i="4"/>
  <c r="Q141" i="4"/>
  <c r="Q142" i="4"/>
  <c r="Q143" i="4"/>
  <c r="Q144" i="4"/>
  <c r="Q145" i="4"/>
  <c r="Q146" i="4"/>
  <c r="Q147" i="4"/>
  <c r="I48" i="7" s="1"/>
  <c r="Q148" i="4"/>
  <c r="Q150" i="4"/>
  <c r="Q151" i="4"/>
  <c r="Q152" i="4"/>
  <c r="Q153" i="4"/>
  <c r="Q154" i="4"/>
  <c r="Q155" i="4"/>
  <c r="Q156" i="4"/>
  <c r="Q157" i="4"/>
  <c r="Q158" i="4"/>
  <c r="Q159" i="4"/>
  <c r="Q161" i="4"/>
  <c r="Q162" i="4"/>
  <c r="Q163" i="4"/>
  <c r="Q164" i="4"/>
  <c r="Q165" i="4"/>
  <c r="Q166" i="4"/>
  <c r="Q167" i="4"/>
  <c r="Q168" i="4"/>
  <c r="Q169" i="4"/>
  <c r="Q170" i="4"/>
  <c r="Q172" i="4"/>
  <c r="Q173" i="4"/>
  <c r="Q174" i="4"/>
  <c r="Q175" i="4"/>
  <c r="Q176" i="4"/>
  <c r="Q177" i="4"/>
  <c r="Q178" i="4"/>
  <c r="Q179" i="4"/>
  <c r="Q180" i="4"/>
  <c r="Q181" i="4"/>
  <c r="Q183" i="4"/>
  <c r="Q184" i="4"/>
  <c r="Q185" i="4"/>
  <c r="Q186" i="4"/>
  <c r="Q187" i="4"/>
  <c r="Q188" i="4"/>
  <c r="Q189" i="4"/>
  <c r="Q190" i="4"/>
  <c r="Q191" i="4"/>
  <c r="Q192" i="4"/>
  <c r="Q194" i="4"/>
  <c r="Q195" i="4"/>
  <c r="Q196" i="4"/>
  <c r="Q197" i="4"/>
  <c r="Q198" i="4"/>
  <c r="Q199" i="4"/>
  <c r="Q200" i="4"/>
  <c r="Q201" i="4"/>
  <c r="Q202" i="4"/>
  <c r="Q203" i="4"/>
  <c r="Q205" i="4"/>
  <c r="Q206" i="4"/>
  <c r="Q207" i="4"/>
  <c r="Q208" i="4"/>
  <c r="Q209" i="4"/>
  <c r="Q210" i="4"/>
  <c r="Q211" i="4"/>
  <c r="Q212" i="4"/>
  <c r="Q213" i="4"/>
  <c r="Q214" i="4"/>
  <c r="Q216" i="4"/>
  <c r="Q217" i="4"/>
  <c r="Q218" i="4"/>
  <c r="Q219" i="4"/>
  <c r="Q220" i="4"/>
  <c r="Q221" i="4"/>
  <c r="Q222" i="4"/>
  <c r="Q223" i="4"/>
  <c r="Q224" i="4"/>
  <c r="Q225" i="4"/>
  <c r="Q228" i="4"/>
  <c r="Q229" i="4"/>
  <c r="Q230" i="4"/>
  <c r="Q231" i="4"/>
  <c r="Q232" i="4"/>
  <c r="Q233" i="4"/>
  <c r="Q234" i="4"/>
  <c r="Q235" i="4"/>
  <c r="Q236" i="4"/>
  <c r="Q237" i="4"/>
  <c r="Q239" i="4"/>
  <c r="Q240" i="4"/>
  <c r="Q241" i="4"/>
  <c r="Q242" i="4"/>
  <c r="Q243" i="4"/>
  <c r="Q244" i="4"/>
  <c r="Q245" i="4"/>
  <c r="Q246" i="4"/>
  <c r="Q247" i="4"/>
  <c r="Q248" i="4"/>
  <c r="Q250" i="4"/>
  <c r="Q251" i="4"/>
  <c r="Q252" i="4"/>
  <c r="Q253" i="4"/>
  <c r="Q254" i="4"/>
  <c r="Q255" i="4"/>
  <c r="Q256" i="4"/>
  <c r="Q257" i="4"/>
  <c r="Q258" i="4"/>
  <c r="Q259" i="4"/>
  <c r="Q261" i="4"/>
  <c r="Q262" i="4"/>
  <c r="Q263" i="4"/>
  <c r="Q264" i="4"/>
  <c r="Q265" i="4"/>
  <c r="Q266" i="4"/>
  <c r="Q267" i="4"/>
  <c r="Q268" i="4"/>
  <c r="Q269" i="4"/>
  <c r="Q270" i="4"/>
  <c r="Q272" i="4"/>
  <c r="Q273" i="4"/>
  <c r="Q274" i="4"/>
  <c r="Q275" i="4"/>
  <c r="Q276" i="4"/>
  <c r="Q277" i="4"/>
  <c r="Q278" i="4"/>
  <c r="Q279" i="4"/>
  <c r="Q280" i="4"/>
  <c r="Q281" i="4"/>
  <c r="Q283" i="4"/>
  <c r="Q284" i="4"/>
  <c r="Q285" i="4"/>
  <c r="Q286" i="4"/>
  <c r="Q287" i="4"/>
  <c r="Q288" i="4"/>
  <c r="Q289" i="4"/>
  <c r="Q290" i="4"/>
  <c r="Q291" i="4"/>
  <c r="Q292" i="4"/>
  <c r="Q294" i="4"/>
  <c r="Q295" i="4"/>
  <c r="Q296" i="4"/>
  <c r="Q297" i="4"/>
  <c r="Q298" i="4"/>
  <c r="Q299" i="4"/>
  <c r="Q300" i="4"/>
  <c r="Q301" i="4"/>
  <c r="Q302" i="4"/>
  <c r="Q303" i="4"/>
  <c r="Q305" i="4"/>
  <c r="Q306" i="4"/>
  <c r="Q307" i="4"/>
  <c r="Q308" i="4"/>
  <c r="Q309" i="4"/>
  <c r="Q310" i="4"/>
  <c r="Q311" i="4"/>
  <c r="Q312" i="4"/>
  <c r="Q313" i="4"/>
  <c r="Q314" i="4"/>
  <c r="Q316" i="4"/>
  <c r="Q317" i="4"/>
  <c r="Q318" i="4"/>
  <c r="Q319" i="4"/>
  <c r="Q320" i="4"/>
  <c r="Q321" i="4"/>
  <c r="Q322" i="4"/>
  <c r="Q323" i="4"/>
  <c r="Q324" i="4"/>
  <c r="Q325" i="4"/>
  <c r="Q327" i="4"/>
  <c r="Q328" i="4"/>
  <c r="Q329" i="4"/>
  <c r="Q330" i="4"/>
  <c r="Q331" i="4"/>
  <c r="Q332" i="4"/>
  <c r="Q333" i="4"/>
  <c r="Q334" i="4"/>
  <c r="Q335" i="4"/>
  <c r="Q336" i="4"/>
  <c r="Q339" i="4"/>
  <c r="Q340" i="4"/>
  <c r="Q341" i="4"/>
  <c r="Q342" i="4"/>
  <c r="Q343" i="4"/>
  <c r="Q344" i="4"/>
  <c r="Q345" i="4"/>
  <c r="Q346" i="4"/>
  <c r="Q347" i="4"/>
  <c r="Q348" i="4"/>
  <c r="Q350" i="4"/>
  <c r="Q351" i="4"/>
  <c r="Q352" i="4"/>
  <c r="Q353" i="4"/>
  <c r="Q354" i="4"/>
  <c r="Q355" i="4"/>
  <c r="Q356" i="4"/>
  <c r="Q357" i="4"/>
  <c r="Q358" i="4"/>
  <c r="Q359" i="4"/>
  <c r="Q361" i="4"/>
  <c r="Q362" i="4"/>
  <c r="Q363" i="4"/>
  <c r="Q364" i="4"/>
  <c r="Q365" i="4"/>
  <c r="Q366" i="4"/>
  <c r="Q367" i="4"/>
  <c r="Q368" i="4"/>
  <c r="Q369" i="4"/>
  <c r="Q370" i="4"/>
  <c r="Q372" i="4"/>
  <c r="Q373" i="4"/>
  <c r="Q374" i="4"/>
  <c r="Q375" i="4"/>
  <c r="Q376" i="4"/>
  <c r="Q377" i="4"/>
  <c r="Q378" i="4"/>
  <c r="Q379" i="4"/>
  <c r="Q380" i="4"/>
  <c r="Q381" i="4"/>
  <c r="Q383" i="4"/>
  <c r="Q384" i="4"/>
  <c r="Q385" i="4"/>
  <c r="Q386" i="4"/>
  <c r="Q387" i="4"/>
  <c r="Q388" i="4"/>
  <c r="Q389" i="4"/>
  <c r="Q390" i="4"/>
  <c r="Q391" i="4"/>
  <c r="Q392" i="4"/>
  <c r="Q394" i="4"/>
  <c r="Q395" i="4"/>
  <c r="Q396" i="4"/>
  <c r="Q397" i="4"/>
  <c r="Q398" i="4"/>
  <c r="Q399" i="4"/>
  <c r="Q400" i="4"/>
  <c r="Q401" i="4"/>
  <c r="Q402" i="4"/>
  <c r="Q403" i="4"/>
  <c r="Q405" i="4"/>
  <c r="Q406" i="4"/>
  <c r="Q407" i="4"/>
  <c r="Q408" i="4"/>
  <c r="Q409" i="4"/>
  <c r="Q410" i="4"/>
  <c r="Q411" i="4"/>
  <c r="Q412" i="4"/>
  <c r="Q413" i="4"/>
  <c r="Q414" i="4"/>
  <c r="Q416" i="4"/>
  <c r="Q417" i="4"/>
  <c r="Q418" i="4"/>
  <c r="Q419" i="4"/>
  <c r="Q420" i="4"/>
  <c r="Q421" i="4"/>
  <c r="Q422" i="4"/>
  <c r="Q423" i="4"/>
  <c r="Q424" i="4"/>
  <c r="Q425" i="4"/>
  <c r="Q427" i="4"/>
  <c r="Q428" i="4"/>
  <c r="Q429" i="4"/>
  <c r="Q430" i="4"/>
  <c r="Q431" i="4"/>
  <c r="Q432" i="4"/>
  <c r="Q433" i="4"/>
  <c r="Q434" i="4"/>
  <c r="Q435" i="4"/>
  <c r="Q436" i="4"/>
  <c r="Q438" i="4"/>
  <c r="Q439" i="4"/>
  <c r="Q440" i="4"/>
  <c r="Q441" i="4"/>
  <c r="Q442" i="4"/>
  <c r="Q443" i="4"/>
  <c r="Q444" i="4"/>
  <c r="Q445" i="4"/>
  <c r="Q446" i="4"/>
  <c r="Q447" i="4"/>
  <c r="Q450" i="4"/>
  <c r="Q451" i="4"/>
  <c r="Q452" i="4"/>
  <c r="Q453" i="4"/>
  <c r="Q454" i="4"/>
  <c r="Q455" i="4"/>
  <c r="Q456" i="4"/>
  <c r="Q457" i="4"/>
  <c r="Q458" i="4"/>
  <c r="Q459" i="4"/>
  <c r="Q461" i="4"/>
  <c r="Q462" i="4"/>
  <c r="Q463" i="4"/>
  <c r="Q464" i="4"/>
  <c r="Q465" i="4"/>
  <c r="Q466" i="4"/>
  <c r="Q467" i="4"/>
  <c r="Q468" i="4"/>
  <c r="Q469" i="4"/>
  <c r="Q470" i="4"/>
  <c r="Q472" i="4"/>
  <c r="Q473" i="4"/>
  <c r="Q474" i="4"/>
  <c r="Q475" i="4"/>
  <c r="Q476" i="4"/>
  <c r="Q477" i="4"/>
  <c r="Q478" i="4"/>
  <c r="Q479" i="4"/>
  <c r="Q480" i="4"/>
  <c r="Q481" i="4"/>
  <c r="Q483" i="4"/>
  <c r="Q484" i="4"/>
  <c r="Q485" i="4"/>
  <c r="Q486" i="4"/>
  <c r="Q487" i="4"/>
  <c r="Q488" i="4"/>
  <c r="Q489" i="4"/>
  <c r="Q490" i="4"/>
  <c r="Q491" i="4"/>
  <c r="Q492" i="4"/>
  <c r="Q494" i="4"/>
  <c r="Q495" i="4"/>
  <c r="Q496" i="4"/>
  <c r="Q497" i="4"/>
  <c r="Q498" i="4"/>
  <c r="Q499" i="4"/>
  <c r="Q500" i="4"/>
  <c r="Q501" i="4"/>
  <c r="Q502" i="4"/>
  <c r="Q503" i="4"/>
  <c r="Q505" i="4"/>
  <c r="Q506" i="4"/>
  <c r="Q507" i="4"/>
  <c r="Q508" i="4"/>
  <c r="Q509" i="4"/>
  <c r="Q510" i="4"/>
  <c r="Q511" i="4"/>
  <c r="Q512" i="4"/>
  <c r="Q513" i="4"/>
  <c r="Q514" i="4"/>
  <c r="Q516" i="4"/>
  <c r="Q517" i="4"/>
  <c r="Q518" i="4"/>
  <c r="Q519" i="4"/>
  <c r="Q520" i="4"/>
  <c r="Q521" i="4"/>
  <c r="Q522" i="4"/>
  <c r="Q523" i="4"/>
  <c r="Q524" i="4"/>
  <c r="Q525" i="4"/>
  <c r="Q527" i="4"/>
  <c r="Q528" i="4"/>
  <c r="Q529" i="4"/>
  <c r="Q530" i="4"/>
  <c r="Q531" i="4"/>
  <c r="Q532" i="4"/>
  <c r="Q533" i="4"/>
  <c r="Q534" i="4"/>
  <c r="Q535" i="4"/>
  <c r="Q536" i="4"/>
  <c r="Q538" i="4"/>
  <c r="Q539" i="4"/>
  <c r="Q540" i="4"/>
  <c r="Q541" i="4"/>
  <c r="Q542" i="4"/>
  <c r="Q543" i="4"/>
  <c r="Q544" i="4"/>
  <c r="Q545" i="4"/>
  <c r="Q546" i="4"/>
  <c r="Q547" i="4"/>
  <c r="Q549" i="4"/>
  <c r="Q550" i="4"/>
  <c r="Q551" i="4"/>
  <c r="Q552" i="4"/>
  <c r="Q553" i="4"/>
  <c r="Q554" i="4"/>
  <c r="Q555" i="4"/>
  <c r="Q556" i="4"/>
  <c r="Q557" i="4"/>
  <c r="Q558" i="4"/>
  <c r="Q561" i="4"/>
  <c r="Q562" i="4"/>
  <c r="Q563" i="4"/>
  <c r="Q564" i="4"/>
  <c r="Q565" i="4"/>
  <c r="Q566" i="4"/>
  <c r="Q567" i="4"/>
  <c r="Q568" i="4"/>
  <c r="Q569" i="4"/>
  <c r="Q570" i="4"/>
  <c r="Q572" i="4"/>
  <c r="Q573" i="4"/>
  <c r="Q574" i="4"/>
  <c r="Q575" i="4"/>
  <c r="Q576" i="4"/>
  <c r="Q577" i="4"/>
  <c r="Q578" i="4"/>
  <c r="Q579" i="4"/>
  <c r="Q580" i="4"/>
  <c r="Q581" i="4"/>
  <c r="Q583" i="4"/>
  <c r="Q584" i="4"/>
  <c r="Q585" i="4"/>
  <c r="Q586" i="4"/>
  <c r="Q587" i="4"/>
  <c r="Q588" i="4"/>
  <c r="Q589" i="4"/>
  <c r="Q590" i="4"/>
  <c r="Q591" i="4"/>
  <c r="Q592" i="4"/>
  <c r="Q594" i="4"/>
  <c r="Q595" i="4"/>
  <c r="Q596" i="4"/>
  <c r="Q597" i="4"/>
  <c r="Q598" i="4"/>
  <c r="Q599" i="4"/>
  <c r="Q600" i="4"/>
  <c r="Q601" i="4"/>
  <c r="Q602" i="4"/>
  <c r="Q603" i="4"/>
  <c r="Q605" i="4"/>
  <c r="Q606" i="4"/>
  <c r="Q607" i="4"/>
  <c r="Q608" i="4"/>
  <c r="Q609" i="4"/>
  <c r="Q610" i="4"/>
  <c r="Q611" i="4"/>
  <c r="Q612" i="4"/>
  <c r="Q613" i="4"/>
  <c r="Q614" i="4"/>
  <c r="Q616" i="4"/>
  <c r="Q617" i="4"/>
  <c r="Q618" i="4"/>
  <c r="Q619" i="4"/>
  <c r="Q620" i="4"/>
  <c r="Q621" i="4"/>
  <c r="Q622" i="4"/>
  <c r="Q623" i="4"/>
  <c r="Q624" i="4"/>
  <c r="Q625" i="4"/>
  <c r="Q627" i="4"/>
  <c r="Q628" i="4"/>
  <c r="Q629" i="4"/>
  <c r="Q630" i="4"/>
  <c r="Q631" i="4"/>
  <c r="Q632" i="4"/>
  <c r="Q633" i="4"/>
  <c r="Q634" i="4"/>
  <c r="Q635" i="4"/>
  <c r="Q636" i="4"/>
  <c r="Q638" i="4"/>
  <c r="Q639" i="4"/>
  <c r="Q640" i="4"/>
  <c r="Q641" i="4"/>
  <c r="Q642" i="4"/>
  <c r="Q643" i="4"/>
  <c r="Q644" i="4"/>
  <c r="Q645" i="4"/>
  <c r="Q646" i="4"/>
  <c r="Q647" i="4"/>
  <c r="Q649" i="4"/>
  <c r="Q650" i="4"/>
  <c r="Q651" i="4"/>
  <c r="Q652" i="4"/>
  <c r="Q653" i="4"/>
  <c r="Q654" i="4"/>
  <c r="Q655" i="4"/>
  <c r="Q656" i="4"/>
  <c r="Q657" i="4"/>
  <c r="Q658" i="4"/>
  <c r="Q660" i="4"/>
  <c r="Q661" i="4"/>
  <c r="Q662" i="4"/>
  <c r="Q663" i="4"/>
  <c r="Q664" i="4"/>
  <c r="Q665" i="4"/>
  <c r="Q666" i="4"/>
  <c r="Q667" i="4"/>
  <c r="Q668" i="4"/>
  <c r="Q669" i="4"/>
  <c r="Q672" i="4"/>
  <c r="Q673" i="4"/>
  <c r="Q674" i="4"/>
  <c r="Q675" i="4"/>
  <c r="Q676" i="4"/>
  <c r="Q677" i="4"/>
  <c r="Q678" i="4"/>
  <c r="Q679" i="4"/>
  <c r="Q680" i="4"/>
  <c r="Q681" i="4"/>
  <c r="Q683" i="4"/>
  <c r="Q684" i="4"/>
  <c r="Q685" i="4"/>
  <c r="Q686" i="4"/>
  <c r="Q687" i="4"/>
  <c r="Q688" i="4"/>
  <c r="Q689" i="4"/>
  <c r="Q690" i="4"/>
  <c r="Q691" i="4"/>
  <c r="Q692" i="4"/>
  <c r="Q694" i="4"/>
  <c r="Q695" i="4"/>
  <c r="Q696" i="4"/>
  <c r="Q697" i="4"/>
  <c r="Q698" i="4"/>
  <c r="Q699" i="4"/>
  <c r="Q700" i="4"/>
  <c r="Q701" i="4"/>
  <c r="Q702" i="4"/>
  <c r="Q703" i="4"/>
  <c r="Q705" i="4"/>
  <c r="Q706" i="4"/>
  <c r="Q707" i="4"/>
  <c r="Q708" i="4"/>
  <c r="Q709" i="4"/>
  <c r="Q710" i="4"/>
  <c r="Q711" i="4"/>
  <c r="Q712" i="4"/>
  <c r="Q713" i="4"/>
  <c r="Q714" i="4"/>
  <c r="Q716" i="4"/>
  <c r="Q717" i="4"/>
  <c r="Q718" i="4"/>
  <c r="Q719" i="4"/>
  <c r="Q720" i="4"/>
  <c r="Q721" i="4"/>
  <c r="Q722" i="4"/>
  <c r="Q723" i="4"/>
  <c r="Q724" i="4"/>
  <c r="Q725" i="4"/>
  <c r="Q727" i="4"/>
  <c r="Q728" i="4"/>
  <c r="Q729" i="4"/>
  <c r="Q730" i="4"/>
  <c r="Q731" i="4"/>
  <c r="Q732" i="4"/>
  <c r="Q733" i="4"/>
  <c r="Q734" i="4"/>
  <c r="Q735" i="4"/>
  <c r="Q736" i="4"/>
  <c r="Q738" i="4"/>
  <c r="Q739" i="4"/>
  <c r="Q740" i="4"/>
  <c r="Q741" i="4"/>
  <c r="Q742" i="4"/>
  <c r="Q743" i="4"/>
  <c r="Q744" i="4"/>
  <c r="Q745" i="4"/>
  <c r="Q746" i="4"/>
  <c r="Q747" i="4"/>
  <c r="Q749" i="4"/>
  <c r="Q750" i="4"/>
  <c r="Q751" i="4"/>
  <c r="Q752" i="4"/>
  <c r="Q753" i="4"/>
  <c r="Q754" i="4"/>
  <c r="Q755" i="4"/>
  <c r="Q756" i="4"/>
  <c r="Q757" i="4"/>
  <c r="Q758" i="4"/>
  <c r="Q760" i="4"/>
  <c r="Q761" i="4"/>
  <c r="Q762" i="4"/>
  <c r="Q763" i="4"/>
  <c r="Q764" i="4"/>
  <c r="Q765" i="4"/>
  <c r="Q766" i="4"/>
  <c r="Q767" i="4"/>
  <c r="Q768" i="4"/>
  <c r="Q769" i="4"/>
  <c r="Q771" i="4"/>
  <c r="Q772" i="4"/>
  <c r="Q773" i="4"/>
  <c r="Q774" i="4"/>
  <c r="Q775" i="4"/>
  <c r="Q776" i="4"/>
  <c r="Q777" i="4"/>
  <c r="Q778" i="4"/>
  <c r="Q779" i="4"/>
  <c r="Q780" i="4"/>
  <c r="Q783" i="4"/>
  <c r="Q784" i="4"/>
  <c r="Q785" i="4"/>
  <c r="Q786" i="4"/>
  <c r="Q787" i="4"/>
  <c r="Q788" i="4"/>
  <c r="Q789" i="4"/>
  <c r="Q790" i="4"/>
  <c r="Q791" i="4"/>
  <c r="Q792" i="4"/>
  <c r="Q794" i="4"/>
  <c r="Q795" i="4"/>
  <c r="Q796" i="4"/>
  <c r="Q797" i="4"/>
  <c r="Q798" i="4"/>
  <c r="Q799" i="4"/>
  <c r="Q800" i="4"/>
  <c r="Q801" i="4"/>
  <c r="Q802" i="4"/>
  <c r="Q803" i="4"/>
  <c r="Q805" i="4"/>
  <c r="Q806" i="4"/>
  <c r="Q807" i="4"/>
  <c r="Q808" i="4"/>
  <c r="Q809" i="4"/>
  <c r="Q810" i="4"/>
  <c r="Q811" i="4"/>
  <c r="Q812" i="4"/>
  <c r="Q813" i="4"/>
  <c r="Q814" i="4"/>
  <c r="Q816" i="4"/>
  <c r="Q817" i="4"/>
  <c r="Q818" i="4"/>
  <c r="Q819" i="4"/>
  <c r="Q820" i="4"/>
  <c r="Q821" i="4"/>
  <c r="Q822" i="4"/>
  <c r="Q823" i="4"/>
  <c r="Q824" i="4"/>
  <c r="Q825" i="4"/>
  <c r="Q827" i="4"/>
  <c r="Q828" i="4"/>
  <c r="Q829" i="4"/>
  <c r="Q830" i="4"/>
  <c r="Q831" i="4"/>
  <c r="Q832" i="4"/>
  <c r="Q833" i="4"/>
  <c r="Q834" i="4"/>
  <c r="Q835" i="4"/>
  <c r="Q836" i="4"/>
  <c r="Q838" i="4"/>
  <c r="Q839" i="4"/>
  <c r="Q840" i="4"/>
  <c r="Q841" i="4"/>
  <c r="Q842" i="4"/>
  <c r="Q843" i="4"/>
  <c r="Q844" i="4"/>
  <c r="Q845" i="4"/>
  <c r="Q846" i="4"/>
  <c r="Q847" i="4"/>
  <c r="Q849" i="4"/>
  <c r="Q850" i="4"/>
  <c r="Q851" i="4"/>
  <c r="Q852" i="4"/>
  <c r="Q853" i="4"/>
  <c r="Q854" i="4"/>
  <c r="Q855" i="4"/>
  <c r="Q856" i="4"/>
  <c r="Q857" i="4"/>
  <c r="Q858" i="4"/>
  <c r="Q860" i="4"/>
  <c r="Q861" i="4"/>
  <c r="Q862" i="4"/>
  <c r="Q863" i="4"/>
  <c r="Q864" i="4"/>
  <c r="Q865" i="4"/>
  <c r="Q866" i="4"/>
  <c r="Q867" i="4"/>
  <c r="Q868" i="4"/>
  <c r="Q869" i="4"/>
  <c r="Q871" i="4"/>
  <c r="Q872" i="4"/>
  <c r="Q873" i="4"/>
  <c r="Q874" i="4"/>
  <c r="Q875" i="4"/>
  <c r="Q876" i="4"/>
  <c r="Q877" i="4"/>
  <c r="Q878" i="4"/>
  <c r="Q879" i="4"/>
  <c r="Q880" i="4"/>
  <c r="Q882" i="4"/>
  <c r="Q883" i="4"/>
  <c r="Q884" i="4"/>
  <c r="Q885" i="4"/>
  <c r="Q886" i="4"/>
  <c r="Q887" i="4"/>
  <c r="Q888" i="4"/>
  <c r="Q889" i="4"/>
  <c r="Q890" i="4"/>
  <c r="Q891" i="4"/>
  <c r="Q894" i="4"/>
  <c r="Q895" i="4"/>
  <c r="Q896" i="4"/>
  <c r="Q897" i="4"/>
  <c r="Q898" i="4"/>
  <c r="Q899" i="4"/>
  <c r="Q900" i="4"/>
  <c r="Q901" i="4"/>
  <c r="Q902" i="4"/>
  <c r="Q903" i="4"/>
  <c r="Q905" i="4"/>
  <c r="Q906" i="4"/>
  <c r="Q907" i="4"/>
  <c r="Q908" i="4"/>
  <c r="Q909" i="4"/>
  <c r="Q910" i="4"/>
  <c r="Q911" i="4"/>
  <c r="Q912" i="4"/>
  <c r="Q913" i="4"/>
  <c r="Q914" i="4"/>
  <c r="Q916" i="4"/>
  <c r="Q917" i="4"/>
  <c r="Q918" i="4"/>
  <c r="Q919" i="4"/>
  <c r="Q920" i="4"/>
  <c r="Q921" i="4"/>
  <c r="Q922" i="4"/>
  <c r="Q923" i="4"/>
  <c r="Q924" i="4"/>
  <c r="Q925" i="4"/>
  <c r="Q927" i="4"/>
  <c r="Q928" i="4"/>
  <c r="Q929" i="4"/>
  <c r="Q930" i="4"/>
  <c r="Q931" i="4"/>
  <c r="Q932" i="4"/>
  <c r="Q933" i="4"/>
  <c r="Q934" i="4"/>
  <c r="Q935" i="4"/>
  <c r="Q936" i="4"/>
  <c r="Q938" i="4"/>
  <c r="Q939" i="4"/>
  <c r="Q940" i="4"/>
  <c r="Q941" i="4"/>
  <c r="Q942" i="4"/>
  <c r="Q943" i="4"/>
  <c r="Q944" i="4"/>
  <c r="Q945" i="4"/>
  <c r="Q946" i="4"/>
  <c r="Q947" i="4"/>
  <c r="Q949" i="4"/>
  <c r="Q950" i="4"/>
  <c r="Q951" i="4"/>
  <c r="Q952" i="4"/>
  <c r="Q953" i="4"/>
  <c r="Q954" i="4"/>
  <c r="Q955" i="4"/>
  <c r="Q956" i="4"/>
  <c r="Q957" i="4"/>
  <c r="Q958" i="4"/>
  <c r="Q960" i="4"/>
  <c r="Q961" i="4"/>
  <c r="Q962" i="4"/>
  <c r="Q963" i="4"/>
  <c r="Q964" i="4"/>
  <c r="Q965" i="4"/>
  <c r="Q966" i="4"/>
  <c r="Q967" i="4"/>
  <c r="Q968" i="4"/>
  <c r="Q969" i="4"/>
  <c r="Q971" i="4"/>
  <c r="Q972" i="4"/>
  <c r="Q973" i="4"/>
  <c r="Q974" i="4"/>
  <c r="Q975" i="4"/>
  <c r="Q976" i="4"/>
  <c r="Q977" i="4"/>
  <c r="Q978" i="4"/>
  <c r="Q979" i="4"/>
  <c r="Q980" i="4"/>
  <c r="Q982" i="4"/>
  <c r="Q983" i="4"/>
  <c r="Q984" i="4"/>
  <c r="Q985" i="4"/>
  <c r="Q986" i="4"/>
  <c r="Q987" i="4"/>
  <c r="Q988" i="4"/>
  <c r="Q989" i="4"/>
  <c r="Q990" i="4"/>
  <c r="Q991" i="4"/>
  <c r="Q993" i="4"/>
  <c r="Q994" i="4"/>
  <c r="Q995" i="4"/>
  <c r="Q996" i="4"/>
  <c r="Q997" i="4"/>
  <c r="Q998" i="4"/>
  <c r="Q999" i="4"/>
  <c r="Q1000" i="4"/>
  <c r="Q1001" i="4"/>
  <c r="Q1002" i="4"/>
  <c r="Q1005" i="4"/>
  <c r="Q1006" i="4"/>
  <c r="Q1007" i="4"/>
  <c r="Q1008" i="4"/>
  <c r="Q1009" i="4"/>
  <c r="Q1010" i="4"/>
  <c r="Q1011" i="4"/>
  <c r="Q1012" i="4"/>
  <c r="Q1013" i="4"/>
  <c r="Q1014" i="4"/>
  <c r="Q1016" i="4"/>
  <c r="Q1017" i="4"/>
  <c r="Q1018" i="4"/>
  <c r="Q1019" i="4"/>
  <c r="Q1020" i="4"/>
  <c r="Q1021" i="4"/>
  <c r="Q1022" i="4"/>
  <c r="Q1023" i="4"/>
  <c r="Q1024" i="4"/>
  <c r="Q1025" i="4"/>
  <c r="Q1027" i="4"/>
  <c r="Q1028" i="4"/>
  <c r="Q1029" i="4"/>
  <c r="Q1030" i="4"/>
  <c r="Q1031" i="4"/>
  <c r="Q1032" i="4"/>
  <c r="Q1033" i="4"/>
  <c r="Q1034" i="4"/>
  <c r="Q1035" i="4"/>
  <c r="Q1036" i="4"/>
  <c r="Q1038" i="4"/>
  <c r="Q1039" i="4"/>
  <c r="Q1040" i="4"/>
  <c r="Q1041" i="4"/>
  <c r="Q1042" i="4"/>
  <c r="Q1043" i="4"/>
  <c r="Q1044" i="4"/>
  <c r="Q1045" i="4"/>
  <c r="Q1046" i="4"/>
  <c r="Q1047" i="4"/>
  <c r="Q1049" i="4"/>
  <c r="Q1050" i="4"/>
  <c r="Q1051" i="4"/>
  <c r="Q1052" i="4"/>
  <c r="Q1053" i="4"/>
  <c r="Q1054" i="4"/>
  <c r="Q1055" i="4"/>
  <c r="Q1056" i="4"/>
  <c r="Q1057" i="4"/>
  <c r="Q1058" i="4"/>
  <c r="Q1060" i="4"/>
  <c r="Q1061" i="4"/>
  <c r="Q1062" i="4"/>
  <c r="Q1063" i="4"/>
  <c r="Q1064" i="4"/>
  <c r="Q1065" i="4"/>
  <c r="Q1066" i="4"/>
  <c r="Q1067" i="4"/>
  <c r="Q1068" i="4"/>
  <c r="Q1069" i="4"/>
  <c r="Q1071" i="4"/>
  <c r="Q1072" i="4"/>
  <c r="Q1073" i="4"/>
  <c r="Q1074" i="4"/>
  <c r="Q1075" i="4"/>
  <c r="Q1076" i="4"/>
  <c r="Q1077" i="4"/>
  <c r="Q1078" i="4"/>
  <c r="Q1079" i="4"/>
  <c r="Q1080" i="4"/>
  <c r="Q1082" i="4"/>
  <c r="Q1083" i="4"/>
  <c r="Q1084" i="4"/>
  <c r="Q1085" i="4"/>
  <c r="Q1086" i="4"/>
  <c r="Q1087" i="4"/>
  <c r="Q1088" i="4"/>
  <c r="Q1089" i="4"/>
  <c r="Q1090" i="4"/>
  <c r="Q1091" i="4"/>
  <c r="Q1093" i="4"/>
  <c r="Q1094" i="4"/>
  <c r="Q1095" i="4"/>
  <c r="Q1096" i="4"/>
  <c r="Q1097" i="4"/>
  <c r="Q1098" i="4"/>
  <c r="Q1099" i="4"/>
  <c r="Q1100" i="4"/>
  <c r="Q1101" i="4"/>
  <c r="Q1102" i="4"/>
  <c r="Q1104" i="4"/>
  <c r="Q1105" i="4"/>
  <c r="Q1106" i="4"/>
  <c r="Q1107" i="4"/>
  <c r="Q1108" i="4"/>
  <c r="Q1109" i="4"/>
  <c r="Q1110" i="4"/>
  <c r="Q1111" i="4"/>
  <c r="Q1112" i="4"/>
  <c r="Q1113" i="4"/>
  <c r="Q2" i="4"/>
  <c r="O3" i="4"/>
  <c r="O1114" i="4"/>
  <c r="O1225" i="4"/>
  <c r="O1336" i="4"/>
  <c r="O1447" i="4"/>
  <c r="O1558" i="4"/>
  <c r="O1669" i="4"/>
  <c r="O1780" i="4"/>
  <c r="O1891" i="4"/>
  <c r="O4" i="4"/>
  <c r="O115" i="4"/>
  <c r="O226" i="4"/>
  <c r="O337" i="4"/>
  <c r="O448" i="4"/>
  <c r="O559" i="4"/>
  <c r="O670" i="4"/>
  <c r="O781" i="4"/>
  <c r="O892" i="4"/>
  <c r="O1003" i="4"/>
  <c r="O1115" i="4"/>
  <c r="O1126" i="4"/>
  <c r="O1137" i="4"/>
  <c r="O1148" i="4"/>
  <c r="O1159" i="4"/>
  <c r="O1170" i="4"/>
  <c r="O1181" i="4"/>
  <c r="O1192" i="4"/>
  <c r="O1203" i="4"/>
  <c r="O1214" i="4"/>
  <c r="O1226" i="4"/>
  <c r="O1237" i="4"/>
  <c r="O1248" i="4"/>
  <c r="O1259" i="4"/>
  <c r="O1270" i="4"/>
  <c r="O1281" i="4"/>
  <c r="O1292" i="4"/>
  <c r="O1303" i="4"/>
  <c r="O1314" i="4"/>
  <c r="O1325" i="4"/>
  <c r="O1337" i="4"/>
  <c r="O1348" i="4"/>
  <c r="O1359" i="4"/>
  <c r="O1370" i="4"/>
  <c r="O1381" i="4"/>
  <c r="O1392" i="4"/>
  <c r="O1403" i="4"/>
  <c r="O1414" i="4"/>
  <c r="O1425" i="4"/>
  <c r="O1436" i="4"/>
  <c r="O1448" i="4"/>
  <c r="O1459" i="4"/>
  <c r="O1470" i="4"/>
  <c r="O1481" i="4"/>
  <c r="O1492" i="4"/>
  <c r="O1503" i="4"/>
  <c r="O1514" i="4"/>
  <c r="O1525" i="4"/>
  <c r="O1536" i="4"/>
  <c r="O1547" i="4"/>
  <c r="O1559" i="4"/>
  <c r="O1570" i="4"/>
  <c r="O1581" i="4"/>
  <c r="O1592" i="4"/>
  <c r="O1603" i="4"/>
  <c r="O1614" i="4"/>
  <c r="O1625" i="4"/>
  <c r="O1636" i="4"/>
  <c r="O1647" i="4"/>
  <c r="O1658" i="4"/>
  <c r="O1670" i="4"/>
  <c r="O1681" i="4"/>
  <c r="O1692" i="4"/>
  <c r="O1703" i="4"/>
  <c r="O1714" i="4"/>
  <c r="O1725" i="4"/>
  <c r="O1736" i="4"/>
  <c r="O1747" i="4"/>
  <c r="O1758" i="4"/>
  <c r="O1769" i="4"/>
  <c r="O1781" i="4"/>
  <c r="O1792" i="4"/>
  <c r="O1803" i="4"/>
  <c r="O1814" i="4"/>
  <c r="O1825" i="4"/>
  <c r="O1836" i="4"/>
  <c r="O1847" i="4"/>
  <c r="O1858" i="4"/>
  <c r="O1869" i="4"/>
  <c r="O1880" i="4"/>
  <c r="O1892" i="4"/>
  <c r="O1903" i="4"/>
  <c r="O1914" i="4"/>
  <c r="O1925" i="4"/>
  <c r="O1936" i="4"/>
  <c r="O1947" i="4"/>
  <c r="O1958" i="4"/>
  <c r="O1969" i="4"/>
  <c r="O1980" i="4"/>
  <c r="O1991" i="4"/>
  <c r="O5" i="4"/>
  <c r="O16" i="4"/>
  <c r="O27" i="4"/>
  <c r="O38" i="4"/>
  <c r="O49" i="4"/>
  <c r="O60" i="4"/>
  <c r="O71" i="4"/>
  <c r="O82" i="4"/>
  <c r="O93" i="4"/>
  <c r="O104" i="4"/>
  <c r="O116" i="4"/>
  <c r="O127" i="4"/>
  <c r="O138" i="4"/>
  <c r="O149" i="4"/>
  <c r="O160" i="4"/>
  <c r="O171" i="4"/>
  <c r="O182" i="4"/>
  <c r="O193" i="4"/>
  <c r="O204" i="4"/>
  <c r="O215" i="4"/>
  <c r="O227" i="4"/>
  <c r="O238" i="4"/>
  <c r="O249" i="4"/>
  <c r="O260" i="4"/>
  <c r="O271" i="4"/>
  <c r="O282" i="4"/>
  <c r="O293" i="4"/>
  <c r="O304" i="4"/>
  <c r="O315" i="4"/>
  <c r="O326" i="4"/>
  <c r="O338" i="4"/>
  <c r="O349" i="4"/>
  <c r="O360" i="4"/>
  <c r="O371" i="4"/>
  <c r="O382" i="4"/>
  <c r="O393" i="4"/>
  <c r="O404" i="4"/>
  <c r="O415" i="4"/>
  <c r="O426" i="4"/>
  <c r="O437" i="4"/>
  <c r="O449" i="4"/>
  <c r="O460" i="4"/>
  <c r="O471" i="4"/>
  <c r="O482" i="4"/>
  <c r="O493" i="4"/>
  <c r="O504" i="4"/>
  <c r="O515" i="4"/>
  <c r="O526" i="4"/>
  <c r="O537" i="4"/>
  <c r="O548" i="4"/>
  <c r="O560" i="4"/>
  <c r="O571" i="4"/>
  <c r="O582" i="4"/>
  <c r="O593" i="4"/>
  <c r="O604" i="4"/>
  <c r="O615" i="4"/>
  <c r="O626" i="4"/>
  <c r="O637" i="4"/>
  <c r="O648" i="4"/>
  <c r="O659" i="4"/>
  <c r="O671" i="4"/>
  <c r="O682" i="4"/>
  <c r="O693" i="4"/>
  <c r="O704" i="4"/>
  <c r="O715" i="4"/>
  <c r="O726" i="4"/>
  <c r="O737" i="4"/>
  <c r="O748" i="4"/>
  <c r="O759" i="4"/>
  <c r="O770" i="4"/>
  <c r="O782" i="4"/>
  <c r="O793" i="4"/>
  <c r="O804" i="4"/>
  <c r="O815" i="4"/>
  <c r="O826" i="4"/>
  <c r="O837" i="4"/>
  <c r="O848" i="4"/>
  <c r="O859" i="4"/>
  <c r="O870" i="4"/>
  <c r="O881" i="4"/>
  <c r="O893" i="4"/>
  <c r="O904" i="4"/>
  <c r="O915" i="4"/>
  <c r="O926" i="4"/>
  <c r="O937" i="4"/>
  <c r="O948" i="4"/>
  <c r="O959" i="4"/>
  <c r="O970" i="4"/>
  <c r="O981" i="4"/>
  <c r="O992" i="4"/>
  <c r="O1004" i="4"/>
  <c r="O1015" i="4"/>
  <c r="O1026" i="4"/>
  <c r="O1037" i="4"/>
  <c r="O1048" i="4"/>
  <c r="O1059" i="4"/>
  <c r="O1070" i="4"/>
  <c r="O1081" i="4"/>
  <c r="O1092" i="4"/>
  <c r="O1103" i="4"/>
  <c r="O1116" i="4"/>
  <c r="O1117" i="4"/>
  <c r="O1118" i="4"/>
  <c r="O1119" i="4"/>
  <c r="O1120" i="4"/>
  <c r="O1121" i="4"/>
  <c r="O1122" i="4"/>
  <c r="O1123" i="4"/>
  <c r="O1124" i="4"/>
  <c r="O1125" i="4"/>
  <c r="O1127" i="4"/>
  <c r="O1128" i="4"/>
  <c r="O1129" i="4"/>
  <c r="O1130" i="4"/>
  <c r="O1131" i="4"/>
  <c r="O1132" i="4"/>
  <c r="O1133" i="4"/>
  <c r="O1134" i="4"/>
  <c r="O1135" i="4"/>
  <c r="O1136" i="4"/>
  <c r="O1138" i="4"/>
  <c r="O1139" i="4"/>
  <c r="O1140" i="4"/>
  <c r="O1141" i="4"/>
  <c r="O1142" i="4"/>
  <c r="O1143" i="4"/>
  <c r="O1144" i="4"/>
  <c r="O1145" i="4"/>
  <c r="O1146" i="4"/>
  <c r="O1147" i="4"/>
  <c r="O1149" i="4"/>
  <c r="O1150" i="4"/>
  <c r="O1151" i="4"/>
  <c r="O1152" i="4"/>
  <c r="O1153" i="4"/>
  <c r="O1154" i="4"/>
  <c r="O1155" i="4"/>
  <c r="O1156" i="4"/>
  <c r="O1157" i="4"/>
  <c r="O1158" i="4"/>
  <c r="O1160" i="4"/>
  <c r="O1161" i="4"/>
  <c r="O1162" i="4"/>
  <c r="O1163" i="4"/>
  <c r="O1164" i="4"/>
  <c r="O1165" i="4"/>
  <c r="O1166" i="4"/>
  <c r="O1167" i="4"/>
  <c r="O1168" i="4"/>
  <c r="O1169" i="4"/>
  <c r="O1171" i="4"/>
  <c r="O1172" i="4"/>
  <c r="O1173" i="4"/>
  <c r="O1174" i="4"/>
  <c r="O1175" i="4"/>
  <c r="O1176" i="4"/>
  <c r="O1177" i="4"/>
  <c r="O1178" i="4"/>
  <c r="O1179" i="4"/>
  <c r="O1180" i="4"/>
  <c r="O1182" i="4"/>
  <c r="O1183" i="4"/>
  <c r="O1184" i="4"/>
  <c r="O1185" i="4"/>
  <c r="O1186" i="4"/>
  <c r="O1187" i="4"/>
  <c r="O1188" i="4"/>
  <c r="O1189" i="4"/>
  <c r="O1190" i="4"/>
  <c r="O1191" i="4"/>
  <c r="O1193" i="4"/>
  <c r="O1194" i="4"/>
  <c r="O1195" i="4"/>
  <c r="O1196" i="4"/>
  <c r="O1197" i="4"/>
  <c r="O1198" i="4"/>
  <c r="O1199" i="4"/>
  <c r="O1200" i="4"/>
  <c r="O1201" i="4"/>
  <c r="O1202" i="4"/>
  <c r="O1204" i="4"/>
  <c r="O1205" i="4"/>
  <c r="O1206" i="4"/>
  <c r="O1207" i="4"/>
  <c r="O1208" i="4"/>
  <c r="O1209" i="4"/>
  <c r="O1210" i="4"/>
  <c r="O1211" i="4"/>
  <c r="O1212" i="4"/>
  <c r="O1213" i="4"/>
  <c r="O1215" i="4"/>
  <c r="O1216" i="4"/>
  <c r="O1217" i="4"/>
  <c r="O1218" i="4"/>
  <c r="O1219" i="4"/>
  <c r="O1220" i="4"/>
  <c r="O1221" i="4"/>
  <c r="O1222" i="4"/>
  <c r="O1223" i="4"/>
  <c r="O1224" i="4"/>
  <c r="O1227" i="4"/>
  <c r="O1228" i="4"/>
  <c r="O1229" i="4"/>
  <c r="O1230" i="4"/>
  <c r="O1231" i="4"/>
  <c r="O1232" i="4"/>
  <c r="O1233" i="4"/>
  <c r="O1234" i="4"/>
  <c r="O1235" i="4"/>
  <c r="O1236" i="4"/>
  <c r="O1238" i="4"/>
  <c r="O1239" i="4"/>
  <c r="O1240" i="4"/>
  <c r="O1241" i="4"/>
  <c r="O1242" i="4"/>
  <c r="O1243" i="4"/>
  <c r="O1244" i="4"/>
  <c r="O1245" i="4"/>
  <c r="O1246" i="4"/>
  <c r="O1247" i="4"/>
  <c r="O1249" i="4"/>
  <c r="O1250" i="4"/>
  <c r="O1251" i="4"/>
  <c r="O1252" i="4"/>
  <c r="O1253" i="4"/>
  <c r="O1254" i="4"/>
  <c r="O1255" i="4"/>
  <c r="O1256" i="4"/>
  <c r="O1257" i="4"/>
  <c r="O1258" i="4"/>
  <c r="O1260" i="4"/>
  <c r="O1261" i="4"/>
  <c r="O1262" i="4"/>
  <c r="O1263" i="4"/>
  <c r="O1264" i="4"/>
  <c r="O1265" i="4"/>
  <c r="O1266" i="4"/>
  <c r="O1267" i="4"/>
  <c r="O1268" i="4"/>
  <c r="O1269" i="4"/>
  <c r="O1271" i="4"/>
  <c r="O1272" i="4"/>
  <c r="O1273" i="4"/>
  <c r="O1274" i="4"/>
  <c r="O1275" i="4"/>
  <c r="O1276" i="4"/>
  <c r="O1277" i="4"/>
  <c r="O1278" i="4"/>
  <c r="O1279" i="4"/>
  <c r="O1280" i="4"/>
  <c r="O1282" i="4"/>
  <c r="O1283" i="4"/>
  <c r="O1284" i="4"/>
  <c r="O1285" i="4"/>
  <c r="O1286" i="4"/>
  <c r="O1287" i="4"/>
  <c r="O1288" i="4"/>
  <c r="O1289" i="4"/>
  <c r="O1290" i="4"/>
  <c r="O1291" i="4"/>
  <c r="O1293" i="4"/>
  <c r="O1294" i="4"/>
  <c r="O1295" i="4"/>
  <c r="O1296" i="4"/>
  <c r="O1297" i="4"/>
  <c r="O1298" i="4"/>
  <c r="O1299" i="4"/>
  <c r="O1300" i="4"/>
  <c r="O1301" i="4"/>
  <c r="O1302" i="4"/>
  <c r="O1304" i="4"/>
  <c r="O1305" i="4"/>
  <c r="O1306" i="4"/>
  <c r="O1307" i="4"/>
  <c r="O1308" i="4"/>
  <c r="O1309" i="4"/>
  <c r="O1310" i="4"/>
  <c r="O1311" i="4"/>
  <c r="O1312" i="4"/>
  <c r="O1313" i="4"/>
  <c r="O1315" i="4"/>
  <c r="O1316" i="4"/>
  <c r="O1317" i="4"/>
  <c r="O1318" i="4"/>
  <c r="O1319" i="4"/>
  <c r="O1320" i="4"/>
  <c r="O1321" i="4"/>
  <c r="O1322" i="4"/>
  <c r="O1323" i="4"/>
  <c r="O1324" i="4"/>
  <c r="O1326" i="4"/>
  <c r="O1327" i="4"/>
  <c r="O1328" i="4"/>
  <c r="O1329" i="4"/>
  <c r="O1330" i="4"/>
  <c r="O1331" i="4"/>
  <c r="O1332" i="4"/>
  <c r="O1333" i="4"/>
  <c r="O1334" i="4"/>
  <c r="O1335" i="4"/>
  <c r="O1338" i="4"/>
  <c r="O1339" i="4"/>
  <c r="O1340" i="4"/>
  <c r="O1341" i="4"/>
  <c r="O1342" i="4"/>
  <c r="O1343" i="4"/>
  <c r="O1344" i="4"/>
  <c r="O1345" i="4"/>
  <c r="O1346" i="4"/>
  <c r="O1347" i="4"/>
  <c r="O1349" i="4"/>
  <c r="O1350" i="4"/>
  <c r="O1351" i="4"/>
  <c r="O1352" i="4"/>
  <c r="O1353" i="4"/>
  <c r="O1354" i="4"/>
  <c r="O1355" i="4"/>
  <c r="O1356" i="4"/>
  <c r="O1357" i="4"/>
  <c r="O1358" i="4"/>
  <c r="O1360" i="4"/>
  <c r="O1361" i="4"/>
  <c r="O1362" i="4"/>
  <c r="O1363" i="4"/>
  <c r="O1364" i="4"/>
  <c r="O1365" i="4"/>
  <c r="O1366" i="4"/>
  <c r="O1367" i="4"/>
  <c r="O1368" i="4"/>
  <c r="O1369" i="4"/>
  <c r="O1371" i="4"/>
  <c r="O1372" i="4"/>
  <c r="O1373" i="4"/>
  <c r="O1374" i="4"/>
  <c r="O1375" i="4"/>
  <c r="O1376" i="4"/>
  <c r="O1377" i="4"/>
  <c r="O1378" i="4"/>
  <c r="O1379" i="4"/>
  <c r="O1380" i="4"/>
  <c r="O1382" i="4"/>
  <c r="O1383" i="4"/>
  <c r="O1384" i="4"/>
  <c r="O1385" i="4"/>
  <c r="O1386" i="4"/>
  <c r="O1387" i="4"/>
  <c r="O1388" i="4"/>
  <c r="O1389" i="4"/>
  <c r="O1390" i="4"/>
  <c r="O1391" i="4"/>
  <c r="O1393" i="4"/>
  <c r="O1394" i="4"/>
  <c r="O1395" i="4"/>
  <c r="O1396" i="4"/>
  <c r="O1397" i="4"/>
  <c r="O1398" i="4"/>
  <c r="O1399" i="4"/>
  <c r="O1400" i="4"/>
  <c r="O1401" i="4"/>
  <c r="O1402" i="4"/>
  <c r="O1404" i="4"/>
  <c r="O1405" i="4"/>
  <c r="O1406" i="4"/>
  <c r="O1407" i="4"/>
  <c r="O1408" i="4"/>
  <c r="O1409" i="4"/>
  <c r="O1410" i="4"/>
  <c r="O1411" i="4"/>
  <c r="O1412" i="4"/>
  <c r="O1413" i="4"/>
  <c r="O1415" i="4"/>
  <c r="O1416" i="4"/>
  <c r="O1417" i="4"/>
  <c r="O1418" i="4"/>
  <c r="O1419" i="4"/>
  <c r="O1420" i="4"/>
  <c r="O1421" i="4"/>
  <c r="O1422" i="4"/>
  <c r="O1423" i="4"/>
  <c r="O1424" i="4"/>
  <c r="O1426" i="4"/>
  <c r="O1427" i="4"/>
  <c r="O1428" i="4"/>
  <c r="O1429" i="4"/>
  <c r="O1430" i="4"/>
  <c r="O1431" i="4"/>
  <c r="O1432" i="4"/>
  <c r="O1433" i="4"/>
  <c r="O1434" i="4"/>
  <c r="O1435" i="4"/>
  <c r="O1437" i="4"/>
  <c r="O1438" i="4"/>
  <c r="O1439" i="4"/>
  <c r="O1440" i="4"/>
  <c r="O1441" i="4"/>
  <c r="O1442" i="4"/>
  <c r="O1443" i="4"/>
  <c r="O1444" i="4"/>
  <c r="O1445" i="4"/>
  <c r="O1446" i="4"/>
  <c r="O1449" i="4"/>
  <c r="O1450" i="4"/>
  <c r="O1451" i="4"/>
  <c r="O1452" i="4"/>
  <c r="O1453" i="4"/>
  <c r="O1454" i="4"/>
  <c r="O1455" i="4"/>
  <c r="O1456" i="4"/>
  <c r="O1457" i="4"/>
  <c r="O1458" i="4"/>
  <c r="O1460" i="4"/>
  <c r="O1461" i="4"/>
  <c r="O1462" i="4"/>
  <c r="O1463" i="4"/>
  <c r="O1464" i="4"/>
  <c r="O1465" i="4"/>
  <c r="O1466" i="4"/>
  <c r="O1467" i="4"/>
  <c r="O1468" i="4"/>
  <c r="O1469" i="4"/>
  <c r="O1471" i="4"/>
  <c r="O1472" i="4"/>
  <c r="O1473" i="4"/>
  <c r="O1474" i="4"/>
  <c r="O1475" i="4"/>
  <c r="O1476" i="4"/>
  <c r="O1477" i="4"/>
  <c r="O1478" i="4"/>
  <c r="O1479" i="4"/>
  <c r="O1480" i="4"/>
  <c r="O1482" i="4"/>
  <c r="O1483" i="4"/>
  <c r="O1484" i="4"/>
  <c r="O1485" i="4"/>
  <c r="O1486" i="4"/>
  <c r="O1487" i="4"/>
  <c r="O1488" i="4"/>
  <c r="O1489" i="4"/>
  <c r="O1490" i="4"/>
  <c r="O1491" i="4"/>
  <c r="O1493" i="4"/>
  <c r="O1494" i="4"/>
  <c r="O1495" i="4"/>
  <c r="O1496" i="4"/>
  <c r="O1497" i="4"/>
  <c r="O1498" i="4"/>
  <c r="O1499" i="4"/>
  <c r="O1500" i="4"/>
  <c r="O1501" i="4"/>
  <c r="O1502" i="4"/>
  <c r="O1504" i="4"/>
  <c r="O1505" i="4"/>
  <c r="O1506" i="4"/>
  <c r="O1507" i="4"/>
  <c r="O1508" i="4"/>
  <c r="O1509" i="4"/>
  <c r="O1510" i="4"/>
  <c r="O1511" i="4"/>
  <c r="O1512" i="4"/>
  <c r="O1513" i="4"/>
  <c r="O1515" i="4"/>
  <c r="O1516" i="4"/>
  <c r="O1517" i="4"/>
  <c r="O1518" i="4"/>
  <c r="O1519" i="4"/>
  <c r="O1520" i="4"/>
  <c r="O1521" i="4"/>
  <c r="O1522" i="4"/>
  <c r="O1523" i="4"/>
  <c r="O1524" i="4"/>
  <c r="O1526" i="4"/>
  <c r="O1527" i="4"/>
  <c r="O1528" i="4"/>
  <c r="O1529" i="4"/>
  <c r="O1530" i="4"/>
  <c r="O1531" i="4"/>
  <c r="O1532" i="4"/>
  <c r="O1533" i="4"/>
  <c r="O1534" i="4"/>
  <c r="O1535" i="4"/>
  <c r="O1537" i="4"/>
  <c r="O1538" i="4"/>
  <c r="O1539" i="4"/>
  <c r="O1540" i="4"/>
  <c r="O1541" i="4"/>
  <c r="O1542" i="4"/>
  <c r="O1543" i="4"/>
  <c r="O1544" i="4"/>
  <c r="O1545" i="4"/>
  <c r="O1546" i="4"/>
  <c r="O1548" i="4"/>
  <c r="O1549" i="4"/>
  <c r="O1550" i="4"/>
  <c r="O1551" i="4"/>
  <c r="O1552" i="4"/>
  <c r="O1553" i="4"/>
  <c r="O1554" i="4"/>
  <c r="O1555" i="4"/>
  <c r="O1556" i="4"/>
  <c r="O1557" i="4"/>
  <c r="O1560" i="4"/>
  <c r="O1561" i="4"/>
  <c r="O1562" i="4"/>
  <c r="O1563" i="4"/>
  <c r="O1564" i="4"/>
  <c r="O1565" i="4"/>
  <c r="O1566" i="4"/>
  <c r="O1567" i="4"/>
  <c r="O1568" i="4"/>
  <c r="O1569" i="4"/>
  <c r="O1571" i="4"/>
  <c r="O1572" i="4"/>
  <c r="O1573" i="4"/>
  <c r="O1574" i="4"/>
  <c r="O1575" i="4"/>
  <c r="O1576" i="4"/>
  <c r="O1577" i="4"/>
  <c r="O1578" i="4"/>
  <c r="O1579" i="4"/>
  <c r="O1580" i="4"/>
  <c r="O1582" i="4"/>
  <c r="O1583" i="4"/>
  <c r="O1584" i="4"/>
  <c r="O1585" i="4"/>
  <c r="O1586" i="4"/>
  <c r="O1587" i="4"/>
  <c r="O1588" i="4"/>
  <c r="O1589" i="4"/>
  <c r="O1590" i="4"/>
  <c r="O1591" i="4"/>
  <c r="O1593" i="4"/>
  <c r="O1594" i="4"/>
  <c r="O1595" i="4"/>
  <c r="O1596" i="4"/>
  <c r="O1597" i="4"/>
  <c r="O1598" i="4"/>
  <c r="O1599" i="4"/>
  <c r="O1600" i="4"/>
  <c r="O1601" i="4"/>
  <c r="O1602" i="4"/>
  <c r="O1604" i="4"/>
  <c r="O1605" i="4"/>
  <c r="O1606" i="4"/>
  <c r="O1607" i="4"/>
  <c r="O1608" i="4"/>
  <c r="O1609" i="4"/>
  <c r="O1610" i="4"/>
  <c r="O1611" i="4"/>
  <c r="O1612" i="4"/>
  <c r="O1613" i="4"/>
  <c r="O1615" i="4"/>
  <c r="O1616" i="4"/>
  <c r="O1617" i="4"/>
  <c r="O1618" i="4"/>
  <c r="O1619" i="4"/>
  <c r="O1620" i="4"/>
  <c r="O1621" i="4"/>
  <c r="O1622" i="4"/>
  <c r="O1623" i="4"/>
  <c r="O1624" i="4"/>
  <c r="O1626" i="4"/>
  <c r="O1627" i="4"/>
  <c r="O1628" i="4"/>
  <c r="O1629" i="4"/>
  <c r="O1630" i="4"/>
  <c r="O1631" i="4"/>
  <c r="O1632" i="4"/>
  <c r="O1633" i="4"/>
  <c r="O1634" i="4"/>
  <c r="O1635" i="4"/>
  <c r="O1637" i="4"/>
  <c r="O1638" i="4"/>
  <c r="O1639" i="4"/>
  <c r="O1640" i="4"/>
  <c r="O1641" i="4"/>
  <c r="O1642" i="4"/>
  <c r="O1643" i="4"/>
  <c r="O1644" i="4"/>
  <c r="O1645" i="4"/>
  <c r="O1646" i="4"/>
  <c r="O1648" i="4"/>
  <c r="O1649" i="4"/>
  <c r="O1650" i="4"/>
  <c r="O1651" i="4"/>
  <c r="O1652" i="4"/>
  <c r="O1653" i="4"/>
  <c r="O1654" i="4"/>
  <c r="O1655" i="4"/>
  <c r="O1656" i="4"/>
  <c r="O1657" i="4"/>
  <c r="O1659" i="4"/>
  <c r="O1660" i="4"/>
  <c r="O1661" i="4"/>
  <c r="O1662" i="4"/>
  <c r="O1663" i="4"/>
  <c r="O1664" i="4"/>
  <c r="O1665" i="4"/>
  <c r="O1666" i="4"/>
  <c r="O1667" i="4"/>
  <c r="O1668" i="4"/>
  <c r="O1671" i="4"/>
  <c r="O1672" i="4"/>
  <c r="O1673" i="4"/>
  <c r="O1674" i="4"/>
  <c r="O1675" i="4"/>
  <c r="O1676" i="4"/>
  <c r="O1677" i="4"/>
  <c r="O1678" i="4"/>
  <c r="O1679" i="4"/>
  <c r="O1680" i="4"/>
  <c r="O1682" i="4"/>
  <c r="O1683" i="4"/>
  <c r="O1684" i="4"/>
  <c r="O1685" i="4"/>
  <c r="O1686" i="4"/>
  <c r="O1687" i="4"/>
  <c r="O1688" i="4"/>
  <c r="O1689" i="4"/>
  <c r="O1690" i="4"/>
  <c r="O1691" i="4"/>
  <c r="O1693" i="4"/>
  <c r="O1694" i="4"/>
  <c r="O1695" i="4"/>
  <c r="O1696" i="4"/>
  <c r="O1697" i="4"/>
  <c r="O1698" i="4"/>
  <c r="O1699" i="4"/>
  <c r="O1700" i="4"/>
  <c r="O1701" i="4"/>
  <c r="O1702" i="4"/>
  <c r="O1704" i="4"/>
  <c r="O1705" i="4"/>
  <c r="O1706" i="4"/>
  <c r="O1707" i="4"/>
  <c r="O1708" i="4"/>
  <c r="O1709" i="4"/>
  <c r="O1710" i="4"/>
  <c r="O1711" i="4"/>
  <c r="O1712" i="4"/>
  <c r="O1713" i="4"/>
  <c r="O1715" i="4"/>
  <c r="O1716" i="4"/>
  <c r="O1717" i="4"/>
  <c r="O1718" i="4"/>
  <c r="O1719" i="4"/>
  <c r="O1720" i="4"/>
  <c r="O1721" i="4"/>
  <c r="O1722" i="4"/>
  <c r="O1723" i="4"/>
  <c r="O1724" i="4"/>
  <c r="O1726" i="4"/>
  <c r="O1727" i="4"/>
  <c r="O1728" i="4"/>
  <c r="O1729" i="4"/>
  <c r="O1730" i="4"/>
  <c r="O1731" i="4"/>
  <c r="O1732" i="4"/>
  <c r="O1733" i="4"/>
  <c r="O1734" i="4"/>
  <c r="O1735" i="4"/>
  <c r="O1737" i="4"/>
  <c r="O1738" i="4"/>
  <c r="O1739" i="4"/>
  <c r="O1740" i="4"/>
  <c r="O1741" i="4"/>
  <c r="O1742" i="4"/>
  <c r="O1743" i="4"/>
  <c r="O1744" i="4"/>
  <c r="O1745" i="4"/>
  <c r="O1746" i="4"/>
  <c r="O1748" i="4"/>
  <c r="O1749" i="4"/>
  <c r="O1750" i="4"/>
  <c r="O1751" i="4"/>
  <c r="O1752" i="4"/>
  <c r="O1753" i="4"/>
  <c r="O1754" i="4"/>
  <c r="O1755" i="4"/>
  <c r="O1756" i="4"/>
  <c r="O1757" i="4"/>
  <c r="O1759" i="4"/>
  <c r="O1760" i="4"/>
  <c r="O1761" i="4"/>
  <c r="O1762" i="4"/>
  <c r="O1763" i="4"/>
  <c r="O1764" i="4"/>
  <c r="O1765" i="4"/>
  <c r="O1766" i="4"/>
  <c r="O1767" i="4"/>
  <c r="O1768" i="4"/>
  <c r="O1770" i="4"/>
  <c r="O1771" i="4"/>
  <c r="O1772" i="4"/>
  <c r="O1773" i="4"/>
  <c r="O1774" i="4"/>
  <c r="O1775" i="4"/>
  <c r="O1776" i="4"/>
  <c r="O1777" i="4"/>
  <c r="O1778" i="4"/>
  <c r="O1779" i="4"/>
  <c r="O1782" i="4"/>
  <c r="O1783" i="4"/>
  <c r="O1784" i="4"/>
  <c r="O1785" i="4"/>
  <c r="O1786" i="4"/>
  <c r="O1787" i="4"/>
  <c r="O1788" i="4"/>
  <c r="O1789" i="4"/>
  <c r="O1790" i="4"/>
  <c r="O1791" i="4"/>
  <c r="O1793" i="4"/>
  <c r="O1794" i="4"/>
  <c r="O1795" i="4"/>
  <c r="O1796" i="4"/>
  <c r="O1797" i="4"/>
  <c r="O1798" i="4"/>
  <c r="O1799" i="4"/>
  <c r="O1800" i="4"/>
  <c r="O1801" i="4"/>
  <c r="O1802" i="4"/>
  <c r="O1804" i="4"/>
  <c r="O1805" i="4"/>
  <c r="O1806" i="4"/>
  <c r="O1807" i="4"/>
  <c r="O1808" i="4"/>
  <c r="O1809" i="4"/>
  <c r="O1810" i="4"/>
  <c r="O1811" i="4"/>
  <c r="O1812" i="4"/>
  <c r="O1813" i="4"/>
  <c r="O1815" i="4"/>
  <c r="O1816" i="4"/>
  <c r="O1817" i="4"/>
  <c r="O1818" i="4"/>
  <c r="O1819" i="4"/>
  <c r="O1820" i="4"/>
  <c r="O1821" i="4"/>
  <c r="O1822" i="4"/>
  <c r="O1823" i="4"/>
  <c r="O1824" i="4"/>
  <c r="O1826" i="4"/>
  <c r="O1827" i="4"/>
  <c r="O1828" i="4"/>
  <c r="O1829" i="4"/>
  <c r="O1830" i="4"/>
  <c r="O1831" i="4"/>
  <c r="O1832" i="4"/>
  <c r="O1833" i="4"/>
  <c r="O1834" i="4"/>
  <c r="O1835" i="4"/>
  <c r="O1837" i="4"/>
  <c r="O1838" i="4"/>
  <c r="O1839" i="4"/>
  <c r="O1840" i="4"/>
  <c r="O1841" i="4"/>
  <c r="O1842" i="4"/>
  <c r="O1843" i="4"/>
  <c r="O1844" i="4"/>
  <c r="O1845" i="4"/>
  <c r="O1846" i="4"/>
  <c r="O1848" i="4"/>
  <c r="O1849" i="4"/>
  <c r="O1850" i="4"/>
  <c r="O1851" i="4"/>
  <c r="O1852" i="4"/>
  <c r="O1853" i="4"/>
  <c r="O1854" i="4"/>
  <c r="O1855" i="4"/>
  <c r="O1856" i="4"/>
  <c r="O1857" i="4"/>
  <c r="O1859" i="4"/>
  <c r="O1860" i="4"/>
  <c r="O1861" i="4"/>
  <c r="O1862" i="4"/>
  <c r="O1863" i="4"/>
  <c r="O1864" i="4"/>
  <c r="O1865" i="4"/>
  <c r="O1866" i="4"/>
  <c r="O1867" i="4"/>
  <c r="O1868" i="4"/>
  <c r="O1870" i="4"/>
  <c r="O1871" i="4"/>
  <c r="O1872" i="4"/>
  <c r="O1873" i="4"/>
  <c r="O1874" i="4"/>
  <c r="O1875" i="4"/>
  <c r="O1876" i="4"/>
  <c r="O1877" i="4"/>
  <c r="O1878" i="4"/>
  <c r="O1879" i="4"/>
  <c r="O1881" i="4"/>
  <c r="O1882" i="4"/>
  <c r="O1883" i="4"/>
  <c r="O1884" i="4"/>
  <c r="O1885" i="4"/>
  <c r="O1886" i="4"/>
  <c r="O1887" i="4"/>
  <c r="O1888" i="4"/>
  <c r="O1889" i="4"/>
  <c r="O1890" i="4"/>
  <c r="O1893" i="4"/>
  <c r="O1894" i="4"/>
  <c r="O1895" i="4"/>
  <c r="O1896" i="4"/>
  <c r="O1897" i="4"/>
  <c r="O1898" i="4"/>
  <c r="O1899" i="4"/>
  <c r="O1900" i="4"/>
  <c r="O1901" i="4"/>
  <c r="O1902" i="4"/>
  <c r="O1904" i="4"/>
  <c r="O1905" i="4"/>
  <c r="O1906" i="4"/>
  <c r="O1907" i="4"/>
  <c r="O1908" i="4"/>
  <c r="O1909" i="4"/>
  <c r="O1910" i="4"/>
  <c r="O1911" i="4"/>
  <c r="O1912" i="4"/>
  <c r="O1913" i="4"/>
  <c r="O1915" i="4"/>
  <c r="O1916" i="4"/>
  <c r="O1917" i="4"/>
  <c r="O1918" i="4"/>
  <c r="O1919" i="4"/>
  <c r="O1920" i="4"/>
  <c r="O1921" i="4"/>
  <c r="O1922" i="4"/>
  <c r="O1923" i="4"/>
  <c r="O1924" i="4"/>
  <c r="O1926" i="4"/>
  <c r="O1927" i="4"/>
  <c r="O1928" i="4"/>
  <c r="O1929" i="4"/>
  <c r="O1930" i="4"/>
  <c r="O1931" i="4"/>
  <c r="O1932" i="4"/>
  <c r="O1933" i="4"/>
  <c r="O1934" i="4"/>
  <c r="O1935" i="4"/>
  <c r="O1937" i="4"/>
  <c r="O1938" i="4"/>
  <c r="O1939" i="4"/>
  <c r="O1940" i="4"/>
  <c r="O1941" i="4"/>
  <c r="O1942" i="4"/>
  <c r="O1943" i="4"/>
  <c r="O1944" i="4"/>
  <c r="O1945" i="4"/>
  <c r="O1946" i="4"/>
  <c r="O1948" i="4"/>
  <c r="O1949" i="4"/>
  <c r="O1950" i="4"/>
  <c r="O1951" i="4"/>
  <c r="O1952" i="4"/>
  <c r="O1953" i="4"/>
  <c r="O1954" i="4"/>
  <c r="O1955" i="4"/>
  <c r="O1956" i="4"/>
  <c r="O1957" i="4"/>
  <c r="O1959" i="4"/>
  <c r="O1960" i="4"/>
  <c r="O1961" i="4"/>
  <c r="O1962" i="4"/>
  <c r="O1963" i="4"/>
  <c r="O1964" i="4"/>
  <c r="O1965" i="4"/>
  <c r="O1966" i="4"/>
  <c r="O1967" i="4"/>
  <c r="O1968" i="4"/>
  <c r="O1970" i="4"/>
  <c r="O1971" i="4"/>
  <c r="O1972" i="4"/>
  <c r="O1973" i="4"/>
  <c r="O1974" i="4"/>
  <c r="O1975" i="4"/>
  <c r="O1976" i="4"/>
  <c r="O1977" i="4"/>
  <c r="O1978" i="4"/>
  <c r="O1979" i="4"/>
  <c r="O1981" i="4"/>
  <c r="O1982" i="4"/>
  <c r="O1983" i="4"/>
  <c r="O1984" i="4"/>
  <c r="O1985" i="4"/>
  <c r="O1986" i="4"/>
  <c r="O1987" i="4"/>
  <c r="O1988" i="4"/>
  <c r="O1989" i="4"/>
  <c r="O1990" i="4"/>
  <c r="O1992" i="4"/>
  <c r="O1993" i="4"/>
  <c r="O1994" i="4"/>
  <c r="O1995" i="4"/>
  <c r="O1996" i="4"/>
  <c r="O1997" i="4"/>
  <c r="O1998" i="4"/>
  <c r="O1999" i="4"/>
  <c r="O2000" i="4"/>
  <c r="O2001" i="4"/>
  <c r="O6" i="4"/>
  <c r="O7" i="4"/>
  <c r="O8" i="4"/>
  <c r="O9" i="4"/>
  <c r="O10" i="4"/>
  <c r="O11" i="4"/>
  <c r="O12" i="4"/>
  <c r="O13" i="4"/>
  <c r="O14" i="4"/>
  <c r="O15" i="4"/>
  <c r="O17" i="4"/>
  <c r="O18" i="4"/>
  <c r="O19" i="4"/>
  <c r="O20" i="4"/>
  <c r="O21" i="4"/>
  <c r="O22" i="4"/>
  <c r="O23" i="4"/>
  <c r="O24" i="4"/>
  <c r="O25" i="4"/>
  <c r="O26" i="4"/>
  <c r="O28" i="4"/>
  <c r="O29" i="4"/>
  <c r="O30" i="4"/>
  <c r="O31" i="4"/>
  <c r="O32" i="4"/>
  <c r="O33" i="4"/>
  <c r="O34" i="4"/>
  <c r="O35" i="4"/>
  <c r="O36" i="4"/>
  <c r="O37" i="4"/>
  <c r="O39" i="4"/>
  <c r="O40" i="4"/>
  <c r="O41" i="4"/>
  <c r="O42" i="4"/>
  <c r="O43" i="4"/>
  <c r="O44" i="4"/>
  <c r="O45" i="4"/>
  <c r="O46" i="4"/>
  <c r="O47" i="4"/>
  <c r="O48" i="4"/>
  <c r="O50" i="4"/>
  <c r="O51" i="4"/>
  <c r="O52" i="4"/>
  <c r="O53" i="4"/>
  <c r="O54" i="4"/>
  <c r="O55" i="4"/>
  <c r="O56" i="4"/>
  <c r="O57" i="4"/>
  <c r="O58" i="4"/>
  <c r="O59" i="4"/>
  <c r="O61" i="4"/>
  <c r="O62" i="4"/>
  <c r="O63" i="4"/>
  <c r="O64" i="4"/>
  <c r="O65" i="4"/>
  <c r="O66" i="4"/>
  <c r="O67" i="4"/>
  <c r="O68" i="4"/>
  <c r="O69" i="4"/>
  <c r="O70" i="4"/>
  <c r="O72" i="4"/>
  <c r="O73" i="4"/>
  <c r="O74" i="4"/>
  <c r="O75" i="4"/>
  <c r="O76" i="4"/>
  <c r="O77" i="4"/>
  <c r="O78" i="4"/>
  <c r="O79" i="4"/>
  <c r="O80" i="4"/>
  <c r="O81" i="4"/>
  <c r="O83" i="4"/>
  <c r="O84" i="4"/>
  <c r="O85" i="4"/>
  <c r="O86" i="4"/>
  <c r="O87" i="4"/>
  <c r="O88" i="4"/>
  <c r="O89" i="4"/>
  <c r="O90" i="4"/>
  <c r="O91" i="4"/>
  <c r="O92" i="4"/>
  <c r="O94" i="4"/>
  <c r="O95" i="4"/>
  <c r="O96" i="4"/>
  <c r="O97" i="4"/>
  <c r="O98" i="4"/>
  <c r="O99" i="4"/>
  <c r="O100" i="4"/>
  <c r="O101" i="4"/>
  <c r="O102" i="4"/>
  <c r="O103" i="4"/>
  <c r="O105" i="4"/>
  <c r="O106" i="4"/>
  <c r="O107" i="4"/>
  <c r="O108" i="4"/>
  <c r="O109" i="4"/>
  <c r="O110" i="4"/>
  <c r="O111" i="4"/>
  <c r="O112" i="4"/>
  <c r="O113" i="4"/>
  <c r="O114" i="4"/>
  <c r="O117" i="4"/>
  <c r="O118" i="4"/>
  <c r="O119" i="4"/>
  <c r="O120" i="4"/>
  <c r="O121" i="4"/>
  <c r="O122" i="4"/>
  <c r="O123" i="4"/>
  <c r="O124" i="4"/>
  <c r="O125" i="4"/>
  <c r="O126" i="4"/>
  <c r="O128" i="4"/>
  <c r="O129" i="4"/>
  <c r="O130" i="4"/>
  <c r="O131" i="4"/>
  <c r="O132" i="4"/>
  <c r="O133" i="4"/>
  <c r="O134" i="4"/>
  <c r="O135" i="4"/>
  <c r="O136" i="4"/>
  <c r="O137" i="4"/>
  <c r="O139" i="4"/>
  <c r="O140" i="4"/>
  <c r="O141" i="4"/>
  <c r="O142" i="4"/>
  <c r="O143" i="4"/>
  <c r="O144" i="4"/>
  <c r="O145" i="4"/>
  <c r="O146" i="4"/>
  <c r="O147" i="4"/>
  <c r="E48" i="7" s="1"/>
  <c r="O148" i="4"/>
  <c r="O150" i="4"/>
  <c r="O151" i="4"/>
  <c r="O152" i="4"/>
  <c r="O153" i="4"/>
  <c r="O154" i="4"/>
  <c r="O155" i="4"/>
  <c r="O156" i="4"/>
  <c r="O157" i="4"/>
  <c r="O158" i="4"/>
  <c r="O159" i="4"/>
  <c r="O161" i="4"/>
  <c r="O162" i="4"/>
  <c r="O163" i="4"/>
  <c r="O164" i="4"/>
  <c r="O165" i="4"/>
  <c r="O166" i="4"/>
  <c r="O167" i="4"/>
  <c r="O168" i="4"/>
  <c r="O169" i="4"/>
  <c r="O170" i="4"/>
  <c r="O172" i="4"/>
  <c r="O173" i="4"/>
  <c r="O174" i="4"/>
  <c r="O175" i="4"/>
  <c r="O176" i="4"/>
  <c r="O177" i="4"/>
  <c r="O178" i="4"/>
  <c r="O179" i="4"/>
  <c r="O180" i="4"/>
  <c r="O181" i="4"/>
  <c r="O183" i="4"/>
  <c r="O184" i="4"/>
  <c r="O185" i="4"/>
  <c r="O186" i="4"/>
  <c r="O187" i="4"/>
  <c r="O188" i="4"/>
  <c r="O189" i="4"/>
  <c r="O190" i="4"/>
  <c r="O191" i="4"/>
  <c r="O192" i="4"/>
  <c r="O194" i="4"/>
  <c r="O195" i="4"/>
  <c r="O196" i="4"/>
  <c r="O197" i="4"/>
  <c r="O198" i="4"/>
  <c r="O199" i="4"/>
  <c r="O200" i="4"/>
  <c r="O201" i="4"/>
  <c r="O202" i="4"/>
  <c r="O203" i="4"/>
  <c r="O205" i="4"/>
  <c r="O206" i="4"/>
  <c r="O207" i="4"/>
  <c r="O208" i="4"/>
  <c r="O209" i="4"/>
  <c r="O210" i="4"/>
  <c r="O211" i="4"/>
  <c r="O212" i="4"/>
  <c r="O213" i="4"/>
  <c r="O214" i="4"/>
  <c r="O216" i="4"/>
  <c r="O217" i="4"/>
  <c r="O218" i="4"/>
  <c r="O219" i="4"/>
  <c r="O220" i="4"/>
  <c r="O221" i="4"/>
  <c r="O222" i="4"/>
  <c r="O223" i="4"/>
  <c r="O224" i="4"/>
  <c r="O225" i="4"/>
  <c r="O228" i="4"/>
  <c r="O229" i="4"/>
  <c r="O230" i="4"/>
  <c r="O231" i="4"/>
  <c r="O232" i="4"/>
  <c r="O233" i="4"/>
  <c r="O234" i="4"/>
  <c r="O235" i="4"/>
  <c r="O236" i="4"/>
  <c r="O237" i="4"/>
  <c r="O239" i="4"/>
  <c r="O240" i="4"/>
  <c r="O241" i="4"/>
  <c r="O242" i="4"/>
  <c r="O243" i="4"/>
  <c r="O244" i="4"/>
  <c r="O245" i="4"/>
  <c r="O246" i="4"/>
  <c r="O247" i="4"/>
  <c r="O248" i="4"/>
  <c r="O250" i="4"/>
  <c r="O251" i="4"/>
  <c r="O252" i="4"/>
  <c r="O253" i="4"/>
  <c r="O254" i="4"/>
  <c r="O255" i="4"/>
  <c r="O256" i="4"/>
  <c r="O257" i="4"/>
  <c r="O258" i="4"/>
  <c r="O259" i="4"/>
  <c r="O261" i="4"/>
  <c r="O262" i="4"/>
  <c r="O263" i="4"/>
  <c r="O264" i="4"/>
  <c r="O265" i="4"/>
  <c r="O266" i="4"/>
  <c r="O267" i="4"/>
  <c r="O268" i="4"/>
  <c r="O269" i="4"/>
  <c r="O270" i="4"/>
  <c r="O272" i="4"/>
  <c r="O273" i="4"/>
  <c r="O274" i="4"/>
  <c r="O275" i="4"/>
  <c r="O276" i="4"/>
  <c r="O277" i="4"/>
  <c r="O278" i="4"/>
  <c r="O279" i="4"/>
  <c r="O280" i="4"/>
  <c r="O281" i="4"/>
  <c r="O283" i="4"/>
  <c r="O284" i="4"/>
  <c r="O285" i="4"/>
  <c r="O286" i="4"/>
  <c r="O287" i="4"/>
  <c r="O288" i="4"/>
  <c r="O289" i="4"/>
  <c r="O290" i="4"/>
  <c r="O291" i="4"/>
  <c r="O292" i="4"/>
  <c r="O294" i="4"/>
  <c r="O295" i="4"/>
  <c r="O296" i="4"/>
  <c r="O297" i="4"/>
  <c r="O298" i="4"/>
  <c r="O299" i="4"/>
  <c r="O300" i="4"/>
  <c r="O301" i="4"/>
  <c r="O302" i="4"/>
  <c r="O303" i="4"/>
  <c r="O305" i="4"/>
  <c r="O306" i="4"/>
  <c r="O307" i="4"/>
  <c r="O308" i="4"/>
  <c r="O309" i="4"/>
  <c r="O310" i="4"/>
  <c r="O311" i="4"/>
  <c r="O312" i="4"/>
  <c r="O313" i="4"/>
  <c r="O314" i="4"/>
  <c r="O316" i="4"/>
  <c r="O317" i="4"/>
  <c r="O318" i="4"/>
  <c r="O319" i="4"/>
  <c r="O320" i="4"/>
  <c r="O321" i="4"/>
  <c r="O322" i="4"/>
  <c r="O323" i="4"/>
  <c r="O324" i="4"/>
  <c r="O325" i="4"/>
  <c r="O327" i="4"/>
  <c r="O328" i="4"/>
  <c r="O329" i="4"/>
  <c r="O330" i="4"/>
  <c r="O331" i="4"/>
  <c r="O332" i="4"/>
  <c r="O333" i="4"/>
  <c r="O334" i="4"/>
  <c r="O335" i="4"/>
  <c r="O336" i="4"/>
  <c r="O339" i="4"/>
  <c r="O340" i="4"/>
  <c r="O341" i="4"/>
  <c r="O342" i="4"/>
  <c r="O343" i="4"/>
  <c r="O344" i="4"/>
  <c r="O345" i="4"/>
  <c r="O346" i="4"/>
  <c r="O347" i="4"/>
  <c r="O348" i="4"/>
  <c r="O350" i="4"/>
  <c r="O351" i="4"/>
  <c r="O352" i="4"/>
  <c r="O353" i="4"/>
  <c r="O354" i="4"/>
  <c r="O355" i="4"/>
  <c r="O356" i="4"/>
  <c r="O357" i="4"/>
  <c r="O358" i="4"/>
  <c r="O359" i="4"/>
  <c r="O361" i="4"/>
  <c r="O362" i="4"/>
  <c r="O363" i="4"/>
  <c r="O364" i="4"/>
  <c r="O365" i="4"/>
  <c r="O366" i="4"/>
  <c r="O367" i="4"/>
  <c r="O368" i="4"/>
  <c r="O369" i="4"/>
  <c r="O370" i="4"/>
  <c r="O372" i="4"/>
  <c r="O373" i="4"/>
  <c r="O374" i="4"/>
  <c r="O375" i="4"/>
  <c r="O376" i="4"/>
  <c r="O377" i="4"/>
  <c r="O378" i="4"/>
  <c r="O379" i="4"/>
  <c r="O380" i="4"/>
  <c r="O381" i="4"/>
  <c r="O383" i="4"/>
  <c r="O384" i="4"/>
  <c r="O385" i="4"/>
  <c r="O386" i="4"/>
  <c r="O387" i="4"/>
  <c r="O388" i="4"/>
  <c r="O389" i="4"/>
  <c r="O390" i="4"/>
  <c r="O391" i="4"/>
  <c r="O392" i="4"/>
  <c r="O394" i="4"/>
  <c r="O395" i="4"/>
  <c r="O396" i="4"/>
  <c r="O397" i="4"/>
  <c r="O398" i="4"/>
  <c r="O399" i="4"/>
  <c r="O400" i="4"/>
  <c r="O401" i="4"/>
  <c r="O402" i="4"/>
  <c r="O403" i="4"/>
  <c r="O405" i="4"/>
  <c r="O406" i="4"/>
  <c r="O407" i="4"/>
  <c r="O408" i="4"/>
  <c r="O409" i="4"/>
  <c r="O410" i="4"/>
  <c r="O411" i="4"/>
  <c r="O412" i="4"/>
  <c r="O413" i="4"/>
  <c r="O414" i="4"/>
  <c r="O416" i="4"/>
  <c r="O417" i="4"/>
  <c r="O418" i="4"/>
  <c r="O419" i="4"/>
  <c r="O420" i="4"/>
  <c r="O421" i="4"/>
  <c r="O422" i="4"/>
  <c r="O423" i="4"/>
  <c r="O424" i="4"/>
  <c r="O425" i="4"/>
  <c r="O427" i="4"/>
  <c r="O428" i="4"/>
  <c r="O429" i="4"/>
  <c r="O430" i="4"/>
  <c r="O431" i="4"/>
  <c r="O432" i="4"/>
  <c r="O433" i="4"/>
  <c r="O434" i="4"/>
  <c r="O435" i="4"/>
  <c r="O436" i="4"/>
  <c r="O438" i="4"/>
  <c r="O439" i="4"/>
  <c r="O440" i="4"/>
  <c r="O441" i="4"/>
  <c r="O442" i="4"/>
  <c r="O443" i="4"/>
  <c r="O444" i="4"/>
  <c r="O445" i="4"/>
  <c r="O446" i="4"/>
  <c r="O447" i="4"/>
  <c r="O450" i="4"/>
  <c r="O451" i="4"/>
  <c r="O452" i="4"/>
  <c r="O453" i="4"/>
  <c r="O454" i="4"/>
  <c r="O455" i="4"/>
  <c r="O456" i="4"/>
  <c r="O457" i="4"/>
  <c r="O458" i="4"/>
  <c r="O459" i="4"/>
  <c r="O461" i="4"/>
  <c r="O462" i="4"/>
  <c r="O463" i="4"/>
  <c r="O464" i="4"/>
  <c r="O465" i="4"/>
  <c r="O466" i="4"/>
  <c r="O467" i="4"/>
  <c r="O468" i="4"/>
  <c r="O469" i="4"/>
  <c r="O470" i="4"/>
  <c r="O472" i="4"/>
  <c r="O473" i="4"/>
  <c r="O474" i="4"/>
  <c r="O475" i="4"/>
  <c r="O476" i="4"/>
  <c r="O477" i="4"/>
  <c r="O478" i="4"/>
  <c r="O479" i="4"/>
  <c r="O480" i="4"/>
  <c r="O481" i="4"/>
  <c r="O483" i="4"/>
  <c r="O484" i="4"/>
  <c r="O485" i="4"/>
  <c r="O486" i="4"/>
  <c r="O487" i="4"/>
  <c r="O488" i="4"/>
  <c r="O489" i="4"/>
  <c r="O490" i="4"/>
  <c r="O491" i="4"/>
  <c r="O492" i="4"/>
  <c r="O494" i="4"/>
  <c r="O495" i="4"/>
  <c r="O496" i="4"/>
  <c r="O497" i="4"/>
  <c r="O498" i="4"/>
  <c r="O499" i="4"/>
  <c r="O500" i="4"/>
  <c r="O501" i="4"/>
  <c r="O502" i="4"/>
  <c r="O503" i="4"/>
  <c r="O505" i="4"/>
  <c r="O506" i="4"/>
  <c r="O507" i="4"/>
  <c r="O508" i="4"/>
  <c r="O509" i="4"/>
  <c r="O510" i="4"/>
  <c r="O511" i="4"/>
  <c r="O512" i="4"/>
  <c r="O513" i="4"/>
  <c r="O514" i="4"/>
  <c r="O516" i="4"/>
  <c r="O517" i="4"/>
  <c r="O518" i="4"/>
  <c r="O519" i="4"/>
  <c r="O520" i="4"/>
  <c r="O521" i="4"/>
  <c r="O522" i="4"/>
  <c r="O523" i="4"/>
  <c r="O524" i="4"/>
  <c r="O525" i="4"/>
  <c r="O527" i="4"/>
  <c r="O528" i="4"/>
  <c r="O529" i="4"/>
  <c r="O530" i="4"/>
  <c r="O531" i="4"/>
  <c r="O532" i="4"/>
  <c r="O533" i="4"/>
  <c r="O534" i="4"/>
  <c r="O535" i="4"/>
  <c r="O536" i="4"/>
  <c r="O538" i="4"/>
  <c r="O539" i="4"/>
  <c r="O540" i="4"/>
  <c r="O541" i="4"/>
  <c r="O542" i="4"/>
  <c r="O543" i="4"/>
  <c r="O544" i="4"/>
  <c r="O545" i="4"/>
  <c r="O546" i="4"/>
  <c r="O547" i="4"/>
  <c r="O549" i="4"/>
  <c r="O550" i="4"/>
  <c r="O551" i="4"/>
  <c r="O552" i="4"/>
  <c r="O553" i="4"/>
  <c r="O554" i="4"/>
  <c r="O555" i="4"/>
  <c r="O556" i="4"/>
  <c r="O557" i="4"/>
  <c r="O558" i="4"/>
  <c r="O561" i="4"/>
  <c r="O562" i="4"/>
  <c r="O563" i="4"/>
  <c r="O564" i="4"/>
  <c r="O565" i="4"/>
  <c r="O566" i="4"/>
  <c r="O567" i="4"/>
  <c r="O568" i="4"/>
  <c r="O569" i="4"/>
  <c r="O570" i="4"/>
  <c r="O572" i="4"/>
  <c r="O573" i="4"/>
  <c r="O574" i="4"/>
  <c r="O575" i="4"/>
  <c r="O576" i="4"/>
  <c r="O577" i="4"/>
  <c r="O578" i="4"/>
  <c r="O579" i="4"/>
  <c r="O580" i="4"/>
  <c r="O581" i="4"/>
  <c r="O583" i="4"/>
  <c r="O584" i="4"/>
  <c r="O585" i="4"/>
  <c r="O586" i="4"/>
  <c r="O587" i="4"/>
  <c r="O588" i="4"/>
  <c r="O589" i="4"/>
  <c r="O590" i="4"/>
  <c r="O591" i="4"/>
  <c r="O592" i="4"/>
  <c r="O594" i="4"/>
  <c r="O595" i="4"/>
  <c r="O596" i="4"/>
  <c r="O597" i="4"/>
  <c r="O598" i="4"/>
  <c r="O599" i="4"/>
  <c r="O600" i="4"/>
  <c r="O601" i="4"/>
  <c r="O602" i="4"/>
  <c r="O603" i="4"/>
  <c r="O605" i="4"/>
  <c r="O606" i="4"/>
  <c r="O607" i="4"/>
  <c r="O608" i="4"/>
  <c r="O609" i="4"/>
  <c r="O610" i="4"/>
  <c r="O611" i="4"/>
  <c r="O612" i="4"/>
  <c r="O613" i="4"/>
  <c r="O614" i="4"/>
  <c r="O616" i="4"/>
  <c r="O617" i="4"/>
  <c r="O618" i="4"/>
  <c r="O619" i="4"/>
  <c r="O620" i="4"/>
  <c r="O621" i="4"/>
  <c r="O622" i="4"/>
  <c r="O623" i="4"/>
  <c r="O624" i="4"/>
  <c r="O625" i="4"/>
  <c r="O627" i="4"/>
  <c r="O628" i="4"/>
  <c r="O629" i="4"/>
  <c r="O630" i="4"/>
  <c r="O631" i="4"/>
  <c r="O632" i="4"/>
  <c r="O633" i="4"/>
  <c r="O634" i="4"/>
  <c r="O635" i="4"/>
  <c r="O636" i="4"/>
  <c r="O638" i="4"/>
  <c r="O639" i="4"/>
  <c r="O640" i="4"/>
  <c r="O641" i="4"/>
  <c r="O642" i="4"/>
  <c r="O643" i="4"/>
  <c r="O644" i="4"/>
  <c r="O645" i="4"/>
  <c r="O646" i="4"/>
  <c r="O647" i="4"/>
  <c r="O649" i="4"/>
  <c r="O650" i="4"/>
  <c r="O651" i="4"/>
  <c r="O652" i="4"/>
  <c r="O653" i="4"/>
  <c r="O654" i="4"/>
  <c r="O655" i="4"/>
  <c r="O656" i="4"/>
  <c r="O657" i="4"/>
  <c r="O658" i="4"/>
  <c r="O660" i="4"/>
  <c r="O661" i="4"/>
  <c r="O662" i="4"/>
  <c r="O663" i="4"/>
  <c r="O664" i="4"/>
  <c r="O665" i="4"/>
  <c r="O666" i="4"/>
  <c r="O667" i="4"/>
  <c r="O668" i="4"/>
  <c r="O669" i="4"/>
  <c r="O672" i="4"/>
  <c r="O673" i="4"/>
  <c r="O674" i="4"/>
  <c r="O675" i="4"/>
  <c r="O676" i="4"/>
  <c r="O677" i="4"/>
  <c r="O678" i="4"/>
  <c r="O679" i="4"/>
  <c r="O680" i="4"/>
  <c r="O681" i="4"/>
  <c r="O683" i="4"/>
  <c r="O684" i="4"/>
  <c r="O685" i="4"/>
  <c r="O686" i="4"/>
  <c r="O687" i="4"/>
  <c r="O688" i="4"/>
  <c r="O689" i="4"/>
  <c r="O690" i="4"/>
  <c r="O691" i="4"/>
  <c r="O692" i="4"/>
  <c r="O694" i="4"/>
  <c r="O695" i="4"/>
  <c r="O696" i="4"/>
  <c r="O697" i="4"/>
  <c r="O698" i="4"/>
  <c r="O699" i="4"/>
  <c r="O700" i="4"/>
  <c r="O701" i="4"/>
  <c r="O702" i="4"/>
  <c r="O703" i="4"/>
  <c r="O705" i="4"/>
  <c r="O706" i="4"/>
  <c r="O707" i="4"/>
  <c r="O708" i="4"/>
  <c r="O709" i="4"/>
  <c r="O710" i="4"/>
  <c r="O711" i="4"/>
  <c r="O712" i="4"/>
  <c r="O713" i="4"/>
  <c r="O714" i="4"/>
  <c r="O716" i="4"/>
  <c r="O717" i="4"/>
  <c r="O718" i="4"/>
  <c r="O719" i="4"/>
  <c r="O720" i="4"/>
  <c r="O721" i="4"/>
  <c r="O722" i="4"/>
  <c r="O723" i="4"/>
  <c r="O724" i="4"/>
  <c r="O725" i="4"/>
  <c r="O727" i="4"/>
  <c r="O728" i="4"/>
  <c r="O729" i="4"/>
  <c r="O730" i="4"/>
  <c r="O731" i="4"/>
  <c r="O732" i="4"/>
  <c r="O733" i="4"/>
  <c r="O734" i="4"/>
  <c r="O735" i="4"/>
  <c r="O736" i="4"/>
  <c r="O738" i="4"/>
  <c r="O739" i="4"/>
  <c r="O740" i="4"/>
  <c r="O741" i="4"/>
  <c r="O742" i="4"/>
  <c r="O743" i="4"/>
  <c r="O744" i="4"/>
  <c r="O745" i="4"/>
  <c r="O746" i="4"/>
  <c r="O747" i="4"/>
  <c r="O749" i="4"/>
  <c r="O750" i="4"/>
  <c r="O751" i="4"/>
  <c r="O752" i="4"/>
  <c r="O753" i="4"/>
  <c r="O754" i="4"/>
  <c r="O755" i="4"/>
  <c r="O756" i="4"/>
  <c r="O757" i="4"/>
  <c r="O758" i="4"/>
  <c r="O760" i="4"/>
  <c r="O761" i="4"/>
  <c r="O762" i="4"/>
  <c r="O763" i="4"/>
  <c r="O764" i="4"/>
  <c r="O765" i="4"/>
  <c r="O766" i="4"/>
  <c r="O767" i="4"/>
  <c r="O768" i="4"/>
  <c r="O769" i="4"/>
  <c r="O771" i="4"/>
  <c r="O772" i="4"/>
  <c r="O773" i="4"/>
  <c r="O774" i="4"/>
  <c r="O775" i="4"/>
  <c r="O776" i="4"/>
  <c r="O777" i="4"/>
  <c r="O778" i="4"/>
  <c r="O779" i="4"/>
  <c r="O780" i="4"/>
  <c r="O783" i="4"/>
  <c r="O784" i="4"/>
  <c r="O785" i="4"/>
  <c r="O786" i="4"/>
  <c r="O787" i="4"/>
  <c r="O788" i="4"/>
  <c r="O789" i="4"/>
  <c r="O790" i="4"/>
  <c r="O791" i="4"/>
  <c r="O792" i="4"/>
  <c r="O794" i="4"/>
  <c r="O795" i="4"/>
  <c r="O796" i="4"/>
  <c r="O797" i="4"/>
  <c r="O798" i="4"/>
  <c r="O799" i="4"/>
  <c r="O800" i="4"/>
  <c r="O801" i="4"/>
  <c r="O802" i="4"/>
  <c r="O803" i="4"/>
  <c r="O805" i="4"/>
  <c r="O806" i="4"/>
  <c r="O807" i="4"/>
  <c r="O808" i="4"/>
  <c r="O809" i="4"/>
  <c r="O810" i="4"/>
  <c r="O811" i="4"/>
  <c r="O812" i="4"/>
  <c r="O813" i="4"/>
  <c r="O814" i="4"/>
  <c r="O816" i="4"/>
  <c r="O817" i="4"/>
  <c r="O818" i="4"/>
  <c r="O819" i="4"/>
  <c r="O820" i="4"/>
  <c r="O821" i="4"/>
  <c r="O822" i="4"/>
  <c r="O823" i="4"/>
  <c r="O824" i="4"/>
  <c r="O825" i="4"/>
  <c r="O827" i="4"/>
  <c r="O828" i="4"/>
  <c r="O829" i="4"/>
  <c r="O830" i="4"/>
  <c r="O831" i="4"/>
  <c r="O832" i="4"/>
  <c r="O833" i="4"/>
  <c r="O834" i="4"/>
  <c r="O835" i="4"/>
  <c r="O836" i="4"/>
  <c r="O838" i="4"/>
  <c r="O839" i="4"/>
  <c r="O840" i="4"/>
  <c r="O841" i="4"/>
  <c r="O842" i="4"/>
  <c r="O843" i="4"/>
  <c r="O844" i="4"/>
  <c r="O845" i="4"/>
  <c r="O846" i="4"/>
  <c r="O847" i="4"/>
  <c r="O849" i="4"/>
  <c r="O850" i="4"/>
  <c r="O851" i="4"/>
  <c r="O852" i="4"/>
  <c r="O853" i="4"/>
  <c r="O854" i="4"/>
  <c r="O855" i="4"/>
  <c r="O856" i="4"/>
  <c r="O857" i="4"/>
  <c r="O858" i="4"/>
  <c r="O860" i="4"/>
  <c r="O861" i="4"/>
  <c r="O862" i="4"/>
  <c r="O863" i="4"/>
  <c r="O864" i="4"/>
  <c r="O865" i="4"/>
  <c r="O866" i="4"/>
  <c r="O867" i="4"/>
  <c r="O868" i="4"/>
  <c r="O869" i="4"/>
  <c r="O871" i="4"/>
  <c r="O872" i="4"/>
  <c r="O873" i="4"/>
  <c r="O874" i="4"/>
  <c r="O875" i="4"/>
  <c r="O876" i="4"/>
  <c r="O877" i="4"/>
  <c r="O878" i="4"/>
  <c r="O879" i="4"/>
  <c r="O880" i="4"/>
  <c r="O882" i="4"/>
  <c r="O883" i="4"/>
  <c r="O884" i="4"/>
  <c r="O885" i="4"/>
  <c r="O886" i="4"/>
  <c r="O887" i="4"/>
  <c r="O888" i="4"/>
  <c r="O889" i="4"/>
  <c r="O890" i="4"/>
  <c r="O891" i="4"/>
  <c r="O894" i="4"/>
  <c r="O895" i="4"/>
  <c r="O896" i="4"/>
  <c r="O897" i="4"/>
  <c r="O898" i="4"/>
  <c r="O899" i="4"/>
  <c r="O900" i="4"/>
  <c r="O901" i="4"/>
  <c r="O902" i="4"/>
  <c r="O903" i="4"/>
  <c r="O905" i="4"/>
  <c r="O906" i="4"/>
  <c r="O907" i="4"/>
  <c r="O908" i="4"/>
  <c r="O909" i="4"/>
  <c r="O910" i="4"/>
  <c r="O911" i="4"/>
  <c r="O912" i="4"/>
  <c r="O913" i="4"/>
  <c r="O914" i="4"/>
  <c r="O916" i="4"/>
  <c r="O917" i="4"/>
  <c r="O918" i="4"/>
  <c r="O919" i="4"/>
  <c r="O920" i="4"/>
  <c r="O921" i="4"/>
  <c r="O922" i="4"/>
  <c r="O923" i="4"/>
  <c r="O924" i="4"/>
  <c r="O925" i="4"/>
  <c r="O927" i="4"/>
  <c r="O928" i="4"/>
  <c r="O929" i="4"/>
  <c r="O930" i="4"/>
  <c r="O931" i="4"/>
  <c r="O932" i="4"/>
  <c r="O933" i="4"/>
  <c r="O934" i="4"/>
  <c r="O935" i="4"/>
  <c r="O936" i="4"/>
  <c r="O938" i="4"/>
  <c r="O939" i="4"/>
  <c r="O940" i="4"/>
  <c r="O941" i="4"/>
  <c r="O942" i="4"/>
  <c r="O943" i="4"/>
  <c r="O944" i="4"/>
  <c r="O945" i="4"/>
  <c r="O946" i="4"/>
  <c r="O947" i="4"/>
  <c r="O949" i="4"/>
  <c r="O950" i="4"/>
  <c r="O951" i="4"/>
  <c r="O952" i="4"/>
  <c r="O953" i="4"/>
  <c r="O954" i="4"/>
  <c r="O955" i="4"/>
  <c r="O956" i="4"/>
  <c r="O957" i="4"/>
  <c r="O958" i="4"/>
  <c r="O960" i="4"/>
  <c r="O961" i="4"/>
  <c r="O962" i="4"/>
  <c r="O963" i="4"/>
  <c r="O964" i="4"/>
  <c r="O965" i="4"/>
  <c r="O966" i="4"/>
  <c r="O967" i="4"/>
  <c r="O968" i="4"/>
  <c r="O969" i="4"/>
  <c r="O971" i="4"/>
  <c r="O972" i="4"/>
  <c r="O973" i="4"/>
  <c r="O974" i="4"/>
  <c r="O975" i="4"/>
  <c r="O976" i="4"/>
  <c r="O977" i="4"/>
  <c r="O978" i="4"/>
  <c r="O979" i="4"/>
  <c r="O980" i="4"/>
  <c r="O982" i="4"/>
  <c r="O983" i="4"/>
  <c r="O984" i="4"/>
  <c r="O985" i="4"/>
  <c r="O986" i="4"/>
  <c r="O987" i="4"/>
  <c r="O988" i="4"/>
  <c r="O989" i="4"/>
  <c r="O990" i="4"/>
  <c r="O991" i="4"/>
  <c r="O993" i="4"/>
  <c r="O994" i="4"/>
  <c r="O995" i="4"/>
  <c r="O996" i="4"/>
  <c r="O997" i="4"/>
  <c r="O998" i="4"/>
  <c r="O999" i="4"/>
  <c r="O1000" i="4"/>
  <c r="O1001" i="4"/>
  <c r="O1002" i="4"/>
  <c r="O1005" i="4"/>
  <c r="O1006" i="4"/>
  <c r="O1007" i="4"/>
  <c r="O1008" i="4"/>
  <c r="O1009" i="4"/>
  <c r="O1010" i="4"/>
  <c r="O1011" i="4"/>
  <c r="O1012" i="4"/>
  <c r="O1013" i="4"/>
  <c r="O1014" i="4"/>
  <c r="O1016" i="4"/>
  <c r="O1017" i="4"/>
  <c r="O1018" i="4"/>
  <c r="O1019" i="4"/>
  <c r="O1020" i="4"/>
  <c r="O1021" i="4"/>
  <c r="O1022" i="4"/>
  <c r="O1023" i="4"/>
  <c r="O1024" i="4"/>
  <c r="O1025" i="4"/>
  <c r="O1027" i="4"/>
  <c r="O1028" i="4"/>
  <c r="O1029" i="4"/>
  <c r="O1030" i="4"/>
  <c r="O1031" i="4"/>
  <c r="O1032" i="4"/>
  <c r="O1033" i="4"/>
  <c r="O1034" i="4"/>
  <c r="O1035" i="4"/>
  <c r="O1036" i="4"/>
  <c r="O1038" i="4"/>
  <c r="O1039" i="4"/>
  <c r="O1040" i="4"/>
  <c r="O1041" i="4"/>
  <c r="O1042" i="4"/>
  <c r="O1043" i="4"/>
  <c r="O1044" i="4"/>
  <c r="O1045" i="4"/>
  <c r="O1046" i="4"/>
  <c r="O1047" i="4"/>
  <c r="O1049" i="4"/>
  <c r="O1050" i="4"/>
  <c r="O1051" i="4"/>
  <c r="O1052" i="4"/>
  <c r="O1053" i="4"/>
  <c r="O1054" i="4"/>
  <c r="O1055" i="4"/>
  <c r="O1056" i="4"/>
  <c r="O1057" i="4"/>
  <c r="O1058" i="4"/>
  <c r="O1060" i="4"/>
  <c r="O1061" i="4"/>
  <c r="O1062" i="4"/>
  <c r="O1063" i="4"/>
  <c r="O1064" i="4"/>
  <c r="O1065" i="4"/>
  <c r="O1066" i="4"/>
  <c r="O1067" i="4"/>
  <c r="O1068" i="4"/>
  <c r="O1069" i="4"/>
  <c r="O1071" i="4"/>
  <c r="O1072" i="4"/>
  <c r="O1073" i="4"/>
  <c r="O1074" i="4"/>
  <c r="O1075" i="4"/>
  <c r="O1076" i="4"/>
  <c r="O1077" i="4"/>
  <c r="O1078" i="4"/>
  <c r="O1079" i="4"/>
  <c r="O1080" i="4"/>
  <c r="O1082" i="4"/>
  <c r="O1083" i="4"/>
  <c r="O1084" i="4"/>
  <c r="O1085" i="4"/>
  <c r="O1086" i="4"/>
  <c r="O1087" i="4"/>
  <c r="O1088" i="4"/>
  <c r="O1089" i="4"/>
  <c r="O1090" i="4"/>
  <c r="O1091" i="4"/>
  <c r="O1093" i="4"/>
  <c r="O1094" i="4"/>
  <c r="O1095" i="4"/>
  <c r="O1096" i="4"/>
  <c r="O1097" i="4"/>
  <c r="O1098" i="4"/>
  <c r="O1099" i="4"/>
  <c r="O1100" i="4"/>
  <c r="O1101" i="4"/>
  <c r="O1102" i="4"/>
  <c r="O1104" i="4"/>
  <c r="O1105" i="4"/>
  <c r="O1106" i="4"/>
  <c r="O1107" i="4"/>
  <c r="O1108" i="4"/>
  <c r="O1109" i="4"/>
  <c r="O1110" i="4"/>
  <c r="O1111" i="4"/>
  <c r="O1112" i="4"/>
  <c r="O1113" i="4"/>
  <c r="O2" i="4"/>
  <c r="N1835" i="4"/>
  <c r="N40" i="4"/>
  <c r="N145" i="4"/>
  <c r="N239" i="4"/>
  <c r="N288" i="4"/>
  <c r="N367" i="4"/>
  <c r="N422" i="4"/>
  <c r="N492" i="4"/>
  <c r="N543" i="4"/>
  <c r="N589" i="4"/>
  <c r="N641" i="4"/>
  <c r="N689" i="4"/>
  <c r="N732" i="4"/>
  <c r="N764" i="4"/>
  <c r="N795" i="4"/>
  <c r="N822" i="4"/>
  <c r="N856" i="4"/>
  <c r="N891" i="4"/>
  <c r="N901" i="4"/>
  <c r="N911" i="4"/>
  <c r="N936" i="4"/>
  <c r="N957" i="4"/>
  <c r="N989" i="4"/>
  <c r="N1016" i="4"/>
  <c r="N1035" i="4"/>
  <c r="N1064" i="4"/>
  <c r="N1071" i="4"/>
  <c r="N1086" i="4"/>
  <c r="N1108" i="4"/>
  <c r="H3" i="4"/>
  <c r="S3" i="4" s="1"/>
  <c r="H1114" i="4"/>
  <c r="S1114" i="4" s="1"/>
  <c r="H1225" i="4"/>
  <c r="S1225" i="4" s="1"/>
  <c r="H1336" i="4"/>
  <c r="S1336" i="4" s="1"/>
  <c r="H1447" i="4"/>
  <c r="S1447" i="4" s="1"/>
  <c r="H1558" i="4"/>
  <c r="S1558" i="4" s="1"/>
  <c r="H1669" i="4"/>
  <c r="S1669" i="4" s="1"/>
  <c r="H1780" i="4"/>
  <c r="S1780" i="4" s="1"/>
  <c r="H1891" i="4"/>
  <c r="S1891" i="4" s="1"/>
  <c r="H4" i="4"/>
  <c r="S4" i="4" s="1"/>
  <c r="H115" i="4"/>
  <c r="S115" i="4" s="1"/>
  <c r="H226" i="4"/>
  <c r="S226" i="4" s="1"/>
  <c r="H337" i="4"/>
  <c r="S337" i="4" s="1"/>
  <c r="H448" i="4"/>
  <c r="S448" i="4" s="1"/>
  <c r="H559" i="4"/>
  <c r="S559" i="4" s="1"/>
  <c r="H670" i="4"/>
  <c r="S670" i="4" s="1"/>
  <c r="H781" i="4"/>
  <c r="S781" i="4" s="1"/>
  <c r="H892" i="4"/>
  <c r="S892" i="4" s="1"/>
  <c r="H1003" i="4"/>
  <c r="S1003" i="4" s="1"/>
  <c r="H1115" i="4"/>
  <c r="S1115" i="4" s="1"/>
  <c r="H1126" i="4"/>
  <c r="S1126" i="4" s="1"/>
  <c r="H1137" i="4"/>
  <c r="S1137" i="4" s="1"/>
  <c r="H1148" i="4"/>
  <c r="S1148" i="4" s="1"/>
  <c r="H1159" i="4"/>
  <c r="S1159" i="4" s="1"/>
  <c r="H1170" i="4"/>
  <c r="S1170" i="4" s="1"/>
  <c r="H1181" i="4"/>
  <c r="S1181" i="4" s="1"/>
  <c r="H1192" i="4"/>
  <c r="S1192" i="4" s="1"/>
  <c r="H1203" i="4"/>
  <c r="S1203" i="4" s="1"/>
  <c r="H1214" i="4"/>
  <c r="S1214" i="4" s="1"/>
  <c r="H1226" i="4"/>
  <c r="S1226" i="4" s="1"/>
  <c r="H1237" i="4"/>
  <c r="S1237" i="4" s="1"/>
  <c r="H1248" i="4"/>
  <c r="S1248" i="4" s="1"/>
  <c r="H1259" i="4"/>
  <c r="S1259" i="4" s="1"/>
  <c r="H1270" i="4"/>
  <c r="S1270" i="4" s="1"/>
  <c r="H1281" i="4"/>
  <c r="S1281" i="4" s="1"/>
  <c r="H1292" i="4"/>
  <c r="S1292" i="4" s="1"/>
  <c r="H1303" i="4"/>
  <c r="S1303" i="4" s="1"/>
  <c r="H1314" i="4"/>
  <c r="S1314" i="4" s="1"/>
  <c r="H1325" i="4"/>
  <c r="S1325" i="4" s="1"/>
  <c r="H1337" i="4"/>
  <c r="S1337" i="4" s="1"/>
  <c r="H1348" i="4"/>
  <c r="S1348" i="4" s="1"/>
  <c r="H1359" i="4"/>
  <c r="S1359" i="4" s="1"/>
  <c r="H1370" i="4"/>
  <c r="S1370" i="4" s="1"/>
  <c r="H1381" i="4"/>
  <c r="S1381" i="4" s="1"/>
  <c r="H1392" i="4"/>
  <c r="S1392" i="4" s="1"/>
  <c r="H1403" i="4"/>
  <c r="S1403" i="4" s="1"/>
  <c r="H1414" i="4"/>
  <c r="S1414" i="4" s="1"/>
  <c r="H1425" i="4"/>
  <c r="S1425" i="4" s="1"/>
  <c r="H1436" i="4"/>
  <c r="S1436" i="4" s="1"/>
  <c r="H1448" i="4"/>
  <c r="S1448" i="4" s="1"/>
  <c r="H1459" i="4"/>
  <c r="S1459" i="4" s="1"/>
  <c r="H1470" i="4"/>
  <c r="S1470" i="4" s="1"/>
  <c r="H1481" i="4"/>
  <c r="S1481" i="4" s="1"/>
  <c r="H1492" i="4"/>
  <c r="S1492" i="4" s="1"/>
  <c r="H1503" i="4"/>
  <c r="S1503" i="4" s="1"/>
  <c r="H1514" i="4"/>
  <c r="S1514" i="4" s="1"/>
  <c r="H1525" i="4"/>
  <c r="S1525" i="4" s="1"/>
  <c r="H1536" i="4"/>
  <c r="S1536" i="4" s="1"/>
  <c r="H1547" i="4"/>
  <c r="S1547" i="4" s="1"/>
  <c r="H1559" i="4"/>
  <c r="S1559" i="4" s="1"/>
  <c r="H1570" i="4"/>
  <c r="S1570" i="4" s="1"/>
  <c r="H1581" i="4"/>
  <c r="S1581" i="4" s="1"/>
  <c r="H1592" i="4"/>
  <c r="S1592" i="4" s="1"/>
  <c r="H1603" i="4"/>
  <c r="S1603" i="4" s="1"/>
  <c r="H1614" i="4"/>
  <c r="S1614" i="4" s="1"/>
  <c r="H1625" i="4"/>
  <c r="S1625" i="4" s="1"/>
  <c r="H1636" i="4"/>
  <c r="S1636" i="4" s="1"/>
  <c r="H1647" i="4"/>
  <c r="S1647" i="4" s="1"/>
  <c r="H1658" i="4"/>
  <c r="S1658" i="4" s="1"/>
  <c r="H1670" i="4"/>
  <c r="S1670" i="4" s="1"/>
  <c r="H1681" i="4"/>
  <c r="S1681" i="4" s="1"/>
  <c r="H1692" i="4"/>
  <c r="S1692" i="4" s="1"/>
  <c r="H1703" i="4"/>
  <c r="S1703" i="4" s="1"/>
  <c r="H1714" i="4"/>
  <c r="S1714" i="4" s="1"/>
  <c r="H1725" i="4"/>
  <c r="S1725" i="4" s="1"/>
  <c r="H1736" i="4"/>
  <c r="S1736" i="4" s="1"/>
  <c r="H1747" i="4"/>
  <c r="S1747" i="4" s="1"/>
  <c r="H1758" i="4"/>
  <c r="S1758" i="4" s="1"/>
  <c r="H1769" i="4"/>
  <c r="S1769" i="4" s="1"/>
  <c r="H1781" i="4"/>
  <c r="S1781" i="4" s="1"/>
  <c r="H1792" i="4"/>
  <c r="S1792" i="4" s="1"/>
  <c r="H1803" i="4"/>
  <c r="S1803" i="4" s="1"/>
  <c r="H1814" i="4"/>
  <c r="S1814" i="4" s="1"/>
  <c r="H1825" i="4"/>
  <c r="S1825" i="4" s="1"/>
  <c r="H1836" i="4"/>
  <c r="S1836" i="4" s="1"/>
  <c r="H1847" i="4"/>
  <c r="S1847" i="4" s="1"/>
  <c r="H1858" i="4"/>
  <c r="S1858" i="4" s="1"/>
  <c r="H1869" i="4"/>
  <c r="S1869" i="4" s="1"/>
  <c r="H1880" i="4"/>
  <c r="S1880" i="4" s="1"/>
  <c r="H1892" i="4"/>
  <c r="S1892" i="4" s="1"/>
  <c r="H1903" i="4"/>
  <c r="S1903" i="4" s="1"/>
  <c r="H1914" i="4"/>
  <c r="S1914" i="4" s="1"/>
  <c r="H1925" i="4"/>
  <c r="S1925" i="4" s="1"/>
  <c r="H1936" i="4"/>
  <c r="S1936" i="4" s="1"/>
  <c r="H1947" i="4"/>
  <c r="S1947" i="4" s="1"/>
  <c r="H1958" i="4"/>
  <c r="S1958" i="4" s="1"/>
  <c r="H1969" i="4"/>
  <c r="S1969" i="4" s="1"/>
  <c r="H1980" i="4"/>
  <c r="S1980" i="4" s="1"/>
  <c r="H1991" i="4"/>
  <c r="S1991" i="4" s="1"/>
  <c r="H5" i="4"/>
  <c r="S5" i="4" s="1"/>
  <c r="H16" i="4"/>
  <c r="S16" i="4" s="1"/>
  <c r="H27" i="4"/>
  <c r="S27" i="4" s="1"/>
  <c r="H38" i="4"/>
  <c r="S38" i="4" s="1"/>
  <c r="H49" i="4"/>
  <c r="S49" i="4" s="1"/>
  <c r="H60" i="4"/>
  <c r="S60" i="4" s="1"/>
  <c r="H71" i="4"/>
  <c r="S71" i="4" s="1"/>
  <c r="H82" i="4"/>
  <c r="S82" i="4" s="1"/>
  <c r="H93" i="4"/>
  <c r="S93" i="4" s="1"/>
  <c r="H104" i="4"/>
  <c r="S104" i="4" s="1"/>
  <c r="H116" i="4"/>
  <c r="S116" i="4" s="1"/>
  <c r="H127" i="4"/>
  <c r="S127" i="4" s="1"/>
  <c r="H138" i="4"/>
  <c r="S138" i="4" s="1"/>
  <c r="H149" i="4"/>
  <c r="S149" i="4" s="1"/>
  <c r="H160" i="4"/>
  <c r="S160" i="4" s="1"/>
  <c r="H171" i="4"/>
  <c r="S171" i="4" s="1"/>
  <c r="H182" i="4"/>
  <c r="S182" i="4" s="1"/>
  <c r="H193" i="4"/>
  <c r="S193" i="4" s="1"/>
  <c r="H204" i="4"/>
  <c r="S204" i="4" s="1"/>
  <c r="H215" i="4"/>
  <c r="S215" i="4" s="1"/>
  <c r="H227" i="4"/>
  <c r="S227" i="4" s="1"/>
  <c r="H238" i="4"/>
  <c r="S238" i="4" s="1"/>
  <c r="H249" i="4"/>
  <c r="S249" i="4" s="1"/>
  <c r="H260" i="4"/>
  <c r="S260" i="4" s="1"/>
  <c r="H271" i="4"/>
  <c r="S271" i="4" s="1"/>
  <c r="H282" i="4"/>
  <c r="S282" i="4" s="1"/>
  <c r="H293" i="4"/>
  <c r="S293" i="4" s="1"/>
  <c r="H304" i="4"/>
  <c r="S304" i="4" s="1"/>
  <c r="H315" i="4"/>
  <c r="S315" i="4" s="1"/>
  <c r="H326" i="4"/>
  <c r="S326" i="4" s="1"/>
  <c r="H338" i="4"/>
  <c r="S338" i="4" s="1"/>
  <c r="H349" i="4"/>
  <c r="S349" i="4" s="1"/>
  <c r="H360" i="4"/>
  <c r="S360" i="4" s="1"/>
  <c r="H371" i="4"/>
  <c r="S371" i="4" s="1"/>
  <c r="H382" i="4"/>
  <c r="S382" i="4" s="1"/>
  <c r="H393" i="4"/>
  <c r="S393" i="4" s="1"/>
  <c r="H404" i="4"/>
  <c r="S404" i="4" s="1"/>
  <c r="H415" i="4"/>
  <c r="S415" i="4" s="1"/>
  <c r="H426" i="4"/>
  <c r="S426" i="4" s="1"/>
  <c r="H437" i="4"/>
  <c r="S437" i="4" s="1"/>
  <c r="H449" i="4"/>
  <c r="S449" i="4" s="1"/>
  <c r="H460" i="4"/>
  <c r="S460" i="4" s="1"/>
  <c r="H471" i="4"/>
  <c r="S471" i="4" s="1"/>
  <c r="H482" i="4"/>
  <c r="S482" i="4" s="1"/>
  <c r="H493" i="4"/>
  <c r="S493" i="4" s="1"/>
  <c r="H504" i="4"/>
  <c r="S504" i="4" s="1"/>
  <c r="H515" i="4"/>
  <c r="S515" i="4" s="1"/>
  <c r="H526" i="4"/>
  <c r="S526" i="4" s="1"/>
  <c r="H537" i="4"/>
  <c r="S537" i="4" s="1"/>
  <c r="H548" i="4"/>
  <c r="S548" i="4" s="1"/>
  <c r="H560" i="4"/>
  <c r="S560" i="4" s="1"/>
  <c r="H571" i="4"/>
  <c r="S571" i="4" s="1"/>
  <c r="H582" i="4"/>
  <c r="S582" i="4" s="1"/>
  <c r="H593" i="4"/>
  <c r="S593" i="4" s="1"/>
  <c r="H604" i="4"/>
  <c r="S604" i="4" s="1"/>
  <c r="H615" i="4"/>
  <c r="S615" i="4" s="1"/>
  <c r="H626" i="4"/>
  <c r="S626" i="4" s="1"/>
  <c r="H637" i="4"/>
  <c r="S637" i="4" s="1"/>
  <c r="H648" i="4"/>
  <c r="S648" i="4" s="1"/>
  <c r="H659" i="4"/>
  <c r="S659" i="4" s="1"/>
  <c r="H671" i="4"/>
  <c r="S671" i="4" s="1"/>
  <c r="H682" i="4"/>
  <c r="S682" i="4" s="1"/>
  <c r="H693" i="4"/>
  <c r="S693" i="4" s="1"/>
  <c r="H704" i="4"/>
  <c r="S704" i="4" s="1"/>
  <c r="H715" i="4"/>
  <c r="S715" i="4" s="1"/>
  <c r="H726" i="4"/>
  <c r="S726" i="4" s="1"/>
  <c r="H737" i="4"/>
  <c r="S737" i="4" s="1"/>
  <c r="H748" i="4"/>
  <c r="S748" i="4" s="1"/>
  <c r="H759" i="4"/>
  <c r="S759" i="4" s="1"/>
  <c r="H770" i="4"/>
  <c r="S770" i="4" s="1"/>
  <c r="H782" i="4"/>
  <c r="S782" i="4" s="1"/>
  <c r="H793" i="4"/>
  <c r="S793" i="4" s="1"/>
  <c r="H804" i="4"/>
  <c r="S804" i="4" s="1"/>
  <c r="H815" i="4"/>
  <c r="S815" i="4" s="1"/>
  <c r="H826" i="4"/>
  <c r="S826" i="4" s="1"/>
  <c r="H837" i="4"/>
  <c r="S837" i="4" s="1"/>
  <c r="H848" i="4"/>
  <c r="S848" i="4" s="1"/>
  <c r="H859" i="4"/>
  <c r="S859" i="4" s="1"/>
  <c r="H870" i="4"/>
  <c r="S870" i="4" s="1"/>
  <c r="H881" i="4"/>
  <c r="S881" i="4" s="1"/>
  <c r="H893" i="4"/>
  <c r="S893" i="4" s="1"/>
  <c r="H904" i="4"/>
  <c r="S904" i="4" s="1"/>
  <c r="H915" i="4"/>
  <c r="S915" i="4" s="1"/>
  <c r="H926" i="4"/>
  <c r="S926" i="4" s="1"/>
  <c r="H937" i="4"/>
  <c r="S937" i="4" s="1"/>
  <c r="H948" i="4"/>
  <c r="S948" i="4" s="1"/>
  <c r="H959" i="4"/>
  <c r="S959" i="4" s="1"/>
  <c r="H970" i="4"/>
  <c r="S970" i="4" s="1"/>
  <c r="H981" i="4"/>
  <c r="S981" i="4" s="1"/>
  <c r="H992" i="4"/>
  <c r="S992" i="4" s="1"/>
  <c r="H1004" i="4"/>
  <c r="S1004" i="4" s="1"/>
  <c r="H1015" i="4"/>
  <c r="S1015" i="4" s="1"/>
  <c r="H1026" i="4"/>
  <c r="S1026" i="4" s="1"/>
  <c r="H1037" i="4"/>
  <c r="S1037" i="4" s="1"/>
  <c r="H1048" i="4"/>
  <c r="S1048" i="4" s="1"/>
  <c r="H1059" i="4"/>
  <c r="S1059" i="4" s="1"/>
  <c r="H1070" i="4"/>
  <c r="S1070" i="4" s="1"/>
  <c r="H1081" i="4"/>
  <c r="S1081" i="4" s="1"/>
  <c r="H1092" i="4"/>
  <c r="S1092" i="4" s="1"/>
  <c r="H1103" i="4"/>
  <c r="S1103" i="4" s="1"/>
  <c r="H1116" i="4"/>
  <c r="S1116" i="4" s="1"/>
  <c r="H1117" i="4"/>
  <c r="S1117" i="4" s="1"/>
  <c r="H1118" i="4"/>
  <c r="S1118" i="4" s="1"/>
  <c r="H1119" i="4"/>
  <c r="S1119" i="4" s="1"/>
  <c r="H1120" i="4"/>
  <c r="S1120" i="4" s="1"/>
  <c r="H1121" i="4"/>
  <c r="S1121" i="4" s="1"/>
  <c r="H1122" i="4"/>
  <c r="S1122" i="4" s="1"/>
  <c r="H1123" i="4"/>
  <c r="S1123" i="4" s="1"/>
  <c r="H1124" i="4"/>
  <c r="S1124" i="4" s="1"/>
  <c r="H1125" i="4"/>
  <c r="S1125" i="4" s="1"/>
  <c r="H1127" i="4"/>
  <c r="S1127" i="4" s="1"/>
  <c r="H1128" i="4"/>
  <c r="S1128" i="4" s="1"/>
  <c r="H1129" i="4"/>
  <c r="S1129" i="4" s="1"/>
  <c r="H1130" i="4"/>
  <c r="S1130" i="4" s="1"/>
  <c r="H1131" i="4"/>
  <c r="S1131" i="4" s="1"/>
  <c r="H1132" i="4"/>
  <c r="S1132" i="4" s="1"/>
  <c r="H1133" i="4"/>
  <c r="S1133" i="4" s="1"/>
  <c r="H1134" i="4"/>
  <c r="S1134" i="4" s="1"/>
  <c r="H1135" i="4"/>
  <c r="S1135" i="4" s="1"/>
  <c r="H1136" i="4"/>
  <c r="S1136" i="4" s="1"/>
  <c r="H1138" i="4"/>
  <c r="S1138" i="4" s="1"/>
  <c r="H1139" i="4"/>
  <c r="S1139" i="4" s="1"/>
  <c r="H1140" i="4"/>
  <c r="S1140" i="4" s="1"/>
  <c r="H1141" i="4"/>
  <c r="S1141" i="4" s="1"/>
  <c r="H1142" i="4"/>
  <c r="S1142" i="4" s="1"/>
  <c r="H1143" i="4"/>
  <c r="S1143" i="4" s="1"/>
  <c r="H1144" i="4"/>
  <c r="S1144" i="4" s="1"/>
  <c r="H1145" i="4"/>
  <c r="S1145" i="4" s="1"/>
  <c r="H1146" i="4"/>
  <c r="S1146" i="4" s="1"/>
  <c r="H1147" i="4"/>
  <c r="S1147" i="4" s="1"/>
  <c r="H1149" i="4"/>
  <c r="S1149" i="4" s="1"/>
  <c r="H1150" i="4"/>
  <c r="S1150" i="4" s="1"/>
  <c r="H1151" i="4"/>
  <c r="S1151" i="4" s="1"/>
  <c r="H1152" i="4"/>
  <c r="S1152" i="4" s="1"/>
  <c r="H1153" i="4"/>
  <c r="S1153" i="4" s="1"/>
  <c r="H1154" i="4"/>
  <c r="S1154" i="4" s="1"/>
  <c r="H1155" i="4"/>
  <c r="S1155" i="4" s="1"/>
  <c r="H1156" i="4"/>
  <c r="S1156" i="4" s="1"/>
  <c r="H1157" i="4"/>
  <c r="S1157" i="4" s="1"/>
  <c r="H1158" i="4"/>
  <c r="S1158" i="4" s="1"/>
  <c r="H1160" i="4"/>
  <c r="S1160" i="4" s="1"/>
  <c r="H1161" i="4"/>
  <c r="S1161" i="4" s="1"/>
  <c r="H1162" i="4"/>
  <c r="S1162" i="4" s="1"/>
  <c r="H1163" i="4"/>
  <c r="S1163" i="4" s="1"/>
  <c r="H1164" i="4"/>
  <c r="S1164" i="4" s="1"/>
  <c r="H1165" i="4"/>
  <c r="S1165" i="4" s="1"/>
  <c r="H1166" i="4"/>
  <c r="S1166" i="4" s="1"/>
  <c r="H1167" i="4"/>
  <c r="S1167" i="4" s="1"/>
  <c r="H1168" i="4"/>
  <c r="S1168" i="4" s="1"/>
  <c r="H1169" i="4"/>
  <c r="S1169" i="4" s="1"/>
  <c r="H1171" i="4"/>
  <c r="S1171" i="4" s="1"/>
  <c r="H1172" i="4"/>
  <c r="S1172" i="4" s="1"/>
  <c r="H1173" i="4"/>
  <c r="S1173" i="4" s="1"/>
  <c r="H1174" i="4"/>
  <c r="S1174" i="4" s="1"/>
  <c r="H1175" i="4"/>
  <c r="S1175" i="4" s="1"/>
  <c r="H1176" i="4"/>
  <c r="S1176" i="4" s="1"/>
  <c r="H1177" i="4"/>
  <c r="S1177" i="4" s="1"/>
  <c r="H1178" i="4"/>
  <c r="S1178" i="4" s="1"/>
  <c r="H1179" i="4"/>
  <c r="S1179" i="4" s="1"/>
  <c r="H1180" i="4"/>
  <c r="S1180" i="4" s="1"/>
  <c r="H1182" i="4"/>
  <c r="S1182" i="4" s="1"/>
  <c r="H1183" i="4"/>
  <c r="S1183" i="4" s="1"/>
  <c r="H1184" i="4"/>
  <c r="S1184" i="4" s="1"/>
  <c r="H1185" i="4"/>
  <c r="S1185" i="4" s="1"/>
  <c r="H1186" i="4"/>
  <c r="S1186" i="4" s="1"/>
  <c r="H1187" i="4"/>
  <c r="S1187" i="4" s="1"/>
  <c r="H1188" i="4"/>
  <c r="S1188" i="4" s="1"/>
  <c r="H1189" i="4"/>
  <c r="S1189" i="4" s="1"/>
  <c r="H1190" i="4"/>
  <c r="S1190" i="4" s="1"/>
  <c r="H1191" i="4"/>
  <c r="S1191" i="4" s="1"/>
  <c r="H1193" i="4"/>
  <c r="S1193" i="4" s="1"/>
  <c r="H1194" i="4"/>
  <c r="S1194" i="4" s="1"/>
  <c r="H1195" i="4"/>
  <c r="S1195" i="4" s="1"/>
  <c r="H1196" i="4"/>
  <c r="S1196" i="4" s="1"/>
  <c r="H1197" i="4"/>
  <c r="S1197" i="4" s="1"/>
  <c r="H1198" i="4"/>
  <c r="S1198" i="4" s="1"/>
  <c r="H1199" i="4"/>
  <c r="S1199" i="4" s="1"/>
  <c r="H1200" i="4"/>
  <c r="S1200" i="4" s="1"/>
  <c r="H1201" i="4"/>
  <c r="S1201" i="4" s="1"/>
  <c r="H1202" i="4"/>
  <c r="S1202" i="4" s="1"/>
  <c r="H1204" i="4"/>
  <c r="S1204" i="4" s="1"/>
  <c r="H1205" i="4"/>
  <c r="S1205" i="4" s="1"/>
  <c r="H1206" i="4"/>
  <c r="S1206" i="4" s="1"/>
  <c r="H1207" i="4"/>
  <c r="S1207" i="4" s="1"/>
  <c r="H1208" i="4"/>
  <c r="S1208" i="4" s="1"/>
  <c r="H1209" i="4"/>
  <c r="S1209" i="4" s="1"/>
  <c r="H1210" i="4"/>
  <c r="S1210" i="4" s="1"/>
  <c r="H1211" i="4"/>
  <c r="S1211" i="4" s="1"/>
  <c r="H1212" i="4"/>
  <c r="S1212" i="4" s="1"/>
  <c r="H1213" i="4"/>
  <c r="S1213" i="4" s="1"/>
  <c r="H1215" i="4"/>
  <c r="S1215" i="4" s="1"/>
  <c r="H1216" i="4"/>
  <c r="S1216" i="4" s="1"/>
  <c r="H1217" i="4"/>
  <c r="S1217" i="4" s="1"/>
  <c r="H1218" i="4"/>
  <c r="S1218" i="4" s="1"/>
  <c r="H1219" i="4"/>
  <c r="S1219" i="4" s="1"/>
  <c r="H1220" i="4"/>
  <c r="S1220" i="4" s="1"/>
  <c r="H1221" i="4"/>
  <c r="S1221" i="4" s="1"/>
  <c r="H1222" i="4"/>
  <c r="S1222" i="4" s="1"/>
  <c r="H1223" i="4"/>
  <c r="S1223" i="4" s="1"/>
  <c r="H1224" i="4"/>
  <c r="S1224" i="4" s="1"/>
  <c r="H1227" i="4"/>
  <c r="S1227" i="4" s="1"/>
  <c r="H1228" i="4"/>
  <c r="S1228" i="4" s="1"/>
  <c r="H1229" i="4"/>
  <c r="S1229" i="4" s="1"/>
  <c r="H1230" i="4"/>
  <c r="S1230" i="4" s="1"/>
  <c r="H1231" i="4"/>
  <c r="S1231" i="4" s="1"/>
  <c r="H1232" i="4"/>
  <c r="S1232" i="4" s="1"/>
  <c r="H1233" i="4"/>
  <c r="S1233" i="4" s="1"/>
  <c r="H1234" i="4"/>
  <c r="S1234" i="4" s="1"/>
  <c r="H1235" i="4"/>
  <c r="S1235" i="4" s="1"/>
  <c r="H1236" i="4"/>
  <c r="S1236" i="4" s="1"/>
  <c r="H1238" i="4"/>
  <c r="S1238" i="4" s="1"/>
  <c r="H1239" i="4"/>
  <c r="S1239" i="4" s="1"/>
  <c r="H1240" i="4"/>
  <c r="S1240" i="4" s="1"/>
  <c r="H1241" i="4"/>
  <c r="S1241" i="4" s="1"/>
  <c r="H1242" i="4"/>
  <c r="S1242" i="4" s="1"/>
  <c r="H1243" i="4"/>
  <c r="S1243" i="4" s="1"/>
  <c r="H1244" i="4"/>
  <c r="S1244" i="4" s="1"/>
  <c r="H1245" i="4"/>
  <c r="S1245" i="4" s="1"/>
  <c r="H1246" i="4"/>
  <c r="S1246" i="4" s="1"/>
  <c r="H1247" i="4"/>
  <c r="S1247" i="4" s="1"/>
  <c r="H1249" i="4"/>
  <c r="S1249" i="4" s="1"/>
  <c r="H1250" i="4"/>
  <c r="S1250" i="4" s="1"/>
  <c r="H1251" i="4"/>
  <c r="S1251" i="4" s="1"/>
  <c r="H1252" i="4"/>
  <c r="S1252" i="4" s="1"/>
  <c r="H1253" i="4"/>
  <c r="S1253" i="4" s="1"/>
  <c r="H1254" i="4"/>
  <c r="S1254" i="4" s="1"/>
  <c r="H1255" i="4"/>
  <c r="S1255" i="4" s="1"/>
  <c r="H1256" i="4"/>
  <c r="S1256" i="4" s="1"/>
  <c r="H1257" i="4"/>
  <c r="S1257" i="4" s="1"/>
  <c r="H1258" i="4"/>
  <c r="S1258" i="4" s="1"/>
  <c r="H1260" i="4"/>
  <c r="S1260" i="4" s="1"/>
  <c r="H1261" i="4"/>
  <c r="S1261" i="4" s="1"/>
  <c r="H1262" i="4"/>
  <c r="S1262" i="4" s="1"/>
  <c r="H1263" i="4"/>
  <c r="S1263" i="4" s="1"/>
  <c r="H1264" i="4"/>
  <c r="S1264" i="4" s="1"/>
  <c r="H1265" i="4"/>
  <c r="S1265" i="4" s="1"/>
  <c r="H1266" i="4"/>
  <c r="S1266" i="4" s="1"/>
  <c r="H1267" i="4"/>
  <c r="S1267" i="4" s="1"/>
  <c r="H1268" i="4"/>
  <c r="S1268" i="4" s="1"/>
  <c r="H1269" i="4"/>
  <c r="S1269" i="4" s="1"/>
  <c r="H1271" i="4"/>
  <c r="S1271" i="4" s="1"/>
  <c r="H1272" i="4"/>
  <c r="S1272" i="4" s="1"/>
  <c r="H1273" i="4"/>
  <c r="S1273" i="4" s="1"/>
  <c r="H1274" i="4"/>
  <c r="S1274" i="4" s="1"/>
  <c r="H1275" i="4"/>
  <c r="S1275" i="4" s="1"/>
  <c r="H1276" i="4"/>
  <c r="S1276" i="4" s="1"/>
  <c r="H1277" i="4"/>
  <c r="S1277" i="4" s="1"/>
  <c r="H1278" i="4"/>
  <c r="S1278" i="4" s="1"/>
  <c r="H1279" i="4"/>
  <c r="S1279" i="4" s="1"/>
  <c r="H1280" i="4"/>
  <c r="S1280" i="4" s="1"/>
  <c r="H1282" i="4"/>
  <c r="S1282" i="4" s="1"/>
  <c r="H1283" i="4"/>
  <c r="S1283" i="4" s="1"/>
  <c r="H1284" i="4"/>
  <c r="S1284" i="4" s="1"/>
  <c r="H1285" i="4"/>
  <c r="S1285" i="4" s="1"/>
  <c r="H1286" i="4"/>
  <c r="S1286" i="4" s="1"/>
  <c r="H1287" i="4"/>
  <c r="S1287" i="4" s="1"/>
  <c r="H1288" i="4"/>
  <c r="S1288" i="4" s="1"/>
  <c r="H1289" i="4"/>
  <c r="S1289" i="4" s="1"/>
  <c r="H1290" i="4"/>
  <c r="S1290" i="4" s="1"/>
  <c r="H1291" i="4"/>
  <c r="S1291" i="4" s="1"/>
  <c r="H1293" i="4"/>
  <c r="S1293" i="4" s="1"/>
  <c r="H1294" i="4"/>
  <c r="S1294" i="4" s="1"/>
  <c r="H1295" i="4"/>
  <c r="S1295" i="4" s="1"/>
  <c r="H1296" i="4"/>
  <c r="S1296" i="4" s="1"/>
  <c r="H1297" i="4"/>
  <c r="S1297" i="4" s="1"/>
  <c r="H1298" i="4"/>
  <c r="S1298" i="4" s="1"/>
  <c r="H1299" i="4"/>
  <c r="S1299" i="4" s="1"/>
  <c r="H1300" i="4"/>
  <c r="S1300" i="4" s="1"/>
  <c r="H1301" i="4"/>
  <c r="S1301" i="4" s="1"/>
  <c r="H1302" i="4"/>
  <c r="S1302" i="4" s="1"/>
  <c r="H1304" i="4"/>
  <c r="S1304" i="4" s="1"/>
  <c r="H1305" i="4"/>
  <c r="S1305" i="4" s="1"/>
  <c r="H1306" i="4"/>
  <c r="S1306" i="4" s="1"/>
  <c r="H1307" i="4"/>
  <c r="S1307" i="4" s="1"/>
  <c r="H1308" i="4"/>
  <c r="S1308" i="4" s="1"/>
  <c r="H1309" i="4"/>
  <c r="S1309" i="4" s="1"/>
  <c r="H1310" i="4"/>
  <c r="S1310" i="4" s="1"/>
  <c r="H1311" i="4"/>
  <c r="S1311" i="4" s="1"/>
  <c r="H1312" i="4"/>
  <c r="S1312" i="4" s="1"/>
  <c r="H1313" i="4"/>
  <c r="S1313" i="4" s="1"/>
  <c r="H1315" i="4"/>
  <c r="S1315" i="4" s="1"/>
  <c r="H1316" i="4"/>
  <c r="S1316" i="4" s="1"/>
  <c r="H1317" i="4"/>
  <c r="S1317" i="4" s="1"/>
  <c r="H1318" i="4"/>
  <c r="S1318" i="4" s="1"/>
  <c r="H1319" i="4"/>
  <c r="S1319" i="4" s="1"/>
  <c r="H1320" i="4"/>
  <c r="S1320" i="4" s="1"/>
  <c r="H1321" i="4"/>
  <c r="S1321" i="4" s="1"/>
  <c r="H1322" i="4"/>
  <c r="S1322" i="4" s="1"/>
  <c r="H1323" i="4"/>
  <c r="S1323" i="4" s="1"/>
  <c r="H1324" i="4"/>
  <c r="S1324" i="4" s="1"/>
  <c r="H1326" i="4"/>
  <c r="S1326" i="4" s="1"/>
  <c r="H1327" i="4"/>
  <c r="S1327" i="4" s="1"/>
  <c r="H1328" i="4"/>
  <c r="S1328" i="4" s="1"/>
  <c r="H1329" i="4"/>
  <c r="S1329" i="4" s="1"/>
  <c r="H1330" i="4"/>
  <c r="S1330" i="4" s="1"/>
  <c r="H1331" i="4"/>
  <c r="S1331" i="4" s="1"/>
  <c r="H1332" i="4"/>
  <c r="S1332" i="4" s="1"/>
  <c r="H1333" i="4"/>
  <c r="S1333" i="4" s="1"/>
  <c r="H1334" i="4"/>
  <c r="S1334" i="4" s="1"/>
  <c r="H1335" i="4"/>
  <c r="S1335" i="4" s="1"/>
  <c r="H1338" i="4"/>
  <c r="S1338" i="4" s="1"/>
  <c r="H1339" i="4"/>
  <c r="S1339" i="4" s="1"/>
  <c r="H1340" i="4"/>
  <c r="S1340" i="4" s="1"/>
  <c r="H1341" i="4"/>
  <c r="S1341" i="4" s="1"/>
  <c r="H1342" i="4"/>
  <c r="S1342" i="4" s="1"/>
  <c r="H1343" i="4"/>
  <c r="S1343" i="4" s="1"/>
  <c r="H1344" i="4"/>
  <c r="S1344" i="4" s="1"/>
  <c r="H1345" i="4"/>
  <c r="S1345" i="4" s="1"/>
  <c r="H1346" i="4"/>
  <c r="S1346" i="4" s="1"/>
  <c r="H1347" i="4"/>
  <c r="S1347" i="4" s="1"/>
  <c r="H1349" i="4"/>
  <c r="S1349" i="4" s="1"/>
  <c r="H1350" i="4"/>
  <c r="S1350" i="4" s="1"/>
  <c r="H1351" i="4"/>
  <c r="S1351" i="4" s="1"/>
  <c r="H1352" i="4"/>
  <c r="S1352" i="4" s="1"/>
  <c r="H1353" i="4"/>
  <c r="S1353" i="4" s="1"/>
  <c r="H1354" i="4"/>
  <c r="S1354" i="4" s="1"/>
  <c r="H1355" i="4"/>
  <c r="S1355" i="4" s="1"/>
  <c r="H1356" i="4"/>
  <c r="S1356" i="4" s="1"/>
  <c r="H1357" i="4"/>
  <c r="S1357" i="4" s="1"/>
  <c r="H1358" i="4"/>
  <c r="S1358" i="4" s="1"/>
  <c r="H1360" i="4"/>
  <c r="S1360" i="4" s="1"/>
  <c r="H1361" i="4"/>
  <c r="S1361" i="4" s="1"/>
  <c r="H1362" i="4"/>
  <c r="S1362" i="4" s="1"/>
  <c r="H1363" i="4"/>
  <c r="S1363" i="4" s="1"/>
  <c r="H1364" i="4"/>
  <c r="S1364" i="4" s="1"/>
  <c r="H1365" i="4"/>
  <c r="S1365" i="4" s="1"/>
  <c r="H1366" i="4"/>
  <c r="S1366" i="4" s="1"/>
  <c r="H1367" i="4"/>
  <c r="S1367" i="4" s="1"/>
  <c r="H1368" i="4"/>
  <c r="S1368" i="4" s="1"/>
  <c r="H1369" i="4"/>
  <c r="S1369" i="4" s="1"/>
  <c r="H1371" i="4"/>
  <c r="S1371" i="4" s="1"/>
  <c r="H1372" i="4"/>
  <c r="S1372" i="4" s="1"/>
  <c r="H1373" i="4"/>
  <c r="S1373" i="4" s="1"/>
  <c r="H1374" i="4"/>
  <c r="S1374" i="4" s="1"/>
  <c r="H1375" i="4"/>
  <c r="S1375" i="4" s="1"/>
  <c r="H1376" i="4"/>
  <c r="S1376" i="4" s="1"/>
  <c r="H1377" i="4"/>
  <c r="S1377" i="4" s="1"/>
  <c r="H1378" i="4"/>
  <c r="S1378" i="4" s="1"/>
  <c r="H1379" i="4"/>
  <c r="S1379" i="4" s="1"/>
  <c r="H1380" i="4"/>
  <c r="S1380" i="4" s="1"/>
  <c r="H1382" i="4"/>
  <c r="S1382" i="4" s="1"/>
  <c r="H1383" i="4"/>
  <c r="S1383" i="4" s="1"/>
  <c r="H1384" i="4"/>
  <c r="S1384" i="4" s="1"/>
  <c r="H1385" i="4"/>
  <c r="S1385" i="4" s="1"/>
  <c r="H1386" i="4"/>
  <c r="S1386" i="4" s="1"/>
  <c r="H1387" i="4"/>
  <c r="S1387" i="4" s="1"/>
  <c r="H1388" i="4"/>
  <c r="S1388" i="4" s="1"/>
  <c r="H1389" i="4"/>
  <c r="S1389" i="4" s="1"/>
  <c r="H1390" i="4"/>
  <c r="S1390" i="4" s="1"/>
  <c r="H1391" i="4"/>
  <c r="S1391" i="4" s="1"/>
  <c r="H1393" i="4"/>
  <c r="S1393" i="4" s="1"/>
  <c r="H1394" i="4"/>
  <c r="S1394" i="4" s="1"/>
  <c r="H1395" i="4"/>
  <c r="S1395" i="4" s="1"/>
  <c r="H1396" i="4"/>
  <c r="S1396" i="4" s="1"/>
  <c r="H1397" i="4"/>
  <c r="S1397" i="4" s="1"/>
  <c r="H1398" i="4"/>
  <c r="S1398" i="4" s="1"/>
  <c r="H1399" i="4"/>
  <c r="S1399" i="4" s="1"/>
  <c r="H1400" i="4"/>
  <c r="S1400" i="4" s="1"/>
  <c r="H1401" i="4"/>
  <c r="S1401" i="4" s="1"/>
  <c r="H1402" i="4"/>
  <c r="S1402" i="4" s="1"/>
  <c r="H1404" i="4"/>
  <c r="S1404" i="4" s="1"/>
  <c r="H1405" i="4"/>
  <c r="S1405" i="4" s="1"/>
  <c r="H1406" i="4"/>
  <c r="S1406" i="4" s="1"/>
  <c r="H1407" i="4"/>
  <c r="S1407" i="4" s="1"/>
  <c r="H1408" i="4"/>
  <c r="S1408" i="4" s="1"/>
  <c r="H1409" i="4"/>
  <c r="S1409" i="4" s="1"/>
  <c r="H1410" i="4"/>
  <c r="S1410" i="4" s="1"/>
  <c r="H1411" i="4"/>
  <c r="S1411" i="4" s="1"/>
  <c r="H1412" i="4"/>
  <c r="S1412" i="4" s="1"/>
  <c r="H1413" i="4"/>
  <c r="S1413" i="4" s="1"/>
  <c r="H1415" i="4"/>
  <c r="S1415" i="4" s="1"/>
  <c r="H1416" i="4"/>
  <c r="S1416" i="4" s="1"/>
  <c r="H1417" i="4"/>
  <c r="S1417" i="4" s="1"/>
  <c r="H1418" i="4"/>
  <c r="S1418" i="4" s="1"/>
  <c r="H1419" i="4"/>
  <c r="S1419" i="4" s="1"/>
  <c r="H1420" i="4"/>
  <c r="S1420" i="4" s="1"/>
  <c r="H1421" i="4"/>
  <c r="S1421" i="4" s="1"/>
  <c r="H1422" i="4"/>
  <c r="S1422" i="4" s="1"/>
  <c r="H1423" i="4"/>
  <c r="S1423" i="4" s="1"/>
  <c r="H1424" i="4"/>
  <c r="S1424" i="4" s="1"/>
  <c r="H1426" i="4"/>
  <c r="S1426" i="4" s="1"/>
  <c r="H1427" i="4"/>
  <c r="S1427" i="4" s="1"/>
  <c r="H1428" i="4"/>
  <c r="S1428" i="4" s="1"/>
  <c r="H1429" i="4"/>
  <c r="S1429" i="4" s="1"/>
  <c r="H1430" i="4"/>
  <c r="S1430" i="4" s="1"/>
  <c r="H1431" i="4"/>
  <c r="S1431" i="4" s="1"/>
  <c r="H1432" i="4"/>
  <c r="S1432" i="4" s="1"/>
  <c r="H1433" i="4"/>
  <c r="S1433" i="4" s="1"/>
  <c r="H1434" i="4"/>
  <c r="S1434" i="4" s="1"/>
  <c r="H1435" i="4"/>
  <c r="S1435" i="4" s="1"/>
  <c r="H1437" i="4"/>
  <c r="S1437" i="4" s="1"/>
  <c r="H1438" i="4"/>
  <c r="S1438" i="4" s="1"/>
  <c r="H1439" i="4"/>
  <c r="S1439" i="4" s="1"/>
  <c r="H1440" i="4"/>
  <c r="S1440" i="4" s="1"/>
  <c r="H1441" i="4"/>
  <c r="S1441" i="4" s="1"/>
  <c r="H1442" i="4"/>
  <c r="S1442" i="4" s="1"/>
  <c r="H1443" i="4"/>
  <c r="S1443" i="4" s="1"/>
  <c r="H1444" i="4"/>
  <c r="S1444" i="4" s="1"/>
  <c r="H1445" i="4"/>
  <c r="S1445" i="4" s="1"/>
  <c r="H1446" i="4"/>
  <c r="S1446" i="4" s="1"/>
  <c r="H1449" i="4"/>
  <c r="S1449" i="4" s="1"/>
  <c r="H1450" i="4"/>
  <c r="S1450" i="4" s="1"/>
  <c r="H1451" i="4"/>
  <c r="S1451" i="4" s="1"/>
  <c r="H1452" i="4"/>
  <c r="S1452" i="4" s="1"/>
  <c r="H1453" i="4"/>
  <c r="S1453" i="4" s="1"/>
  <c r="H1454" i="4"/>
  <c r="S1454" i="4" s="1"/>
  <c r="H1455" i="4"/>
  <c r="S1455" i="4" s="1"/>
  <c r="H1456" i="4"/>
  <c r="S1456" i="4" s="1"/>
  <c r="H1457" i="4"/>
  <c r="S1457" i="4" s="1"/>
  <c r="H1458" i="4"/>
  <c r="S1458" i="4" s="1"/>
  <c r="H1460" i="4"/>
  <c r="S1460" i="4" s="1"/>
  <c r="H1461" i="4"/>
  <c r="S1461" i="4" s="1"/>
  <c r="H1462" i="4"/>
  <c r="S1462" i="4" s="1"/>
  <c r="H1463" i="4"/>
  <c r="S1463" i="4" s="1"/>
  <c r="H1464" i="4"/>
  <c r="S1464" i="4" s="1"/>
  <c r="H1465" i="4"/>
  <c r="S1465" i="4" s="1"/>
  <c r="H1466" i="4"/>
  <c r="S1466" i="4" s="1"/>
  <c r="H1467" i="4"/>
  <c r="S1467" i="4" s="1"/>
  <c r="H1468" i="4"/>
  <c r="S1468" i="4" s="1"/>
  <c r="H1469" i="4"/>
  <c r="S1469" i="4" s="1"/>
  <c r="H1471" i="4"/>
  <c r="S1471" i="4" s="1"/>
  <c r="H1472" i="4"/>
  <c r="S1472" i="4" s="1"/>
  <c r="H1473" i="4"/>
  <c r="S1473" i="4" s="1"/>
  <c r="H1474" i="4"/>
  <c r="S1474" i="4" s="1"/>
  <c r="H1475" i="4"/>
  <c r="S1475" i="4" s="1"/>
  <c r="H1476" i="4"/>
  <c r="S1476" i="4" s="1"/>
  <c r="H1477" i="4"/>
  <c r="S1477" i="4" s="1"/>
  <c r="H1478" i="4"/>
  <c r="S1478" i="4" s="1"/>
  <c r="H1479" i="4"/>
  <c r="S1479" i="4" s="1"/>
  <c r="H1480" i="4"/>
  <c r="S1480" i="4" s="1"/>
  <c r="H1482" i="4"/>
  <c r="S1482" i="4" s="1"/>
  <c r="H1483" i="4"/>
  <c r="S1483" i="4" s="1"/>
  <c r="H1484" i="4"/>
  <c r="S1484" i="4" s="1"/>
  <c r="H1485" i="4"/>
  <c r="S1485" i="4" s="1"/>
  <c r="H1486" i="4"/>
  <c r="S1486" i="4" s="1"/>
  <c r="H1487" i="4"/>
  <c r="S1487" i="4" s="1"/>
  <c r="H1488" i="4"/>
  <c r="S1488" i="4" s="1"/>
  <c r="H1489" i="4"/>
  <c r="S1489" i="4" s="1"/>
  <c r="H1490" i="4"/>
  <c r="S1490" i="4" s="1"/>
  <c r="H1491" i="4"/>
  <c r="S1491" i="4" s="1"/>
  <c r="H1493" i="4"/>
  <c r="S1493" i="4" s="1"/>
  <c r="H1494" i="4"/>
  <c r="S1494" i="4" s="1"/>
  <c r="H1495" i="4"/>
  <c r="S1495" i="4" s="1"/>
  <c r="H1496" i="4"/>
  <c r="S1496" i="4" s="1"/>
  <c r="H1497" i="4"/>
  <c r="S1497" i="4" s="1"/>
  <c r="H1498" i="4"/>
  <c r="S1498" i="4" s="1"/>
  <c r="H1499" i="4"/>
  <c r="S1499" i="4" s="1"/>
  <c r="H1500" i="4"/>
  <c r="S1500" i="4" s="1"/>
  <c r="H1501" i="4"/>
  <c r="S1501" i="4" s="1"/>
  <c r="H1502" i="4"/>
  <c r="S1502" i="4" s="1"/>
  <c r="H1504" i="4"/>
  <c r="S1504" i="4" s="1"/>
  <c r="H1505" i="4"/>
  <c r="S1505" i="4" s="1"/>
  <c r="H1506" i="4"/>
  <c r="S1506" i="4" s="1"/>
  <c r="H1507" i="4"/>
  <c r="S1507" i="4" s="1"/>
  <c r="H1508" i="4"/>
  <c r="S1508" i="4" s="1"/>
  <c r="H1509" i="4"/>
  <c r="S1509" i="4" s="1"/>
  <c r="H1510" i="4"/>
  <c r="S1510" i="4" s="1"/>
  <c r="H1511" i="4"/>
  <c r="S1511" i="4" s="1"/>
  <c r="H1512" i="4"/>
  <c r="S1512" i="4" s="1"/>
  <c r="H1513" i="4"/>
  <c r="S1513" i="4" s="1"/>
  <c r="H1515" i="4"/>
  <c r="S1515" i="4" s="1"/>
  <c r="H1516" i="4"/>
  <c r="S1516" i="4" s="1"/>
  <c r="H1517" i="4"/>
  <c r="S1517" i="4" s="1"/>
  <c r="H1518" i="4"/>
  <c r="S1518" i="4" s="1"/>
  <c r="H1519" i="4"/>
  <c r="S1519" i="4" s="1"/>
  <c r="H1520" i="4"/>
  <c r="S1520" i="4" s="1"/>
  <c r="H1521" i="4"/>
  <c r="S1521" i="4" s="1"/>
  <c r="H1522" i="4"/>
  <c r="S1522" i="4" s="1"/>
  <c r="H1523" i="4"/>
  <c r="S1523" i="4" s="1"/>
  <c r="H1524" i="4"/>
  <c r="S1524" i="4" s="1"/>
  <c r="H1526" i="4"/>
  <c r="S1526" i="4" s="1"/>
  <c r="H1527" i="4"/>
  <c r="S1527" i="4" s="1"/>
  <c r="H1528" i="4"/>
  <c r="S1528" i="4" s="1"/>
  <c r="H1529" i="4"/>
  <c r="S1529" i="4" s="1"/>
  <c r="H1530" i="4"/>
  <c r="S1530" i="4" s="1"/>
  <c r="H1531" i="4"/>
  <c r="S1531" i="4" s="1"/>
  <c r="H1532" i="4"/>
  <c r="S1532" i="4" s="1"/>
  <c r="H1533" i="4"/>
  <c r="S1533" i="4" s="1"/>
  <c r="H1534" i="4"/>
  <c r="S1534" i="4" s="1"/>
  <c r="H1535" i="4"/>
  <c r="S1535" i="4" s="1"/>
  <c r="H1537" i="4"/>
  <c r="S1537" i="4" s="1"/>
  <c r="H1538" i="4"/>
  <c r="S1538" i="4" s="1"/>
  <c r="H1539" i="4"/>
  <c r="S1539" i="4" s="1"/>
  <c r="H1540" i="4"/>
  <c r="S1540" i="4" s="1"/>
  <c r="H1541" i="4"/>
  <c r="S1541" i="4" s="1"/>
  <c r="H1542" i="4"/>
  <c r="S1542" i="4" s="1"/>
  <c r="H1543" i="4"/>
  <c r="S1543" i="4" s="1"/>
  <c r="H1544" i="4"/>
  <c r="S1544" i="4" s="1"/>
  <c r="H1545" i="4"/>
  <c r="S1545" i="4" s="1"/>
  <c r="H1546" i="4"/>
  <c r="S1546" i="4" s="1"/>
  <c r="H1548" i="4"/>
  <c r="S1548" i="4" s="1"/>
  <c r="H1549" i="4"/>
  <c r="S1549" i="4" s="1"/>
  <c r="H1550" i="4"/>
  <c r="S1550" i="4" s="1"/>
  <c r="H1551" i="4"/>
  <c r="S1551" i="4" s="1"/>
  <c r="H1552" i="4"/>
  <c r="S1552" i="4" s="1"/>
  <c r="H1553" i="4"/>
  <c r="S1553" i="4" s="1"/>
  <c r="H1554" i="4"/>
  <c r="S1554" i="4" s="1"/>
  <c r="H1555" i="4"/>
  <c r="S1555" i="4" s="1"/>
  <c r="H1556" i="4"/>
  <c r="S1556" i="4" s="1"/>
  <c r="H1557" i="4"/>
  <c r="S1557" i="4" s="1"/>
  <c r="H1560" i="4"/>
  <c r="S1560" i="4" s="1"/>
  <c r="H1561" i="4"/>
  <c r="S1561" i="4" s="1"/>
  <c r="H1562" i="4"/>
  <c r="S1562" i="4" s="1"/>
  <c r="H1563" i="4"/>
  <c r="S1563" i="4" s="1"/>
  <c r="H1564" i="4"/>
  <c r="S1564" i="4" s="1"/>
  <c r="H1565" i="4"/>
  <c r="S1565" i="4" s="1"/>
  <c r="H1566" i="4"/>
  <c r="S1566" i="4" s="1"/>
  <c r="H1567" i="4"/>
  <c r="S1567" i="4" s="1"/>
  <c r="H1568" i="4"/>
  <c r="S1568" i="4" s="1"/>
  <c r="H1569" i="4"/>
  <c r="S1569" i="4" s="1"/>
  <c r="H1571" i="4"/>
  <c r="S1571" i="4" s="1"/>
  <c r="H1572" i="4"/>
  <c r="S1572" i="4" s="1"/>
  <c r="H1573" i="4"/>
  <c r="S1573" i="4" s="1"/>
  <c r="H1574" i="4"/>
  <c r="S1574" i="4" s="1"/>
  <c r="H1575" i="4"/>
  <c r="S1575" i="4" s="1"/>
  <c r="H1576" i="4"/>
  <c r="S1576" i="4" s="1"/>
  <c r="H1577" i="4"/>
  <c r="S1577" i="4" s="1"/>
  <c r="H1578" i="4"/>
  <c r="S1578" i="4" s="1"/>
  <c r="H1579" i="4"/>
  <c r="S1579" i="4" s="1"/>
  <c r="H1580" i="4"/>
  <c r="S1580" i="4" s="1"/>
  <c r="H1582" i="4"/>
  <c r="S1582" i="4" s="1"/>
  <c r="H1583" i="4"/>
  <c r="S1583" i="4" s="1"/>
  <c r="H1584" i="4"/>
  <c r="S1584" i="4" s="1"/>
  <c r="H1585" i="4"/>
  <c r="S1585" i="4" s="1"/>
  <c r="H1586" i="4"/>
  <c r="S1586" i="4" s="1"/>
  <c r="H1587" i="4"/>
  <c r="S1587" i="4" s="1"/>
  <c r="H1588" i="4"/>
  <c r="S1588" i="4" s="1"/>
  <c r="H1589" i="4"/>
  <c r="S1589" i="4" s="1"/>
  <c r="H1590" i="4"/>
  <c r="S1590" i="4" s="1"/>
  <c r="H1591" i="4"/>
  <c r="S1591" i="4" s="1"/>
  <c r="H1593" i="4"/>
  <c r="S1593" i="4" s="1"/>
  <c r="H1594" i="4"/>
  <c r="S1594" i="4" s="1"/>
  <c r="H1595" i="4"/>
  <c r="S1595" i="4" s="1"/>
  <c r="H1596" i="4"/>
  <c r="S1596" i="4" s="1"/>
  <c r="H1597" i="4"/>
  <c r="S1597" i="4" s="1"/>
  <c r="H1598" i="4"/>
  <c r="S1598" i="4" s="1"/>
  <c r="H1599" i="4"/>
  <c r="S1599" i="4" s="1"/>
  <c r="H1600" i="4"/>
  <c r="S1600" i="4" s="1"/>
  <c r="H1601" i="4"/>
  <c r="S1601" i="4" s="1"/>
  <c r="H1602" i="4"/>
  <c r="S1602" i="4" s="1"/>
  <c r="H1604" i="4"/>
  <c r="S1604" i="4" s="1"/>
  <c r="H1605" i="4"/>
  <c r="S1605" i="4" s="1"/>
  <c r="H1606" i="4"/>
  <c r="S1606" i="4" s="1"/>
  <c r="H1607" i="4"/>
  <c r="S1607" i="4" s="1"/>
  <c r="H1608" i="4"/>
  <c r="S1608" i="4" s="1"/>
  <c r="H1609" i="4"/>
  <c r="S1609" i="4" s="1"/>
  <c r="H1610" i="4"/>
  <c r="S1610" i="4" s="1"/>
  <c r="H1611" i="4"/>
  <c r="S1611" i="4" s="1"/>
  <c r="H1612" i="4"/>
  <c r="S1612" i="4" s="1"/>
  <c r="H1613" i="4"/>
  <c r="S1613" i="4" s="1"/>
  <c r="H1615" i="4"/>
  <c r="S1615" i="4" s="1"/>
  <c r="H1616" i="4"/>
  <c r="S1616" i="4" s="1"/>
  <c r="H1617" i="4"/>
  <c r="S1617" i="4" s="1"/>
  <c r="H1618" i="4"/>
  <c r="S1618" i="4" s="1"/>
  <c r="H1619" i="4"/>
  <c r="S1619" i="4" s="1"/>
  <c r="H1620" i="4"/>
  <c r="S1620" i="4" s="1"/>
  <c r="H1621" i="4"/>
  <c r="S1621" i="4" s="1"/>
  <c r="H1622" i="4"/>
  <c r="S1622" i="4" s="1"/>
  <c r="H1623" i="4"/>
  <c r="S1623" i="4" s="1"/>
  <c r="H1624" i="4"/>
  <c r="S1624" i="4" s="1"/>
  <c r="H1626" i="4"/>
  <c r="S1626" i="4" s="1"/>
  <c r="H1627" i="4"/>
  <c r="S1627" i="4" s="1"/>
  <c r="H1628" i="4"/>
  <c r="S1628" i="4" s="1"/>
  <c r="H1629" i="4"/>
  <c r="S1629" i="4" s="1"/>
  <c r="H1630" i="4"/>
  <c r="S1630" i="4" s="1"/>
  <c r="H1631" i="4"/>
  <c r="S1631" i="4" s="1"/>
  <c r="H1632" i="4"/>
  <c r="S1632" i="4" s="1"/>
  <c r="H1633" i="4"/>
  <c r="S1633" i="4" s="1"/>
  <c r="H1634" i="4"/>
  <c r="S1634" i="4" s="1"/>
  <c r="H1635" i="4"/>
  <c r="S1635" i="4" s="1"/>
  <c r="H1637" i="4"/>
  <c r="S1637" i="4" s="1"/>
  <c r="H1638" i="4"/>
  <c r="S1638" i="4" s="1"/>
  <c r="H1639" i="4"/>
  <c r="S1639" i="4" s="1"/>
  <c r="H1640" i="4"/>
  <c r="S1640" i="4" s="1"/>
  <c r="H1641" i="4"/>
  <c r="S1641" i="4" s="1"/>
  <c r="H1642" i="4"/>
  <c r="S1642" i="4" s="1"/>
  <c r="H1643" i="4"/>
  <c r="S1643" i="4" s="1"/>
  <c r="H1644" i="4"/>
  <c r="S1644" i="4" s="1"/>
  <c r="H1645" i="4"/>
  <c r="S1645" i="4" s="1"/>
  <c r="H1646" i="4"/>
  <c r="S1646" i="4" s="1"/>
  <c r="H1648" i="4"/>
  <c r="S1648" i="4" s="1"/>
  <c r="H1649" i="4"/>
  <c r="S1649" i="4" s="1"/>
  <c r="H1650" i="4"/>
  <c r="S1650" i="4" s="1"/>
  <c r="H1651" i="4"/>
  <c r="S1651" i="4" s="1"/>
  <c r="H1652" i="4"/>
  <c r="S1652" i="4" s="1"/>
  <c r="H1653" i="4"/>
  <c r="S1653" i="4" s="1"/>
  <c r="H1654" i="4"/>
  <c r="S1654" i="4" s="1"/>
  <c r="H1655" i="4"/>
  <c r="S1655" i="4" s="1"/>
  <c r="H1656" i="4"/>
  <c r="S1656" i="4" s="1"/>
  <c r="H1657" i="4"/>
  <c r="S1657" i="4" s="1"/>
  <c r="H1659" i="4"/>
  <c r="S1659" i="4" s="1"/>
  <c r="H1660" i="4"/>
  <c r="S1660" i="4" s="1"/>
  <c r="H1661" i="4"/>
  <c r="S1661" i="4" s="1"/>
  <c r="H1662" i="4"/>
  <c r="S1662" i="4" s="1"/>
  <c r="H1663" i="4"/>
  <c r="S1663" i="4" s="1"/>
  <c r="H1664" i="4"/>
  <c r="S1664" i="4" s="1"/>
  <c r="H1665" i="4"/>
  <c r="S1665" i="4" s="1"/>
  <c r="H1666" i="4"/>
  <c r="S1666" i="4" s="1"/>
  <c r="H1667" i="4"/>
  <c r="S1667" i="4" s="1"/>
  <c r="H1668" i="4"/>
  <c r="S1668" i="4" s="1"/>
  <c r="H1671" i="4"/>
  <c r="S1671" i="4" s="1"/>
  <c r="H1672" i="4"/>
  <c r="S1672" i="4" s="1"/>
  <c r="H1673" i="4"/>
  <c r="S1673" i="4" s="1"/>
  <c r="H1674" i="4"/>
  <c r="S1674" i="4" s="1"/>
  <c r="H1675" i="4"/>
  <c r="S1675" i="4" s="1"/>
  <c r="H1676" i="4"/>
  <c r="S1676" i="4" s="1"/>
  <c r="H1677" i="4"/>
  <c r="S1677" i="4" s="1"/>
  <c r="H1678" i="4"/>
  <c r="S1678" i="4" s="1"/>
  <c r="H1679" i="4"/>
  <c r="S1679" i="4" s="1"/>
  <c r="H1680" i="4"/>
  <c r="S1680" i="4" s="1"/>
  <c r="H1682" i="4"/>
  <c r="S1682" i="4" s="1"/>
  <c r="H1683" i="4"/>
  <c r="S1683" i="4" s="1"/>
  <c r="H1684" i="4"/>
  <c r="S1684" i="4" s="1"/>
  <c r="H1685" i="4"/>
  <c r="S1685" i="4" s="1"/>
  <c r="H1686" i="4"/>
  <c r="S1686" i="4" s="1"/>
  <c r="H1687" i="4"/>
  <c r="S1687" i="4" s="1"/>
  <c r="H1688" i="4"/>
  <c r="S1688" i="4" s="1"/>
  <c r="H1689" i="4"/>
  <c r="S1689" i="4" s="1"/>
  <c r="H1690" i="4"/>
  <c r="S1690" i="4" s="1"/>
  <c r="H1691" i="4"/>
  <c r="S1691" i="4" s="1"/>
  <c r="H1693" i="4"/>
  <c r="S1693" i="4" s="1"/>
  <c r="H1694" i="4"/>
  <c r="S1694" i="4" s="1"/>
  <c r="H1695" i="4"/>
  <c r="S1695" i="4" s="1"/>
  <c r="H1696" i="4"/>
  <c r="S1696" i="4" s="1"/>
  <c r="H1697" i="4"/>
  <c r="S1697" i="4" s="1"/>
  <c r="H1698" i="4"/>
  <c r="S1698" i="4" s="1"/>
  <c r="H1699" i="4"/>
  <c r="S1699" i="4" s="1"/>
  <c r="H1700" i="4"/>
  <c r="S1700" i="4" s="1"/>
  <c r="H1701" i="4"/>
  <c r="S1701" i="4" s="1"/>
  <c r="H1702" i="4"/>
  <c r="S1702" i="4" s="1"/>
  <c r="H1704" i="4"/>
  <c r="S1704" i="4" s="1"/>
  <c r="H1705" i="4"/>
  <c r="S1705" i="4" s="1"/>
  <c r="H1706" i="4"/>
  <c r="S1706" i="4" s="1"/>
  <c r="H1707" i="4"/>
  <c r="S1707" i="4" s="1"/>
  <c r="H1708" i="4"/>
  <c r="S1708" i="4" s="1"/>
  <c r="H1709" i="4"/>
  <c r="S1709" i="4" s="1"/>
  <c r="H1710" i="4"/>
  <c r="S1710" i="4" s="1"/>
  <c r="H1711" i="4"/>
  <c r="S1711" i="4" s="1"/>
  <c r="H1712" i="4"/>
  <c r="S1712" i="4" s="1"/>
  <c r="H1713" i="4"/>
  <c r="S1713" i="4" s="1"/>
  <c r="H1715" i="4"/>
  <c r="S1715" i="4" s="1"/>
  <c r="H1716" i="4"/>
  <c r="S1716" i="4" s="1"/>
  <c r="H1717" i="4"/>
  <c r="S1717" i="4" s="1"/>
  <c r="H1718" i="4"/>
  <c r="S1718" i="4" s="1"/>
  <c r="H1719" i="4"/>
  <c r="S1719" i="4" s="1"/>
  <c r="H1720" i="4"/>
  <c r="S1720" i="4" s="1"/>
  <c r="H1721" i="4"/>
  <c r="S1721" i="4" s="1"/>
  <c r="H1722" i="4"/>
  <c r="S1722" i="4" s="1"/>
  <c r="H1723" i="4"/>
  <c r="S1723" i="4" s="1"/>
  <c r="H1724" i="4"/>
  <c r="S1724" i="4" s="1"/>
  <c r="H1726" i="4"/>
  <c r="S1726" i="4" s="1"/>
  <c r="H1727" i="4"/>
  <c r="S1727" i="4" s="1"/>
  <c r="H1728" i="4"/>
  <c r="S1728" i="4" s="1"/>
  <c r="H1729" i="4"/>
  <c r="S1729" i="4" s="1"/>
  <c r="H1730" i="4"/>
  <c r="S1730" i="4" s="1"/>
  <c r="H1731" i="4"/>
  <c r="S1731" i="4" s="1"/>
  <c r="H1732" i="4"/>
  <c r="S1732" i="4" s="1"/>
  <c r="H1733" i="4"/>
  <c r="S1733" i="4" s="1"/>
  <c r="H1734" i="4"/>
  <c r="S1734" i="4" s="1"/>
  <c r="H1735" i="4"/>
  <c r="S1735" i="4" s="1"/>
  <c r="H1737" i="4"/>
  <c r="S1737" i="4" s="1"/>
  <c r="H1738" i="4"/>
  <c r="S1738" i="4" s="1"/>
  <c r="H1739" i="4"/>
  <c r="S1739" i="4" s="1"/>
  <c r="H1740" i="4"/>
  <c r="S1740" i="4" s="1"/>
  <c r="H1741" i="4"/>
  <c r="S1741" i="4" s="1"/>
  <c r="H1742" i="4"/>
  <c r="S1742" i="4" s="1"/>
  <c r="H1743" i="4"/>
  <c r="S1743" i="4" s="1"/>
  <c r="H1744" i="4"/>
  <c r="S1744" i="4" s="1"/>
  <c r="H1745" i="4"/>
  <c r="S1745" i="4" s="1"/>
  <c r="H1746" i="4"/>
  <c r="S1746" i="4" s="1"/>
  <c r="H1748" i="4"/>
  <c r="S1748" i="4" s="1"/>
  <c r="H1749" i="4"/>
  <c r="S1749" i="4" s="1"/>
  <c r="H1750" i="4"/>
  <c r="S1750" i="4" s="1"/>
  <c r="H1751" i="4"/>
  <c r="S1751" i="4" s="1"/>
  <c r="H1752" i="4"/>
  <c r="S1752" i="4" s="1"/>
  <c r="H1753" i="4"/>
  <c r="S1753" i="4" s="1"/>
  <c r="H1754" i="4"/>
  <c r="S1754" i="4" s="1"/>
  <c r="H1755" i="4"/>
  <c r="S1755" i="4" s="1"/>
  <c r="H1756" i="4"/>
  <c r="S1756" i="4" s="1"/>
  <c r="H1757" i="4"/>
  <c r="S1757" i="4" s="1"/>
  <c r="H1759" i="4"/>
  <c r="S1759" i="4" s="1"/>
  <c r="H1760" i="4"/>
  <c r="S1760" i="4" s="1"/>
  <c r="H1761" i="4"/>
  <c r="S1761" i="4" s="1"/>
  <c r="H1762" i="4"/>
  <c r="S1762" i="4" s="1"/>
  <c r="H1763" i="4"/>
  <c r="S1763" i="4" s="1"/>
  <c r="H1764" i="4"/>
  <c r="S1764" i="4" s="1"/>
  <c r="H1765" i="4"/>
  <c r="S1765" i="4" s="1"/>
  <c r="H1766" i="4"/>
  <c r="S1766" i="4" s="1"/>
  <c r="H1767" i="4"/>
  <c r="S1767" i="4" s="1"/>
  <c r="H1768" i="4"/>
  <c r="S1768" i="4" s="1"/>
  <c r="H1770" i="4"/>
  <c r="S1770" i="4" s="1"/>
  <c r="H1771" i="4"/>
  <c r="S1771" i="4" s="1"/>
  <c r="H1772" i="4"/>
  <c r="S1772" i="4" s="1"/>
  <c r="H1773" i="4"/>
  <c r="S1773" i="4" s="1"/>
  <c r="H1774" i="4"/>
  <c r="S1774" i="4" s="1"/>
  <c r="H1775" i="4"/>
  <c r="S1775" i="4" s="1"/>
  <c r="H1776" i="4"/>
  <c r="S1776" i="4" s="1"/>
  <c r="H1777" i="4"/>
  <c r="S1777" i="4" s="1"/>
  <c r="H1778" i="4"/>
  <c r="S1778" i="4" s="1"/>
  <c r="H1779" i="4"/>
  <c r="S1779" i="4" s="1"/>
  <c r="H1782" i="4"/>
  <c r="S1782" i="4" s="1"/>
  <c r="H1783" i="4"/>
  <c r="S1783" i="4" s="1"/>
  <c r="H1784" i="4"/>
  <c r="S1784" i="4" s="1"/>
  <c r="H1785" i="4"/>
  <c r="S1785" i="4" s="1"/>
  <c r="H1786" i="4"/>
  <c r="S1786" i="4" s="1"/>
  <c r="H1787" i="4"/>
  <c r="S1787" i="4" s="1"/>
  <c r="H1788" i="4"/>
  <c r="S1788" i="4" s="1"/>
  <c r="H1789" i="4"/>
  <c r="S1789" i="4" s="1"/>
  <c r="H1790" i="4"/>
  <c r="S1790" i="4" s="1"/>
  <c r="H1791" i="4"/>
  <c r="S1791" i="4" s="1"/>
  <c r="H1793" i="4"/>
  <c r="S1793" i="4" s="1"/>
  <c r="H1794" i="4"/>
  <c r="S1794" i="4" s="1"/>
  <c r="H1795" i="4"/>
  <c r="S1795" i="4" s="1"/>
  <c r="H1796" i="4"/>
  <c r="S1796" i="4" s="1"/>
  <c r="H1797" i="4"/>
  <c r="S1797" i="4" s="1"/>
  <c r="H1798" i="4"/>
  <c r="S1798" i="4" s="1"/>
  <c r="H1799" i="4"/>
  <c r="S1799" i="4" s="1"/>
  <c r="H1800" i="4"/>
  <c r="S1800" i="4" s="1"/>
  <c r="H1801" i="4"/>
  <c r="S1801" i="4" s="1"/>
  <c r="H1802" i="4"/>
  <c r="S1802" i="4" s="1"/>
  <c r="H1804" i="4"/>
  <c r="S1804" i="4" s="1"/>
  <c r="H1805" i="4"/>
  <c r="S1805" i="4" s="1"/>
  <c r="H1806" i="4"/>
  <c r="S1806" i="4" s="1"/>
  <c r="H1807" i="4"/>
  <c r="S1807" i="4" s="1"/>
  <c r="H1808" i="4"/>
  <c r="S1808" i="4" s="1"/>
  <c r="H1809" i="4"/>
  <c r="S1809" i="4" s="1"/>
  <c r="H1810" i="4"/>
  <c r="S1810" i="4" s="1"/>
  <c r="H1811" i="4"/>
  <c r="S1811" i="4" s="1"/>
  <c r="H1812" i="4"/>
  <c r="S1812" i="4" s="1"/>
  <c r="H1813" i="4"/>
  <c r="S1813" i="4" s="1"/>
  <c r="H1815" i="4"/>
  <c r="S1815" i="4" s="1"/>
  <c r="H1816" i="4"/>
  <c r="S1816" i="4" s="1"/>
  <c r="H1817" i="4"/>
  <c r="S1817" i="4" s="1"/>
  <c r="H1818" i="4"/>
  <c r="S1818" i="4" s="1"/>
  <c r="H1819" i="4"/>
  <c r="S1819" i="4" s="1"/>
  <c r="H1820" i="4"/>
  <c r="S1820" i="4" s="1"/>
  <c r="H1821" i="4"/>
  <c r="S1821" i="4" s="1"/>
  <c r="H1822" i="4"/>
  <c r="S1822" i="4" s="1"/>
  <c r="H1823" i="4"/>
  <c r="S1823" i="4" s="1"/>
  <c r="H1824" i="4"/>
  <c r="S1824" i="4" s="1"/>
  <c r="H1826" i="4"/>
  <c r="S1826" i="4" s="1"/>
  <c r="H1827" i="4"/>
  <c r="S1827" i="4" s="1"/>
  <c r="H1828" i="4"/>
  <c r="S1828" i="4" s="1"/>
  <c r="H1829" i="4"/>
  <c r="S1829" i="4" s="1"/>
  <c r="H1830" i="4"/>
  <c r="S1830" i="4" s="1"/>
  <c r="H1831" i="4"/>
  <c r="S1831" i="4" s="1"/>
  <c r="H1832" i="4"/>
  <c r="S1832" i="4" s="1"/>
  <c r="H1833" i="4"/>
  <c r="S1833" i="4" s="1"/>
  <c r="H1834" i="4"/>
  <c r="S1834" i="4" s="1"/>
  <c r="H1835" i="4"/>
  <c r="S1835" i="4" s="1"/>
  <c r="H1837" i="4"/>
  <c r="S1837" i="4" s="1"/>
  <c r="H1838" i="4"/>
  <c r="S1838" i="4" s="1"/>
  <c r="H1839" i="4"/>
  <c r="S1839" i="4" s="1"/>
  <c r="H1840" i="4"/>
  <c r="S1840" i="4" s="1"/>
  <c r="H1841" i="4"/>
  <c r="S1841" i="4" s="1"/>
  <c r="H1842" i="4"/>
  <c r="S1842" i="4" s="1"/>
  <c r="H1843" i="4"/>
  <c r="S1843" i="4" s="1"/>
  <c r="H1844" i="4"/>
  <c r="S1844" i="4" s="1"/>
  <c r="H1845" i="4"/>
  <c r="S1845" i="4" s="1"/>
  <c r="H1846" i="4"/>
  <c r="S1846" i="4" s="1"/>
  <c r="H1848" i="4"/>
  <c r="S1848" i="4" s="1"/>
  <c r="H1849" i="4"/>
  <c r="S1849" i="4" s="1"/>
  <c r="H1850" i="4"/>
  <c r="S1850" i="4" s="1"/>
  <c r="H1851" i="4"/>
  <c r="S1851" i="4" s="1"/>
  <c r="H1852" i="4"/>
  <c r="S1852" i="4" s="1"/>
  <c r="H1853" i="4"/>
  <c r="S1853" i="4" s="1"/>
  <c r="H1854" i="4"/>
  <c r="S1854" i="4" s="1"/>
  <c r="H1855" i="4"/>
  <c r="S1855" i="4" s="1"/>
  <c r="H1856" i="4"/>
  <c r="S1856" i="4" s="1"/>
  <c r="H1857" i="4"/>
  <c r="S1857" i="4" s="1"/>
  <c r="H1859" i="4"/>
  <c r="S1859" i="4" s="1"/>
  <c r="H1860" i="4"/>
  <c r="S1860" i="4" s="1"/>
  <c r="H1861" i="4"/>
  <c r="S1861" i="4" s="1"/>
  <c r="H1862" i="4"/>
  <c r="S1862" i="4" s="1"/>
  <c r="H1863" i="4"/>
  <c r="S1863" i="4" s="1"/>
  <c r="H1864" i="4"/>
  <c r="S1864" i="4" s="1"/>
  <c r="H1865" i="4"/>
  <c r="S1865" i="4" s="1"/>
  <c r="H1866" i="4"/>
  <c r="S1866" i="4" s="1"/>
  <c r="H1867" i="4"/>
  <c r="S1867" i="4" s="1"/>
  <c r="H1868" i="4"/>
  <c r="S1868" i="4" s="1"/>
  <c r="H1870" i="4"/>
  <c r="S1870" i="4" s="1"/>
  <c r="H1871" i="4"/>
  <c r="S1871" i="4" s="1"/>
  <c r="H1872" i="4"/>
  <c r="S1872" i="4" s="1"/>
  <c r="H1873" i="4"/>
  <c r="S1873" i="4" s="1"/>
  <c r="H1874" i="4"/>
  <c r="S1874" i="4" s="1"/>
  <c r="H1875" i="4"/>
  <c r="S1875" i="4" s="1"/>
  <c r="H1876" i="4"/>
  <c r="S1876" i="4" s="1"/>
  <c r="H1877" i="4"/>
  <c r="S1877" i="4" s="1"/>
  <c r="H1878" i="4"/>
  <c r="S1878" i="4" s="1"/>
  <c r="H1879" i="4"/>
  <c r="S1879" i="4" s="1"/>
  <c r="H1881" i="4"/>
  <c r="S1881" i="4" s="1"/>
  <c r="H1882" i="4"/>
  <c r="S1882" i="4" s="1"/>
  <c r="H1883" i="4"/>
  <c r="S1883" i="4" s="1"/>
  <c r="H1884" i="4"/>
  <c r="S1884" i="4" s="1"/>
  <c r="H1885" i="4"/>
  <c r="S1885" i="4" s="1"/>
  <c r="H1886" i="4"/>
  <c r="S1886" i="4" s="1"/>
  <c r="H1887" i="4"/>
  <c r="S1887" i="4" s="1"/>
  <c r="H1888" i="4"/>
  <c r="S1888" i="4" s="1"/>
  <c r="H1889" i="4"/>
  <c r="S1889" i="4" s="1"/>
  <c r="H1890" i="4"/>
  <c r="S1890" i="4" s="1"/>
  <c r="H1893" i="4"/>
  <c r="S1893" i="4" s="1"/>
  <c r="H1894" i="4"/>
  <c r="S1894" i="4" s="1"/>
  <c r="H1895" i="4"/>
  <c r="S1895" i="4" s="1"/>
  <c r="H1896" i="4"/>
  <c r="S1896" i="4" s="1"/>
  <c r="H1897" i="4"/>
  <c r="S1897" i="4" s="1"/>
  <c r="H1898" i="4"/>
  <c r="S1898" i="4" s="1"/>
  <c r="H1899" i="4"/>
  <c r="S1899" i="4" s="1"/>
  <c r="H1900" i="4"/>
  <c r="S1900" i="4" s="1"/>
  <c r="H1901" i="4"/>
  <c r="S1901" i="4" s="1"/>
  <c r="H1902" i="4"/>
  <c r="S1902" i="4" s="1"/>
  <c r="H1904" i="4"/>
  <c r="S1904" i="4" s="1"/>
  <c r="H1905" i="4"/>
  <c r="S1905" i="4" s="1"/>
  <c r="H1906" i="4"/>
  <c r="S1906" i="4" s="1"/>
  <c r="H1907" i="4"/>
  <c r="S1907" i="4" s="1"/>
  <c r="H1908" i="4"/>
  <c r="S1908" i="4" s="1"/>
  <c r="H1909" i="4"/>
  <c r="S1909" i="4" s="1"/>
  <c r="H1910" i="4"/>
  <c r="S1910" i="4" s="1"/>
  <c r="H1911" i="4"/>
  <c r="S1911" i="4" s="1"/>
  <c r="H1912" i="4"/>
  <c r="S1912" i="4" s="1"/>
  <c r="H1913" i="4"/>
  <c r="S1913" i="4" s="1"/>
  <c r="H1915" i="4"/>
  <c r="S1915" i="4" s="1"/>
  <c r="H1916" i="4"/>
  <c r="S1916" i="4" s="1"/>
  <c r="H1917" i="4"/>
  <c r="S1917" i="4" s="1"/>
  <c r="H1918" i="4"/>
  <c r="S1918" i="4" s="1"/>
  <c r="H1919" i="4"/>
  <c r="S1919" i="4" s="1"/>
  <c r="H1920" i="4"/>
  <c r="S1920" i="4" s="1"/>
  <c r="H1921" i="4"/>
  <c r="S1921" i="4" s="1"/>
  <c r="H1922" i="4"/>
  <c r="S1922" i="4" s="1"/>
  <c r="H1923" i="4"/>
  <c r="S1923" i="4" s="1"/>
  <c r="H1924" i="4"/>
  <c r="S1924" i="4" s="1"/>
  <c r="H1926" i="4"/>
  <c r="S1926" i="4" s="1"/>
  <c r="H1927" i="4"/>
  <c r="S1927" i="4" s="1"/>
  <c r="H1928" i="4"/>
  <c r="S1928" i="4" s="1"/>
  <c r="H1929" i="4"/>
  <c r="S1929" i="4" s="1"/>
  <c r="H1930" i="4"/>
  <c r="S1930" i="4" s="1"/>
  <c r="H1931" i="4"/>
  <c r="S1931" i="4" s="1"/>
  <c r="H1932" i="4"/>
  <c r="S1932" i="4" s="1"/>
  <c r="H1933" i="4"/>
  <c r="S1933" i="4" s="1"/>
  <c r="H1934" i="4"/>
  <c r="S1934" i="4" s="1"/>
  <c r="H1935" i="4"/>
  <c r="S1935" i="4" s="1"/>
  <c r="H1937" i="4"/>
  <c r="S1937" i="4" s="1"/>
  <c r="H1938" i="4"/>
  <c r="S1938" i="4" s="1"/>
  <c r="H1939" i="4"/>
  <c r="S1939" i="4" s="1"/>
  <c r="H1940" i="4"/>
  <c r="S1940" i="4" s="1"/>
  <c r="H1941" i="4"/>
  <c r="S1941" i="4" s="1"/>
  <c r="H1942" i="4"/>
  <c r="S1942" i="4" s="1"/>
  <c r="H1943" i="4"/>
  <c r="S1943" i="4" s="1"/>
  <c r="H1944" i="4"/>
  <c r="S1944" i="4" s="1"/>
  <c r="H1945" i="4"/>
  <c r="S1945" i="4" s="1"/>
  <c r="H1946" i="4"/>
  <c r="S1946" i="4" s="1"/>
  <c r="H1948" i="4"/>
  <c r="S1948" i="4" s="1"/>
  <c r="H1949" i="4"/>
  <c r="S1949" i="4" s="1"/>
  <c r="H1950" i="4"/>
  <c r="S1950" i="4" s="1"/>
  <c r="H1951" i="4"/>
  <c r="S1951" i="4" s="1"/>
  <c r="H1952" i="4"/>
  <c r="S1952" i="4" s="1"/>
  <c r="H1953" i="4"/>
  <c r="S1953" i="4" s="1"/>
  <c r="H1954" i="4"/>
  <c r="S1954" i="4" s="1"/>
  <c r="H1955" i="4"/>
  <c r="S1955" i="4" s="1"/>
  <c r="H1956" i="4"/>
  <c r="S1956" i="4" s="1"/>
  <c r="H1957" i="4"/>
  <c r="S1957" i="4" s="1"/>
  <c r="H1959" i="4"/>
  <c r="S1959" i="4" s="1"/>
  <c r="H1960" i="4"/>
  <c r="S1960" i="4" s="1"/>
  <c r="H1961" i="4"/>
  <c r="S1961" i="4" s="1"/>
  <c r="H1962" i="4"/>
  <c r="S1962" i="4" s="1"/>
  <c r="H1963" i="4"/>
  <c r="S1963" i="4" s="1"/>
  <c r="H1964" i="4"/>
  <c r="S1964" i="4" s="1"/>
  <c r="H1965" i="4"/>
  <c r="S1965" i="4" s="1"/>
  <c r="H1966" i="4"/>
  <c r="S1966" i="4" s="1"/>
  <c r="H1967" i="4"/>
  <c r="S1967" i="4" s="1"/>
  <c r="H1968" i="4"/>
  <c r="S1968" i="4" s="1"/>
  <c r="H1970" i="4"/>
  <c r="S1970" i="4" s="1"/>
  <c r="H1971" i="4"/>
  <c r="S1971" i="4" s="1"/>
  <c r="H1972" i="4"/>
  <c r="S1972" i="4" s="1"/>
  <c r="H1973" i="4"/>
  <c r="S1973" i="4" s="1"/>
  <c r="H1974" i="4"/>
  <c r="S1974" i="4" s="1"/>
  <c r="H1975" i="4"/>
  <c r="S1975" i="4" s="1"/>
  <c r="H1976" i="4"/>
  <c r="S1976" i="4" s="1"/>
  <c r="H1977" i="4"/>
  <c r="S1977" i="4" s="1"/>
  <c r="H1978" i="4"/>
  <c r="S1978" i="4" s="1"/>
  <c r="H1979" i="4"/>
  <c r="S1979" i="4" s="1"/>
  <c r="H1981" i="4"/>
  <c r="S1981" i="4" s="1"/>
  <c r="H1982" i="4"/>
  <c r="S1982" i="4" s="1"/>
  <c r="H1983" i="4"/>
  <c r="S1983" i="4" s="1"/>
  <c r="H1984" i="4"/>
  <c r="S1984" i="4" s="1"/>
  <c r="H1985" i="4"/>
  <c r="S1985" i="4" s="1"/>
  <c r="H1986" i="4"/>
  <c r="S1986" i="4" s="1"/>
  <c r="H1987" i="4"/>
  <c r="S1987" i="4" s="1"/>
  <c r="H1988" i="4"/>
  <c r="S1988" i="4" s="1"/>
  <c r="H1989" i="4"/>
  <c r="S1989" i="4" s="1"/>
  <c r="H1990" i="4"/>
  <c r="S1990" i="4" s="1"/>
  <c r="H1992" i="4"/>
  <c r="S1992" i="4" s="1"/>
  <c r="H1993" i="4"/>
  <c r="S1993" i="4" s="1"/>
  <c r="H1994" i="4"/>
  <c r="S1994" i="4" s="1"/>
  <c r="H1995" i="4"/>
  <c r="S1995" i="4" s="1"/>
  <c r="H1996" i="4"/>
  <c r="S1996" i="4" s="1"/>
  <c r="H1997" i="4"/>
  <c r="S1997" i="4" s="1"/>
  <c r="H1998" i="4"/>
  <c r="S1998" i="4" s="1"/>
  <c r="H1999" i="4"/>
  <c r="S1999" i="4" s="1"/>
  <c r="H2000" i="4"/>
  <c r="S2000" i="4" s="1"/>
  <c r="H2001" i="4"/>
  <c r="H6" i="4"/>
  <c r="S6" i="4" s="1"/>
  <c r="H7" i="4"/>
  <c r="S7" i="4" s="1"/>
  <c r="H8" i="4"/>
  <c r="S8" i="4" s="1"/>
  <c r="H9" i="4"/>
  <c r="S9" i="4" s="1"/>
  <c r="H10" i="4"/>
  <c r="S10" i="4" s="1"/>
  <c r="H11" i="4"/>
  <c r="S11" i="4" s="1"/>
  <c r="H12" i="4"/>
  <c r="S12" i="4" s="1"/>
  <c r="H13" i="4"/>
  <c r="S13" i="4" s="1"/>
  <c r="H14" i="4"/>
  <c r="S14" i="4" s="1"/>
  <c r="H15" i="4"/>
  <c r="S15" i="4" s="1"/>
  <c r="H17" i="4"/>
  <c r="S17" i="4" s="1"/>
  <c r="H18" i="4"/>
  <c r="S18" i="4" s="1"/>
  <c r="H19" i="4"/>
  <c r="S19" i="4" s="1"/>
  <c r="H20" i="4"/>
  <c r="S20" i="4" s="1"/>
  <c r="H21" i="4"/>
  <c r="S21" i="4" s="1"/>
  <c r="H22" i="4"/>
  <c r="S22" i="4" s="1"/>
  <c r="H23" i="4"/>
  <c r="S23" i="4" s="1"/>
  <c r="H24" i="4"/>
  <c r="S24" i="4" s="1"/>
  <c r="H25" i="4"/>
  <c r="S25" i="4" s="1"/>
  <c r="H26" i="4"/>
  <c r="S26" i="4" s="1"/>
  <c r="H28" i="4"/>
  <c r="S28" i="4" s="1"/>
  <c r="H29" i="4"/>
  <c r="S29" i="4" s="1"/>
  <c r="H30" i="4"/>
  <c r="S30" i="4" s="1"/>
  <c r="H31" i="4"/>
  <c r="S31" i="4" s="1"/>
  <c r="H32" i="4"/>
  <c r="S32" i="4" s="1"/>
  <c r="H33" i="4"/>
  <c r="S33" i="4" s="1"/>
  <c r="H34" i="4"/>
  <c r="S34" i="4" s="1"/>
  <c r="H35" i="4"/>
  <c r="S35" i="4" s="1"/>
  <c r="H36" i="4"/>
  <c r="S36" i="4" s="1"/>
  <c r="H37" i="4"/>
  <c r="S37" i="4" s="1"/>
  <c r="H39" i="4"/>
  <c r="S39" i="4" s="1"/>
  <c r="H40" i="4"/>
  <c r="S40" i="4" s="1"/>
  <c r="H41" i="4"/>
  <c r="S41" i="4" s="1"/>
  <c r="H42" i="4"/>
  <c r="S42" i="4" s="1"/>
  <c r="H43" i="4"/>
  <c r="S43" i="4" s="1"/>
  <c r="H44" i="4"/>
  <c r="S44" i="4" s="1"/>
  <c r="H45" i="4"/>
  <c r="S45" i="4" s="1"/>
  <c r="H46" i="4"/>
  <c r="S46" i="4" s="1"/>
  <c r="H47" i="4"/>
  <c r="S47" i="4" s="1"/>
  <c r="H48" i="4"/>
  <c r="S48" i="4" s="1"/>
  <c r="H50" i="4"/>
  <c r="S50" i="4" s="1"/>
  <c r="H51" i="4"/>
  <c r="S51" i="4" s="1"/>
  <c r="H52" i="4"/>
  <c r="S52" i="4" s="1"/>
  <c r="H53" i="4"/>
  <c r="S53" i="4" s="1"/>
  <c r="H54" i="4"/>
  <c r="S54" i="4" s="1"/>
  <c r="H55" i="4"/>
  <c r="S55" i="4" s="1"/>
  <c r="H56" i="4"/>
  <c r="S56" i="4" s="1"/>
  <c r="H57" i="4"/>
  <c r="S57" i="4" s="1"/>
  <c r="H58" i="4"/>
  <c r="S58" i="4" s="1"/>
  <c r="H59" i="4"/>
  <c r="S59" i="4" s="1"/>
  <c r="H61" i="4"/>
  <c r="S61" i="4" s="1"/>
  <c r="H62" i="4"/>
  <c r="S62" i="4" s="1"/>
  <c r="H63" i="4"/>
  <c r="S63" i="4" s="1"/>
  <c r="H64" i="4"/>
  <c r="S64" i="4" s="1"/>
  <c r="H65" i="4"/>
  <c r="S65" i="4" s="1"/>
  <c r="H66" i="4"/>
  <c r="S66" i="4" s="1"/>
  <c r="H67" i="4"/>
  <c r="S67" i="4" s="1"/>
  <c r="H68" i="4"/>
  <c r="S68" i="4" s="1"/>
  <c r="H69" i="4"/>
  <c r="S69" i="4" s="1"/>
  <c r="H70" i="4"/>
  <c r="S70" i="4" s="1"/>
  <c r="H72" i="4"/>
  <c r="S72" i="4" s="1"/>
  <c r="H73" i="4"/>
  <c r="S73" i="4" s="1"/>
  <c r="H74" i="4"/>
  <c r="S74" i="4" s="1"/>
  <c r="H75" i="4"/>
  <c r="S75" i="4" s="1"/>
  <c r="H76" i="4"/>
  <c r="S76" i="4" s="1"/>
  <c r="H77" i="4"/>
  <c r="S77" i="4" s="1"/>
  <c r="H78" i="4"/>
  <c r="S78" i="4" s="1"/>
  <c r="H79" i="4"/>
  <c r="S79" i="4" s="1"/>
  <c r="H80" i="4"/>
  <c r="S80" i="4" s="1"/>
  <c r="H81" i="4"/>
  <c r="S81" i="4" s="1"/>
  <c r="H83" i="4"/>
  <c r="S83" i="4" s="1"/>
  <c r="H84" i="4"/>
  <c r="S84" i="4" s="1"/>
  <c r="H85" i="4"/>
  <c r="S85" i="4" s="1"/>
  <c r="H86" i="4"/>
  <c r="S86" i="4" s="1"/>
  <c r="H87" i="4"/>
  <c r="S87" i="4" s="1"/>
  <c r="H88" i="4"/>
  <c r="S88" i="4" s="1"/>
  <c r="H89" i="4"/>
  <c r="S89" i="4" s="1"/>
  <c r="H90" i="4"/>
  <c r="S90" i="4" s="1"/>
  <c r="H91" i="4"/>
  <c r="S91" i="4" s="1"/>
  <c r="H92" i="4"/>
  <c r="S92" i="4" s="1"/>
  <c r="H94" i="4"/>
  <c r="S94" i="4" s="1"/>
  <c r="H95" i="4"/>
  <c r="S95" i="4" s="1"/>
  <c r="H96" i="4"/>
  <c r="S96" i="4" s="1"/>
  <c r="H97" i="4"/>
  <c r="S97" i="4" s="1"/>
  <c r="H98" i="4"/>
  <c r="S98" i="4" s="1"/>
  <c r="H99" i="4"/>
  <c r="S99" i="4" s="1"/>
  <c r="H100" i="4"/>
  <c r="S100" i="4" s="1"/>
  <c r="H101" i="4"/>
  <c r="S101" i="4" s="1"/>
  <c r="H102" i="4"/>
  <c r="S102" i="4" s="1"/>
  <c r="H103" i="4"/>
  <c r="S103" i="4" s="1"/>
  <c r="H105" i="4"/>
  <c r="S105" i="4" s="1"/>
  <c r="H106" i="4"/>
  <c r="S106" i="4" s="1"/>
  <c r="H107" i="4"/>
  <c r="S107" i="4" s="1"/>
  <c r="H108" i="4"/>
  <c r="S108" i="4" s="1"/>
  <c r="H109" i="4"/>
  <c r="S109" i="4" s="1"/>
  <c r="H110" i="4"/>
  <c r="S110" i="4" s="1"/>
  <c r="H111" i="4"/>
  <c r="S111" i="4" s="1"/>
  <c r="H112" i="4"/>
  <c r="S112" i="4" s="1"/>
  <c r="H113" i="4"/>
  <c r="S113" i="4" s="1"/>
  <c r="H114" i="4"/>
  <c r="S114" i="4" s="1"/>
  <c r="H117" i="4"/>
  <c r="S117" i="4" s="1"/>
  <c r="H118" i="4"/>
  <c r="S118" i="4" s="1"/>
  <c r="H119" i="4"/>
  <c r="S119" i="4" s="1"/>
  <c r="H120" i="4"/>
  <c r="S120" i="4" s="1"/>
  <c r="H121" i="4"/>
  <c r="S121" i="4" s="1"/>
  <c r="H122" i="4"/>
  <c r="S122" i="4" s="1"/>
  <c r="H123" i="4"/>
  <c r="S123" i="4" s="1"/>
  <c r="H124" i="4"/>
  <c r="S124" i="4" s="1"/>
  <c r="H125" i="4"/>
  <c r="S125" i="4" s="1"/>
  <c r="H126" i="4"/>
  <c r="S126" i="4" s="1"/>
  <c r="H128" i="4"/>
  <c r="S128" i="4" s="1"/>
  <c r="H129" i="4"/>
  <c r="S129" i="4" s="1"/>
  <c r="H130" i="4"/>
  <c r="S130" i="4" s="1"/>
  <c r="H131" i="4"/>
  <c r="S131" i="4" s="1"/>
  <c r="H132" i="4"/>
  <c r="S132" i="4" s="1"/>
  <c r="H133" i="4"/>
  <c r="S133" i="4" s="1"/>
  <c r="H134" i="4"/>
  <c r="S134" i="4" s="1"/>
  <c r="H135" i="4"/>
  <c r="S135" i="4" s="1"/>
  <c r="H136" i="4"/>
  <c r="S136" i="4" s="1"/>
  <c r="H137" i="4"/>
  <c r="S137" i="4" s="1"/>
  <c r="H139" i="4"/>
  <c r="S139" i="4" s="1"/>
  <c r="H140" i="4"/>
  <c r="S140" i="4" s="1"/>
  <c r="H141" i="4"/>
  <c r="S141" i="4" s="1"/>
  <c r="H142" i="4"/>
  <c r="S142" i="4" s="1"/>
  <c r="H143" i="4"/>
  <c r="S143" i="4" s="1"/>
  <c r="H144" i="4"/>
  <c r="S144" i="4" s="1"/>
  <c r="H145" i="4"/>
  <c r="S145" i="4" s="1"/>
  <c r="H146" i="4"/>
  <c r="S146" i="4" s="1"/>
  <c r="H147" i="4"/>
  <c r="H148" i="4"/>
  <c r="S148" i="4" s="1"/>
  <c r="H150" i="4"/>
  <c r="S150" i="4" s="1"/>
  <c r="H151" i="4"/>
  <c r="S151" i="4" s="1"/>
  <c r="H152" i="4"/>
  <c r="S152" i="4" s="1"/>
  <c r="H153" i="4"/>
  <c r="S153" i="4" s="1"/>
  <c r="H154" i="4"/>
  <c r="S154" i="4" s="1"/>
  <c r="H155" i="4"/>
  <c r="S155" i="4" s="1"/>
  <c r="H156" i="4"/>
  <c r="S156" i="4" s="1"/>
  <c r="H157" i="4"/>
  <c r="S157" i="4" s="1"/>
  <c r="H158" i="4"/>
  <c r="S158" i="4" s="1"/>
  <c r="H159" i="4"/>
  <c r="S159" i="4" s="1"/>
  <c r="H161" i="4"/>
  <c r="S161" i="4" s="1"/>
  <c r="H162" i="4"/>
  <c r="S162" i="4" s="1"/>
  <c r="H163" i="4"/>
  <c r="S163" i="4" s="1"/>
  <c r="H164" i="4"/>
  <c r="S164" i="4" s="1"/>
  <c r="H165" i="4"/>
  <c r="S165" i="4" s="1"/>
  <c r="H166" i="4"/>
  <c r="S166" i="4" s="1"/>
  <c r="H167" i="4"/>
  <c r="S167" i="4" s="1"/>
  <c r="H168" i="4"/>
  <c r="S168" i="4" s="1"/>
  <c r="H169" i="4"/>
  <c r="S169" i="4" s="1"/>
  <c r="H170" i="4"/>
  <c r="S170" i="4" s="1"/>
  <c r="H172" i="4"/>
  <c r="S172" i="4" s="1"/>
  <c r="H173" i="4"/>
  <c r="S173" i="4" s="1"/>
  <c r="H174" i="4"/>
  <c r="S174" i="4" s="1"/>
  <c r="H175" i="4"/>
  <c r="S175" i="4" s="1"/>
  <c r="H176" i="4"/>
  <c r="S176" i="4" s="1"/>
  <c r="H177" i="4"/>
  <c r="S177" i="4" s="1"/>
  <c r="H178" i="4"/>
  <c r="S178" i="4" s="1"/>
  <c r="H179" i="4"/>
  <c r="S179" i="4" s="1"/>
  <c r="H180" i="4"/>
  <c r="S180" i="4" s="1"/>
  <c r="H181" i="4"/>
  <c r="S181" i="4" s="1"/>
  <c r="H183" i="4"/>
  <c r="S183" i="4" s="1"/>
  <c r="H184" i="4"/>
  <c r="S184" i="4" s="1"/>
  <c r="H185" i="4"/>
  <c r="S185" i="4" s="1"/>
  <c r="H186" i="4"/>
  <c r="S186" i="4" s="1"/>
  <c r="H187" i="4"/>
  <c r="S187" i="4" s="1"/>
  <c r="H188" i="4"/>
  <c r="S188" i="4" s="1"/>
  <c r="H189" i="4"/>
  <c r="S189" i="4" s="1"/>
  <c r="H190" i="4"/>
  <c r="S190" i="4" s="1"/>
  <c r="H191" i="4"/>
  <c r="S191" i="4" s="1"/>
  <c r="H192" i="4"/>
  <c r="S192" i="4" s="1"/>
  <c r="H194" i="4"/>
  <c r="S194" i="4" s="1"/>
  <c r="H195" i="4"/>
  <c r="S195" i="4" s="1"/>
  <c r="H196" i="4"/>
  <c r="S196" i="4" s="1"/>
  <c r="H197" i="4"/>
  <c r="S197" i="4" s="1"/>
  <c r="H198" i="4"/>
  <c r="S198" i="4" s="1"/>
  <c r="H199" i="4"/>
  <c r="S199" i="4" s="1"/>
  <c r="H200" i="4"/>
  <c r="S200" i="4" s="1"/>
  <c r="H201" i="4"/>
  <c r="S201" i="4" s="1"/>
  <c r="H202" i="4"/>
  <c r="S202" i="4" s="1"/>
  <c r="H203" i="4"/>
  <c r="S203" i="4" s="1"/>
  <c r="H205" i="4"/>
  <c r="S205" i="4" s="1"/>
  <c r="H206" i="4"/>
  <c r="S206" i="4" s="1"/>
  <c r="H207" i="4"/>
  <c r="S207" i="4" s="1"/>
  <c r="H208" i="4"/>
  <c r="S208" i="4" s="1"/>
  <c r="H209" i="4"/>
  <c r="S209" i="4" s="1"/>
  <c r="H210" i="4"/>
  <c r="S210" i="4" s="1"/>
  <c r="H211" i="4"/>
  <c r="S211" i="4" s="1"/>
  <c r="H212" i="4"/>
  <c r="S212" i="4" s="1"/>
  <c r="H213" i="4"/>
  <c r="S213" i="4" s="1"/>
  <c r="H214" i="4"/>
  <c r="S214" i="4" s="1"/>
  <c r="H216" i="4"/>
  <c r="S216" i="4" s="1"/>
  <c r="H217" i="4"/>
  <c r="S217" i="4" s="1"/>
  <c r="H218" i="4"/>
  <c r="S218" i="4" s="1"/>
  <c r="H219" i="4"/>
  <c r="S219" i="4" s="1"/>
  <c r="H220" i="4"/>
  <c r="S220" i="4" s="1"/>
  <c r="H221" i="4"/>
  <c r="S221" i="4" s="1"/>
  <c r="H222" i="4"/>
  <c r="S222" i="4" s="1"/>
  <c r="H223" i="4"/>
  <c r="S223" i="4" s="1"/>
  <c r="H224" i="4"/>
  <c r="S224" i="4" s="1"/>
  <c r="H225" i="4"/>
  <c r="S225" i="4" s="1"/>
  <c r="H228" i="4"/>
  <c r="S228" i="4" s="1"/>
  <c r="H229" i="4"/>
  <c r="S229" i="4" s="1"/>
  <c r="H230" i="4"/>
  <c r="S230" i="4" s="1"/>
  <c r="H231" i="4"/>
  <c r="S231" i="4" s="1"/>
  <c r="H232" i="4"/>
  <c r="S232" i="4" s="1"/>
  <c r="H233" i="4"/>
  <c r="S233" i="4" s="1"/>
  <c r="H234" i="4"/>
  <c r="S234" i="4" s="1"/>
  <c r="H235" i="4"/>
  <c r="S235" i="4" s="1"/>
  <c r="H236" i="4"/>
  <c r="S236" i="4" s="1"/>
  <c r="H237" i="4"/>
  <c r="S237" i="4" s="1"/>
  <c r="H239" i="4"/>
  <c r="S239" i="4" s="1"/>
  <c r="H240" i="4"/>
  <c r="S240" i="4" s="1"/>
  <c r="H241" i="4"/>
  <c r="S241" i="4" s="1"/>
  <c r="H242" i="4"/>
  <c r="S242" i="4" s="1"/>
  <c r="H243" i="4"/>
  <c r="S243" i="4" s="1"/>
  <c r="H244" i="4"/>
  <c r="S244" i="4" s="1"/>
  <c r="H245" i="4"/>
  <c r="S245" i="4" s="1"/>
  <c r="H246" i="4"/>
  <c r="S246" i="4" s="1"/>
  <c r="H247" i="4"/>
  <c r="S247" i="4" s="1"/>
  <c r="H248" i="4"/>
  <c r="S248" i="4" s="1"/>
  <c r="H250" i="4"/>
  <c r="S250" i="4" s="1"/>
  <c r="H251" i="4"/>
  <c r="S251" i="4" s="1"/>
  <c r="H252" i="4"/>
  <c r="S252" i="4" s="1"/>
  <c r="H253" i="4"/>
  <c r="S253" i="4" s="1"/>
  <c r="H254" i="4"/>
  <c r="S254" i="4" s="1"/>
  <c r="H255" i="4"/>
  <c r="S255" i="4" s="1"/>
  <c r="H256" i="4"/>
  <c r="S256" i="4" s="1"/>
  <c r="H257" i="4"/>
  <c r="S257" i="4" s="1"/>
  <c r="H258" i="4"/>
  <c r="S258" i="4" s="1"/>
  <c r="H259" i="4"/>
  <c r="S259" i="4" s="1"/>
  <c r="H261" i="4"/>
  <c r="S261" i="4" s="1"/>
  <c r="H262" i="4"/>
  <c r="S262" i="4" s="1"/>
  <c r="H263" i="4"/>
  <c r="S263" i="4" s="1"/>
  <c r="H264" i="4"/>
  <c r="S264" i="4" s="1"/>
  <c r="H265" i="4"/>
  <c r="S265" i="4" s="1"/>
  <c r="H266" i="4"/>
  <c r="S266" i="4" s="1"/>
  <c r="H267" i="4"/>
  <c r="S267" i="4" s="1"/>
  <c r="H268" i="4"/>
  <c r="S268" i="4" s="1"/>
  <c r="H269" i="4"/>
  <c r="S269" i="4" s="1"/>
  <c r="H270" i="4"/>
  <c r="S270" i="4" s="1"/>
  <c r="H272" i="4"/>
  <c r="S272" i="4" s="1"/>
  <c r="H273" i="4"/>
  <c r="S273" i="4" s="1"/>
  <c r="H274" i="4"/>
  <c r="S274" i="4" s="1"/>
  <c r="H275" i="4"/>
  <c r="S275" i="4" s="1"/>
  <c r="H276" i="4"/>
  <c r="S276" i="4" s="1"/>
  <c r="H277" i="4"/>
  <c r="S277" i="4" s="1"/>
  <c r="H278" i="4"/>
  <c r="S278" i="4" s="1"/>
  <c r="H279" i="4"/>
  <c r="S279" i="4" s="1"/>
  <c r="H280" i="4"/>
  <c r="S280" i="4" s="1"/>
  <c r="H281" i="4"/>
  <c r="S281" i="4" s="1"/>
  <c r="H283" i="4"/>
  <c r="S283" i="4" s="1"/>
  <c r="H284" i="4"/>
  <c r="S284" i="4" s="1"/>
  <c r="H285" i="4"/>
  <c r="S285" i="4" s="1"/>
  <c r="H286" i="4"/>
  <c r="S286" i="4" s="1"/>
  <c r="H287" i="4"/>
  <c r="S287" i="4" s="1"/>
  <c r="H288" i="4"/>
  <c r="S288" i="4" s="1"/>
  <c r="H289" i="4"/>
  <c r="S289" i="4" s="1"/>
  <c r="H290" i="4"/>
  <c r="S290" i="4" s="1"/>
  <c r="H291" i="4"/>
  <c r="S291" i="4" s="1"/>
  <c r="H292" i="4"/>
  <c r="S292" i="4" s="1"/>
  <c r="H294" i="4"/>
  <c r="S294" i="4" s="1"/>
  <c r="H295" i="4"/>
  <c r="S295" i="4" s="1"/>
  <c r="H296" i="4"/>
  <c r="S296" i="4" s="1"/>
  <c r="H297" i="4"/>
  <c r="S297" i="4" s="1"/>
  <c r="H298" i="4"/>
  <c r="S298" i="4" s="1"/>
  <c r="H299" i="4"/>
  <c r="S299" i="4" s="1"/>
  <c r="H300" i="4"/>
  <c r="S300" i="4" s="1"/>
  <c r="H301" i="4"/>
  <c r="S301" i="4" s="1"/>
  <c r="H302" i="4"/>
  <c r="S302" i="4" s="1"/>
  <c r="H303" i="4"/>
  <c r="S303" i="4" s="1"/>
  <c r="H305" i="4"/>
  <c r="S305" i="4" s="1"/>
  <c r="H306" i="4"/>
  <c r="S306" i="4" s="1"/>
  <c r="H307" i="4"/>
  <c r="S307" i="4" s="1"/>
  <c r="H308" i="4"/>
  <c r="S308" i="4" s="1"/>
  <c r="H309" i="4"/>
  <c r="S309" i="4" s="1"/>
  <c r="H310" i="4"/>
  <c r="S310" i="4" s="1"/>
  <c r="H311" i="4"/>
  <c r="S311" i="4" s="1"/>
  <c r="H312" i="4"/>
  <c r="S312" i="4" s="1"/>
  <c r="H313" i="4"/>
  <c r="S313" i="4" s="1"/>
  <c r="H314" i="4"/>
  <c r="S314" i="4" s="1"/>
  <c r="H316" i="4"/>
  <c r="S316" i="4" s="1"/>
  <c r="H317" i="4"/>
  <c r="S317" i="4" s="1"/>
  <c r="H318" i="4"/>
  <c r="S318" i="4" s="1"/>
  <c r="H319" i="4"/>
  <c r="S319" i="4" s="1"/>
  <c r="H320" i="4"/>
  <c r="S320" i="4" s="1"/>
  <c r="H321" i="4"/>
  <c r="S321" i="4" s="1"/>
  <c r="H322" i="4"/>
  <c r="S322" i="4" s="1"/>
  <c r="H323" i="4"/>
  <c r="S323" i="4" s="1"/>
  <c r="H324" i="4"/>
  <c r="S324" i="4" s="1"/>
  <c r="H325" i="4"/>
  <c r="S325" i="4" s="1"/>
  <c r="H327" i="4"/>
  <c r="S327" i="4" s="1"/>
  <c r="H328" i="4"/>
  <c r="S328" i="4" s="1"/>
  <c r="H329" i="4"/>
  <c r="S329" i="4" s="1"/>
  <c r="H330" i="4"/>
  <c r="S330" i="4" s="1"/>
  <c r="H331" i="4"/>
  <c r="S331" i="4" s="1"/>
  <c r="H332" i="4"/>
  <c r="S332" i="4" s="1"/>
  <c r="H333" i="4"/>
  <c r="S333" i="4" s="1"/>
  <c r="H334" i="4"/>
  <c r="S334" i="4" s="1"/>
  <c r="H335" i="4"/>
  <c r="S335" i="4" s="1"/>
  <c r="H336" i="4"/>
  <c r="S336" i="4" s="1"/>
  <c r="H339" i="4"/>
  <c r="S339" i="4" s="1"/>
  <c r="H340" i="4"/>
  <c r="S340" i="4" s="1"/>
  <c r="H341" i="4"/>
  <c r="S341" i="4" s="1"/>
  <c r="H342" i="4"/>
  <c r="S342" i="4" s="1"/>
  <c r="H343" i="4"/>
  <c r="S343" i="4" s="1"/>
  <c r="H344" i="4"/>
  <c r="S344" i="4" s="1"/>
  <c r="H345" i="4"/>
  <c r="S345" i="4" s="1"/>
  <c r="H346" i="4"/>
  <c r="S346" i="4" s="1"/>
  <c r="H347" i="4"/>
  <c r="S347" i="4" s="1"/>
  <c r="H348" i="4"/>
  <c r="S348" i="4" s="1"/>
  <c r="H350" i="4"/>
  <c r="S350" i="4" s="1"/>
  <c r="H351" i="4"/>
  <c r="S351" i="4" s="1"/>
  <c r="H352" i="4"/>
  <c r="S352" i="4" s="1"/>
  <c r="H353" i="4"/>
  <c r="S353" i="4" s="1"/>
  <c r="H354" i="4"/>
  <c r="S354" i="4" s="1"/>
  <c r="H355" i="4"/>
  <c r="S355" i="4" s="1"/>
  <c r="H356" i="4"/>
  <c r="S356" i="4" s="1"/>
  <c r="H357" i="4"/>
  <c r="S357" i="4" s="1"/>
  <c r="H358" i="4"/>
  <c r="S358" i="4" s="1"/>
  <c r="H359" i="4"/>
  <c r="S359" i="4" s="1"/>
  <c r="H361" i="4"/>
  <c r="S361" i="4" s="1"/>
  <c r="H362" i="4"/>
  <c r="S362" i="4" s="1"/>
  <c r="H363" i="4"/>
  <c r="S363" i="4" s="1"/>
  <c r="H364" i="4"/>
  <c r="S364" i="4" s="1"/>
  <c r="H365" i="4"/>
  <c r="S365" i="4" s="1"/>
  <c r="H366" i="4"/>
  <c r="S366" i="4" s="1"/>
  <c r="H367" i="4"/>
  <c r="S367" i="4" s="1"/>
  <c r="H368" i="4"/>
  <c r="S368" i="4" s="1"/>
  <c r="H369" i="4"/>
  <c r="S369" i="4" s="1"/>
  <c r="H370" i="4"/>
  <c r="S370" i="4" s="1"/>
  <c r="H372" i="4"/>
  <c r="S372" i="4" s="1"/>
  <c r="H373" i="4"/>
  <c r="S373" i="4" s="1"/>
  <c r="H374" i="4"/>
  <c r="S374" i="4" s="1"/>
  <c r="H375" i="4"/>
  <c r="S375" i="4" s="1"/>
  <c r="H376" i="4"/>
  <c r="S376" i="4" s="1"/>
  <c r="H377" i="4"/>
  <c r="S377" i="4" s="1"/>
  <c r="H378" i="4"/>
  <c r="S378" i="4" s="1"/>
  <c r="H379" i="4"/>
  <c r="S379" i="4" s="1"/>
  <c r="H380" i="4"/>
  <c r="S380" i="4" s="1"/>
  <c r="H381" i="4"/>
  <c r="S381" i="4" s="1"/>
  <c r="H383" i="4"/>
  <c r="S383" i="4" s="1"/>
  <c r="H384" i="4"/>
  <c r="S384" i="4" s="1"/>
  <c r="H385" i="4"/>
  <c r="S385" i="4" s="1"/>
  <c r="H386" i="4"/>
  <c r="S386" i="4" s="1"/>
  <c r="H387" i="4"/>
  <c r="S387" i="4" s="1"/>
  <c r="H388" i="4"/>
  <c r="S388" i="4" s="1"/>
  <c r="H389" i="4"/>
  <c r="S389" i="4" s="1"/>
  <c r="H390" i="4"/>
  <c r="S390" i="4" s="1"/>
  <c r="H391" i="4"/>
  <c r="S391" i="4" s="1"/>
  <c r="H392" i="4"/>
  <c r="S392" i="4" s="1"/>
  <c r="H394" i="4"/>
  <c r="S394" i="4" s="1"/>
  <c r="H395" i="4"/>
  <c r="S395" i="4" s="1"/>
  <c r="H396" i="4"/>
  <c r="S396" i="4" s="1"/>
  <c r="H397" i="4"/>
  <c r="S397" i="4" s="1"/>
  <c r="H398" i="4"/>
  <c r="S398" i="4" s="1"/>
  <c r="H399" i="4"/>
  <c r="S399" i="4" s="1"/>
  <c r="H400" i="4"/>
  <c r="S400" i="4" s="1"/>
  <c r="H401" i="4"/>
  <c r="S401" i="4" s="1"/>
  <c r="H402" i="4"/>
  <c r="S402" i="4" s="1"/>
  <c r="H403" i="4"/>
  <c r="S403" i="4" s="1"/>
  <c r="H405" i="4"/>
  <c r="S405" i="4" s="1"/>
  <c r="H406" i="4"/>
  <c r="S406" i="4" s="1"/>
  <c r="H407" i="4"/>
  <c r="S407" i="4" s="1"/>
  <c r="H408" i="4"/>
  <c r="S408" i="4" s="1"/>
  <c r="H409" i="4"/>
  <c r="S409" i="4" s="1"/>
  <c r="H410" i="4"/>
  <c r="S410" i="4" s="1"/>
  <c r="H411" i="4"/>
  <c r="S411" i="4" s="1"/>
  <c r="H412" i="4"/>
  <c r="S412" i="4" s="1"/>
  <c r="H413" i="4"/>
  <c r="S413" i="4" s="1"/>
  <c r="H414" i="4"/>
  <c r="S414" i="4" s="1"/>
  <c r="H416" i="4"/>
  <c r="S416" i="4" s="1"/>
  <c r="H417" i="4"/>
  <c r="S417" i="4" s="1"/>
  <c r="H418" i="4"/>
  <c r="S418" i="4" s="1"/>
  <c r="H419" i="4"/>
  <c r="S419" i="4" s="1"/>
  <c r="H420" i="4"/>
  <c r="S420" i="4" s="1"/>
  <c r="H421" i="4"/>
  <c r="S421" i="4" s="1"/>
  <c r="H422" i="4"/>
  <c r="S422" i="4" s="1"/>
  <c r="H423" i="4"/>
  <c r="S423" i="4" s="1"/>
  <c r="H424" i="4"/>
  <c r="S424" i="4" s="1"/>
  <c r="H425" i="4"/>
  <c r="S425" i="4" s="1"/>
  <c r="H427" i="4"/>
  <c r="S427" i="4" s="1"/>
  <c r="H428" i="4"/>
  <c r="S428" i="4" s="1"/>
  <c r="H429" i="4"/>
  <c r="S429" i="4" s="1"/>
  <c r="H430" i="4"/>
  <c r="S430" i="4" s="1"/>
  <c r="H431" i="4"/>
  <c r="S431" i="4" s="1"/>
  <c r="H432" i="4"/>
  <c r="S432" i="4" s="1"/>
  <c r="H433" i="4"/>
  <c r="S433" i="4" s="1"/>
  <c r="H434" i="4"/>
  <c r="S434" i="4" s="1"/>
  <c r="H435" i="4"/>
  <c r="S435" i="4" s="1"/>
  <c r="H436" i="4"/>
  <c r="S436" i="4" s="1"/>
  <c r="H438" i="4"/>
  <c r="S438" i="4" s="1"/>
  <c r="H439" i="4"/>
  <c r="S439" i="4" s="1"/>
  <c r="H440" i="4"/>
  <c r="S440" i="4" s="1"/>
  <c r="H441" i="4"/>
  <c r="S441" i="4" s="1"/>
  <c r="H442" i="4"/>
  <c r="S442" i="4" s="1"/>
  <c r="H443" i="4"/>
  <c r="S443" i="4" s="1"/>
  <c r="H444" i="4"/>
  <c r="S444" i="4" s="1"/>
  <c r="H445" i="4"/>
  <c r="S445" i="4" s="1"/>
  <c r="H446" i="4"/>
  <c r="S446" i="4" s="1"/>
  <c r="H447" i="4"/>
  <c r="S447" i="4" s="1"/>
  <c r="H450" i="4"/>
  <c r="S450" i="4" s="1"/>
  <c r="H451" i="4"/>
  <c r="S451" i="4" s="1"/>
  <c r="H452" i="4"/>
  <c r="S452" i="4" s="1"/>
  <c r="H453" i="4"/>
  <c r="S453" i="4" s="1"/>
  <c r="H454" i="4"/>
  <c r="S454" i="4" s="1"/>
  <c r="H455" i="4"/>
  <c r="S455" i="4" s="1"/>
  <c r="H456" i="4"/>
  <c r="S456" i="4" s="1"/>
  <c r="H457" i="4"/>
  <c r="S457" i="4" s="1"/>
  <c r="H458" i="4"/>
  <c r="S458" i="4" s="1"/>
  <c r="H459" i="4"/>
  <c r="S459" i="4" s="1"/>
  <c r="H461" i="4"/>
  <c r="S461" i="4" s="1"/>
  <c r="H462" i="4"/>
  <c r="S462" i="4" s="1"/>
  <c r="H463" i="4"/>
  <c r="S463" i="4" s="1"/>
  <c r="H464" i="4"/>
  <c r="S464" i="4" s="1"/>
  <c r="H465" i="4"/>
  <c r="S465" i="4" s="1"/>
  <c r="H466" i="4"/>
  <c r="S466" i="4" s="1"/>
  <c r="H467" i="4"/>
  <c r="S467" i="4" s="1"/>
  <c r="H468" i="4"/>
  <c r="S468" i="4" s="1"/>
  <c r="H469" i="4"/>
  <c r="S469" i="4" s="1"/>
  <c r="H470" i="4"/>
  <c r="S470" i="4" s="1"/>
  <c r="H472" i="4"/>
  <c r="S472" i="4" s="1"/>
  <c r="H473" i="4"/>
  <c r="S473" i="4" s="1"/>
  <c r="H474" i="4"/>
  <c r="S474" i="4" s="1"/>
  <c r="H475" i="4"/>
  <c r="S475" i="4" s="1"/>
  <c r="H476" i="4"/>
  <c r="S476" i="4" s="1"/>
  <c r="H477" i="4"/>
  <c r="S477" i="4" s="1"/>
  <c r="H478" i="4"/>
  <c r="S478" i="4" s="1"/>
  <c r="H479" i="4"/>
  <c r="S479" i="4" s="1"/>
  <c r="H480" i="4"/>
  <c r="S480" i="4" s="1"/>
  <c r="H481" i="4"/>
  <c r="S481" i="4" s="1"/>
  <c r="H483" i="4"/>
  <c r="S483" i="4" s="1"/>
  <c r="H484" i="4"/>
  <c r="S484" i="4" s="1"/>
  <c r="H485" i="4"/>
  <c r="S485" i="4" s="1"/>
  <c r="H486" i="4"/>
  <c r="S486" i="4" s="1"/>
  <c r="H487" i="4"/>
  <c r="S487" i="4" s="1"/>
  <c r="H488" i="4"/>
  <c r="S488" i="4" s="1"/>
  <c r="H489" i="4"/>
  <c r="S489" i="4" s="1"/>
  <c r="H490" i="4"/>
  <c r="S490" i="4" s="1"/>
  <c r="H491" i="4"/>
  <c r="S491" i="4" s="1"/>
  <c r="H492" i="4"/>
  <c r="S492" i="4" s="1"/>
  <c r="H494" i="4"/>
  <c r="S494" i="4" s="1"/>
  <c r="H495" i="4"/>
  <c r="S495" i="4" s="1"/>
  <c r="H496" i="4"/>
  <c r="S496" i="4" s="1"/>
  <c r="H497" i="4"/>
  <c r="S497" i="4" s="1"/>
  <c r="H498" i="4"/>
  <c r="S498" i="4" s="1"/>
  <c r="H499" i="4"/>
  <c r="S499" i="4" s="1"/>
  <c r="H500" i="4"/>
  <c r="S500" i="4" s="1"/>
  <c r="H501" i="4"/>
  <c r="S501" i="4" s="1"/>
  <c r="H502" i="4"/>
  <c r="S502" i="4" s="1"/>
  <c r="H503" i="4"/>
  <c r="S503" i="4" s="1"/>
  <c r="H505" i="4"/>
  <c r="S505" i="4" s="1"/>
  <c r="H506" i="4"/>
  <c r="S506" i="4" s="1"/>
  <c r="H507" i="4"/>
  <c r="S507" i="4" s="1"/>
  <c r="H508" i="4"/>
  <c r="S508" i="4" s="1"/>
  <c r="H509" i="4"/>
  <c r="S509" i="4" s="1"/>
  <c r="H510" i="4"/>
  <c r="S510" i="4" s="1"/>
  <c r="H511" i="4"/>
  <c r="S511" i="4" s="1"/>
  <c r="H512" i="4"/>
  <c r="S512" i="4" s="1"/>
  <c r="H513" i="4"/>
  <c r="S513" i="4" s="1"/>
  <c r="H514" i="4"/>
  <c r="S514" i="4" s="1"/>
  <c r="H516" i="4"/>
  <c r="S516" i="4" s="1"/>
  <c r="H517" i="4"/>
  <c r="S517" i="4" s="1"/>
  <c r="H518" i="4"/>
  <c r="S518" i="4" s="1"/>
  <c r="H519" i="4"/>
  <c r="S519" i="4" s="1"/>
  <c r="H520" i="4"/>
  <c r="S520" i="4" s="1"/>
  <c r="H521" i="4"/>
  <c r="S521" i="4" s="1"/>
  <c r="H522" i="4"/>
  <c r="S522" i="4" s="1"/>
  <c r="H523" i="4"/>
  <c r="S523" i="4" s="1"/>
  <c r="H524" i="4"/>
  <c r="S524" i="4" s="1"/>
  <c r="H525" i="4"/>
  <c r="S525" i="4" s="1"/>
  <c r="H527" i="4"/>
  <c r="S527" i="4" s="1"/>
  <c r="H528" i="4"/>
  <c r="S528" i="4" s="1"/>
  <c r="H529" i="4"/>
  <c r="S529" i="4" s="1"/>
  <c r="H530" i="4"/>
  <c r="S530" i="4" s="1"/>
  <c r="H531" i="4"/>
  <c r="S531" i="4" s="1"/>
  <c r="H532" i="4"/>
  <c r="S532" i="4" s="1"/>
  <c r="H533" i="4"/>
  <c r="S533" i="4" s="1"/>
  <c r="H534" i="4"/>
  <c r="S534" i="4" s="1"/>
  <c r="H535" i="4"/>
  <c r="S535" i="4" s="1"/>
  <c r="H536" i="4"/>
  <c r="S536" i="4" s="1"/>
  <c r="H538" i="4"/>
  <c r="S538" i="4" s="1"/>
  <c r="H539" i="4"/>
  <c r="S539" i="4" s="1"/>
  <c r="H540" i="4"/>
  <c r="S540" i="4" s="1"/>
  <c r="H541" i="4"/>
  <c r="S541" i="4" s="1"/>
  <c r="H542" i="4"/>
  <c r="S542" i="4" s="1"/>
  <c r="H543" i="4"/>
  <c r="S543" i="4" s="1"/>
  <c r="H544" i="4"/>
  <c r="S544" i="4" s="1"/>
  <c r="H545" i="4"/>
  <c r="S545" i="4" s="1"/>
  <c r="H546" i="4"/>
  <c r="S546" i="4" s="1"/>
  <c r="H547" i="4"/>
  <c r="S547" i="4" s="1"/>
  <c r="H549" i="4"/>
  <c r="S549" i="4" s="1"/>
  <c r="H550" i="4"/>
  <c r="S550" i="4" s="1"/>
  <c r="H551" i="4"/>
  <c r="S551" i="4" s="1"/>
  <c r="H552" i="4"/>
  <c r="S552" i="4" s="1"/>
  <c r="H553" i="4"/>
  <c r="S553" i="4" s="1"/>
  <c r="H554" i="4"/>
  <c r="S554" i="4" s="1"/>
  <c r="H555" i="4"/>
  <c r="S555" i="4" s="1"/>
  <c r="H556" i="4"/>
  <c r="S556" i="4" s="1"/>
  <c r="H557" i="4"/>
  <c r="S557" i="4" s="1"/>
  <c r="H558" i="4"/>
  <c r="S558" i="4" s="1"/>
  <c r="H561" i="4"/>
  <c r="S561" i="4" s="1"/>
  <c r="H562" i="4"/>
  <c r="S562" i="4" s="1"/>
  <c r="H563" i="4"/>
  <c r="S563" i="4" s="1"/>
  <c r="H564" i="4"/>
  <c r="S564" i="4" s="1"/>
  <c r="H565" i="4"/>
  <c r="S565" i="4" s="1"/>
  <c r="H566" i="4"/>
  <c r="S566" i="4" s="1"/>
  <c r="H567" i="4"/>
  <c r="S567" i="4" s="1"/>
  <c r="H568" i="4"/>
  <c r="S568" i="4" s="1"/>
  <c r="H569" i="4"/>
  <c r="S569" i="4" s="1"/>
  <c r="H570" i="4"/>
  <c r="S570" i="4" s="1"/>
  <c r="H572" i="4"/>
  <c r="S572" i="4" s="1"/>
  <c r="H573" i="4"/>
  <c r="S573" i="4" s="1"/>
  <c r="H574" i="4"/>
  <c r="S574" i="4" s="1"/>
  <c r="H575" i="4"/>
  <c r="S575" i="4" s="1"/>
  <c r="H576" i="4"/>
  <c r="S576" i="4" s="1"/>
  <c r="H577" i="4"/>
  <c r="S577" i="4" s="1"/>
  <c r="H578" i="4"/>
  <c r="S578" i="4" s="1"/>
  <c r="H579" i="4"/>
  <c r="S579" i="4" s="1"/>
  <c r="H580" i="4"/>
  <c r="S580" i="4" s="1"/>
  <c r="H581" i="4"/>
  <c r="S581" i="4" s="1"/>
  <c r="H583" i="4"/>
  <c r="S583" i="4" s="1"/>
  <c r="H584" i="4"/>
  <c r="S584" i="4" s="1"/>
  <c r="H585" i="4"/>
  <c r="S585" i="4" s="1"/>
  <c r="H586" i="4"/>
  <c r="S586" i="4" s="1"/>
  <c r="H587" i="4"/>
  <c r="S587" i="4" s="1"/>
  <c r="H588" i="4"/>
  <c r="S588" i="4" s="1"/>
  <c r="H589" i="4"/>
  <c r="S589" i="4" s="1"/>
  <c r="H590" i="4"/>
  <c r="S590" i="4" s="1"/>
  <c r="H591" i="4"/>
  <c r="S591" i="4" s="1"/>
  <c r="H592" i="4"/>
  <c r="S592" i="4" s="1"/>
  <c r="H594" i="4"/>
  <c r="S594" i="4" s="1"/>
  <c r="H595" i="4"/>
  <c r="S595" i="4" s="1"/>
  <c r="H596" i="4"/>
  <c r="S596" i="4" s="1"/>
  <c r="H597" i="4"/>
  <c r="S597" i="4" s="1"/>
  <c r="H598" i="4"/>
  <c r="S598" i="4" s="1"/>
  <c r="H599" i="4"/>
  <c r="S599" i="4" s="1"/>
  <c r="H600" i="4"/>
  <c r="S600" i="4" s="1"/>
  <c r="H601" i="4"/>
  <c r="S601" i="4" s="1"/>
  <c r="H602" i="4"/>
  <c r="S602" i="4" s="1"/>
  <c r="H603" i="4"/>
  <c r="S603" i="4" s="1"/>
  <c r="H605" i="4"/>
  <c r="S605" i="4" s="1"/>
  <c r="H606" i="4"/>
  <c r="S606" i="4" s="1"/>
  <c r="H607" i="4"/>
  <c r="S607" i="4" s="1"/>
  <c r="H608" i="4"/>
  <c r="S608" i="4" s="1"/>
  <c r="H609" i="4"/>
  <c r="S609" i="4" s="1"/>
  <c r="H610" i="4"/>
  <c r="S610" i="4" s="1"/>
  <c r="H611" i="4"/>
  <c r="S611" i="4" s="1"/>
  <c r="H612" i="4"/>
  <c r="S612" i="4" s="1"/>
  <c r="H613" i="4"/>
  <c r="S613" i="4" s="1"/>
  <c r="H614" i="4"/>
  <c r="S614" i="4" s="1"/>
  <c r="H616" i="4"/>
  <c r="S616" i="4" s="1"/>
  <c r="H617" i="4"/>
  <c r="S617" i="4" s="1"/>
  <c r="H618" i="4"/>
  <c r="S618" i="4" s="1"/>
  <c r="H619" i="4"/>
  <c r="S619" i="4" s="1"/>
  <c r="H620" i="4"/>
  <c r="S620" i="4" s="1"/>
  <c r="H621" i="4"/>
  <c r="S621" i="4" s="1"/>
  <c r="H622" i="4"/>
  <c r="S622" i="4" s="1"/>
  <c r="H623" i="4"/>
  <c r="S623" i="4" s="1"/>
  <c r="H624" i="4"/>
  <c r="S624" i="4" s="1"/>
  <c r="H625" i="4"/>
  <c r="S625" i="4" s="1"/>
  <c r="H627" i="4"/>
  <c r="S627" i="4" s="1"/>
  <c r="H628" i="4"/>
  <c r="S628" i="4" s="1"/>
  <c r="H629" i="4"/>
  <c r="S629" i="4" s="1"/>
  <c r="H630" i="4"/>
  <c r="S630" i="4" s="1"/>
  <c r="H631" i="4"/>
  <c r="S631" i="4" s="1"/>
  <c r="H632" i="4"/>
  <c r="S632" i="4" s="1"/>
  <c r="H633" i="4"/>
  <c r="S633" i="4" s="1"/>
  <c r="H634" i="4"/>
  <c r="S634" i="4" s="1"/>
  <c r="H635" i="4"/>
  <c r="S635" i="4" s="1"/>
  <c r="H636" i="4"/>
  <c r="S636" i="4" s="1"/>
  <c r="H638" i="4"/>
  <c r="S638" i="4" s="1"/>
  <c r="H639" i="4"/>
  <c r="S639" i="4" s="1"/>
  <c r="H640" i="4"/>
  <c r="S640" i="4" s="1"/>
  <c r="H641" i="4"/>
  <c r="S641" i="4" s="1"/>
  <c r="H642" i="4"/>
  <c r="S642" i="4" s="1"/>
  <c r="H643" i="4"/>
  <c r="S643" i="4" s="1"/>
  <c r="H644" i="4"/>
  <c r="S644" i="4" s="1"/>
  <c r="H645" i="4"/>
  <c r="S645" i="4" s="1"/>
  <c r="H646" i="4"/>
  <c r="S646" i="4" s="1"/>
  <c r="H647" i="4"/>
  <c r="S647" i="4" s="1"/>
  <c r="H649" i="4"/>
  <c r="S649" i="4" s="1"/>
  <c r="H650" i="4"/>
  <c r="S650" i="4" s="1"/>
  <c r="H651" i="4"/>
  <c r="S651" i="4" s="1"/>
  <c r="H652" i="4"/>
  <c r="S652" i="4" s="1"/>
  <c r="H653" i="4"/>
  <c r="S653" i="4" s="1"/>
  <c r="H654" i="4"/>
  <c r="S654" i="4" s="1"/>
  <c r="H655" i="4"/>
  <c r="S655" i="4" s="1"/>
  <c r="H656" i="4"/>
  <c r="S656" i="4" s="1"/>
  <c r="H657" i="4"/>
  <c r="S657" i="4" s="1"/>
  <c r="H658" i="4"/>
  <c r="S658" i="4" s="1"/>
  <c r="H660" i="4"/>
  <c r="S660" i="4" s="1"/>
  <c r="H661" i="4"/>
  <c r="S661" i="4" s="1"/>
  <c r="H662" i="4"/>
  <c r="S662" i="4" s="1"/>
  <c r="H663" i="4"/>
  <c r="S663" i="4" s="1"/>
  <c r="H664" i="4"/>
  <c r="S664" i="4" s="1"/>
  <c r="H665" i="4"/>
  <c r="S665" i="4" s="1"/>
  <c r="H666" i="4"/>
  <c r="S666" i="4" s="1"/>
  <c r="H667" i="4"/>
  <c r="S667" i="4" s="1"/>
  <c r="H668" i="4"/>
  <c r="S668" i="4" s="1"/>
  <c r="H669" i="4"/>
  <c r="S669" i="4" s="1"/>
  <c r="H672" i="4"/>
  <c r="S672" i="4" s="1"/>
  <c r="H673" i="4"/>
  <c r="S673" i="4" s="1"/>
  <c r="H674" i="4"/>
  <c r="S674" i="4" s="1"/>
  <c r="H675" i="4"/>
  <c r="S675" i="4" s="1"/>
  <c r="H676" i="4"/>
  <c r="S676" i="4" s="1"/>
  <c r="H677" i="4"/>
  <c r="S677" i="4" s="1"/>
  <c r="H678" i="4"/>
  <c r="S678" i="4" s="1"/>
  <c r="H679" i="4"/>
  <c r="S679" i="4" s="1"/>
  <c r="H680" i="4"/>
  <c r="S680" i="4" s="1"/>
  <c r="H681" i="4"/>
  <c r="S681" i="4" s="1"/>
  <c r="H683" i="4"/>
  <c r="S683" i="4" s="1"/>
  <c r="H684" i="4"/>
  <c r="S684" i="4" s="1"/>
  <c r="H685" i="4"/>
  <c r="S685" i="4" s="1"/>
  <c r="H686" i="4"/>
  <c r="S686" i="4" s="1"/>
  <c r="H687" i="4"/>
  <c r="S687" i="4" s="1"/>
  <c r="H688" i="4"/>
  <c r="S688" i="4" s="1"/>
  <c r="H689" i="4"/>
  <c r="S689" i="4" s="1"/>
  <c r="H690" i="4"/>
  <c r="S690" i="4" s="1"/>
  <c r="H691" i="4"/>
  <c r="S691" i="4" s="1"/>
  <c r="H692" i="4"/>
  <c r="S692" i="4" s="1"/>
  <c r="H694" i="4"/>
  <c r="S694" i="4" s="1"/>
  <c r="H695" i="4"/>
  <c r="S695" i="4" s="1"/>
  <c r="H696" i="4"/>
  <c r="S696" i="4" s="1"/>
  <c r="H697" i="4"/>
  <c r="S697" i="4" s="1"/>
  <c r="H698" i="4"/>
  <c r="S698" i="4" s="1"/>
  <c r="H699" i="4"/>
  <c r="S699" i="4" s="1"/>
  <c r="H700" i="4"/>
  <c r="S700" i="4" s="1"/>
  <c r="H701" i="4"/>
  <c r="S701" i="4" s="1"/>
  <c r="H702" i="4"/>
  <c r="S702" i="4" s="1"/>
  <c r="H703" i="4"/>
  <c r="S703" i="4" s="1"/>
  <c r="H705" i="4"/>
  <c r="S705" i="4" s="1"/>
  <c r="H706" i="4"/>
  <c r="S706" i="4" s="1"/>
  <c r="H707" i="4"/>
  <c r="S707" i="4" s="1"/>
  <c r="H708" i="4"/>
  <c r="S708" i="4" s="1"/>
  <c r="H709" i="4"/>
  <c r="S709" i="4" s="1"/>
  <c r="H710" i="4"/>
  <c r="S710" i="4" s="1"/>
  <c r="H711" i="4"/>
  <c r="S711" i="4" s="1"/>
  <c r="H712" i="4"/>
  <c r="S712" i="4" s="1"/>
  <c r="H713" i="4"/>
  <c r="S713" i="4" s="1"/>
  <c r="H714" i="4"/>
  <c r="S714" i="4" s="1"/>
  <c r="H716" i="4"/>
  <c r="S716" i="4" s="1"/>
  <c r="H717" i="4"/>
  <c r="S717" i="4" s="1"/>
  <c r="H718" i="4"/>
  <c r="S718" i="4" s="1"/>
  <c r="H719" i="4"/>
  <c r="S719" i="4" s="1"/>
  <c r="H720" i="4"/>
  <c r="S720" i="4" s="1"/>
  <c r="H721" i="4"/>
  <c r="S721" i="4" s="1"/>
  <c r="H722" i="4"/>
  <c r="S722" i="4" s="1"/>
  <c r="H723" i="4"/>
  <c r="S723" i="4" s="1"/>
  <c r="H724" i="4"/>
  <c r="S724" i="4" s="1"/>
  <c r="H725" i="4"/>
  <c r="S725" i="4" s="1"/>
  <c r="H727" i="4"/>
  <c r="S727" i="4" s="1"/>
  <c r="H728" i="4"/>
  <c r="S728" i="4" s="1"/>
  <c r="H729" i="4"/>
  <c r="S729" i="4" s="1"/>
  <c r="H730" i="4"/>
  <c r="S730" i="4" s="1"/>
  <c r="H731" i="4"/>
  <c r="S731" i="4" s="1"/>
  <c r="H732" i="4"/>
  <c r="S732" i="4" s="1"/>
  <c r="H733" i="4"/>
  <c r="S733" i="4" s="1"/>
  <c r="H734" i="4"/>
  <c r="S734" i="4" s="1"/>
  <c r="H735" i="4"/>
  <c r="S735" i="4" s="1"/>
  <c r="H736" i="4"/>
  <c r="S736" i="4" s="1"/>
  <c r="H738" i="4"/>
  <c r="S738" i="4" s="1"/>
  <c r="H739" i="4"/>
  <c r="S739" i="4" s="1"/>
  <c r="H740" i="4"/>
  <c r="S740" i="4" s="1"/>
  <c r="H741" i="4"/>
  <c r="S741" i="4" s="1"/>
  <c r="H742" i="4"/>
  <c r="S742" i="4" s="1"/>
  <c r="H743" i="4"/>
  <c r="S743" i="4" s="1"/>
  <c r="H744" i="4"/>
  <c r="S744" i="4" s="1"/>
  <c r="H745" i="4"/>
  <c r="S745" i="4" s="1"/>
  <c r="H746" i="4"/>
  <c r="S746" i="4" s="1"/>
  <c r="H747" i="4"/>
  <c r="S747" i="4" s="1"/>
  <c r="H749" i="4"/>
  <c r="S749" i="4" s="1"/>
  <c r="H750" i="4"/>
  <c r="S750" i="4" s="1"/>
  <c r="H751" i="4"/>
  <c r="S751" i="4" s="1"/>
  <c r="H752" i="4"/>
  <c r="S752" i="4" s="1"/>
  <c r="H753" i="4"/>
  <c r="S753" i="4" s="1"/>
  <c r="H754" i="4"/>
  <c r="S754" i="4" s="1"/>
  <c r="H755" i="4"/>
  <c r="S755" i="4" s="1"/>
  <c r="H756" i="4"/>
  <c r="S756" i="4" s="1"/>
  <c r="H757" i="4"/>
  <c r="S757" i="4" s="1"/>
  <c r="H758" i="4"/>
  <c r="S758" i="4" s="1"/>
  <c r="H760" i="4"/>
  <c r="S760" i="4" s="1"/>
  <c r="H761" i="4"/>
  <c r="S761" i="4" s="1"/>
  <c r="H762" i="4"/>
  <c r="S762" i="4" s="1"/>
  <c r="H763" i="4"/>
  <c r="S763" i="4" s="1"/>
  <c r="H764" i="4"/>
  <c r="S764" i="4" s="1"/>
  <c r="H765" i="4"/>
  <c r="S765" i="4" s="1"/>
  <c r="H766" i="4"/>
  <c r="S766" i="4" s="1"/>
  <c r="H767" i="4"/>
  <c r="S767" i="4" s="1"/>
  <c r="H768" i="4"/>
  <c r="S768" i="4" s="1"/>
  <c r="H769" i="4"/>
  <c r="S769" i="4" s="1"/>
  <c r="H771" i="4"/>
  <c r="S771" i="4" s="1"/>
  <c r="H772" i="4"/>
  <c r="S772" i="4" s="1"/>
  <c r="H773" i="4"/>
  <c r="S773" i="4" s="1"/>
  <c r="H774" i="4"/>
  <c r="S774" i="4" s="1"/>
  <c r="H775" i="4"/>
  <c r="S775" i="4" s="1"/>
  <c r="H776" i="4"/>
  <c r="S776" i="4" s="1"/>
  <c r="H777" i="4"/>
  <c r="S777" i="4" s="1"/>
  <c r="H778" i="4"/>
  <c r="S778" i="4" s="1"/>
  <c r="H779" i="4"/>
  <c r="S779" i="4" s="1"/>
  <c r="H780" i="4"/>
  <c r="S780" i="4" s="1"/>
  <c r="H783" i="4"/>
  <c r="S783" i="4" s="1"/>
  <c r="H784" i="4"/>
  <c r="S784" i="4" s="1"/>
  <c r="H785" i="4"/>
  <c r="S785" i="4" s="1"/>
  <c r="H786" i="4"/>
  <c r="S786" i="4" s="1"/>
  <c r="H787" i="4"/>
  <c r="S787" i="4" s="1"/>
  <c r="H788" i="4"/>
  <c r="S788" i="4" s="1"/>
  <c r="H789" i="4"/>
  <c r="S789" i="4" s="1"/>
  <c r="H790" i="4"/>
  <c r="S790" i="4" s="1"/>
  <c r="H791" i="4"/>
  <c r="S791" i="4" s="1"/>
  <c r="H792" i="4"/>
  <c r="S792" i="4" s="1"/>
  <c r="H794" i="4"/>
  <c r="S794" i="4" s="1"/>
  <c r="H795" i="4"/>
  <c r="S795" i="4" s="1"/>
  <c r="H796" i="4"/>
  <c r="S796" i="4" s="1"/>
  <c r="H797" i="4"/>
  <c r="S797" i="4" s="1"/>
  <c r="H798" i="4"/>
  <c r="S798" i="4" s="1"/>
  <c r="H799" i="4"/>
  <c r="S799" i="4" s="1"/>
  <c r="H800" i="4"/>
  <c r="S800" i="4" s="1"/>
  <c r="H801" i="4"/>
  <c r="S801" i="4" s="1"/>
  <c r="H802" i="4"/>
  <c r="S802" i="4" s="1"/>
  <c r="H803" i="4"/>
  <c r="S803" i="4" s="1"/>
  <c r="H805" i="4"/>
  <c r="S805" i="4" s="1"/>
  <c r="H806" i="4"/>
  <c r="S806" i="4" s="1"/>
  <c r="H807" i="4"/>
  <c r="S807" i="4" s="1"/>
  <c r="H808" i="4"/>
  <c r="S808" i="4" s="1"/>
  <c r="H809" i="4"/>
  <c r="S809" i="4" s="1"/>
  <c r="H810" i="4"/>
  <c r="S810" i="4" s="1"/>
  <c r="H811" i="4"/>
  <c r="S811" i="4" s="1"/>
  <c r="H812" i="4"/>
  <c r="S812" i="4" s="1"/>
  <c r="H813" i="4"/>
  <c r="S813" i="4" s="1"/>
  <c r="H814" i="4"/>
  <c r="S814" i="4" s="1"/>
  <c r="H816" i="4"/>
  <c r="S816" i="4" s="1"/>
  <c r="H817" i="4"/>
  <c r="S817" i="4" s="1"/>
  <c r="H818" i="4"/>
  <c r="S818" i="4" s="1"/>
  <c r="H819" i="4"/>
  <c r="S819" i="4" s="1"/>
  <c r="H820" i="4"/>
  <c r="S820" i="4" s="1"/>
  <c r="H821" i="4"/>
  <c r="S821" i="4" s="1"/>
  <c r="H822" i="4"/>
  <c r="S822" i="4" s="1"/>
  <c r="H823" i="4"/>
  <c r="S823" i="4" s="1"/>
  <c r="H824" i="4"/>
  <c r="S824" i="4" s="1"/>
  <c r="H825" i="4"/>
  <c r="S825" i="4" s="1"/>
  <c r="H827" i="4"/>
  <c r="S827" i="4" s="1"/>
  <c r="H828" i="4"/>
  <c r="S828" i="4" s="1"/>
  <c r="H829" i="4"/>
  <c r="S829" i="4" s="1"/>
  <c r="H830" i="4"/>
  <c r="S830" i="4" s="1"/>
  <c r="H831" i="4"/>
  <c r="S831" i="4" s="1"/>
  <c r="H832" i="4"/>
  <c r="S832" i="4" s="1"/>
  <c r="H833" i="4"/>
  <c r="S833" i="4" s="1"/>
  <c r="H834" i="4"/>
  <c r="S834" i="4" s="1"/>
  <c r="H835" i="4"/>
  <c r="S835" i="4" s="1"/>
  <c r="H836" i="4"/>
  <c r="S836" i="4" s="1"/>
  <c r="H838" i="4"/>
  <c r="S838" i="4" s="1"/>
  <c r="H839" i="4"/>
  <c r="S839" i="4" s="1"/>
  <c r="H840" i="4"/>
  <c r="S840" i="4" s="1"/>
  <c r="H841" i="4"/>
  <c r="S841" i="4" s="1"/>
  <c r="H842" i="4"/>
  <c r="S842" i="4" s="1"/>
  <c r="H843" i="4"/>
  <c r="S843" i="4" s="1"/>
  <c r="H844" i="4"/>
  <c r="S844" i="4" s="1"/>
  <c r="H845" i="4"/>
  <c r="S845" i="4" s="1"/>
  <c r="H846" i="4"/>
  <c r="S846" i="4" s="1"/>
  <c r="H847" i="4"/>
  <c r="S847" i="4" s="1"/>
  <c r="H849" i="4"/>
  <c r="S849" i="4" s="1"/>
  <c r="H850" i="4"/>
  <c r="S850" i="4" s="1"/>
  <c r="H851" i="4"/>
  <c r="S851" i="4" s="1"/>
  <c r="H852" i="4"/>
  <c r="S852" i="4" s="1"/>
  <c r="H853" i="4"/>
  <c r="S853" i="4" s="1"/>
  <c r="H854" i="4"/>
  <c r="S854" i="4" s="1"/>
  <c r="H855" i="4"/>
  <c r="S855" i="4" s="1"/>
  <c r="H856" i="4"/>
  <c r="S856" i="4" s="1"/>
  <c r="H857" i="4"/>
  <c r="S857" i="4" s="1"/>
  <c r="H858" i="4"/>
  <c r="S858" i="4" s="1"/>
  <c r="H860" i="4"/>
  <c r="S860" i="4" s="1"/>
  <c r="H861" i="4"/>
  <c r="S861" i="4" s="1"/>
  <c r="H862" i="4"/>
  <c r="S862" i="4" s="1"/>
  <c r="H863" i="4"/>
  <c r="S863" i="4" s="1"/>
  <c r="H864" i="4"/>
  <c r="S864" i="4" s="1"/>
  <c r="H865" i="4"/>
  <c r="S865" i="4" s="1"/>
  <c r="H866" i="4"/>
  <c r="S866" i="4" s="1"/>
  <c r="H867" i="4"/>
  <c r="S867" i="4" s="1"/>
  <c r="H868" i="4"/>
  <c r="S868" i="4" s="1"/>
  <c r="H869" i="4"/>
  <c r="S869" i="4" s="1"/>
  <c r="H871" i="4"/>
  <c r="S871" i="4" s="1"/>
  <c r="H872" i="4"/>
  <c r="S872" i="4" s="1"/>
  <c r="H873" i="4"/>
  <c r="S873" i="4" s="1"/>
  <c r="H874" i="4"/>
  <c r="S874" i="4" s="1"/>
  <c r="H875" i="4"/>
  <c r="S875" i="4" s="1"/>
  <c r="H876" i="4"/>
  <c r="S876" i="4" s="1"/>
  <c r="H877" i="4"/>
  <c r="S877" i="4" s="1"/>
  <c r="H878" i="4"/>
  <c r="S878" i="4" s="1"/>
  <c r="H879" i="4"/>
  <c r="S879" i="4" s="1"/>
  <c r="H880" i="4"/>
  <c r="S880" i="4" s="1"/>
  <c r="H882" i="4"/>
  <c r="S882" i="4" s="1"/>
  <c r="H883" i="4"/>
  <c r="S883" i="4" s="1"/>
  <c r="H884" i="4"/>
  <c r="S884" i="4" s="1"/>
  <c r="H885" i="4"/>
  <c r="S885" i="4" s="1"/>
  <c r="H886" i="4"/>
  <c r="S886" i="4" s="1"/>
  <c r="H887" i="4"/>
  <c r="S887" i="4" s="1"/>
  <c r="H888" i="4"/>
  <c r="S888" i="4" s="1"/>
  <c r="H889" i="4"/>
  <c r="S889" i="4" s="1"/>
  <c r="H890" i="4"/>
  <c r="S890" i="4" s="1"/>
  <c r="H891" i="4"/>
  <c r="S891" i="4" s="1"/>
  <c r="H894" i="4"/>
  <c r="S894" i="4" s="1"/>
  <c r="H895" i="4"/>
  <c r="S895" i="4" s="1"/>
  <c r="H896" i="4"/>
  <c r="S896" i="4" s="1"/>
  <c r="H897" i="4"/>
  <c r="S897" i="4" s="1"/>
  <c r="H898" i="4"/>
  <c r="S898" i="4" s="1"/>
  <c r="H899" i="4"/>
  <c r="S899" i="4" s="1"/>
  <c r="H900" i="4"/>
  <c r="S900" i="4" s="1"/>
  <c r="H901" i="4"/>
  <c r="S901" i="4" s="1"/>
  <c r="H902" i="4"/>
  <c r="S902" i="4" s="1"/>
  <c r="H903" i="4"/>
  <c r="S903" i="4" s="1"/>
  <c r="H905" i="4"/>
  <c r="S905" i="4" s="1"/>
  <c r="H906" i="4"/>
  <c r="S906" i="4" s="1"/>
  <c r="H907" i="4"/>
  <c r="S907" i="4" s="1"/>
  <c r="H908" i="4"/>
  <c r="S908" i="4" s="1"/>
  <c r="H909" i="4"/>
  <c r="S909" i="4" s="1"/>
  <c r="H910" i="4"/>
  <c r="S910" i="4" s="1"/>
  <c r="H911" i="4"/>
  <c r="S911" i="4" s="1"/>
  <c r="H912" i="4"/>
  <c r="S912" i="4" s="1"/>
  <c r="H913" i="4"/>
  <c r="S913" i="4" s="1"/>
  <c r="H914" i="4"/>
  <c r="S914" i="4" s="1"/>
  <c r="H916" i="4"/>
  <c r="S916" i="4" s="1"/>
  <c r="H917" i="4"/>
  <c r="S917" i="4" s="1"/>
  <c r="H918" i="4"/>
  <c r="S918" i="4" s="1"/>
  <c r="H919" i="4"/>
  <c r="S919" i="4" s="1"/>
  <c r="H920" i="4"/>
  <c r="S920" i="4" s="1"/>
  <c r="H921" i="4"/>
  <c r="S921" i="4" s="1"/>
  <c r="H922" i="4"/>
  <c r="S922" i="4" s="1"/>
  <c r="H923" i="4"/>
  <c r="S923" i="4" s="1"/>
  <c r="H924" i="4"/>
  <c r="S924" i="4" s="1"/>
  <c r="H925" i="4"/>
  <c r="S925" i="4" s="1"/>
  <c r="H927" i="4"/>
  <c r="S927" i="4" s="1"/>
  <c r="H928" i="4"/>
  <c r="S928" i="4" s="1"/>
  <c r="H929" i="4"/>
  <c r="S929" i="4" s="1"/>
  <c r="H930" i="4"/>
  <c r="S930" i="4" s="1"/>
  <c r="H931" i="4"/>
  <c r="S931" i="4" s="1"/>
  <c r="H932" i="4"/>
  <c r="S932" i="4" s="1"/>
  <c r="H933" i="4"/>
  <c r="S933" i="4" s="1"/>
  <c r="H934" i="4"/>
  <c r="S934" i="4" s="1"/>
  <c r="H935" i="4"/>
  <c r="S935" i="4" s="1"/>
  <c r="H936" i="4"/>
  <c r="S936" i="4" s="1"/>
  <c r="H938" i="4"/>
  <c r="S938" i="4" s="1"/>
  <c r="H939" i="4"/>
  <c r="S939" i="4" s="1"/>
  <c r="H940" i="4"/>
  <c r="S940" i="4" s="1"/>
  <c r="H941" i="4"/>
  <c r="S941" i="4" s="1"/>
  <c r="H942" i="4"/>
  <c r="S942" i="4" s="1"/>
  <c r="H943" i="4"/>
  <c r="S943" i="4" s="1"/>
  <c r="H944" i="4"/>
  <c r="S944" i="4" s="1"/>
  <c r="H945" i="4"/>
  <c r="S945" i="4" s="1"/>
  <c r="H946" i="4"/>
  <c r="S946" i="4" s="1"/>
  <c r="H947" i="4"/>
  <c r="S947" i="4" s="1"/>
  <c r="H949" i="4"/>
  <c r="S949" i="4" s="1"/>
  <c r="H950" i="4"/>
  <c r="S950" i="4" s="1"/>
  <c r="H951" i="4"/>
  <c r="S951" i="4" s="1"/>
  <c r="H952" i="4"/>
  <c r="S952" i="4" s="1"/>
  <c r="H953" i="4"/>
  <c r="S953" i="4" s="1"/>
  <c r="H954" i="4"/>
  <c r="S954" i="4" s="1"/>
  <c r="H955" i="4"/>
  <c r="S955" i="4" s="1"/>
  <c r="H956" i="4"/>
  <c r="S956" i="4" s="1"/>
  <c r="H957" i="4"/>
  <c r="S957" i="4" s="1"/>
  <c r="H958" i="4"/>
  <c r="S958" i="4" s="1"/>
  <c r="H960" i="4"/>
  <c r="S960" i="4" s="1"/>
  <c r="H961" i="4"/>
  <c r="S961" i="4" s="1"/>
  <c r="H962" i="4"/>
  <c r="S962" i="4" s="1"/>
  <c r="H963" i="4"/>
  <c r="S963" i="4" s="1"/>
  <c r="H964" i="4"/>
  <c r="S964" i="4" s="1"/>
  <c r="H965" i="4"/>
  <c r="S965" i="4" s="1"/>
  <c r="H966" i="4"/>
  <c r="S966" i="4" s="1"/>
  <c r="H967" i="4"/>
  <c r="S967" i="4" s="1"/>
  <c r="H968" i="4"/>
  <c r="S968" i="4" s="1"/>
  <c r="H969" i="4"/>
  <c r="S969" i="4" s="1"/>
  <c r="H971" i="4"/>
  <c r="S971" i="4" s="1"/>
  <c r="H972" i="4"/>
  <c r="S972" i="4" s="1"/>
  <c r="H973" i="4"/>
  <c r="S973" i="4" s="1"/>
  <c r="H974" i="4"/>
  <c r="S974" i="4" s="1"/>
  <c r="H975" i="4"/>
  <c r="S975" i="4" s="1"/>
  <c r="H976" i="4"/>
  <c r="S976" i="4" s="1"/>
  <c r="H977" i="4"/>
  <c r="S977" i="4" s="1"/>
  <c r="H978" i="4"/>
  <c r="S978" i="4" s="1"/>
  <c r="H979" i="4"/>
  <c r="S979" i="4" s="1"/>
  <c r="H980" i="4"/>
  <c r="S980" i="4" s="1"/>
  <c r="H982" i="4"/>
  <c r="S982" i="4" s="1"/>
  <c r="H983" i="4"/>
  <c r="S983" i="4" s="1"/>
  <c r="H984" i="4"/>
  <c r="S984" i="4" s="1"/>
  <c r="H985" i="4"/>
  <c r="S985" i="4" s="1"/>
  <c r="H986" i="4"/>
  <c r="S986" i="4" s="1"/>
  <c r="H987" i="4"/>
  <c r="S987" i="4" s="1"/>
  <c r="H988" i="4"/>
  <c r="S988" i="4" s="1"/>
  <c r="H989" i="4"/>
  <c r="S989" i="4" s="1"/>
  <c r="H990" i="4"/>
  <c r="S990" i="4" s="1"/>
  <c r="H991" i="4"/>
  <c r="S991" i="4" s="1"/>
  <c r="H993" i="4"/>
  <c r="S993" i="4" s="1"/>
  <c r="H994" i="4"/>
  <c r="S994" i="4" s="1"/>
  <c r="H995" i="4"/>
  <c r="S995" i="4" s="1"/>
  <c r="H996" i="4"/>
  <c r="S996" i="4" s="1"/>
  <c r="H997" i="4"/>
  <c r="S997" i="4" s="1"/>
  <c r="H998" i="4"/>
  <c r="S998" i="4" s="1"/>
  <c r="H999" i="4"/>
  <c r="S999" i="4" s="1"/>
  <c r="H1000" i="4"/>
  <c r="S1000" i="4" s="1"/>
  <c r="H1001" i="4"/>
  <c r="S1001" i="4" s="1"/>
  <c r="H1002" i="4"/>
  <c r="S1002" i="4" s="1"/>
  <c r="H1005" i="4"/>
  <c r="S1005" i="4" s="1"/>
  <c r="H1006" i="4"/>
  <c r="S1006" i="4" s="1"/>
  <c r="H1007" i="4"/>
  <c r="S1007" i="4" s="1"/>
  <c r="H1008" i="4"/>
  <c r="S1008" i="4" s="1"/>
  <c r="H1009" i="4"/>
  <c r="S1009" i="4" s="1"/>
  <c r="H1010" i="4"/>
  <c r="S1010" i="4" s="1"/>
  <c r="H1011" i="4"/>
  <c r="S1011" i="4" s="1"/>
  <c r="H1012" i="4"/>
  <c r="S1012" i="4" s="1"/>
  <c r="H1013" i="4"/>
  <c r="S1013" i="4" s="1"/>
  <c r="H1014" i="4"/>
  <c r="S1014" i="4" s="1"/>
  <c r="H1016" i="4"/>
  <c r="S1016" i="4" s="1"/>
  <c r="H1017" i="4"/>
  <c r="S1017" i="4" s="1"/>
  <c r="H1018" i="4"/>
  <c r="S1018" i="4" s="1"/>
  <c r="H1019" i="4"/>
  <c r="S1019" i="4" s="1"/>
  <c r="H1020" i="4"/>
  <c r="S1020" i="4" s="1"/>
  <c r="H1021" i="4"/>
  <c r="S1021" i="4" s="1"/>
  <c r="H1022" i="4"/>
  <c r="S1022" i="4" s="1"/>
  <c r="H1023" i="4"/>
  <c r="S1023" i="4" s="1"/>
  <c r="H1024" i="4"/>
  <c r="S1024" i="4" s="1"/>
  <c r="H1025" i="4"/>
  <c r="S1025" i="4" s="1"/>
  <c r="H1027" i="4"/>
  <c r="S1027" i="4" s="1"/>
  <c r="H1028" i="4"/>
  <c r="S1028" i="4" s="1"/>
  <c r="H1029" i="4"/>
  <c r="S1029" i="4" s="1"/>
  <c r="H1030" i="4"/>
  <c r="S1030" i="4" s="1"/>
  <c r="H1031" i="4"/>
  <c r="S1031" i="4" s="1"/>
  <c r="H1032" i="4"/>
  <c r="S1032" i="4" s="1"/>
  <c r="H1033" i="4"/>
  <c r="S1033" i="4" s="1"/>
  <c r="H1034" i="4"/>
  <c r="S1034" i="4" s="1"/>
  <c r="H1035" i="4"/>
  <c r="S1035" i="4" s="1"/>
  <c r="H1036" i="4"/>
  <c r="S1036" i="4" s="1"/>
  <c r="H1038" i="4"/>
  <c r="S1038" i="4" s="1"/>
  <c r="H1039" i="4"/>
  <c r="S1039" i="4" s="1"/>
  <c r="H1040" i="4"/>
  <c r="S1040" i="4" s="1"/>
  <c r="H1041" i="4"/>
  <c r="S1041" i="4" s="1"/>
  <c r="H1042" i="4"/>
  <c r="S1042" i="4" s="1"/>
  <c r="H1043" i="4"/>
  <c r="S1043" i="4" s="1"/>
  <c r="H1044" i="4"/>
  <c r="S1044" i="4" s="1"/>
  <c r="H1045" i="4"/>
  <c r="S1045" i="4" s="1"/>
  <c r="H1046" i="4"/>
  <c r="S1046" i="4" s="1"/>
  <c r="H1047" i="4"/>
  <c r="S1047" i="4" s="1"/>
  <c r="H1049" i="4"/>
  <c r="S1049" i="4" s="1"/>
  <c r="H1050" i="4"/>
  <c r="S1050" i="4" s="1"/>
  <c r="H1051" i="4"/>
  <c r="S1051" i="4" s="1"/>
  <c r="H1052" i="4"/>
  <c r="S1052" i="4" s="1"/>
  <c r="H1053" i="4"/>
  <c r="S1053" i="4" s="1"/>
  <c r="H1054" i="4"/>
  <c r="S1054" i="4" s="1"/>
  <c r="H1055" i="4"/>
  <c r="S1055" i="4" s="1"/>
  <c r="H1056" i="4"/>
  <c r="S1056" i="4" s="1"/>
  <c r="H1057" i="4"/>
  <c r="S1057" i="4" s="1"/>
  <c r="H1058" i="4"/>
  <c r="S1058" i="4" s="1"/>
  <c r="H1060" i="4"/>
  <c r="S1060" i="4" s="1"/>
  <c r="H1061" i="4"/>
  <c r="S1061" i="4" s="1"/>
  <c r="H1062" i="4"/>
  <c r="S1062" i="4" s="1"/>
  <c r="H1063" i="4"/>
  <c r="S1063" i="4" s="1"/>
  <c r="H1064" i="4"/>
  <c r="S1064" i="4" s="1"/>
  <c r="H1065" i="4"/>
  <c r="S1065" i="4" s="1"/>
  <c r="H1066" i="4"/>
  <c r="S1066" i="4" s="1"/>
  <c r="H1067" i="4"/>
  <c r="S1067" i="4" s="1"/>
  <c r="H1068" i="4"/>
  <c r="S1068" i="4" s="1"/>
  <c r="H1069" i="4"/>
  <c r="S1069" i="4" s="1"/>
  <c r="H1071" i="4"/>
  <c r="S1071" i="4" s="1"/>
  <c r="H1072" i="4"/>
  <c r="S1072" i="4" s="1"/>
  <c r="H1073" i="4"/>
  <c r="S1073" i="4" s="1"/>
  <c r="H1074" i="4"/>
  <c r="S1074" i="4" s="1"/>
  <c r="H1075" i="4"/>
  <c r="S1075" i="4" s="1"/>
  <c r="H1076" i="4"/>
  <c r="S1076" i="4" s="1"/>
  <c r="H1077" i="4"/>
  <c r="S1077" i="4" s="1"/>
  <c r="H1078" i="4"/>
  <c r="S1078" i="4" s="1"/>
  <c r="H1079" i="4"/>
  <c r="S1079" i="4" s="1"/>
  <c r="H1080" i="4"/>
  <c r="S1080" i="4" s="1"/>
  <c r="H1082" i="4"/>
  <c r="S1082" i="4" s="1"/>
  <c r="H1083" i="4"/>
  <c r="S1083" i="4" s="1"/>
  <c r="H1084" i="4"/>
  <c r="S1084" i="4" s="1"/>
  <c r="H1085" i="4"/>
  <c r="S1085" i="4" s="1"/>
  <c r="H1086" i="4"/>
  <c r="S1086" i="4" s="1"/>
  <c r="H1087" i="4"/>
  <c r="S1087" i="4" s="1"/>
  <c r="H1088" i="4"/>
  <c r="S1088" i="4" s="1"/>
  <c r="H1089" i="4"/>
  <c r="S1089" i="4" s="1"/>
  <c r="H1090" i="4"/>
  <c r="S1090" i="4" s="1"/>
  <c r="H1091" i="4"/>
  <c r="S1091" i="4" s="1"/>
  <c r="H1093" i="4"/>
  <c r="S1093" i="4" s="1"/>
  <c r="H1094" i="4"/>
  <c r="S1094" i="4" s="1"/>
  <c r="H1095" i="4"/>
  <c r="S1095" i="4" s="1"/>
  <c r="H1096" i="4"/>
  <c r="S1096" i="4" s="1"/>
  <c r="H1097" i="4"/>
  <c r="S1097" i="4" s="1"/>
  <c r="H1098" i="4"/>
  <c r="S1098" i="4" s="1"/>
  <c r="H1099" i="4"/>
  <c r="S1099" i="4" s="1"/>
  <c r="H1100" i="4"/>
  <c r="S1100" i="4" s="1"/>
  <c r="H1101" i="4"/>
  <c r="S1101" i="4" s="1"/>
  <c r="H1102" i="4"/>
  <c r="S1102" i="4" s="1"/>
  <c r="H1104" i="4"/>
  <c r="S1104" i="4" s="1"/>
  <c r="H1105" i="4"/>
  <c r="S1105" i="4" s="1"/>
  <c r="H1106" i="4"/>
  <c r="S1106" i="4" s="1"/>
  <c r="H1107" i="4"/>
  <c r="S1107" i="4" s="1"/>
  <c r="H1108" i="4"/>
  <c r="S1108" i="4" s="1"/>
  <c r="H1109" i="4"/>
  <c r="S1109" i="4" s="1"/>
  <c r="H1110" i="4"/>
  <c r="S1110" i="4" s="1"/>
  <c r="H1111" i="4"/>
  <c r="S1111" i="4" s="1"/>
  <c r="H1112" i="4"/>
  <c r="S1112" i="4" s="1"/>
  <c r="H1113" i="4"/>
  <c r="S1113" i="4" s="1"/>
  <c r="S2" i="4"/>
  <c r="I2006" i="4"/>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2" i="1"/>
  <c r="C3" i="1"/>
  <c r="C4" i="1"/>
  <c r="C5" i="1"/>
  <c r="N312" i="4" s="1"/>
  <c r="C6" i="1"/>
  <c r="N963" i="4" s="1"/>
  <c r="C7" i="1"/>
  <c r="C8" i="1"/>
  <c r="N1617" i="4" s="1"/>
  <c r="C9" i="1"/>
  <c r="N554" i="4" s="1"/>
  <c r="C10" i="1"/>
  <c r="N1020" i="4" s="1"/>
  <c r="C11" i="1"/>
  <c r="N70" i="4" s="1"/>
  <c r="C12" i="1"/>
  <c r="C13" i="1"/>
  <c r="C14" i="1"/>
  <c r="N845" i="4" s="1"/>
  <c r="C15" i="1"/>
  <c r="C16" i="1"/>
  <c r="C17" i="1"/>
  <c r="N240" i="4" s="1"/>
  <c r="C18" i="1"/>
  <c r="N754" i="4" s="1"/>
  <c r="C19" i="1"/>
  <c r="N719" i="4" s="1"/>
  <c r="C20" i="1"/>
  <c r="N261" i="4" s="1"/>
  <c r="C21" i="1"/>
  <c r="C22" i="1"/>
  <c r="C23" i="1"/>
  <c r="N1079" i="4" s="1"/>
  <c r="C24" i="1"/>
  <c r="C25" i="1"/>
  <c r="N1113" i="4" s="1"/>
  <c r="C26" i="1"/>
  <c r="N1685" i="4" s="1"/>
  <c r="C27" i="1"/>
  <c r="N661" i="4" s="1"/>
  <c r="C28" i="1"/>
  <c r="N1033" i="4" s="1"/>
  <c r="C29" i="1"/>
  <c r="C30" i="1"/>
  <c r="C31" i="1"/>
  <c r="C32" i="1"/>
  <c r="C33" i="1"/>
  <c r="N1160" i="4" s="1"/>
  <c r="C34" i="1"/>
  <c r="C35" i="1"/>
  <c r="N1077" i="4" s="1"/>
  <c r="C36" i="1"/>
  <c r="N769" i="4" s="1"/>
  <c r="C37" i="1"/>
  <c r="N902" i="4" s="1"/>
  <c r="C38" i="1"/>
  <c r="N413" i="4" s="1"/>
  <c r="C39" i="1"/>
  <c r="C40" i="1"/>
  <c r="N1103" i="4" s="1"/>
  <c r="C41" i="1"/>
  <c r="N599" i="4" s="1"/>
  <c r="C42" i="1"/>
  <c r="C43" i="1"/>
  <c r="N722" i="4" s="1"/>
  <c r="C44" i="1"/>
  <c r="C45" i="1"/>
  <c r="C46" i="1"/>
  <c r="C47" i="1"/>
  <c r="C48" i="1"/>
  <c r="C49" i="1"/>
  <c r="N180" i="4" s="1"/>
  <c r="C50" i="1"/>
  <c r="N1631" i="4" s="1"/>
  <c r="C51" i="1"/>
  <c r="C52" i="1"/>
  <c r="N1344" i="4" s="1"/>
  <c r="C53" i="1"/>
  <c r="N167" i="4" s="1"/>
  <c r="C54" i="1"/>
  <c r="N1097" i="4" s="1"/>
  <c r="C55" i="1"/>
  <c r="C56" i="1"/>
  <c r="N774" i="4" s="1"/>
  <c r="C57" i="1"/>
  <c r="C58" i="1"/>
  <c r="N206" i="4" s="1"/>
  <c r="C59" i="1"/>
  <c r="C60" i="1"/>
  <c r="C61" i="1"/>
  <c r="C62" i="1"/>
  <c r="N190" i="4" s="1"/>
  <c r="C63" i="1"/>
  <c r="C64" i="1"/>
  <c r="C65" i="1"/>
  <c r="C66" i="1"/>
  <c r="N424" i="4" s="1"/>
  <c r="C67" i="1"/>
  <c r="N934" i="4" s="1"/>
  <c r="C68" i="1"/>
  <c r="N802" i="4" s="1"/>
  <c r="C69" i="1"/>
  <c r="N868" i="4" s="1"/>
  <c r="C70" i="1"/>
  <c r="N560" i="4" s="1"/>
  <c r="C71" i="1"/>
  <c r="C72" i="1"/>
  <c r="N713" i="4" s="1"/>
  <c r="C73" i="1"/>
  <c r="N702" i="4" s="1"/>
  <c r="C74" i="1"/>
  <c r="N1068" i="4" s="1"/>
  <c r="C75" i="1"/>
  <c r="N726" i="4" s="1"/>
  <c r="C76" i="1"/>
  <c r="N692" i="4" s="1"/>
  <c r="C77" i="1"/>
  <c r="C78" i="1"/>
  <c r="N846" i="4" s="1"/>
  <c r="C79" i="1"/>
  <c r="C80" i="1"/>
  <c r="C81" i="1"/>
  <c r="N781" i="4" s="1"/>
  <c r="C82" i="1"/>
  <c r="C83" i="1"/>
  <c r="C84" i="1"/>
  <c r="N1221" i="4" s="1"/>
  <c r="C85" i="1"/>
  <c r="N1168" i="4" s="1"/>
  <c r="C86" i="1"/>
  <c r="N889" i="4" s="1"/>
  <c r="C87" i="1"/>
  <c r="C88" i="1"/>
  <c r="N1292" i="4" s="1"/>
  <c r="C89" i="1"/>
  <c r="N300" i="4" s="1"/>
  <c r="C90" i="1"/>
  <c r="N1246" i="4" s="1"/>
  <c r="C91" i="1"/>
  <c r="C92" i="1"/>
  <c r="N427" i="4" s="1"/>
  <c r="C93" i="1"/>
  <c r="C94" i="1"/>
  <c r="C95" i="1"/>
  <c r="N1053" i="4" s="1"/>
  <c r="C96" i="1"/>
  <c r="C97" i="1"/>
  <c r="N666" i="4" s="1"/>
  <c r="C98" i="1"/>
  <c r="N1044" i="4" s="1"/>
  <c r="C99" i="1"/>
  <c r="C100" i="1"/>
  <c r="C101" i="1"/>
  <c r="N1025" i="4" s="1"/>
  <c r="C102" i="1"/>
  <c r="C103" i="1"/>
  <c r="C104" i="1"/>
  <c r="N1294" i="4" s="1"/>
  <c r="C105" i="1"/>
  <c r="C106" i="1"/>
  <c r="N552" i="4" s="1"/>
  <c r="C107" i="1"/>
  <c r="N41" i="4" s="1"/>
  <c r="C108" i="1"/>
  <c r="N1072" i="4" s="1"/>
  <c r="C109" i="1"/>
  <c r="N712" i="4" s="1"/>
  <c r="C110" i="1"/>
  <c r="N1893" i="4" s="1"/>
  <c r="C111" i="1"/>
  <c r="C112" i="1"/>
  <c r="C113" i="1"/>
  <c r="N943" i="4" s="1"/>
  <c r="C114" i="1"/>
  <c r="N949" i="4" s="1"/>
  <c r="C115" i="1"/>
  <c r="N636" i="4" s="1"/>
  <c r="C116" i="1"/>
  <c r="C117" i="1"/>
  <c r="N1769" i="4" s="1"/>
  <c r="C118" i="1"/>
  <c r="N676" i="4" s="1"/>
  <c r="C119" i="1"/>
  <c r="C120" i="1"/>
  <c r="C121" i="1"/>
  <c r="N502" i="4" s="1"/>
  <c r="C122" i="1"/>
  <c r="N708" i="4" s="1"/>
  <c r="C123" i="1"/>
  <c r="N982" i="4" s="1"/>
  <c r="C124" i="1"/>
  <c r="C125" i="1"/>
  <c r="N402" i="4" s="1"/>
  <c r="C126" i="1"/>
  <c r="N1660" i="4" s="1"/>
  <c r="C127" i="1"/>
  <c r="N1312" i="4" s="1"/>
  <c r="C128" i="1"/>
  <c r="C129" i="1"/>
  <c r="N1396" i="4" s="1"/>
  <c r="C130" i="1"/>
  <c r="N1111" i="4" s="1"/>
  <c r="C131" i="1"/>
  <c r="C132" i="1"/>
  <c r="C133" i="1"/>
  <c r="N170" i="4" s="1"/>
  <c r="C134" i="1"/>
  <c r="N723" i="4" s="1"/>
  <c r="C135" i="1"/>
  <c r="C136" i="1"/>
  <c r="C137" i="1"/>
  <c r="N968" i="4" s="1"/>
  <c r="C138" i="1"/>
  <c r="N761" i="4" s="1"/>
  <c r="C139" i="1"/>
  <c r="N913" i="4" s="1"/>
  <c r="C140" i="1"/>
  <c r="C141" i="1"/>
  <c r="C142" i="1"/>
  <c r="N23" i="4" s="1"/>
  <c r="C143" i="1"/>
  <c r="C144" i="1"/>
  <c r="C145" i="1"/>
  <c r="N663" i="4" s="1"/>
  <c r="C146" i="1"/>
  <c r="C147" i="1"/>
  <c r="N368" i="4" s="1"/>
  <c r="C148" i="1"/>
  <c r="C149" i="1"/>
  <c r="N783" i="4" s="1"/>
  <c r="C150" i="1"/>
  <c r="N967" i="4" s="1"/>
  <c r="C151" i="1"/>
  <c r="C152" i="1"/>
  <c r="N1272" i="4" s="1"/>
  <c r="C153" i="1"/>
  <c r="N130" i="4" s="1"/>
  <c r="C154" i="1"/>
  <c r="N472" i="4" s="1"/>
  <c r="C155" i="1"/>
  <c r="N871" i="4" s="1"/>
  <c r="C156" i="1"/>
  <c r="N1965" i="4" s="1"/>
  <c r="C157" i="1"/>
  <c r="N48" i="4" s="1"/>
  <c r="C158" i="1"/>
  <c r="N849" i="4" s="1"/>
  <c r="C159" i="1"/>
  <c r="C160" i="1"/>
  <c r="N215" i="4" s="1"/>
  <c r="C161" i="1"/>
  <c r="C162" i="1"/>
  <c r="N572" i="4" s="1"/>
  <c r="C163" i="1"/>
  <c r="N1066" i="4" s="1"/>
  <c r="C164" i="1"/>
  <c r="C165" i="1"/>
  <c r="C166" i="1"/>
  <c r="N569" i="4" s="1"/>
  <c r="C167" i="1"/>
  <c r="C168" i="1"/>
  <c r="C169" i="1"/>
  <c r="N1453" i="4" s="1"/>
  <c r="C170" i="1"/>
  <c r="N203" i="4" s="1"/>
  <c r="C171" i="1"/>
  <c r="C172" i="1"/>
  <c r="C173" i="1"/>
  <c r="C174" i="1"/>
  <c r="N1718" i="4" s="1"/>
  <c r="C175" i="1"/>
  <c r="C176" i="1"/>
  <c r="N489" i="4" s="1"/>
  <c r="C177" i="1"/>
  <c r="N454" i="4" s="1"/>
  <c r="C178" i="1"/>
  <c r="N1745" i="4" s="1"/>
  <c r="C179" i="1"/>
  <c r="N1694" i="4" s="1"/>
  <c r="C180" i="1"/>
  <c r="C181" i="1"/>
  <c r="N161" i="4" s="1"/>
  <c r="C182" i="1"/>
  <c r="C183" i="1"/>
  <c r="C184" i="1"/>
  <c r="C185" i="1"/>
  <c r="C186" i="1"/>
  <c r="N1124" i="4" s="1"/>
  <c r="C187" i="1"/>
  <c r="C188" i="1"/>
  <c r="N1159" i="4" s="1"/>
  <c r="C189" i="1"/>
  <c r="N1922" i="4" s="1"/>
  <c r="C190" i="1"/>
  <c r="N960" i="4" s="1"/>
  <c r="C191" i="1"/>
  <c r="N1314" i="4" s="1"/>
  <c r="C192" i="1"/>
  <c r="N6" i="4" s="1"/>
  <c r="C193" i="1"/>
  <c r="N824" i="4" s="1"/>
  <c r="C194" i="1"/>
  <c r="N1088" i="4" s="1"/>
  <c r="C195" i="1"/>
  <c r="N1011" i="4" s="1"/>
  <c r="C196" i="1"/>
  <c r="C197" i="1"/>
  <c r="N1863" i="4" s="1"/>
  <c r="C198" i="1"/>
  <c r="C199" i="1"/>
  <c r="C200" i="1"/>
  <c r="C201" i="1"/>
  <c r="C202" i="1"/>
  <c r="N1096" i="4" s="1"/>
  <c r="C203" i="1"/>
  <c r="N942" i="4" s="1"/>
  <c r="C204" i="1"/>
  <c r="N1554" i="4" s="1"/>
  <c r="C205" i="1"/>
  <c r="C206" i="1"/>
  <c r="N686" i="4" s="1"/>
  <c r="C207" i="1"/>
  <c r="C208" i="1"/>
  <c r="C209" i="1"/>
  <c r="N610" i="4" s="1"/>
  <c r="C210" i="1"/>
  <c r="N958" i="4" s="1"/>
  <c r="C211" i="1"/>
  <c r="N920" i="4" s="1"/>
  <c r="C212" i="1"/>
  <c r="N961" i="4" s="1"/>
  <c r="C213" i="1"/>
  <c r="C214" i="1"/>
  <c r="N1456" i="4" s="1"/>
  <c r="C215" i="1"/>
  <c r="C216" i="1"/>
  <c r="C217" i="1"/>
  <c r="C218" i="1"/>
  <c r="C219" i="1"/>
  <c r="N612" i="4" s="1"/>
  <c r="C220" i="1"/>
  <c r="C221" i="1"/>
  <c r="N1866" i="4" s="1"/>
  <c r="C222" i="1"/>
  <c r="N1236" i="4" s="1"/>
  <c r="C223" i="1"/>
  <c r="C224" i="1"/>
  <c r="C225" i="1"/>
  <c r="N395" i="4" s="1"/>
  <c r="C226" i="1"/>
  <c r="C227" i="1"/>
  <c r="C228" i="1"/>
  <c r="N522" i="4" s="1"/>
  <c r="C229" i="1"/>
  <c r="N432" i="4" s="1"/>
  <c r="C230" i="1"/>
  <c r="N1477" i="4" s="1"/>
  <c r="C231" i="1"/>
  <c r="C232" i="1"/>
  <c r="C233" i="1"/>
  <c r="N191" i="4" s="1"/>
  <c r="C234" i="1"/>
  <c r="N331" i="4" s="1"/>
  <c r="C235" i="1"/>
  <c r="N1469" i="4" s="1"/>
  <c r="C236" i="1"/>
  <c r="C237" i="1"/>
  <c r="C238" i="1"/>
  <c r="N762" i="4" s="1"/>
  <c r="C239" i="1"/>
  <c r="C240" i="1"/>
  <c r="N512" i="4" s="1"/>
  <c r="C241" i="1"/>
  <c r="C242" i="1"/>
  <c r="C243" i="1"/>
  <c r="N898" i="4" s="1"/>
  <c r="C244" i="1"/>
  <c r="C245" i="1"/>
  <c r="C246" i="1"/>
  <c r="C247" i="1"/>
  <c r="C248" i="1"/>
  <c r="C249" i="1"/>
  <c r="N1749" i="4" s="1"/>
  <c r="C250" i="1"/>
  <c r="N22" i="4" s="1"/>
  <c r="C251" i="1"/>
  <c r="N1976" i="4" s="1"/>
  <c r="C252" i="1"/>
  <c r="N717" i="4" s="1"/>
  <c r="C253" i="1"/>
  <c r="N110" i="4" s="1"/>
  <c r="C254" i="1"/>
  <c r="N1069" i="4" s="1"/>
  <c r="C255" i="1"/>
  <c r="C256" i="1"/>
  <c r="C257" i="1"/>
  <c r="N1603" i="4" s="1"/>
  <c r="C258" i="1"/>
  <c r="C259" i="1"/>
  <c r="N58" i="4" s="1"/>
  <c r="C260" i="1"/>
  <c r="C261" i="1"/>
  <c r="C262" i="1"/>
  <c r="C263" i="1"/>
  <c r="C264" i="1"/>
  <c r="C265" i="1"/>
  <c r="N1213" i="4" s="1"/>
  <c r="C266" i="1"/>
  <c r="N56" i="4" s="1"/>
  <c r="C267" i="1"/>
  <c r="C268" i="1"/>
  <c r="N111" i="4" s="1"/>
  <c r="C269" i="1"/>
  <c r="C270" i="1"/>
  <c r="N1900" i="4" s="1"/>
  <c r="C271" i="1"/>
  <c r="N1390" i="4" s="1"/>
  <c r="C272" i="1"/>
  <c r="C273" i="1"/>
  <c r="C274" i="1"/>
  <c r="C275" i="1"/>
  <c r="N642" i="4" s="1"/>
  <c r="C276" i="1"/>
  <c r="N1687" i="4" s="1"/>
  <c r="C277" i="1"/>
  <c r="N1052" i="4" s="1"/>
  <c r="C278" i="1"/>
  <c r="C279" i="1"/>
  <c r="N794" i="4" s="1"/>
  <c r="C280" i="1"/>
  <c r="N1018" i="4" s="1"/>
  <c r="C281" i="1"/>
  <c r="C282" i="1"/>
  <c r="N1971" i="4" s="1"/>
  <c r="C283" i="1"/>
  <c r="N894" i="4" s="1"/>
  <c r="C284" i="1"/>
  <c r="N263" i="4" s="1"/>
  <c r="C285" i="1"/>
  <c r="C286" i="1"/>
  <c r="N1527" i="4" s="1"/>
  <c r="C287" i="1"/>
  <c r="C288" i="1"/>
  <c r="N1474" i="4" s="1"/>
  <c r="C289" i="1"/>
  <c r="C290" i="1"/>
  <c r="C291" i="1"/>
  <c r="N806" i="4" s="1"/>
  <c r="C292" i="1"/>
  <c r="C293" i="1"/>
  <c r="N990" i="4" s="1"/>
  <c r="C294" i="1"/>
  <c r="C295" i="1"/>
  <c r="C296" i="1"/>
  <c r="C297" i="1"/>
  <c r="N737" i="4" s="1"/>
  <c r="C298" i="1"/>
  <c r="N588" i="4" s="1"/>
  <c r="C299" i="1"/>
  <c r="N1250" i="4" s="1"/>
  <c r="C300" i="1"/>
  <c r="N387" i="4" s="1"/>
  <c r="C301" i="1"/>
  <c r="N947" i="4" s="1"/>
  <c r="C302" i="1"/>
  <c r="N1087" i="4" s="1"/>
  <c r="C303" i="1"/>
  <c r="C304" i="1"/>
  <c r="N1348" i="4" s="1"/>
  <c r="C305" i="1"/>
  <c r="N1847" i="4" s="1"/>
  <c r="C306" i="1"/>
  <c r="C307" i="1"/>
  <c r="N952" i="4" s="1"/>
  <c r="C308" i="1"/>
  <c r="N1786" i="4" s="1"/>
  <c r="C309" i="1"/>
  <c r="C310" i="1"/>
  <c r="N718" i="4" s="1"/>
  <c r="C311" i="1"/>
  <c r="C312" i="1"/>
  <c r="N954" i="4" s="1"/>
  <c r="C313" i="1"/>
  <c r="N1458" i="4" s="1"/>
  <c r="C314" i="1"/>
  <c r="N623" i="4" s="1"/>
  <c r="C315" i="1"/>
  <c r="N250" i="4" s="1"/>
  <c r="C316" i="1"/>
  <c r="C317" i="1"/>
  <c r="N326" i="4" s="1"/>
  <c r="C318" i="1"/>
  <c r="C319" i="1"/>
  <c r="C320" i="1"/>
  <c r="N653" i="4" s="1"/>
  <c r="C321" i="1"/>
  <c r="N1062" i="4" s="1"/>
  <c r="C322" i="1"/>
  <c r="C323" i="1"/>
  <c r="N318" i="4" s="1"/>
  <c r="C324" i="1"/>
  <c r="N1258" i="4" s="1"/>
  <c r="C325" i="1"/>
  <c r="C326" i="1"/>
  <c r="N333" i="4" s="1"/>
  <c r="C327" i="1"/>
  <c r="C328" i="1"/>
  <c r="C329" i="1"/>
  <c r="N738" i="4" s="1"/>
  <c r="C330" i="1"/>
  <c r="N865" i="4" s="1"/>
  <c r="C331" i="1"/>
  <c r="C332" i="1"/>
  <c r="N1707" i="4" s="1"/>
  <c r="C333" i="1"/>
  <c r="N555" i="4" s="1"/>
  <c r="C334" i="1"/>
  <c r="N223" i="4" s="1"/>
  <c r="C335" i="1"/>
  <c r="C336" i="1"/>
  <c r="N369" i="4" s="1"/>
  <c r="C337" i="1"/>
  <c r="N1211" i="4" s="1"/>
  <c r="C338" i="1"/>
  <c r="C339" i="1"/>
  <c r="N643" i="4" s="1"/>
  <c r="C340" i="1"/>
  <c r="C341" i="1"/>
  <c r="C342" i="1"/>
  <c r="N177" i="4" s="1"/>
  <c r="C343" i="1"/>
  <c r="N1696" i="4" s="1"/>
  <c r="C344" i="1"/>
  <c r="C345" i="1"/>
  <c r="N756" i="4" s="1"/>
  <c r="C346" i="1"/>
  <c r="C347" i="1"/>
  <c r="N1387" i="4" s="1"/>
  <c r="C348" i="1"/>
  <c r="N972" i="4" s="1"/>
  <c r="C349" i="1"/>
  <c r="C350" i="1"/>
  <c r="N844" i="4" s="1"/>
  <c r="C351" i="1"/>
  <c r="C352" i="1"/>
  <c r="C353" i="1"/>
  <c r="N698" i="4" s="1"/>
  <c r="C354" i="1"/>
  <c r="N1461" i="4" s="1"/>
  <c r="C355" i="1"/>
  <c r="N752" i="4" s="1"/>
  <c r="C356" i="1"/>
  <c r="N494" i="4" s="1"/>
  <c r="C357" i="1"/>
  <c r="C358" i="1"/>
  <c r="N1812" i="4" s="1"/>
  <c r="C359" i="1"/>
  <c r="N875" i="4" s="1"/>
  <c r="C360" i="1"/>
  <c r="C361" i="1"/>
  <c r="N156" i="4" s="1"/>
  <c r="C362" i="1"/>
  <c r="N1295" i="4" s="1"/>
  <c r="C363" i="1"/>
  <c r="N143" i="4" s="1"/>
  <c r="C364" i="1"/>
  <c r="C365" i="1"/>
  <c r="N438" i="4" s="1"/>
  <c r="C366" i="1"/>
  <c r="N830" i="4" s="1"/>
  <c r="C367" i="1"/>
  <c r="C368" i="1"/>
  <c r="C369" i="1"/>
  <c r="C370" i="1"/>
  <c r="N32" i="4" s="1"/>
  <c r="C371" i="1"/>
  <c r="C372" i="1"/>
  <c r="N76" i="4" s="1"/>
  <c r="C373" i="1"/>
  <c r="N944" i="4" s="1"/>
  <c r="C374" i="1"/>
  <c r="C375" i="1"/>
  <c r="C376" i="1"/>
  <c r="C377" i="1"/>
  <c r="N120" i="4" s="1"/>
  <c r="C378" i="1"/>
  <c r="N1619" i="4" s="1"/>
  <c r="C379" i="1"/>
  <c r="C380" i="1"/>
  <c r="C381" i="1"/>
  <c r="C382" i="1"/>
  <c r="C383" i="1"/>
  <c r="C384" i="1"/>
  <c r="N703" i="4" s="1"/>
  <c r="C385" i="1"/>
  <c r="N485" i="4" s="1"/>
  <c r="C386" i="1"/>
  <c r="N728" i="4" s="1"/>
  <c r="C387" i="1"/>
  <c r="C388" i="1"/>
  <c r="C389" i="1"/>
  <c r="C390" i="1"/>
  <c r="C391" i="1"/>
  <c r="C392" i="1"/>
  <c r="C393" i="1"/>
  <c r="N1349" i="4" s="1"/>
  <c r="C394" i="1"/>
  <c r="N1898" i="4" s="1"/>
  <c r="C395" i="1"/>
  <c r="N773" i="4" s="1"/>
  <c r="C396" i="1"/>
  <c r="N1997" i="4" s="1"/>
  <c r="C397" i="1"/>
  <c r="C398" i="1"/>
  <c r="C399" i="1"/>
  <c r="C400" i="1"/>
  <c r="C401" i="1"/>
  <c r="N800" i="4" s="1"/>
  <c r="C402" i="1"/>
  <c r="C403" i="1"/>
  <c r="N562" i="4" s="1"/>
  <c r="C404" i="1"/>
  <c r="C405" i="1"/>
  <c r="C406" i="1"/>
  <c r="N861" i="4" s="1"/>
  <c r="C407" i="1"/>
  <c r="C408" i="1"/>
  <c r="C409" i="1"/>
  <c r="N1840" i="4" s="1"/>
  <c r="C410" i="1"/>
  <c r="C411" i="1"/>
  <c r="C412" i="1"/>
  <c r="N1604" i="4" s="1"/>
  <c r="C413" i="1"/>
  <c r="N1598" i="4" s="1"/>
  <c r="C414" i="1"/>
  <c r="N307" i="4" s="1"/>
  <c r="C415" i="1"/>
  <c r="C416" i="1"/>
  <c r="N91" i="4" s="1"/>
  <c r="C417" i="1"/>
  <c r="C418" i="1"/>
  <c r="N635" i="4" s="1"/>
  <c r="C419" i="1"/>
  <c r="C420" i="1"/>
  <c r="C421" i="1"/>
  <c r="C422" i="1"/>
  <c r="N685" i="4" s="1"/>
  <c r="C423" i="1"/>
  <c r="C424" i="1"/>
  <c r="C425" i="1"/>
  <c r="C426" i="1"/>
  <c r="N1039" i="4" s="1"/>
  <c r="C427" i="1"/>
  <c r="N1057" i="4" s="1"/>
  <c r="C428" i="1"/>
  <c r="N14" i="4" s="1"/>
  <c r="C429" i="1"/>
  <c r="C430" i="1"/>
  <c r="N228" i="4" s="1"/>
  <c r="C431" i="1"/>
  <c r="C432" i="1"/>
  <c r="C433" i="1"/>
  <c r="N1006" i="4" s="1"/>
  <c r="C434" i="1"/>
  <c r="N805" i="4" s="1"/>
  <c r="C435" i="1"/>
  <c r="N262" i="4" s="1"/>
  <c r="C436" i="1"/>
  <c r="N1031" i="4" s="1"/>
  <c r="C437" i="1"/>
  <c r="C438" i="1"/>
  <c r="N35" i="4" s="1"/>
  <c r="C439" i="1"/>
  <c r="C440" i="1"/>
  <c r="C441" i="1"/>
  <c r="N383" i="4" s="1"/>
  <c r="C442" i="1"/>
  <c r="N1618" i="4" s="1"/>
  <c r="C443" i="1"/>
  <c r="N1807" i="4" s="1"/>
  <c r="C444" i="1"/>
  <c r="C445" i="1"/>
  <c r="N216" i="4" s="1"/>
  <c r="C446" i="1"/>
  <c r="N361" i="4" s="1"/>
  <c r="C447" i="1"/>
  <c r="C448" i="1"/>
  <c r="C449" i="1"/>
  <c r="N484" i="4" s="1"/>
  <c r="C450" i="1"/>
  <c r="C451" i="1"/>
  <c r="C452" i="1"/>
  <c r="N289" i="4" s="1"/>
  <c r="C453" i="1"/>
  <c r="C454" i="1"/>
  <c r="C455" i="1"/>
  <c r="C456" i="1"/>
  <c r="N1098" i="4" s="1"/>
  <c r="C457" i="1"/>
  <c r="N707" i="4" s="1"/>
  <c r="C458" i="1"/>
  <c r="N1653" i="4" s="1"/>
  <c r="C459" i="1"/>
  <c r="N872" i="4" s="1"/>
  <c r="C460" i="1"/>
  <c r="N997" i="4" s="1"/>
  <c r="C461" i="1"/>
  <c r="N214" i="4" s="1"/>
  <c r="C462" i="1"/>
  <c r="N733" i="4" s="1"/>
  <c r="C463" i="1"/>
  <c r="C464" i="1"/>
  <c r="N545" i="4" s="1"/>
  <c r="C465" i="1"/>
  <c r="N835" i="4" s="1"/>
  <c r="C466" i="1"/>
  <c r="C467" i="1"/>
  <c r="N1878" i="4" s="1"/>
  <c r="C468" i="1"/>
  <c r="N1023" i="4" s="1"/>
  <c r="C469" i="1"/>
  <c r="C470" i="1"/>
  <c r="N609" i="4" s="1"/>
  <c r="C471" i="1"/>
  <c r="N679" i="4" s="1"/>
  <c r="C472" i="1"/>
  <c r="C473" i="1"/>
  <c r="C474" i="1"/>
  <c r="C475" i="1"/>
  <c r="C476" i="1"/>
  <c r="N531" i="4" s="1"/>
  <c r="C477" i="1"/>
  <c r="N1767" i="4" s="1"/>
  <c r="C478" i="1"/>
  <c r="N1030" i="4" s="1"/>
  <c r="C479" i="1"/>
  <c r="C480" i="1"/>
  <c r="C481" i="1"/>
  <c r="C482" i="1"/>
  <c r="N174" i="4" s="1"/>
  <c r="C483" i="1"/>
  <c r="C484" i="1"/>
  <c r="N1675" i="4" s="1"/>
  <c r="C485" i="1"/>
  <c r="N1082" i="4" s="1"/>
  <c r="C486" i="1"/>
  <c r="N1200" i="4" s="1"/>
  <c r="C487" i="1"/>
  <c r="N605" i="4" s="1"/>
  <c r="C488" i="1"/>
  <c r="N667" i="4" s="1"/>
  <c r="C489" i="1"/>
  <c r="C490" i="1"/>
  <c r="C491" i="1"/>
  <c r="C492" i="1"/>
  <c r="N1205" i="4" s="1"/>
  <c r="C493" i="1"/>
  <c r="C494" i="1"/>
  <c r="N1817" i="4" s="1"/>
  <c r="C495" i="1"/>
  <c r="C496" i="1"/>
  <c r="C497" i="1"/>
  <c r="C498" i="1"/>
  <c r="N808" i="4" s="1"/>
  <c r="C499" i="1"/>
  <c r="N109" i="4" s="1"/>
  <c r="C500" i="1"/>
  <c r="N282" i="4" s="1"/>
  <c r="C501" i="1"/>
  <c r="C2" i="1"/>
  <c r="N1994" i="4" s="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C3" i="4"/>
  <c r="C1114" i="4"/>
  <c r="C1225" i="4"/>
  <c r="C1336" i="4"/>
  <c r="C1447" i="4"/>
  <c r="C1558" i="4"/>
  <c r="C1669" i="4"/>
  <c r="C1780" i="4"/>
  <c r="C1891" i="4"/>
  <c r="C4" i="4"/>
  <c r="C115" i="4"/>
  <c r="C226" i="4"/>
  <c r="C337" i="4"/>
  <c r="C448" i="4"/>
  <c r="C559" i="4"/>
  <c r="C670" i="4"/>
  <c r="C781" i="4"/>
  <c r="C892" i="4"/>
  <c r="C1003" i="4"/>
  <c r="C1115" i="4"/>
  <c r="C1126" i="4"/>
  <c r="C1137" i="4"/>
  <c r="C1148" i="4"/>
  <c r="C1159" i="4"/>
  <c r="C1170" i="4"/>
  <c r="C1181" i="4"/>
  <c r="C1192" i="4"/>
  <c r="C1203" i="4"/>
  <c r="C1214" i="4"/>
  <c r="C1226" i="4"/>
  <c r="C1237" i="4"/>
  <c r="C1248" i="4"/>
  <c r="C1259" i="4"/>
  <c r="C1270" i="4"/>
  <c r="C1281" i="4"/>
  <c r="C1292" i="4"/>
  <c r="C1303" i="4"/>
  <c r="C1314" i="4"/>
  <c r="C1325" i="4"/>
  <c r="C1337" i="4"/>
  <c r="C1348" i="4"/>
  <c r="C1359" i="4"/>
  <c r="C1370" i="4"/>
  <c r="C1381" i="4"/>
  <c r="C1392" i="4"/>
  <c r="C1403" i="4"/>
  <c r="C1414" i="4"/>
  <c r="C1425" i="4"/>
  <c r="C1436" i="4"/>
  <c r="C1448" i="4"/>
  <c r="C1459" i="4"/>
  <c r="C1470" i="4"/>
  <c r="C1481" i="4"/>
  <c r="C1492" i="4"/>
  <c r="C1503" i="4"/>
  <c r="C1514" i="4"/>
  <c r="C1525" i="4"/>
  <c r="C1536" i="4"/>
  <c r="C1547" i="4"/>
  <c r="C1559" i="4"/>
  <c r="C1570" i="4"/>
  <c r="C1581" i="4"/>
  <c r="C1592" i="4"/>
  <c r="C1603" i="4"/>
  <c r="C1614" i="4"/>
  <c r="C1625" i="4"/>
  <c r="C1636" i="4"/>
  <c r="C1647" i="4"/>
  <c r="C1658" i="4"/>
  <c r="C1670" i="4"/>
  <c r="C1681" i="4"/>
  <c r="C1692" i="4"/>
  <c r="C1703" i="4"/>
  <c r="C1714" i="4"/>
  <c r="C1725" i="4"/>
  <c r="C1736" i="4"/>
  <c r="C1747" i="4"/>
  <c r="C1758" i="4"/>
  <c r="C1769" i="4"/>
  <c r="C1781" i="4"/>
  <c r="C1792" i="4"/>
  <c r="C1803" i="4"/>
  <c r="C1814" i="4"/>
  <c r="C1825" i="4"/>
  <c r="C1836" i="4"/>
  <c r="C1847" i="4"/>
  <c r="C1858" i="4"/>
  <c r="C1869" i="4"/>
  <c r="C1880" i="4"/>
  <c r="C1892" i="4"/>
  <c r="C1903" i="4"/>
  <c r="C1914" i="4"/>
  <c r="C1925" i="4"/>
  <c r="C1936" i="4"/>
  <c r="C1947" i="4"/>
  <c r="C1958" i="4"/>
  <c r="C1969" i="4"/>
  <c r="C1980" i="4"/>
  <c r="C1991" i="4"/>
  <c r="C5" i="4"/>
  <c r="C16" i="4"/>
  <c r="C27" i="4"/>
  <c r="C38" i="4"/>
  <c r="C49" i="4"/>
  <c r="C60" i="4"/>
  <c r="C71" i="4"/>
  <c r="C82" i="4"/>
  <c r="C93" i="4"/>
  <c r="C104" i="4"/>
  <c r="C116" i="4"/>
  <c r="C127" i="4"/>
  <c r="C138" i="4"/>
  <c r="C149" i="4"/>
  <c r="C160" i="4"/>
  <c r="C171" i="4"/>
  <c r="C182" i="4"/>
  <c r="C193" i="4"/>
  <c r="C204" i="4"/>
  <c r="C215" i="4"/>
  <c r="C227" i="4"/>
  <c r="C238" i="4"/>
  <c r="C249" i="4"/>
  <c r="C260" i="4"/>
  <c r="C271" i="4"/>
  <c r="C282" i="4"/>
  <c r="C293" i="4"/>
  <c r="C304" i="4"/>
  <c r="C315" i="4"/>
  <c r="C326" i="4"/>
  <c r="C338" i="4"/>
  <c r="C349" i="4"/>
  <c r="C360" i="4"/>
  <c r="C371" i="4"/>
  <c r="C382" i="4"/>
  <c r="C393" i="4"/>
  <c r="C404" i="4"/>
  <c r="C415" i="4"/>
  <c r="C426" i="4"/>
  <c r="C437" i="4"/>
  <c r="C449" i="4"/>
  <c r="C460" i="4"/>
  <c r="C471" i="4"/>
  <c r="C482" i="4"/>
  <c r="C493" i="4"/>
  <c r="C504" i="4"/>
  <c r="C515" i="4"/>
  <c r="C526" i="4"/>
  <c r="C537" i="4"/>
  <c r="C548" i="4"/>
  <c r="C560" i="4"/>
  <c r="C571" i="4"/>
  <c r="C582" i="4"/>
  <c r="C593" i="4"/>
  <c r="C604" i="4"/>
  <c r="C615" i="4"/>
  <c r="C626" i="4"/>
  <c r="C637" i="4"/>
  <c r="C648" i="4"/>
  <c r="C659" i="4"/>
  <c r="C671" i="4"/>
  <c r="C682" i="4"/>
  <c r="C693" i="4"/>
  <c r="C704" i="4"/>
  <c r="C715" i="4"/>
  <c r="C726" i="4"/>
  <c r="C737" i="4"/>
  <c r="C748" i="4"/>
  <c r="C759" i="4"/>
  <c r="C770" i="4"/>
  <c r="C782" i="4"/>
  <c r="C793" i="4"/>
  <c r="C804" i="4"/>
  <c r="C815" i="4"/>
  <c r="C826" i="4"/>
  <c r="C837" i="4"/>
  <c r="C848" i="4"/>
  <c r="C859" i="4"/>
  <c r="C870" i="4"/>
  <c r="C881" i="4"/>
  <c r="C893" i="4"/>
  <c r="C904" i="4"/>
  <c r="C915" i="4"/>
  <c r="C926" i="4"/>
  <c r="C937" i="4"/>
  <c r="C948" i="4"/>
  <c r="C959" i="4"/>
  <c r="C970" i="4"/>
  <c r="C981" i="4"/>
  <c r="C992" i="4"/>
  <c r="C1004" i="4"/>
  <c r="C1015" i="4"/>
  <c r="C1026" i="4"/>
  <c r="C1037" i="4"/>
  <c r="C1048" i="4"/>
  <c r="C1059" i="4"/>
  <c r="C1070" i="4"/>
  <c r="C1081" i="4"/>
  <c r="C1092" i="4"/>
  <c r="C1103" i="4"/>
  <c r="C1116" i="4"/>
  <c r="C1117" i="4"/>
  <c r="C1118" i="4"/>
  <c r="C1119" i="4"/>
  <c r="C1120" i="4"/>
  <c r="C1121" i="4"/>
  <c r="C1122" i="4"/>
  <c r="C1123" i="4"/>
  <c r="C1124" i="4"/>
  <c r="C1125" i="4"/>
  <c r="C1127" i="4"/>
  <c r="C1128" i="4"/>
  <c r="C1129" i="4"/>
  <c r="C1130" i="4"/>
  <c r="C1131" i="4"/>
  <c r="C1132" i="4"/>
  <c r="C1133" i="4"/>
  <c r="C1134" i="4"/>
  <c r="C1135" i="4"/>
  <c r="C1136" i="4"/>
  <c r="C1138" i="4"/>
  <c r="C1139" i="4"/>
  <c r="C1140" i="4"/>
  <c r="C1141" i="4"/>
  <c r="C1142" i="4"/>
  <c r="C1143" i="4"/>
  <c r="C1144" i="4"/>
  <c r="C1145" i="4"/>
  <c r="C1146" i="4"/>
  <c r="C1147" i="4"/>
  <c r="C1149" i="4"/>
  <c r="C1150" i="4"/>
  <c r="C1151" i="4"/>
  <c r="C1152" i="4"/>
  <c r="C1153" i="4"/>
  <c r="C1154" i="4"/>
  <c r="C1155" i="4"/>
  <c r="C1156" i="4"/>
  <c r="C1157" i="4"/>
  <c r="C1158" i="4"/>
  <c r="C1160" i="4"/>
  <c r="C1161" i="4"/>
  <c r="C1162" i="4"/>
  <c r="C1163" i="4"/>
  <c r="C1164" i="4"/>
  <c r="C1165" i="4"/>
  <c r="C1166" i="4"/>
  <c r="C1167" i="4"/>
  <c r="C1168" i="4"/>
  <c r="C1169" i="4"/>
  <c r="C1171" i="4"/>
  <c r="C1172" i="4"/>
  <c r="C1173" i="4"/>
  <c r="C1174" i="4"/>
  <c r="C1175" i="4"/>
  <c r="C1176" i="4"/>
  <c r="C1177" i="4"/>
  <c r="C1178" i="4"/>
  <c r="C1179" i="4"/>
  <c r="C1180" i="4"/>
  <c r="C1182" i="4"/>
  <c r="C1183" i="4"/>
  <c r="C1184" i="4"/>
  <c r="C1185" i="4"/>
  <c r="C1186" i="4"/>
  <c r="C1187" i="4"/>
  <c r="C1188" i="4"/>
  <c r="C1189" i="4"/>
  <c r="C1190" i="4"/>
  <c r="C1191" i="4"/>
  <c r="C1193" i="4"/>
  <c r="C1194" i="4"/>
  <c r="C1195" i="4"/>
  <c r="C1196" i="4"/>
  <c r="C1197" i="4"/>
  <c r="C1198" i="4"/>
  <c r="C1199" i="4"/>
  <c r="C1200" i="4"/>
  <c r="C1201" i="4"/>
  <c r="C1202" i="4"/>
  <c r="C1204" i="4"/>
  <c r="C1205" i="4"/>
  <c r="C1206" i="4"/>
  <c r="C1207" i="4"/>
  <c r="C1208" i="4"/>
  <c r="C1209" i="4"/>
  <c r="C1210" i="4"/>
  <c r="C1211" i="4"/>
  <c r="C1212" i="4"/>
  <c r="C1213" i="4"/>
  <c r="C1215" i="4"/>
  <c r="C1216" i="4"/>
  <c r="C1217" i="4"/>
  <c r="C1218" i="4"/>
  <c r="C1219" i="4"/>
  <c r="C1220" i="4"/>
  <c r="C1221" i="4"/>
  <c r="C1222" i="4"/>
  <c r="C1223" i="4"/>
  <c r="C1224" i="4"/>
  <c r="C1227" i="4"/>
  <c r="C1228" i="4"/>
  <c r="C1229" i="4"/>
  <c r="C1230" i="4"/>
  <c r="C1231" i="4"/>
  <c r="C1232" i="4"/>
  <c r="C1233" i="4"/>
  <c r="C1234" i="4"/>
  <c r="C1235" i="4"/>
  <c r="C1236" i="4"/>
  <c r="C1238" i="4"/>
  <c r="C1239" i="4"/>
  <c r="C1240" i="4"/>
  <c r="C1241" i="4"/>
  <c r="C1242" i="4"/>
  <c r="C1243" i="4"/>
  <c r="C1244" i="4"/>
  <c r="C1245" i="4"/>
  <c r="C1246" i="4"/>
  <c r="C1247" i="4"/>
  <c r="C1249" i="4"/>
  <c r="C1250" i="4"/>
  <c r="C1251" i="4"/>
  <c r="C1252" i="4"/>
  <c r="C1253" i="4"/>
  <c r="C1254" i="4"/>
  <c r="C1255" i="4"/>
  <c r="C1256" i="4"/>
  <c r="C1257" i="4"/>
  <c r="C1258" i="4"/>
  <c r="C1260" i="4"/>
  <c r="C1261" i="4"/>
  <c r="C1262" i="4"/>
  <c r="C1263" i="4"/>
  <c r="C1264" i="4"/>
  <c r="C1265" i="4"/>
  <c r="C1266" i="4"/>
  <c r="C1267" i="4"/>
  <c r="C1268" i="4"/>
  <c r="C1269" i="4"/>
  <c r="C1271" i="4"/>
  <c r="C1272" i="4"/>
  <c r="C1273" i="4"/>
  <c r="C1274" i="4"/>
  <c r="C1275" i="4"/>
  <c r="C1276" i="4"/>
  <c r="C1277" i="4"/>
  <c r="C1278" i="4"/>
  <c r="C1279" i="4"/>
  <c r="C1280" i="4"/>
  <c r="C1282" i="4"/>
  <c r="C1283" i="4"/>
  <c r="C1284" i="4"/>
  <c r="C1285" i="4"/>
  <c r="C1286" i="4"/>
  <c r="C1287" i="4"/>
  <c r="C1288" i="4"/>
  <c r="C1289" i="4"/>
  <c r="C1290" i="4"/>
  <c r="C1291" i="4"/>
  <c r="C1293" i="4"/>
  <c r="C1294" i="4"/>
  <c r="C1295" i="4"/>
  <c r="C1296" i="4"/>
  <c r="C1297" i="4"/>
  <c r="C1298" i="4"/>
  <c r="C1299" i="4"/>
  <c r="C1300" i="4"/>
  <c r="C1301" i="4"/>
  <c r="C1302" i="4"/>
  <c r="C1304" i="4"/>
  <c r="C1305" i="4"/>
  <c r="C1306" i="4"/>
  <c r="C1307" i="4"/>
  <c r="C1308" i="4"/>
  <c r="C1309" i="4"/>
  <c r="C1310" i="4"/>
  <c r="C1311" i="4"/>
  <c r="C1312" i="4"/>
  <c r="C1313" i="4"/>
  <c r="C1315" i="4"/>
  <c r="C1316" i="4"/>
  <c r="C1317" i="4"/>
  <c r="C1318" i="4"/>
  <c r="C1319" i="4"/>
  <c r="C1320" i="4"/>
  <c r="C1321" i="4"/>
  <c r="C1322" i="4"/>
  <c r="C1323" i="4"/>
  <c r="C1324" i="4"/>
  <c r="C1326" i="4"/>
  <c r="C1327" i="4"/>
  <c r="C1328" i="4"/>
  <c r="C1329" i="4"/>
  <c r="C1330" i="4"/>
  <c r="C1331" i="4"/>
  <c r="C1332" i="4"/>
  <c r="C1333" i="4"/>
  <c r="C1334" i="4"/>
  <c r="C1335" i="4"/>
  <c r="C1338" i="4"/>
  <c r="C1339" i="4"/>
  <c r="C1340" i="4"/>
  <c r="C1341" i="4"/>
  <c r="C1342" i="4"/>
  <c r="C1343" i="4"/>
  <c r="C1344" i="4"/>
  <c r="C1345" i="4"/>
  <c r="C1346" i="4"/>
  <c r="C1347" i="4"/>
  <c r="C1349" i="4"/>
  <c r="C1350" i="4"/>
  <c r="C1351" i="4"/>
  <c r="C1352" i="4"/>
  <c r="C1353" i="4"/>
  <c r="C1354" i="4"/>
  <c r="C1355" i="4"/>
  <c r="C1356" i="4"/>
  <c r="C1357" i="4"/>
  <c r="C1358" i="4"/>
  <c r="C1360" i="4"/>
  <c r="C1361" i="4"/>
  <c r="C1362" i="4"/>
  <c r="C1363" i="4"/>
  <c r="C1364" i="4"/>
  <c r="C1365" i="4"/>
  <c r="C1366" i="4"/>
  <c r="C1367" i="4"/>
  <c r="C1368" i="4"/>
  <c r="C1369" i="4"/>
  <c r="C1371" i="4"/>
  <c r="C1372" i="4"/>
  <c r="C1373" i="4"/>
  <c r="C1374" i="4"/>
  <c r="C1375" i="4"/>
  <c r="C1376" i="4"/>
  <c r="C1377" i="4"/>
  <c r="C1378" i="4"/>
  <c r="C1379" i="4"/>
  <c r="C1380" i="4"/>
  <c r="C1382" i="4"/>
  <c r="C1383" i="4"/>
  <c r="C1384" i="4"/>
  <c r="C1385" i="4"/>
  <c r="C1386" i="4"/>
  <c r="C1387" i="4"/>
  <c r="C1388" i="4"/>
  <c r="C1389" i="4"/>
  <c r="C1390" i="4"/>
  <c r="C1391" i="4"/>
  <c r="C1393" i="4"/>
  <c r="C1394" i="4"/>
  <c r="C1395" i="4"/>
  <c r="C1396" i="4"/>
  <c r="C1397" i="4"/>
  <c r="C1398" i="4"/>
  <c r="C1399" i="4"/>
  <c r="C1400" i="4"/>
  <c r="C1401" i="4"/>
  <c r="C1402" i="4"/>
  <c r="C1404" i="4"/>
  <c r="C1405" i="4"/>
  <c r="C1406" i="4"/>
  <c r="C1407" i="4"/>
  <c r="C1408" i="4"/>
  <c r="C1409" i="4"/>
  <c r="C1410" i="4"/>
  <c r="C1411" i="4"/>
  <c r="C1412" i="4"/>
  <c r="C1413" i="4"/>
  <c r="C1415" i="4"/>
  <c r="C1416" i="4"/>
  <c r="C1417" i="4"/>
  <c r="C1418" i="4"/>
  <c r="C1419" i="4"/>
  <c r="C1420" i="4"/>
  <c r="C1421" i="4"/>
  <c r="C1422" i="4"/>
  <c r="C1423" i="4"/>
  <c r="C1424" i="4"/>
  <c r="C1426" i="4"/>
  <c r="C1427" i="4"/>
  <c r="C1428" i="4"/>
  <c r="C1429" i="4"/>
  <c r="C1430" i="4"/>
  <c r="C1431" i="4"/>
  <c r="C1432" i="4"/>
  <c r="C1433" i="4"/>
  <c r="C1434" i="4"/>
  <c r="C1435" i="4"/>
  <c r="C1437" i="4"/>
  <c r="C1438" i="4"/>
  <c r="C1439" i="4"/>
  <c r="C1440" i="4"/>
  <c r="C1441" i="4"/>
  <c r="C1442" i="4"/>
  <c r="C1443" i="4"/>
  <c r="C1444" i="4"/>
  <c r="C1445" i="4"/>
  <c r="C1446" i="4"/>
  <c r="C1449" i="4"/>
  <c r="C1450" i="4"/>
  <c r="C1451" i="4"/>
  <c r="C1452" i="4"/>
  <c r="C1453" i="4"/>
  <c r="C1454" i="4"/>
  <c r="C1455" i="4"/>
  <c r="C1456" i="4"/>
  <c r="C1457" i="4"/>
  <c r="C1458" i="4"/>
  <c r="C1460" i="4"/>
  <c r="C1461" i="4"/>
  <c r="C1462" i="4"/>
  <c r="C1463" i="4"/>
  <c r="C1464" i="4"/>
  <c r="C1465" i="4"/>
  <c r="C1466" i="4"/>
  <c r="C1467" i="4"/>
  <c r="C1468" i="4"/>
  <c r="C1469" i="4"/>
  <c r="C1471" i="4"/>
  <c r="C1472" i="4"/>
  <c r="C1473" i="4"/>
  <c r="C1474" i="4"/>
  <c r="C1475" i="4"/>
  <c r="C1476" i="4"/>
  <c r="C1477" i="4"/>
  <c r="C1478" i="4"/>
  <c r="C1479" i="4"/>
  <c r="C1480" i="4"/>
  <c r="C1482" i="4"/>
  <c r="C1483" i="4"/>
  <c r="C1484" i="4"/>
  <c r="C1485" i="4"/>
  <c r="C1486" i="4"/>
  <c r="C1487" i="4"/>
  <c r="C1488" i="4"/>
  <c r="C1489" i="4"/>
  <c r="C1490" i="4"/>
  <c r="C1491" i="4"/>
  <c r="C1493" i="4"/>
  <c r="C1494" i="4"/>
  <c r="C1495" i="4"/>
  <c r="C1496" i="4"/>
  <c r="C1497" i="4"/>
  <c r="C1498" i="4"/>
  <c r="C1499" i="4"/>
  <c r="C1500" i="4"/>
  <c r="C1501" i="4"/>
  <c r="C1502" i="4"/>
  <c r="C1504" i="4"/>
  <c r="C1505" i="4"/>
  <c r="C1506" i="4"/>
  <c r="C1507" i="4"/>
  <c r="C1508" i="4"/>
  <c r="C1509" i="4"/>
  <c r="C1510" i="4"/>
  <c r="C1511" i="4"/>
  <c r="C1512" i="4"/>
  <c r="C1513" i="4"/>
  <c r="C1515" i="4"/>
  <c r="C1516" i="4"/>
  <c r="C1517" i="4"/>
  <c r="C1518" i="4"/>
  <c r="C1519" i="4"/>
  <c r="C1520" i="4"/>
  <c r="C1521" i="4"/>
  <c r="C1522" i="4"/>
  <c r="C1523" i="4"/>
  <c r="C1524" i="4"/>
  <c r="C1526" i="4"/>
  <c r="C1527" i="4"/>
  <c r="C1528" i="4"/>
  <c r="C1529" i="4"/>
  <c r="C1530" i="4"/>
  <c r="C1531" i="4"/>
  <c r="C1532" i="4"/>
  <c r="C1533" i="4"/>
  <c r="C1534" i="4"/>
  <c r="C1535" i="4"/>
  <c r="C1537" i="4"/>
  <c r="C1538" i="4"/>
  <c r="C1539" i="4"/>
  <c r="C1540" i="4"/>
  <c r="C1541" i="4"/>
  <c r="C1542" i="4"/>
  <c r="C1543" i="4"/>
  <c r="C1544" i="4"/>
  <c r="C1545" i="4"/>
  <c r="C1546" i="4"/>
  <c r="C1548" i="4"/>
  <c r="C1549" i="4"/>
  <c r="C1550" i="4"/>
  <c r="C1551" i="4"/>
  <c r="C1552" i="4"/>
  <c r="C1553" i="4"/>
  <c r="C1554" i="4"/>
  <c r="C1555" i="4"/>
  <c r="C1556" i="4"/>
  <c r="C1557" i="4"/>
  <c r="C1560" i="4"/>
  <c r="C1561" i="4"/>
  <c r="C1562" i="4"/>
  <c r="C1563" i="4"/>
  <c r="C1564" i="4"/>
  <c r="C1565" i="4"/>
  <c r="C1566" i="4"/>
  <c r="C1567" i="4"/>
  <c r="C1568" i="4"/>
  <c r="C1569" i="4"/>
  <c r="C1571" i="4"/>
  <c r="C1572" i="4"/>
  <c r="C1573" i="4"/>
  <c r="C1574" i="4"/>
  <c r="C1575" i="4"/>
  <c r="C1576" i="4"/>
  <c r="C1577" i="4"/>
  <c r="C1578" i="4"/>
  <c r="C1579" i="4"/>
  <c r="C1580" i="4"/>
  <c r="C1582" i="4"/>
  <c r="C1583" i="4"/>
  <c r="C1584" i="4"/>
  <c r="C1585" i="4"/>
  <c r="C1586" i="4"/>
  <c r="C1587" i="4"/>
  <c r="C1588" i="4"/>
  <c r="C1589" i="4"/>
  <c r="C1590" i="4"/>
  <c r="C1591" i="4"/>
  <c r="C1593" i="4"/>
  <c r="C1594" i="4"/>
  <c r="C1595" i="4"/>
  <c r="C1596" i="4"/>
  <c r="C1597" i="4"/>
  <c r="C1598" i="4"/>
  <c r="C1599" i="4"/>
  <c r="C1600" i="4"/>
  <c r="C1601" i="4"/>
  <c r="C1602" i="4"/>
  <c r="C1604" i="4"/>
  <c r="C1605" i="4"/>
  <c r="C1606" i="4"/>
  <c r="C1607" i="4"/>
  <c r="C1608" i="4"/>
  <c r="C1609" i="4"/>
  <c r="C1610" i="4"/>
  <c r="C1611" i="4"/>
  <c r="C1612" i="4"/>
  <c r="C1613" i="4"/>
  <c r="C1615" i="4"/>
  <c r="C1616" i="4"/>
  <c r="C1617" i="4"/>
  <c r="C1618" i="4"/>
  <c r="C1619" i="4"/>
  <c r="C1620" i="4"/>
  <c r="C1621" i="4"/>
  <c r="C1622" i="4"/>
  <c r="C1623" i="4"/>
  <c r="C1624" i="4"/>
  <c r="C1626" i="4"/>
  <c r="C1627" i="4"/>
  <c r="C1628" i="4"/>
  <c r="C1629" i="4"/>
  <c r="C1630" i="4"/>
  <c r="C1631" i="4"/>
  <c r="C1632" i="4"/>
  <c r="C1633" i="4"/>
  <c r="C1634" i="4"/>
  <c r="C1635" i="4"/>
  <c r="C1637" i="4"/>
  <c r="C1638" i="4"/>
  <c r="C1639" i="4"/>
  <c r="C1640" i="4"/>
  <c r="C1641" i="4"/>
  <c r="C1642" i="4"/>
  <c r="C1643" i="4"/>
  <c r="C1644" i="4"/>
  <c r="C1645" i="4"/>
  <c r="C1646" i="4"/>
  <c r="C1648" i="4"/>
  <c r="C1649" i="4"/>
  <c r="C1650" i="4"/>
  <c r="C1651" i="4"/>
  <c r="C1652" i="4"/>
  <c r="C1653" i="4"/>
  <c r="C1654" i="4"/>
  <c r="C1655" i="4"/>
  <c r="C1656" i="4"/>
  <c r="C1657" i="4"/>
  <c r="C1659" i="4"/>
  <c r="C1660" i="4"/>
  <c r="C1661" i="4"/>
  <c r="C1662" i="4"/>
  <c r="C1663" i="4"/>
  <c r="C1664" i="4"/>
  <c r="C1665" i="4"/>
  <c r="C1666" i="4"/>
  <c r="C1667" i="4"/>
  <c r="C1668" i="4"/>
  <c r="C1671" i="4"/>
  <c r="C1672" i="4"/>
  <c r="C1673" i="4"/>
  <c r="C1674" i="4"/>
  <c r="C1675" i="4"/>
  <c r="C1676" i="4"/>
  <c r="C1677" i="4"/>
  <c r="C1678" i="4"/>
  <c r="C1679" i="4"/>
  <c r="C1680" i="4"/>
  <c r="C1682" i="4"/>
  <c r="C1683" i="4"/>
  <c r="C1684" i="4"/>
  <c r="C1685" i="4"/>
  <c r="C1686" i="4"/>
  <c r="C1687" i="4"/>
  <c r="C1688" i="4"/>
  <c r="C1689" i="4"/>
  <c r="C1690" i="4"/>
  <c r="C1691" i="4"/>
  <c r="C1693" i="4"/>
  <c r="C1694" i="4"/>
  <c r="C1695" i="4"/>
  <c r="C1696" i="4"/>
  <c r="C1697" i="4"/>
  <c r="C1698" i="4"/>
  <c r="C1699" i="4"/>
  <c r="C1700" i="4"/>
  <c r="C1701" i="4"/>
  <c r="C1702" i="4"/>
  <c r="C1704" i="4"/>
  <c r="C1705" i="4"/>
  <c r="C1706" i="4"/>
  <c r="C1707" i="4"/>
  <c r="C1708" i="4"/>
  <c r="C1709" i="4"/>
  <c r="C1710" i="4"/>
  <c r="C1711" i="4"/>
  <c r="C1712" i="4"/>
  <c r="C1713" i="4"/>
  <c r="C1715" i="4"/>
  <c r="C1716" i="4"/>
  <c r="C1717" i="4"/>
  <c r="C1718" i="4"/>
  <c r="C1719" i="4"/>
  <c r="C1720" i="4"/>
  <c r="C1721" i="4"/>
  <c r="C1722" i="4"/>
  <c r="C1723" i="4"/>
  <c r="C1724" i="4"/>
  <c r="C1726" i="4"/>
  <c r="C1727" i="4"/>
  <c r="C1728" i="4"/>
  <c r="C1729" i="4"/>
  <c r="C1730" i="4"/>
  <c r="C1731" i="4"/>
  <c r="C1732" i="4"/>
  <c r="C1733" i="4"/>
  <c r="C1734" i="4"/>
  <c r="C1735" i="4"/>
  <c r="C1737" i="4"/>
  <c r="C1738" i="4"/>
  <c r="C1739" i="4"/>
  <c r="C1740" i="4"/>
  <c r="C1741" i="4"/>
  <c r="C1742" i="4"/>
  <c r="C1743" i="4"/>
  <c r="C1744" i="4"/>
  <c r="C1745" i="4"/>
  <c r="C1746" i="4"/>
  <c r="C1748" i="4"/>
  <c r="C1749" i="4"/>
  <c r="C1750" i="4"/>
  <c r="C1751" i="4"/>
  <c r="C1752" i="4"/>
  <c r="C1753" i="4"/>
  <c r="C1754" i="4"/>
  <c r="C1755" i="4"/>
  <c r="C1756" i="4"/>
  <c r="C1757" i="4"/>
  <c r="C1759" i="4"/>
  <c r="C1760" i="4"/>
  <c r="C1761" i="4"/>
  <c r="C1762" i="4"/>
  <c r="C1763" i="4"/>
  <c r="C1764" i="4"/>
  <c r="C1765" i="4"/>
  <c r="C1766" i="4"/>
  <c r="C1767" i="4"/>
  <c r="C1768" i="4"/>
  <c r="C1770" i="4"/>
  <c r="C1771" i="4"/>
  <c r="C1772" i="4"/>
  <c r="C1773" i="4"/>
  <c r="C1774" i="4"/>
  <c r="C1775" i="4"/>
  <c r="C1776" i="4"/>
  <c r="C1777" i="4"/>
  <c r="C1778" i="4"/>
  <c r="C1779" i="4"/>
  <c r="C1782" i="4"/>
  <c r="C1783" i="4"/>
  <c r="C1784" i="4"/>
  <c r="C1785" i="4"/>
  <c r="C1786" i="4"/>
  <c r="C1787" i="4"/>
  <c r="C1788" i="4"/>
  <c r="C1789" i="4"/>
  <c r="C1790" i="4"/>
  <c r="C1791" i="4"/>
  <c r="C1793" i="4"/>
  <c r="C1794" i="4"/>
  <c r="C1795" i="4"/>
  <c r="C1796" i="4"/>
  <c r="C1797" i="4"/>
  <c r="C1798" i="4"/>
  <c r="C1799" i="4"/>
  <c r="C1800" i="4"/>
  <c r="C1801" i="4"/>
  <c r="C1802" i="4"/>
  <c r="C1804" i="4"/>
  <c r="C1805" i="4"/>
  <c r="C1806" i="4"/>
  <c r="C1807" i="4"/>
  <c r="C1808" i="4"/>
  <c r="C1809" i="4"/>
  <c r="C1810" i="4"/>
  <c r="C1811" i="4"/>
  <c r="C1812" i="4"/>
  <c r="C1813" i="4"/>
  <c r="C1815" i="4"/>
  <c r="C1816" i="4"/>
  <c r="C1817" i="4"/>
  <c r="C1818" i="4"/>
  <c r="C1819" i="4"/>
  <c r="C1820" i="4"/>
  <c r="C1821" i="4"/>
  <c r="C1822" i="4"/>
  <c r="C1823" i="4"/>
  <c r="C1824" i="4"/>
  <c r="C1826" i="4"/>
  <c r="C1827" i="4"/>
  <c r="C1828" i="4"/>
  <c r="C1829" i="4"/>
  <c r="C1830" i="4"/>
  <c r="C1831" i="4"/>
  <c r="C1832" i="4"/>
  <c r="C1833" i="4"/>
  <c r="C1834" i="4"/>
  <c r="C1835" i="4"/>
  <c r="C1837" i="4"/>
  <c r="C1838" i="4"/>
  <c r="C1839" i="4"/>
  <c r="C1840" i="4"/>
  <c r="C1841" i="4"/>
  <c r="C1842" i="4"/>
  <c r="C1843" i="4"/>
  <c r="C1844" i="4"/>
  <c r="C1845" i="4"/>
  <c r="C1846" i="4"/>
  <c r="C1848" i="4"/>
  <c r="C1849" i="4"/>
  <c r="C1850" i="4"/>
  <c r="C1851" i="4"/>
  <c r="C1852" i="4"/>
  <c r="C1853" i="4"/>
  <c r="C1854" i="4"/>
  <c r="C1855" i="4"/>
  <c r="C1856" i="4"/>
  <c r="C1857" i="4"/>
  <c r="C1859" i="4"/>
  <c r="C1860" i="4"/>
  <c r="C1861" i="4"/>
  <c r="C1862" i="4"/>
  <c r="C1863" i="4"/>
  <c r="C1864" i="4"/>
  <c r="C1865" i="4"/>
  <c r="C1866" i="4"/>
  <c r="C1867" i="4"/>
  <c r="C1868" i="4"/>
  <c r="C1870" i="4"/>
  <c r="C1871" i="4"/>
  <c r="C1872" i="4"/>
  <c r="C1873" i="4"/>
  <c r="C1874" i="4"/>
  <c r="C1875" i="4"/>
  <c r="C1876" i="4"/>
  <c r="C1877" i="4"/>
  <c r="C1878" i="4"/>
  <c r="C1879" i="4"/>
  <c r="C1881" i="4"/>
  <c r="C1882" i="4"/>
  <c r="C1883" i="4"/>
  <c r="C1884" i="4"/>
  <c r="C1885" i="4"/>
  <c r="C1886" i="4"/>
  <c r="C1887" i="4"/>
  <c r="C1888" i="4"/>
  <c r="C1889" i="4"/>
  <c r="C1890" i="4"/>
  <c r="C1893" i="4"/>
  <c r="C1894" i="4"/>
  <c r="C1895" i="4"/>
  <c r="C1896" i="4"/>
  <c r="C1897" i="4"/>
  <c r="C1898" i="4"/>
  <c r="C1899" i="4"/>
  <c r="C1900" i="4"/>
  <c r="C1901" i="4"/>
  <c r="C1902" i="4"/>
  <c r="C1904" i="4"/>
  <c r="C1905" i="4"/>
  <c r="C1906" i="4"/>
  <c r="C1907" i="4"/>
  <c r="C1908" i="4"/>
  <c r="C1909" i="4"/>
  <c r="C1910" i="4"/>
  <c r="C1911" i="4"/>
  <c r="C1912" i="4"/>
  <c r="C1913" i="4"/>
  <c r="C1915" i="4"/>
  <c r="C1916" i="4"/>
  <c r="C1917" i="4"/>
  <c r="C1918" i="4"/>
  <c r="C1919" i="4"/>
  <c r="C1920" i="4"/>
  <c r="C1921" i="4"/>
  <c r="C1922" i="4"/>
  <c r="C1923" i="4"/>
  <c r="C1924" i="4"/>
  <c r="C1926" i="4"/>
  <c r="C1927" i="4"/>
  <c r="C1928" i="4"/>
  <c r="C1929" i="4"/>
  <c r="C1930" i="4"/>
  <c r="C1931" i="4"/>
  <c r="C1932" i="4"/>
  <c r="C1933" i="4"/>
  <c r="C1934" i="4"/>
  <c r="C1935" i="4"/>
  <c r="C1937" i="4"/>
  <c r="C1938" i="4"/>
  <c r="C1939" i="4"/>
  <c r="C1940" i="4"/>
  <c r="C1941" i="4"/>
  <c r="C1942" i="4"/>
  <c r="C1943" i="4"/>
  <c r="C1944" i="4"/>
  <c r="C1945" i="4"/>
  <c r="C1946" i="4"/>
  <c r="C1948" i="4"/>
  <c r="C1949" i="4"/>
  <c r="C1950" i="4"/>
  <c r="C1951" i="4"/>
  <c r="C1952" i="4"/>
  <c r="C1953" i="4"/>
  <c r="C1954" i="4"/>
  <c r="C1955" i="4"/>
  <c r="C1956" i="4"/>
  <c r="C1957" i="4"/>
  <c r="C1959" i="4"/>
  <c r="C1960" i="4"/>
  <c r="C1961" i="4"/>
  <c r="C1962" i="4"/>
  <c r="C1963" i="4"/>
  <c r="C1964" i="4"/>
  <c r="C1965" i="4"/>
  <c r="C1966" i="4"/>
  <c r="C1967" i="4"/>
  <c r="C1968" i="4"/>
  <c r="C1970" i="4"/>
  <c r="C1971" i="4"/>
  <c r="C1972" i="4"/>
  <c r="C1973" i="4"/>
  <c r="C1974" i="4"/>
  <c r="C1975" i="4"/>
  <c r="C1976" i="4"/>
  <c r="C1977" i="4"/>
  <c r="C1978" i="4"/>
  <c r="C1979" i="4"/>
  <c r="C1981" i="4"/>
  <c r="C1982" i="4"/>
  <c r="C1983" i="4"/>
  <c r="C1984" i="4"/>
  <c r="C1985" i="4"/>
  <c r="C1986" i="4"/>
  <c r="C1987" i="4"/>
  <c r="C1988" i="4"/>
  <c r="C1989" i="4"/>
  <c r="C1990" i="4"/>
  <c r="C1992" i="4"/>
  <c r="C1993" i="4"/>
  <c r="C1994" i="4"/>
  <c r="C1995" i="4"/>
  <c r="C1996" i="4"/>
  <c r="C1997" i="4"/>
  <c r="C1998" i="4"/>
  <c r="C1999" i="4"/>
  <c r="C2000" i="4"/>
  <c r="C2001" i="4"/>
  <c r="C6" i="4"/>
  <c r="C7" i="4"/>
  <c r="C8" i="4"/>
  <c r="C9" i="4"/>
  <c r="C10" i="4"/>
  <c r="C11" i="4"/>
  <c r="C12" i="4"/>
  <c r="C13" i="4"/>
  <c r="C14" i="4"/>
  <c r="C15" i="4"/>
  <c r="C17" i="4"/>
  <c r="C18" i="4"/>
  <c r="C19" i="4"/>
  <c r="C20" i="4"/>
  <c r="C21" i="4"/>
  <c r="C22" i="4"/>
  <c r="C23" i="4"/>
  <c r="C24" i="4"/>
  <c r="C25" i="4"/>
  <c r="C26" i="4"/>
  <c r="C28" i="4"/>
  <c r="C29" i="4"/>
  <c r="C30" i="4"/>
  <c r="C31" i="4"/>
  <c r="C32" i="4"/>
  <c r="C33" i="4"/>
  <c r="C34" i="4"/>
  <c r="C35" i="4"/>
  <c r="C36" i="4"/>
  <c r="C37" i="4"/>
  <c r="C39" i="4"/>
  <c r="C40" i="4"/>
  <c r="C41" i="4"/>
  <c r="C42" i="4"/>
  <c r="C43" i="4"/>
  <c r="C44" i="4"/>
  <c r="C45" i="4"/>
  <c r="C46" i="4"/>
  <c r="C47" i="4"/>
  <c r="C48" i="4"/>
  <c r="C50" i="4"/>
  <c r="C51" i="4"/>
  <c r="C52" i="4"/>
  <c r="C53" i="4"/>
  <c r="C54" i="4"/>
  <c r="C55" i="4"/>
  <c r="C56" i="4"/>
  <c r="C57" i="4"/>
  <c r="C58" i="4"/>
  <c r="C59" i="4"/>
  <c r="C61" i="4"/>
  <c r="C62" i="4"/>
  <c r="C63" i="4"/>
  <c r="C64" i="4"/>
  <c r="C65" i="4"/>
  <c r="C66" i="4"/>
  <c r="C67" i="4"/>
  <c r="C68" i="4"/>
  <c r="C69" i="4"/>
  <c r="C70" i="4"/>
  <c r="C72" i="4"/>
  <c r="C73" i="4"/>
  <c r="C74" i="4"/>
  <c r="C75" i="4"/>
  <c r="C76" i="4"/>
  <c r="C77" i="4"/>
  <c r="C78" i="4"/>
  <c r="C79" i="4"/>
  <c r="C80" i="4"/>
  <c r="C81" i="4"/>
  <c r="C83" i="4"/>
  <c r="C84" i="4"/>
  <c r="C85" i="4"/>
  <c r="C86" i="4"/>
  <c r="C87" i="4"/>
  <c r="C88" i="4"/>
  <c r="C89" i="4"/>
  <c r="C90" i="4"/>
  <c r="C91" i="4"/>
  <c r="C92" i="4"/>
  <c r="C94" i="4"/>
  <c r="C95" i="4"/>
  <c r="C96" i="4"/>
  <c r="C97" i="4"/>
  <c r="C98" i="4"/>
  <c r="C99" i="4"/>
  <c r="C100" i="4"/>
  <c r="C101" i="4"/>
  <c r="C102" i="4"/>
  <c r="C103" i="4"/>
  <c r="C105" i="4"/>
  <c r="C106" i="4"/>
  <c r="C107" i="4"/>
  <c r="C108" i="4"/>
  <c r="C109" i="4"/>
  <c r="C110" i="4"/>
  <c r="C111" i="4"/>
  <c r="C112" i="4"/>
  <c r="C113" i="4"/>
  <c r="C114" i="4"/>
  <c r="C117" i="4"/>
  <c r="C118" i="4"/>
  <c r="C119" i="4"/>
  <c r="C120" i="4"/>
  <c r="C121" i="4"/>
  <c r="C122" i="4"/>
  <c r="C123" i="4"/>
  <c r="C124" i="4"/>
  <c r="C125" i="4"/>
  <c r="C126" i="4"/>
  <c r="C128" i="4"/>
  <c r="C129" i="4"/>
  <c r="C130" i="4"/>
  <c r="C131" i="4"/>
  <c r="C132" i="4"/>
  <c r="C133" i="4"/>
  <c r="C134" i="4"/>
  <c r="C135" i="4"/>
  <c r="C136" i="4"/>
  <c r="C137" i="4"/>
  <c r="C139" i="4"/>
  <c r="C140" i="4"/>
  <c r="C141" i="4"/>
  <c r="C142" i="4"/>
  <c r="C143" i="4"/>
  <c r="C144" i="4"/>
  <c r="C145" i="4"/>
  <c r="C146" i="4"/>
  <c r="C147" i="4"/>
  <c r="C148" i="4"/>
  <c r="C150" i="4"/>
  <c r="C151" i="4"/>
  <c r="C152" i="4"/>
  <c r="C153" i="4"/>
  <c r="C154" i="4"/>
  <c r="C155" i="4"/>
  <c r="C156" i="4"/>
  <c r="C157" i="4"/>
  <c r="C158" i="4"/>
  <c r="C159" i="4"/>
  <c r="C161" i="4"/>
  <c r="C162" i="4"/>
  <c r="C163" i="4"/>
  <c r="C164" i="4"/>
  <c r="C165" i="4"/>
  <c r="C166" i="4"/>
  <c r="C167" i="4"/>
  <c r="C168" i="4"/>
  <c r="C169" i="4"/>
  <c r="C170" i="4"/>
  <c r="C172" i="4"/>
  <c r="C173" i="4"/>
  <c r="C174" i="4"/>
  <c r="C175" i="4"/>
  <c r="C176" i="4"/>
  <c r="C177" i="4"/>
  <c r="C178" i="4"/>
  <c r="C179" i="4"/>
  <c r="C180" i="4"/>
  <c r="C181" i="4"/>
  <c r="C183" i="4"/>
  <c r="C184" i="4"/>
  <c r="C185" i="4"/>
  <c r="C186" i="4"/>
  <c r="C187" i="4"/>
  <c r="C188" i="4"/>
  <c r="C189" i="4"/>
  <c r="C190" i="4"/>
  <c r="C191" i="4"/>
  <c r="C192" i="4"/>
  <c r="C194" i="4"/>
  <c r="C195" i="4"/>
  <c r="C196" i="4"/>
  <c r="C197" i="4"/>
  <c r="C198" i="4"/>
  <c r="C199" i="4"/>
  <c r="C200" i="4"/>
  <c r="C201" i="4"/>
  <c r="C202" i="4"/>
  <c r="C203" i="4"/>
  <c r="C205" i="4"/>
  <c r="C206" i="4"/>
  <c r="C207" i="4"/>
  <c r="C208" i="4"/>
  <c r="C209" i="4"/>
  <c r="C210" i="4"/>
  <c r="C211" i="4"/>
  <c r="C212" i="4"/>
  <c r="C213" i="4"/>
  <c r="C214" i="4"/>
  <c r="C216" i="4"/>
  <c r="C217" i="4"/>
  <c r="C218" i="4"/>
  <c r="C219" i="4"/>
  <c r="C220" i="4"/>
  <c r="C221" i="4"/>
  <c r="C222" i="4"/>
  <c r="C223" i="4"/>
  <c r="C224" i="4"/>
  <c r="C225" i="4"/>
  <c r="C228" i="4"/>
  <c r="C229" i="4"/>
  <c r="C230" i="4"/>
  <c r="C231" i="4"/>
  <c r="C232" i="4"/>
  <c r="C233" i="4"/>
  <c r="C234" i="4"/>
  <c r="C235" i="4"/>
  <c r="C236" i="4"/>
  <c r="C237" i="4"/>
  <c r="C239" i="4"/>
  <c r="C240" i="4"/>
  <c r="C241" i="4"/>
  <c r="C242" i="4"/>
  <c r="C243" i="4"/>
  <c r="C244" i="4"/>
  <c r="C245" i="4"/>
  <c r="C246" i="4"/>
  <c r="C247" i="4"/>
  <c r="C248" i="4"/>
  <c r="C250" i="4"/>
  <c r="C251" i="4"/>
  <c r="C252" i="4"/>
  <c r="C253" i="4"/>
  <c r="C254" i="4"/>
  <c r="C255" i="4"/>
  <c r="C256" i="4"/>
  <c r="C257" i="4"/>
  <c r="C258" i="4"/>
  <c r="C259" i="4"/>
  <c r="C261" i="4"/>
  <c r="C262" i="4"/>
  <c r="C263" i="4"/>
  <c r="C264" i="4"/>
  <c r="C265" i="4"/>
  <c r="C266" i="4"/>
  <c r="C267" i="4"/>
  <c r="C268" i="4"/>
  <c r="C269" i="4"/>
  <c r="C270" i="4"/>
  <c r="C272" i="4"/>
  <c r="C273" i="4"/>
  <c r="C274" i="4"/>
  <c r="C275" i="4"/>
  <c r="C276" i="4"/>
  <c r="C277" i="4"/>
  <c r="C278" i="4"/>
  <c r="C279" i="4"/>
  <c r="C280" i="4"/>
  <c r="C281" i="4"/>
  <c r="C283" i="4"/>
  <c r="C284" i="4"/>
  <c r="C285" i="4"/>
  <c r="C286" i="4"/>
  <c r="C287" i="4"/>
  <c r="C288" i="4"/>
  <c r="C289" i="4"/>
  <c r="C290" i="4"/>
  <c r="C291" i="4"/>
  <c r="C292" i="4"/>
  <c r="C294" i="4"/>
  <c r="C295" i="4"/>
  <c r="C296" i="4"/>
  <c r="C297" i="4"/>
  <c r="C298" i="4"/>
  <c r="C299" i="4"/>
  <c r="C300" i="4"/>
  <c r="C301" i="4"/>
  <c r="C302" i="4"/>
  <c r="C303" i="4"/>
  <c r="C305" i="4"/>
  <c r="C306" i="4"/>
  <c r="C307" i="4"/>
  <c r="C308" i="4"/>
  <c r="C309" i="4"/>
  <c r="C310" i="4"/>
  <c r="C311" i="4"/>
  <c r="C312" i="4"/>
  <c r="C313" i="4"/>
  <c r="C314" i="4"/>
  <c r="C316" i="4"/>
  <c r="C317" i="4"/>
  <c r="C318" i="4"/>
  <c r="C319" i="4"/>
  <c r="C320" i="4"/>
  <c r="C321" i="4"/>
  <c r="C322" i="4"/>
  <c r="C323" i="4"/>
  <c r="C324" i="4"/>
  <c r="C325" i="4"/>
  <c r="C327" i="4"/>
  <c r="C328" i="4"/>
  <c r="C329" i="4"/>
  <c r="C330" i="4"/>
  <c r="C331" i="4"/>
  <c r="C332" i="4"/>
  <c r="C333" i="4"/>
  <c r="C334" i="4"/>
  <c r="C335" i="4"/>
  <c r="C336" i="4"/>
  <c r="C339" i="4"/>
  <c r="C340" i="4"/>
  <c r="C341" i="4"/>
  <c r="C342" i="4"/>
  <c r="C343" i="4"/>
  <c r="C344" i="4"/>
  <c r="C345" i="4"/>
  <c r="C346" i="4"/>
  <c r="C347" i="4"/>
  <c r="C348" i="4"/>
  <c r="C350" i="4"/>
  <c r="C351" i="4"/>
  <c r="C352" i="4"/>
  <c r="C353" i="4"/>
  <c r="C354" i="4"/>
  <c r="C355" i="4"/>
  <c r="C356" i="4"/>
  <c r="C357" i="4"/>
  <c r="C358" i="4"/>
  <c r="C359" i="4"/>
  <c r="C361" i="4"/>
  <c r="C362" i="4"/>
  <c r="C363" i="4"/>
  <c r="C364" i="4"/>
  <c r="C365" i="4"/>
  <c r="C366" i="4"/>
  <c r="C367" i="4"/>
  <c r="C368" i="4"/>
  <c r="C369" i="4"/>
  <c r="C370" i="4"/>
  <c r="C372" i="4"/>
  <c r="C373" i="4"/>
  <c r="C374" i="4"/>
  <c r="C375" i="4"/>
  <c r="C376" i="4"/>
  <c r="C377" i="4"/>
  <c r="C378" i="4"/>
  <c r="C379" i="4"/>
  <c r="C380" i="4"/>
  <c r="C381" i="4"/>
  <c r="C383" i="4"/>
  <c r="C384" i="4"/>
  <c r="C385" i="4"/>
  <c r="C386" i="4"/>
  <c r="C387" i="4"/>
  <c r="C388" i="4"/>
  <c r="C389" i="4"/>
  <c r="C390" i="4"/>
  <c r="C391" i="4"/>
  <c r="C392" i="4"/>
  <c r="C394" i="4"/>
  <c r="C395" i="4"/>
  <c r="C396" i="4"/>
  <c r="C397" i="4"/>
  <c r="C398" i="4"/>
  <c r="C399" i="4"/>
  <c r="C400" i="4"/>
  <c r="C401" i="4"/>
  <c r="C402" i="4"/>
  <c r="C403" i="4"/>
  <c r="C405" i="4"/>
  <c r="C406" i="4"/>
  <c r="C407" i="4"/>
  <c r="C408" i="4"/>
  <c r="C409" i="4"/>
  <c r="C410" i="4"/>
  <c r="C411" i="4"/>
  <c r="C412" i="4"/>
  <c r="C413" i="4"/>
  <c r="C414" i="4"/>
  <c r="C416" i="4"/>
  <c r="C417" i="4"/>
  <c r="C418" i="4"/>
  <c r="C419" i="4"/>
  <c r="C420" i="4"/>
  <c r="C421" i="4"/>
  <c r="C422" i="4"/>
  <c r="C423" i="4"/>
  <c r="C424" i="4"/>
  <c r="C425" i="4"/>
  <c r="C427" i="4"/>
  <c r="C428" i="4"/>
  <c r="C429" i="4"/>
  <c r="C430" i="4"/>
  <c r="C431" i="4"/>
  <c r="C432" i="4"/>
  <c r="C433" i="4"/>
  <c r="C434" i="4"/>
  <c r="C435" i="4"/>
  <c r="C436" i="4"/>
  <c r="C438" i="4"/>
  <c r="C439" i="4"/>
  <c r="C440" i="4"/>
  <c r="C441" i="4"/>
  <c r="C442" i="4"/>
  <c r="C443" i="4"/>
  <c r="C444" i="4"/>
  <c r="C445" i="4"/>
  <c r="C446" i="4"/>
  <c r="C447" i="4"/>
  <c r="C450" i="4"/>
  <c r="C451" i="4"/>
  <c r="C452" i="4"/>
  <c r="C453" i="4"/>
  <c r="C454" i="4"/>
  <c r="C455" i="4"/>
  <c r="C456" i="4"/>
  <c r="C457" i="4"/>
  <c r="C458" i="4"/>
  <c r="C459" i="4"/>
  <c r="C461" i="4"/>
  <c r="C462" i="4"/>
  <c r="C463" i="4"/>
  <c r="C464" i="4"/>
  <c r="C465" i="4"/>
  <c r="C466" i="4"/>
  <c r="C467" i="4"/>
  <c r="C468" i="4"/>
  <c r="C469" i="4"/>
  <c r="C470" i="4"/>
  <c r="C472" i="4"/>
  <c r="C473" i="4"/>
  <c r="C474" i="4"/>
  <c r="C475" i="4"/>
  <c r="C476" i="4"/>
  <c r="C477" i="4"/>
  <c r="C478" i="4"/>
  <c r="C479" i="4"/>
  <c r="C480" i="4"/>
  <c r="C481" i="4"/>
  <c r="C483" i="4"/>
  <c r="C484" i="4"/>
  <c r="C485" i="4"/>
  <c r="C486" i="4"/>
  <c r="C487" i="4"/>
  <c r="C488" i="4"/>
  <c r="C489" i="4"/>
  <c r="C490" i="4"/>
  <c r="C491" i="4"/>
  <c r="C492" i="4"/>
  <c r="C494" i="4"/>
  <c r="C495" i="4"/>
  <c r="C496" i="4"/>
  <c r="C497" i="4"/>
  <c r="C498" i="4"/>
  <c r="C499" i="4"/>
  <c r="C500" i="4"/>
  <c r="C501" i="4"/>
  <c r="C502" i="4"/>
  <c r="C503" i="4"/>
  <c r="C505" i="4"/>
  <c r="C506" i="4"/>
  <c r="C507" i="4"/>
  <c r="C508" i="4"/>
  <c r="C509" i="4"/>
  <c r="C510" i="4"/>
  <c r="C511" i="4"/>
  <c r="C512" i="4"/>
  <c r="C513" i="4"/>
  <c r="C514" i="4"/>
  <c r="C516" i="4"/>
  <c r="C517" i="4"/>
  <c r="C518" i="4"/>
  <c r="C519" i="4"/>
  <c r="C520" i="4"/>
  <c r="C521" i="4"/>
  <c r="C522" i="4"/>
  <c r="C523" i="4"/>
  <c r="C524" i="4"/>
  <c r="C525" i="4"/>
  <c r="C527" i="4"/>
  <c r="C528" i="4"/>
  <c r="C529" i="4"/>
  <c r="C530" i="4"/>
  <c r="C531" i="4"/>
  <c r="C532" i="4"/>
  <c r="C533" i="4"/>
  <c r="C534" i="4"/>
  <c r="C535" i="4"/>
  <c r="C536" i="4"/>
  <c r="C538" i="4"/>
  <c r="C539" i="4"/>
  <c r="C540" i="4"/>
  <c r="C541" i="4"/>
  <c r="C542" i="4"/>
  <c r="C543" i="4"/>
  <c r="C544" i="4"/>
  <c r="C545" i="4"/>
  <c r="C546" i="4"/>
  <c r="C547" i="4"/>
  <c r="C549" i="4"/>
  <c r="C550" i="4"/>
  <c r="C551" i="4"/>
  <c r="C552" i="4"/>
  <c r="C553" i="4"/>
  <c r="C554" i="4"/>
  <c r="C555" i="4"/>
  <c r="C556" i="4"/>
  <c r="C557" i="4"/>
  <c r="C558" i="4"/>
  <c r="C561" i="4"/>
  <c r="C562" i="4"/>
  <c r="C563" i="4"/>
  <c r="C564" i="4"/>
  <c r="C565" i="4"/>
  <c r="C566" i="4"/>
  <c r="C567" i="4"/>
  <c r="C568" i="4"/>
  <c r="C569" i="4"/>
  <c r="C570" i="4"/>
  <c r="C572" i="4"/>
  <c r="C573" i="4"/>
  <c r="C574" i="4"/>
  <c r="C575" i="4"/>
  <c r="C576" i="4"/>
  <c r="C577" i="4"/>
  <c r="C578" i="4"/>
  <c r="C579" i="4"/>
  <c r="C580" i="4"/>
  <c r="C581" i="4"/>
  <c r="C583" i="4"/>
  <c r="C584" i="4"/>
  <c r="C585" i="4"/>
  <c r="C586" i="4"/>
  <c r="C587" i="4"/>
  <c r="C588" i="4"/>
  <c r="C589" i="4"/>
  <c r="C590" i="4"/>
  <c r="C591" i="4"/>
  <c r="C592" i="4"/>
  <c r="C594" i="4"/>
  <c r="C595" i="4"/>
  <c r="C596" i="4"/>
  <c r="C597" i="4"/>
  <c r="C598" i="4"/>
  <c r="C599" i="4"/>
  <c r="C600" i="4"/>
  <c r="C601" i="4"/>
  <c r="C602" i="4"/>
  <c r="C603" i="4"/>
  <c r="C605" i="4"/>
  <c r="C606" i="4"/>
  <c r="C607" i="4"/>
  <c r="C608" i="4"/>
  <c r="C609" i="4"/>
  <c r="C610" i="4"/>
  <c r="C611" i="4"/>
  <c r="C612" i="4"/>
  <c r="C613" i="4"/>
  <c r="C614" i="4"/>
  <c r="C616" i="4"/>
  <c r="C617" i="4"/>
  <c r="C618" i="4"/>
  <c r="C619" i="4"/>
  <c r="C620" i="4"/>
  <c r="C621" i="4"/>
  <c r="C622" i="4"/>
  <c r="C623" i="4"/>
  <c r="C624" i="4"/>
  <c r="C625" i="4"/>
  <c r="C627" i="4"/>
  <c r="C628" i="4"/>
  <c r="C629" i="4"/>
  <c r="C630" i="4"/>
  <c r="C631" i="4"/>
  <c r="C632" i="4"/>
  <c r="C633" i="4"/>
  <c r="C634" i="4"/>
  <c r="C635" i="4"/>
  <c r="C636" i="4"/>
  <c r="C638" i="4"/>
  <c r="C639" i="4"/>
  <c r="C640" i="4"/>
  <c r="C641" i="4"/>
  <c r="C642" i="4"/>
  <c r="C643" i="4"/>
  <c r="C644" i="4"/>
  <c r="C645" i="4"/>
  <c r="C646" i="4"/>
  <c r="C647" i="4"/>
  <c r="C649" i="4"/>
  <c r="C650" i="4"/>
  <c r="C651" i="4"/>
  <c r="C652" i="4"/>
  <c r="C653" i="4"/>
  <c r="C654" i="4"/>
  <c r="C655" i="4"/>
  <c r="C656" i="4"/>
  <c r="C657" i="4"/>
  <c r="C658" i="4"/>
  <c r="C660" i="4"/>
  <c r="C661" i="4"/>
  <c r="C662" i="4"/>
  <c r="C663" i="4"/>
  <c r="C664" i="4"/>
  <c r="C665" i="4"/>
  <c r="C666" i="4"/>
  <c r="C667" i="4"/>
  <c r="C668" i="4"/>
  <c r="C669" i="4"/>
  <c r="C672" i="4"/>
  <c r="C673" i="4"/>
  <c r="C674" i="4"/>
  <c r="C675" i="4"/>
  <c r="C676" i="4"/>
  <c r="C677" i="4"/>
  <c r="C678" i="4"/>
  <c r="C679" i="4"/>
  <c r="C680" i="4"/>
  <c r="C681" i="4"/>
  <c r="C683" i="4"/>
  <c r="C684" i="4"/>
  <c r="C685" i="4"/>
  <c r="C686" i="4"/>
  <c r="C687" i="4"/>
  <c r="C688" i="4"/>
  <c r="C689" i="4"/>
  <c r="C690" i="4"/>
  <c r="C691" i="4"/>
  <c r="C692" i="4"/>
  <c r="C694" i="4"/>
  <c r="C695" i="4"/>
  <c r="C696" i="4"/>
  <c r="C697" i="4"/>
  <c r="C698" i="4"/>
  <c r="C699" i="4"/>
  <c r="C700" i="4"/>
  <c r="C701" i="4"/>
  <c r="C702" i="4"/>
  <c r="C703" i="4"/>
  <c r="C705" i="4"/>
  <c r="C706" i="4"/>
  <c r="C707" i="4"/>
  <c r="C708" i="4"/>
  <c r="C709" i="4"/>
  <c r="C710" i="4"/>
  <c r="C711" i="4"/>
  <c r="C712" i="4"/>
  <c r="C713" i="4"/>
  <c r="C714" i="4"/>
  <c r="C716" i="4"/>
  <c r="C717" i="4"/>
  <c r="C718" i="4"/>
  <c r="C719" i="4"/>
  <c r="C720" i="4"/>
  <c r="C721" i="4"/>
  <c r="C722" i="4"/>
  <c r="C723" i="4"/>
  <c r="C724" i="4"/>
  <c r="C725" i="4"/>
  <c r="C727" i="4"/>
  <c r="C728" i="4"/>
  <c r="C729" i="4"/>
  <c r="C730" i="4"/>
  <c r="C731" i="4"/>
  <c r="C732" i="4"/>
  <c r="C733" i="4"/>
  <c r="C734" i="4"/>
  <c r="C735" i="4"/>
  <c r="C736" i="4"/>
  <c r="C738" i="4"/>
  <c r="C739" i="4"/>
  <c r="C740" i="4"/>
  <c r="C741" i="4"/>
  <c r="C742" i="4"/>
  <c r="C743" i="4"/>
  <c r="C744" i="4"/>
  <c r="C745" i="4"/>
  <c r="C746" i="4"/>
  <c r="C747" i="4"/>
  <c r="C749" i="4"/>
  <c r="C750" i="4"/>
  <c r="C751" i="4"/>
  <c r="C752" i="4"/>
  <c r="C753" i="4"/>
  <c r="C754" i="4"/>
  <c r="C755" i="4"/>
  <c r="C756" i="4"/>
  <c r="C757" i="4"/>
  <c r="C758" i="4"/>
  <c r="C760" i="4"/>
  <c r="C761" i="4"/>
  <c r="C762" i="4"/>
  <c r="C763" i="4"/>
  <c r="C764" i="4"/>
  <c r="C765" i="4"/>
  <c r="C766" i="4"/>
  <c r="C767" i="4"/>
  <c r="C768" i="4"/>
  <c r="C769" i="4"/>
  <c r="C771" i="4"/>
  <c r="C772" i="4"/>
  <c r="C773" i="4"/>
  <c r="C774" i="4"/>
  <c r="C775" i="4"/>
  <c r="C776" i="4"/>
  <c r="C777" i="4"/>
  <c r="C778" i="4"/>
  <c r="C779" i="4"/>
  <c r="C780" i="4"/>
  <c r="C783" i="4"/>
  <c r="C784" i="4"/>
  <c r="C785" i="4"/>
  <c r="C786" i="4"/>
  <c r="C787" i="4"/>
  <c r="C788" i="4"/>
  <c r="C789" i="4"/>
  <c r="C790" i="4"/>
  <c r="C791" i="4"/>
  <c r="C792" i="4"/>
  <c r="C794" i="4"/>
  <c r="C795" i="4"/>
  <c r="C796" i="4"/>
  <c r="C797" i="4"/>
  <c r="C798" i="4"/>
  <c r="C799" i="4"/>
  <c r="C800" i="4"/>
  <c r="C801" i="4"/>
  <c r="C802" i="4"/>
  <c r="C803" i="4"/>
  <c r="C805" i="4"/>
  <c r="C806" i="4"/>
  <c r="C807" i="4"/>
  <c r="C808" i="4"/>
  <c r="C809" i="4"/>
  <c r="C810" i="4"/>
  <c r="C811" i="4"/>
  <c r="C812" i="4"/>
  <c r="C813" i="4"/>
  <c r="C814" i="4"/>
  <c r="C816" i="4"/>
  <c r="C817" i="4"/>
  <c r="C818" i="4"/>
  <c r="C819" i="4"/>
  <c r="C820" i="4"/>
  <c r="C821" i="4"/>
  <c r="C822" i="4"/>
  <c r="C823" i="4"/>
  <c r="C824" i="4"/>
  <c r="C825" i="4"/>
  <c r="C827" i="4"/>
  <c r="C828" i="4"/>
  <c r="C829" i="4"/>
  <c r="C830" i="4"/>
  <c r="C831" i="4"/>
  <c r="C832" i="4"/>
  <c r="C833" i="4"/>
  <c r="C834" i="4"/>
  <c r="C835" i="4"/>
  <c r="C836" i="4"/>
  <c r="C838" i="4"/>
  <c r="C839" i="4"/>
  <c r="C840" i="4"/>
  <c r="C841" i="4"/>
  <c r="C842" i="4"/>
  <c r="C843" i="4"/>
  <c r="C844" i="4"/>
  <c r="C845" i="4"/>
  <c r="C846" i="4"/>
  <c r="C847" i="4"/>
  <c r="C849" i="4"/>
  <c r="C850" i="4"/>
  <c r="C851" i="4"/>
  <c r="C852" i="4"/>
  <c r="C853" i="4"/>
  <c r="C854" i="4"/>
  <c r="C855" i="4"/>
  <c r="C856" i="4"/>
  <c r="C857" i="4"/>
  <c r="C858" i="4"/>
  <c r="C860" i="4"/>
  <c r="C861" i="4"/>
  <c r="C862" i="4"/>
  <c r="C863" i="4"/>
  <c r="C864" i="4"/>
  <c r="C865" i="4"/>
  <c r="C866" i="4"/>
  <c r="C867" i="4"/>
  <c r="C868" i="4"/>
  <c r="C869" i="4"/>
  <c r="C871" i="4"/>
  <c r="C872" i="4"/>
  <c r="C873" i="4"/>
  <c r="C874" i="4"/>
  <c r="C875" i="4"/>
  <c r="C876" i="4"/>
  <c r="C877" i="4"/>
  <c r="C878" i="4"/>
  <c r="C879" i="4"/>
  <c r="C880" i="4"/>
  <c r="C882" i="4"/>
  <c r="C883" i="4"/>
  <c r="C884" i="4"/>
  <c r="C885" i="4"/>
  <c r="C886" i="4"/>
  <c r="C887" i="4"/>
  <c r="C888" i="4"/>
  <c r="C889" i="4"/>
  <c r="C890" i="4"/>
  <c r="C891" i="4"/>
  <c r="C894" i="4"/>
  <c r="C895" i="4"/>
  <c r="C896" i="4"/>
  <c r="C897" i="4"/>
  <c r="C898" i="4"/>
  <c r="C899" i="4"/>
  <c r="C900" i="4"/>
  <c r="C901" i="4"/>
  <c r="C902" i="4"/>
  <c r="C903" i="4"/>
  <c r="C905" i="4"/>
  <c r="C906" i="4"/>
  <c r="C907" i="4"/>
  <c r="C908" i="4"/>
  <c r="C909" i="4"/>
  <c r="C910" i="4"/>
  <c r="C911" i="4"/>
  <c r="C912" i="4"/>
  <c r="C913" i="4"/>
  <c r="C914" i="4"/>
  <c r="C916" i="4"/>
  <c r="C917" i="4"/>
  <c r="C918" i="4"/>
  <c r="C919" i="4"/>
  <c r="C920" i="4"/>
  <c r="C921" i="4"/>
  <c r="C922" i="4"/>
  <c r="C923" i="4"/>
  <c r="C924" i="4"/>
  <c r="C925" i="4"/>
  <c r="C927" i="4"/>
  <c r="C928" i="4"/>
  <c r="C929" i="4"/>
  <c r="C930" i="4"/>
  <c r="C931" i="4"/>
  <c r="C932" i="4"/>
  <c r="C933" i="4"/>
  <c r="C934" i="4"/>
  <c r="C935" i="4"/>
  <c r="C936" i="4"/>
  <c r="C938" i="4"/>
  <c r="C939" i="4"/>
  <c r="C940" i="4"/>
  <c r="C941" i="4"/>
  <c r="C942" i="4"/>
  <c r="C943" i="4"/>
  <c r="C944" i="4"/>
  <c r="C945" i="4"/>
  <c r="C946" i="4"/>
  <c r="C947" i="4"/>
  <c r="C949" i="4"/>
  <c r="C950" i="4"/>
  <c r="C951" i="4"/>
  <c r="C952" i="4"/>
  <c r="C953" i="4"/>
  <c r="C954" i="4"/>
  <c r="C955" i="4"/>
  <c r="C956" i="4"/>
  <c r="C957" i="4"/>
  <c r="C958" i="4"/>
  <c r="C960" i="4"/>
  <c r="C961" i="4"/>
  <c r="C962" i="4"/>
  <c r="C963" i="4"/>
  <c r="C964" i="4"/>
  <c r="C965" i="4"/>
  <c r="C966" i="4"/>
  <c r="C967" i="4"/>
  <c r="C968" i="4"/>
  <c r="C969" i="4"/>
  <c r="C971" i="4"/>
  <c r="C972" i="4"/>
  <c r="C973" i="4"/>
  <c r="C974" i="4"/>
  <c r="C975" i="4"/>
  <c r="C976" i="4"/>
  <c r="C977" i="4"/>
  <c r="C978" i="4"/>
  <c r="C979" i="4"/>
  <c r="C980" i="4"/>
  <c r="C982" i="4"/>
  <c r="C983" i="4"/>
  <c r="C984" i="4"/>
  <c r="C985" i="4"/>
  <c r="C986" i="4"/>
  <c r="C987" i="4"/>
  <c r="C988" i="4"/>
  <c r="C989" i="4"/>
  <c r="C990" i="4"/>
  <c r="C991" i="4"/>
  <c r="C993" i="4"/>
  <c r="C994" i="4"/>
  <c r="C995" i="4"/>
  <c r="C996" i="4"/>
  <c r="C997" i="4"/>
  <c r="C998" i="4"/>
  <c r="C999" i="4"/>
  <c r="C1000" i="4"/>
  <c r="C1001" i="4"/>
  <c r="C1002" i="4"/>
  <c r="C1005" i="4"/>
  <c r="C1006" i="4"/>
  <c r="C1007" i="4"/>
  <c r="C1008" i="4"/>
  <c r="C1009" i="4"/>
  <c r="C1010" i="4"/>
  <c r="C1011" i="4"/>
  <c r="C1012" i="4"/>
  <c r="C1013" i="4"/>
  <c r="C1014" i="4"/>
  <c r="C1016" i="4"/>
  <c r="C1017" i="4"/>
  <c r="C1018" i="4"/>
  <c r="C1019" i="4"/>
  <c r="C1020" i="4"/>
  <c r="C1021" i="4"/>
  <c r="C1022" i="4"/>
  <c r="C1023" i="4"/>
  <c r="C1024" i="4"/>
  <c r="C1025" i="4"/>
  <c r="C1027" i="4"/>
  <c r="C1028" i="4"/>
  <c r="C1029" i="4"/>
  <c r="C1030" i="4"/>
  <c r="C1031" i="4"/>
  <c r="C1032" i="4"/>
  <c r="C1033" i="4"/>
  <c r="C1034" i="4"/>
  <c r="C1035" i="4"/>
  <c r="C1036" i="4"/>
  <c r="C1038" i="4"/>
  <c r="C1039" i="4"/>
  <c r="C1040" i="4"/>
  <c r="C1041" i="4"/>
  <c r="C1042" i="4"/>
  <c r="C1043" i="4"/>
  <c r="C1044" i="4"/>
  <c r="C1045" i="4"/>
  <c r="C1046" i="4"/>
  <c r="C1047" i="4"/>
  <c r="C1049" i="4"/>
  <c r="C1050" i="4"/>
  <c r="C1051" i="4"/>
  <c r="C1052" i="4"/>
  <c r="C1053" i="4"/>
  <c r="C1054" i="4"/>
  <c r="C1055" i="4"/>
  <c r="C1056" i="4"/>
  <c r="C1057" i="4"/>
  <c r="C1058" i="4"/>
  <c r="C1060" i="4"/>
  <c r="C1061" i="4"/>
  <c r="C1062" i="4"/>
  <c r="C1063" i="4"/>
  <c r="C1064" i="4"/>
  <c r="C1065" i="4"/>
  <c r="C1066" i="4"/>
  <c r="C1067" i="4"/>
  <c r="C1068" i="4"/>
  <c r="C1069" i="4"/>
  <c r="C1071" i="4"/>
  <c r="C1072" i="4"/>
  <c r="C1073" i="4"/>
  <c r="C1074" i="4"/>
  <c r="C1075" i="4"/>
  <c r="C1076" i="4"/>
  <c r="C1077" i="4"/>
  <c r="C1078" i="4"/>
  <c r="C1079" i="4"/>
  <c r="C1080" i="4"/>
  <c r="C1082" i="4"/>
  <c r="C1083" i="4"/>
  <c r="C1084" i="4"/>
  <c r="C1085" i="4"/>
  <c r="C1086" i="4"/>
  <c r="C1087" i="4"/>
  <c r="C1088" i="4"/>
  <c r="C1089" i="4"/>
  <c r="C1090" i="4"/>
  <c r="C1091" i="4"/>
  <c r="C1093" i="4"/>
  <c r="C1094" i="4"/>
  <c r="C1095" i="4"/>
  <c r="C1096" i="4"/>
  <c r="C1097" i="4"/>
  <c r="C1098" i="4"/>
  <c r="C1099" i="4"/>
  <c r="C1100" i="4"/>
  <c r="C1101" i="4"/>
  <c r="C1102" i="4"/>
  <c r="C1104" i="4"/>
  <c r="C1105" i="4"/>
  <c r="C1106" i="4"/>
  <c r="C1107" i="4"/>
  <c r="C1108" i="4"/>
  <c r="C1109" i="4"/>
  <c r="C1110" i="4"/>
  <c r="C1111" i="4"/>
  <c r="C1112" i="4"/>
  <c r="C1113" i="4"/>
  <c r="C2" i="4"/>
  <c r="S2001" i="4" l="1"/>
  <c r="K2004" i="4"/>
  <c r="N1106" i="4"/>
  <c r="N955" i="4"/>
  <c r="N935" i="4"/>
  <c r="N910" i="4"/>
  <c r="N877" i="4"/>
  <c r="N821" i="4"/>
  <c r="N792" i="4"/>
  <c r="N688" i="4"/>
  <c r="N632" i="4"/>
  <c r="N529" i="4"/>
  <c r="N476" i="4"/>
  <c r="N405" i="4"/>
  <c r="N352" i="4"/>
  <c r="N287" i="4"/>
  <c r="N144" i="4"/>
  <c r="N1105" i="4"/>
  <c r="N1078" i="4"/>
  <c r="N1061" i="4"/>
  <c r="N1029" i="4"/>
  <c r="N1008" i="4"/>
  <c r="N980" i="4"/>
  <c r="N929" i="4"/>
  <c r="N909" i="4"/>
  <c r="N874" i="4"/>
  <c r="N840" i="4"/>
  <c r="N820" i="4"/>
  <c r="N787" i="4"/>
  <c r="N678" i="4"/>
  <c r="N631" i="4"/>
  <c r="N587" i="4"/>
  <c r="N528" i="4"/>
  <c r="N475" i="4"/>
  <c r="N403" i="4"/>
  <c r="N351" i="4"/>
  <c r="N286" i="4"/>
  <c r="N2000" i="4"/>
  <c r="N1727" i="4"/>
  <c r="N1104" i="4"/>
  <c r="N1027" i="4"/>
  <c r="N1007" i="4"/>
  <c r="N973" i="4"/>
  <c r="N953" i="4"/>
  <c r="N928" i="4"/>
  <c r="N905" i="4"/>
  <c r="N839" i="4"/>
  <c r="N813" i="4"/>
  <c r="N785" i="4"/>
  <c r="N721" i="4"/>
  <c r="N627" i="4"/>
  <c r="N574" i="4"/>
  <c r="N527" i="4"/>
  <c r="N458" i="4"/>
  <c r="N350" i="4"/>
  <c r="N265" i="4"/>
  <c r="N194" i="4"/>
  <c r="N1597" i="4"/>
  <c r="N1073" i="4"/>
  <c r="N1046" i="4"/>
  <c r="N999" i="4"/>
  <c r="N946" i="4"/>
  <c r="N866" i="4"/>
  <c r="N838" i="4"/>
  <c r="N812" i="4"/>
  <c r="N743" i="4"/>
  <c r="N617" i="4"/>
  <c r="N573" i="4"/>
  <c r="N511" i="4"/>
  <c r="N457" i="4"/>
  <c r="N1964" i="4"/>
  <c r="N1388" i="4"/>
  <c r="N1024" i="4"/>
  <c r="N998" i="4"/>
  <c r="N971" i="4"/>
  <c r="N945" i="4"/>
  <c r="N919" i="4"/>
  <c r="N831" i="4"/>
  <c r="N776" i="4"/>
  <c r="N742" i="4"/>
  <c r="N711" i="4"/>
  <c r="N654" i="4"/>
  <c r="N616" i="4"/>
  <c r="N510" i="4"/>
  <c r="N440" i="4"/>
  <c r="N385" i="4"/>
  <c r="N332" i="4"/>
  <c r="N1354" i="4"/>
  <c r="N1043" i="4"/>
  <c r="N918" i="4"/>
  <c r="N900" i="4"/>
  <c r="N864" i="4"/>
  <c r="N803" i="4"/>
  <c r="N736" i="4"/>
  <c r="N600" i="4"/>
  <c r="N561" i="4"/>
  <c r="N509" i="4"/>
  <c r="N439" i="4"/>
  <c r="N242" i="4"/>
  <c r="N168" i="4"/>
  <c r="N74" i="4"/>
  <c r="N1175" i="4"/>
  <c r="N1042" i="4"/>
  <c r="N1017" i="4"/>
  <c r="N962" i="4"/>
  <c r="N938" i="4"/>
  <c r="N860" i="4"/>
  <c r="N772" i="4"/>
  <c r="N699" i="4"/>
  <c r="N310" i="4"/>
  <c r="N1852" i="4"/>
  <c r="N1026" i="4"/>
  <c r="C32" i="7"/>
  <c r="S147" i="4"/>
  <c r="F48" i="7"/>
  <c r="C31" i="7"/>
  <c r="N1393" i="4"/>
  <c r="N1413" i="4"/>
  <c r="N1595" i="4"/>
  <c r="N513" i="4"/>
  <c r="N1449" i="4"/>
  <c r="N1937" i="4"/>
  <c r="N279" i="4"/>
  <c r="N1982" i="4"/>
  <c r="N1014" i="4"/>
  <c r="N78" i="4"/>
  <c r="N296" i="4"/>
  <c r="N1000" i="4"/>
  <c r="N2001" i="4"/>
  <c r="N315" i="4"/>
  <c r="N474" i="4"/>
  <c r="N1170" i="4"/>
  <c r="N1612" i="4"/>
  <c r="N1782" i="4"/>
  <c r="N1879" i="4"/>
  <c r="N988" i="4"/>
  <c r="N1463" i="4"/>
  <c r="N1872" i="4"/>
  <c r="N183" i="4"/>
  <c r="N744" i="4"/>
  <c r="N1089" i="4"/>
  <c r="N322" i="4"/>
  <c r="N1183" i="4"/>
  <c r="N1785" i="4"/>
  <c r="N1496" i="4"/>
  <c r="N1948" i="4"/>
  <c r="N152" i="4"/>
  <c r="N21" i="4"/>
  <c r="N1091" i="4"/>
  <c r="N1671" i="4"/>
  <c r="N100" i="4"/>
  <c r="N1045" i="4"/>
  <c r="N1792" i="4"/>
  <c r="N1378" i="4"/>
  <c r="N1471" i="4"/>
  <c r="N1389" i="4"/>
  <c r="N788" i="4"/>
  <c r="N226" i="4"/>
  <c r="N1531" i="4"/>
  <c r="N1181" i="4"/>
  <c r="N1331" i="4"/>
  <c r="N1571" i="4"/>
  <c r="N1824" i="4"/>
  <c r="N634" i="4"/>
  <c r="N751" i="4"/>
  <c r="N1401" i="4"/>
  <c r="N136" i="4"/>
  <c r="N1095" i="4"/>
  <c r="N1367" i="4"/>
  <c r="N1919" i="4"/>
  <c r="N674" i="4"/>
  <c r="N1905" i="4"/>
  <c r="N316" i="4"/>
  <c r="N1502" i="4"/>
  <c r="N453" i="4"/>
  <c r="N1262" i="4"/>
  <c r="N533" i="4"/>
  <c r="N1054" i="4"/>
  <c r="N446" i="4"/>
  <c r="N1740" i="4"/>
  <c r="N229" i="4"/>
  <c r="N1193" i="4"/>
  <c r="N645" i="4"/>
  <c r="N833" i="4"/>
  <c r="N873" i="4"/>
  <c r="N1143" i="4"/>
  <c r="N1748" i="4"/>
  <c r="N501" i="4"/>
  <c r="N1912" i="4"/>
  <c r="N1703" i="4"/>
  <c r="N1306" i="4"/>
  <c r="N1756" i="4"/>
  <c r="N1364" i="4"/>
  <c r="N1335" i="4"/>
  <c r="N778" i="4"/>
  <c r="N1737" i="4"/>
  <c r="N36" i="4"/>
  <c r="N278" i="4"/>
  <c r="N414" i="4"/>
  <c r="N506" i="4"/>
  <c r="N964" i="4"/>
  <c r="N1821" i="4"/>
  <c r="N34" i="4"/>
  <c r="N1568" i="4"/>
  <c r="N236" i="4"/>
  <c r="N1563" i="4"/>
  <c r="N826" i="4"/>
  <c r="N829" i="4"/>
  <c r="N1473" i="4"/>
  <c r="N389" i="4"/>
  <c r="N1051" i="4"/>
  <c r="N933" i="4"/>
  <c r="N1482" i="4"/>
  <c r="N1689" i="4"/>
  <c r="N1298" i="4"/>
  <c r="N1992" i="4"/>
  <c r="N89" i="4"/>
  <c r="N854" i="4"/>
  <c r="N1178" i="4"/>
  <c r="N1254" i="4"/>
  <c r="N1793" i="4"/>
  <c r="N1638" i="4"/>
  <c r="N896" i="4"/>
  <c r="N1944" i="4"/>
  <c r="N1034" i="4"/>
  <c r="N1923" i="4"/>
  <c r="N1172" i="4"/>
  <c r="N815" i="4"/>
  <c r="N798" i="4"/>
  <c r="N497" i="4"/>
  <c r="N356" i="4"/>
  <c r="N542" i="4"/>
  <c r="N1526" i="4"/>
  <c r="N1610" i="4"/>
  <c r="N490" i="4"/>
  <c r="N1001" i="4"/>
  <c r="N377" i="4"/>
  <c r="N1121" i="4"/>
  <c r="N65" i="4"/>
  <c r="N135" i="4"/>
  <c r="N1744" i="4"/>
  <c r="N274" i="4"/>
  <c r="N790" i="4"/>
  <c r="N1345" i="4"/>
  <c r="N1946" i="4"/>
  <c r="N770" i="4"/>
  <c r="N1472" i="4"/>
  <c r="N148" i="4"/>
  <c r="N162" i="4"/>
  <c r="N869" i="4"/>
  <c r="N597" i="4"/>
  <c r="N836" i="4"/>
  <c r="N1199" i="4"/>
  <c r="N1504" i="4"/>
  <c r="N404" i="4"/>
  <c r="N1264" i="4"/>
  <c r="N79" i="4"/>
  <c r="N366" i="4"/>
  <c r="N1289" i="4"/>
  <c r="N1738" i="4"/>
  <c r="N243" i="4"/>
  <c r="N1983" i="4"/>
  <c r="N467" i="4"/>
  <c r="N1607" i="4"/>
  <c r="N1616" i="4"/>
  <c r="N1520" i="4"/>
  <c r="N941" i="4"/>
  <c r="N1582" i="4"/>
  <c r="N357" i="4"/>
  <c r="N548" i="4"/>
  <c r="N1715" i="4"/>
  <c r="N1884" i="4"/>
  <c r="N966" i="4"/>
  <c r="N275" i="4"/>
  <c r="N1277" i="4"/>
  <c r="N1970" i="4"/>
  <c r="N49" i="4"/>
  <c r="N1566" i="4"/>
  <c r="N1578" i="4"/>
  <c r="N417" i="4"/>
  <c r="N1915" i="4"/>
  <c r="N847" i="4"/>
  <c r="N1009" i="4"/>
  <c r="N1336" i="4"/>
  <c r="N537" i="4"/>
  <c r="N622" i="4"/>
  <c r="N1049" i="4"/>
  <c r="N1854" i="4"/>
  <c r="N1308" i="4"/>
  <c r="N1794" i="4"/>
  <c r="N1422" i="4"/>
  <c r="N1951" i="4"/>
  <c r="N567" i="4"/>
  <c r="N1259" i="4"/>
  <c r="N959" i="4"/>
  <c r="N1478" i="4"/>
  <c r="N1940" i="4"/>
  <c r="N207" i="4"/>
  <c r="N433" i="4"/>
  <c r="N277" i="4"/>
  <c r="N977" i="4"/>
  <c r="N1409" i="4"/>
  <c r="N604" i="4"/>
  <c r="N1741" i="4"/>
  <c r="N1434" i="4"/>
  <c r="N1717" i="4"/>
  <c r="N423" i="4"/>
  <c r="N530" i="4"/>
  <c r="N517" i="4"/>
  <c r="N1513" i="4"/>
  <c r="N629" i="4"/>
  <c r="N378" i="4"/>
  <c r="N1651" i="4"/>
  <c r="N1954" i="4"/>
  <c r="N1162" i="4"/>
  <c r="N1991" i="4"/>
  <c r="N1485" i="4"/>
  <c r="N1724" i="4"/>
  <c r="N105" i="4"/>
  <c r="N1546" i="4"/>
  <c r="N452" i="4"/>
  <c r="N321" i="4"/>
  <c r="N96" i="4"/>
  <c r="N88" i="4"/>
  <c r="N538" i="4"/>
  <c r="N1219" i="4"/>
  <c r="N1688" i="4"/>
  <c r="N264" i="4"/>
  <c r="N304" i="4"/>
  <c r="N1093" i="4"/>
  <c r="N1625" i="4"/>
  <c r="N71" i="4"/>
  <c r="N1140" i="4"/>
  <c r="N598" i="4"/>
  <c r="N1930" i="4"/>
  <c r="N594" i="4"/>
  <c r="N639" i="4"/>
  <c r="N481" i="4"/>
  <c r="N421" i="4"/>
  <c r="N570" i="4"/>
  <c r="N1400" i="4"/>
  <c r="N1542" i="4"/>
  <c r="N1056" i="4"/>
  <c r="N553" i="4"/>
  <c r="N1273" i="4"/>
  <c r="N1758" i="4"/>
  <c r="N1673" i="4"/>
  <c r="N1637" i="4"/>
  <c r="N503" i="4"/>
  <c r="N75" i="4"/>
  <c r="N565" i="4"/>
  <c r="N614" i="4"/>
  <c r="N1417" i="4"/>
  <c r="N1665" i="4"/>
  <c r="N683" i="4"/>
  <c r="N85" i="4"/>
  <c r="N984" i="4"/>
  <c r="N1553" i="4"/>
  <c r="N716" i="4"/>
  <c r="N842" i="4"/>
  <c r="N1187" i="4"/>
  <c r="N1327" i="4"/>
  <c r="N142" i="4"/>
  <c r="N119" i="4"/>
  <c r="N1899" i="4"/>
  <c r="N1907" i="4"/>
  <c r="N8" i="4"/>
  <c r="B53" i="7" s="1"/>
  <c r="N507" i="4"/>
  <c r="N1963" i="4"/>
  <c r="N1263" i="4"/>
  <c r="N1300" i="4"/>
  <c r="N1491" i="4"/>
  <c r="N1377" i="4"/>
  <c r="N1805" i="4"/>
  <c r="N54" i="4"/>
  <c r="N195" i="4"/>
  <c r="N725" i="4"/>
  <c r="N57" i="4"/>
  <c r="N986" i="4"/>
  <c r="N353" i="4"/>
  <c r="N624" i="4"/>
  <c r="N741" i="4"/>
  <c r="N1156" i="4"/>
  <c r="N241" i="4"/>
  <c r="N1865" i="4"/>
  <c r="N189" i="4"/>
  <c r="N1909" i="4"/>
  <c r="N1639" i="4"/>
  <c r="N514" i="4"/>
  <c r="N765" i="4"/>
  <c r="N1365" i="4"/>
  <c r="N893" i="4"/>
  <c r="N1186" i="4"/>
  <c r="N547" i="4"/>
  <c r="N644" i="4"/>
  <c r="N816" i="4"/>
  <c r="N749" i="4"/>
  <c r="N1569" i="4"/>
  <c r="N1521" i="4"/>
  <c r="N1392" i="4"/>
  <c r="N59" i="4"/>
  <c r="N1719" i="4"/>
  <c r="N508" i="4"/>
  <c r="N225" i="4"/>
  <c r="N904" i="4"/>
  <c r="N1590" i="4"/>
  <c r="N1770" i="4"/>
  <c r="N450" i="4"/>
  <c r="N418" i="4"/>
  <c r="N544" i="4"/>
  <c r="N1679" i="4"/>
  <c r="N566" i="4"/>
  <c r="N1252" i="4"/>
  <c r="N1257" i="4"/>
  <c r="N365" i="4"/>
  <c r="N1956" i="4"/>
  <c r="N1567" i="4"/>
  <c r="N1394" i="4"/>
  <c r="N1711" i="4"/>
  <c r="N577" i="4"/>
  <c r="N429" i="4"/>
  <c r="N1903" i="4"/>
  <c r="N1190" i="4"/>
  <c r="N1972" i="4"/>
  <c r="N386" i="4"/>
  <c r="N1357" i="4"/>
  <c r="N1248" i="4"/>
  <c r="N1601" i="4"/>
  <c r="N394" i="4"/>
  <c r="N981" i="4"/>
  <c r="N1957" i="4"/>
  <c r="N1529" i="4"/>
  <c r="N1075" i="4"/>
  <c r="N1411" i="4"/>
  <c r="N1683" i="4"/>
  <c r="N899" i="4"/>
  <c r="N1845" i="4"/>
  <c r="N1247" i="4"/>
  <c r="N1750" i="4"/>
  <c r="N477" i="4"/>
  <c r="N462" i="4"/>
  <c r="N662" i="4"/>
  <c r="N232" i="4"/>
  <c r="N672" i="4"/>
  <c r="N890" i="4"/>
  <c r="N1710" i="4"/>
  <c r="N1384" i="4"/>
  <c r="N1296" i="4"/>
  <c r="N1256" i="4"/>
  <c r="N1796" i="4"/>
  <c r="N1318" i="4"/>
  <c r="N925" i="4"/>
  <c r="N1004" i="4"/>
  <c r="N1775" i="4"/>
  <c r="N1202" i="4"/>
  <c r="N876" i="4"/>
  <c r="N651" i="4"/>
  <c r="N51" i="4"/>
  <c r="N556" i="4"/>
  <c r="N292" i="4"/>
  <c r="N1036" i="4"/>
  <c r="N526" i="4"/>
  <c r="N1787" i="4"/>
  <c r="N580" i="4"/>
  <c r="N141" i="4"/>
  <c r="N1509" i="4"/>
  <c r="N45" i="4"/>
  <c r="N443" i="4"/>
  <c r="N1555" i="4"/>
  <c r="N1508" i="4"/>
  <c r="N1648" i="4"/>
  <c r="N1206" i="4"/>
  <c r="N1244" i="4"/>
  <c r="N419" i="4"/>
  <c r="N978" i="4"/>
  <c r="N1135" i="4"/>
  <c r="N42" i="4"/>
  <c r="N1556" i="4"/>
  <c r="N1795" i="4"/>
  <c r="N179" i="4"/>
  <c r="N886" i="4"/>
  <c r="N843" i="4"/>
  <c r="N1269" i="4"/>
  <c r="N1790" i="4"/>
  <c r="N370" i="4"/>
  <c r="N656" i="4"/>
  <c r="N483" i="4"/>
  <c r="N1545" i="4"/>
  <c r="N104" i="4"/>
  <c r="N1283" i="4"/>
  <c r="N1412" i="4"/>
  <c r="N1732" i="4"/>
  <c r="N1334" i="4"/>
  <c r="N768" i="4"/>
  <c r="N1227" i="4"/>
  <c r="N1723" i="4"/>
  <c r="N1708" i="4"/>
  <c r="N13" i="4"/>
  <c r="N309" i="4"/>
  <c r="N1999" i="4"/>
  <c r="N1800" i="4"/>
  <c r="N1516" i="4"/>
  <c r="N38" i="4"/>
  <c r="N1212" i="4"/>
  <c r="N700" i="4"/>
  <c r="N1420" i="4"/>
  <c r="N1497" i="4"/>
  <c r="N1459" i="4"/>
  <c r="N1147" i="4"/>
  <c r="N1540" i="4"/>
  <c r="N434" i="4"/>
  <c r="N1080" i="4"/>
  <c r="N281" i="4"/>
  <c r="N1771" i="4"/>
  <c r="N1194" i="4"/>
  <c r="N169" i="4"/>
  <c r="N268" i="4"/>
  <c r="N1888" i="4"/>
  <c r="N1239" i="4"/>
  <c r="N1682" i="4"/>
  <c r="N1592" i="4"/>
  <c r="N939" i="4"/>
  <c r="N1242" i="4"/>
  <c r="N1189" i="4"/>
  <c r="N1421" i="4"/>
  <c r="N922" i="4"/>
  <c r="N1777" i="4"/>
  <c r="N1827" i="4"/>
  <c r="N118" i="4"/>
  <c r="N336" i="4"/>
  <c r="N1799" i="4"/>
  <c r="N491" i="4"/>
  <c r="N892" i="4"/>
  <c r="N1127" i="4"/>
  <c r="N131" i="4"/>
  <c r="N1372" i="4"/>
  <c r="N1635" i="4"/>
  <c r="N1060" i="4"/>
  <c r="N1842" i="4"/>
  <c r="N259" i="4"/>
  <c r="N1448" i="4"/>
  <c r="N273" i="4"/>
  <c r="N1403" i="4"/>
  <c r="N324" i="4"/>
  <c r="N1632" i="4"/>
  <c r="N1511" i="4"/>
  <c r="N80" i="4"/>
  <c r="N1002" i="4"/>
  <c r="N801" i="4"/>
  <c r="N1278" i="4"/>
  <c r="N1836" i="4"/>
  <c r="N1551" i="4"/>
  <c r="N237" i="4"/>
  <c r="N851" i="4"/>
  <c r="N818" i="4"/>
  <c r="N1500" i="4"/>
  <c r="N563" i="4"/>
  <c r="N647" i="4"/>
  <c r="N248" i="4"/>
  <c r="N499" i="4"/>
  <c r="N578" i="4"/>
  <c r="N1076" i="4"/>
  <c r="N1207" i="4"/>
  <c r="N1120" i="4"/>
  <c r="N571" i="4"/>
  <c r="N159" i="4"/>
  <c r="N176" i="4"/>
  <c r="N1622" i="4"/>
  <c r="N1275" i="4"/>
  <c r="N1410" i="4"/>
  <c r="N1804" i="4"/>
  <c r="N173" i="4"/>
  <c r="N1353" i="4"/>
  <c r="N884" i="4"/>
  <c r="N763" i="4"/>
  <c r="N217" i="4"/>
  <c r="N883" i="4"/>
  <c r="N784" i="4"/>
  <c r="N857" i="4"/>
  <c r="N690" i="4"/>
  <c r="N1519" i="4"/>
  <c r="N1522" i="4"/>
  <c r="N505" i="4"/>
  <c r="N1481" i="4"/>
  <c r="N1442" i="4"/>
  <c r="N1408" i="4"/>
  <c r="N10" i="4"/>
  <c r="N1674" i="4"/>
  <c r="N1729" i="4"/>
  <c r="N671" i="4"/>
  <c r="N139" i="4"/>
  <c r="N927" i="4"/>
  <c r="N855" i="4"/>
  <c r="N420" i="4"/>
  <c r="N1576" i="4"/>
  <c r="N859" i="4"/>
  <c r="N1145" i="4"/>
  <c r="N62" i="4"/>
  <c r="N55" i="4"/>
  <c r="N1575" i="4"/>
  <c r="N221" i="4"/>
  <c r="N1636" i="4"/>
  <c r="N1987" i="4"/>
  <c r="N146" i="4"/>
  <c r="N1319" i="4"/>
  <c r="N3" i="4"/>
  <c r="N1525" i="4"/>
  <c r="N149" i="4"/>
  <c r="N1402" i="4"/>
  <c r="N1609" i="4"/>
  <c r="N504" i="4"/>
  <c r="N208" i="4"/>
  <c r="N478" i="4"/>
  <c r="N1234" i="4"/>
  <c r="N1360" i="4"/>
  <c r="N1440" i="4"/>
  <c r="N515" i="4"/>
  <c r="N1132" i="4"/>
  <c r="N337" i="4"/>
  <c r="N1990" i="4"/>
  <c r="N488" i="4"/>
  <c r="N384" i="4"/>
  <c r="N1167" i="4"/>
  <c r="N559" i="4"/>
  <c r="N493" i="4"/>
  <c r="N1059" i="4"/>
  <c r="N393" i="4"/>
  <c r="N1428" i="4"/>
  <c r="N182" i="4"/>
  <c r="N1814" i="4"/>
  <c r="N1926" i="4"/>
  <c r="N1680" i="4"/>
  <c r="N1700" i="4"/>
  <c r="N335" i="4"/>
  <c r="N1342" i="4"/>
  <c r="N1861" i="4"/>
  <c r="N619" i="4"/>
  <c r="N1125" i="4"/>
  <c r="N280" i="4"/>
  <c r="N212" i="4"/>
  <c r="N473" i="4"/>
  <c r="N1841" i="4"/>
  <c r="N1995" i="4"/>
  <c r="N87" i="4"/>
  <c r="N1755" i="4"/>
  <c r="N294" i="4"/>
  <c r="N727" i="4"/>
  <c r="N1709" i="4"/>
  <c r="N1324" i="4"/>
  <c r="N98" i="4"/>
  <c r="N1783" i="4"/>
  <c r="N1355" i="4"/>
  <c r="N1784" i="4"/>
  <c r="N1557" i="4"/>
  <c r="N1048" i="4"/>
  <c r="N1731" i="4"/>
  <c r="N1927" i="4"/>
  <c r="N1968" i="4"/>
  <c r="N601" i="4"/>
  <c r="N256" i="4"/>
  <c r="N615" i="4"/>
  <c r="N1130" i="4"/>
  <c r="N1423" i="4"/>
  <c r="N362" i="4"/>
  <c r="N1820" i="4"/>
  <c r="N1815" i="4"/>
  <c r="N197" i="4"/>
  <c r="N1435" i="4"/>
  <c r="N1150" i="4"/>
  <c r="N1788" i="4"/>
  <c r="N330" i="4"/>
  <c r="N1839" i="4"/>
  <c r="N219" i="4"/>
  <c r="N117" i="4"/>
  <c r="N532" i="4"/>
  <c r="N1260" i="4"/>
  <c r="N1697" i="4"/>
  <c r="N364" i="4"/>
  <c r="N284" i="4"/>
  <c r="N582" i="4"/>
  <c r="N1122" i="4"/>
  <c r="N451" i="4"/>
  <c r="N487" i="4"/>
  <c r="N1493" i="4"/>
  <c r="N1779" i="4"/>
  <c r="N1621" i="4"/>
  <c r="N1191" i="4"/>
  <c r="N628" i="4"/>
  <c r="N1232" i="4"/>
  <c r="N1320" i="4"/>
  <c r="N1220" i="4"/>
  <c r="N192" i="4"/>
  <c r="N1833" i="4"/>
  <c r="N1904" i="4"/>
  <c r="N1330" i="4"/>
  <c r="N1136" i="4"/>
  <c r="N1381" i="4"/>
  <c r="N1425" i="4"/>
  <c r="N1851" i="4"/>
  <c r="N1255" i="4"/>
  <c r="N1505" i="4"/>
  <c r="N1780" i="4"/>
  <c r="N449" i="4"/>
  <c r="N1484" i="4"/>
  <c r="N1789" i="4"/>
  <c r="N52" i="4"/>
  <c r="N1454" i="4"/>
  <c r="N1450" i="4"/>
  <c r="N1659" i="4"/>
  <c r="N1407" i="4"/>
  <c r="N81" i="4"/>
  <c r="N1544" i="4"/>
  <c r="N701" i="4"/>
  <c r="N1666" i="4"/>
  <c r="N345" i="4"/>
  <c r="N1980" i="4"/>
  <c r="N1171" i="4"/>
  <c r="N1829" i="4"/>
  <c r="N1501" i="4"/>
  <c r="N1629" i="4"/>
  <c r="N1146" i="4"/>
  <c r="N53" i="4"/>
  <c r="N1304" i="4"/>
  <c r="N1721" i="4"/>
  <c r="N1977" i="4"/>
  <c r="N1139" i="4"/>
  <c r="N992" i="4"/>
  <c r="N380" i="4"/>
  <c r="N390" i="4"/>
  <c r="N1138" i="4"/>
  <c r="N1579" i="4"/>
  <c r="N1415" i="4"/>
  <c r="N1823" i="4"/>
  <c r="N1316" i="4"/>
  <c r="N193" i="4"/>
  <c r="N68" i="4"/>
  <c r="N1791" i="4"/>
  <c r="N459" i="4"/>
  <c r="N1933" i="4"/>
  <c r="N1668" i="4"/>
  <c r="N1848" i="4"/>
  <c r="N1586" i="4"/>
  <c r="N468" i="4"/>
  <c r="N1633" i="4"/>
  <c r="N1684" i="4"/>
  <c r="N1808" i="4"/>
  <c r="N1350" i="4"/>
  <c r="N1649" i="4"/>
  <c r="N401" i="4"/>
  <c r="N1383" i="4"/>
  <c r="N1725" i="4"/>
  <c r="N735" i="4"/>
  <c r="N1404" i="4"/>
  <c r="N1274" i="4"/>
  <c r="N1506" i="4"/>
  <c r="N521" i="4"/>
  <c r="N655" i="4"/>
  <c r="N1736" i="4"/>
  <c r="N196" i="4"/>
  <c r="N549" i="4"/>
  <c r="N31" i="4"/>
  <c r="N1446" i="4"/>
  <c r="N1518" i="4"/>
  <c r="N1539" i="4"/>
  <c r="N344" i="4"/>
  <c r="N398" i="4"/>
  <c r="N1102" i="4"/>
  <c r="N1094" i="4"/>
  <c r="N1085" i="4"/>
  <c r="N1067" i="4"/>
  <c r="N1058" i="4"/>
  <c r="N1050" i="4"/>
  <c r="N1041" i="4"/>
  <c r="N1032" i="4"/>
  <c r="N996" i="4"/>
  <c r="N987" i="4"/>
  <c r="N969" i="4"/>
  <c r="N917" i="4"/>
  <c r="N908" i="4"/>
  <c r="N880" i="4"/>
  <c r="N863" i="4"/>
  <c r="N828" i="4"/>
  <c r="N819" i="4"/>
  <c r="N810" i="4"/>
  <c r="N791" i="4"/>
  <c r="N780" i="4"/>
  <c r="N760" i="4"/>
  <c r="N750" i="4"/>
  <c r="N740" i="4"/>
  <c r="N730" i="4"/>
  <c r="N720" i="4"/>
  <c r="N710" i="4"/>
  <c r="N687" i="4"/>
  <c r="N640" i="4"/>
  <c r="N625" i="4"/>
  <c r="N613" i="4"/>
  <c r="N583" i="4"/>
  <c r="N524" i="4"/>
  <c r="N435" i="4"/>
  <c r="N400" i="4"/>
  <c r="N347" i="4"/>
  <c r="N329" i="4"/>
  <c r="N306" i="4"/>
  <c r="N283" i="4"/>
  <c r="N235" i="4"/>
  <c r="N211" i="4"/>
  <c r="N188" i="4"/>
  <c r="N164" i="4"/>
  <c r="N137" i="4"/>
  <c r="N102" i="4"/>
  <c r="N67" i="4"/>
  <c r="N1955" i="4"/>
  <c r="N1317" i="4"/>
  <c r="N659" i="4"/>
  <c r="N1765" i="4"/>
  <c r="N29" i="4"/>
  <c r="N715" i="4"/>
  <c r="N670" i="4"/>
  <c r="N205" i="4"/>
  <c r="N303" i="4"/>
  <c r="N1208" i="4"/>
  <c r="N1701" i="4"/>
  <c r="N1958" i="4"/>
  <c r="N254" i="4"/>
  <c r="N150" i="4"/>
  <c r="N1439" i="4"/>
  <c r="N1702" i="4"/>
  <c r="N496" i="4"/>
  <c r="N1370" i="4"/>
  <c r="N1368" i="4"/>
  <c r="N16" i="4"/>
  <c r="N1467" i="4"/>
  <c r="N1397" i="4"/>
  <c r="N1429" i="4"/>
  <c r="N1309" i="4"/>
  <c r="N541" i="4"/>
  <c r="N1176" i="4"/>
  <c r="N157" i="4"/>
  <c r="N18" i="4"/>
  <c r="N1989" i="4"/>
  <c r="N373" i="4"/>
  <c r="N979" i="4"/>
  <c r="N811" i="4"/>
  <c r="N677" i="4"/>
  <c r="N39" i="4"/>
  <c r="N1889" i="4"/>
  <c r="N1920" i="4"/>
  <c r="N1210" i="4"/>
  <c r="N132" i="4"/>
  <c r="N198" i="4"/>
  <c r="N1265" i="4"/>
  <c r="N124" i="4"/>
  <c r="N1129" i="4"/>
  <c r="N24" i="4"/>
  <c r="N69" i="4"/>
  <c r="N1437" i="4"/>
  <c r="N95" i="4"/>
  <c r="N455" i="4"/>
  <c r="N464" i="4"/>
  <c r="N1856" i="4"/>
  <c r="N1613" i="4"/>
  <c r="N1973" i="4"/>
  <c r="N407" i="4"/>
  <c r="N1803" i="4"/>
  <c r="N1499" i="4"/>
  <c r="N1562" i="4"/>
  <c r="N320" i="4"/>
  <c r="N231" i="4"/>
  <c r="N425" i="4"/>
  <c r="N1768" i="4"/>
  <c r="N1299" i="4"/>
  <c r="N63" i="4"/>
  <c r="N1693" i="4"/>
  <c r="N1468" i="4"/>
  <c r="N1591" i="4"/>
  <c r="N1628" i="4"/>
  <c r="N691" i="4"/>
  <c r="N1225" i="4"/>
  <c r="N1245" i="4"/>
  <c r="N244" i="4"/>
  <c r="N249" i="4"/>
  <c r="N82" i="4"/>
  <c r="N1362" i="4"/>
  <c r="N1672" i="4"/>
  <c r="N126" i="4"/>
  <c r="N593" i="4"/>
  <c r="N1882" i="4"/>
  <c r="N1488" i="4"/>
  <c r="N1844" i="4"/>
  <c r="N693" i="4"/>
  <c r="N1978" i="4"/>
  <c r="N1936" i="4"/>
  <c r="N1185" i="4"/>
  <c r="N1850" i="4"/>
  <c r="N1134" i="4"/>
  <c r="N1144" i="4"/>
  <c r="N1426" i="4"/>
  <c r="N495" i="4"/>
  <c r="N620" i="4"/>
  <c r="N1537" i="4"/>
  <c r="N186" i="4"/>
  <c r="N1253" i="4"/>
  <c r="N1640" i="4"/>
  <c r="N234" i="4"/>
  <c r="N534" i="4"/>
  <c r="N1281" i="4"/>
  <c r="N255" i="4"/>
  <c r="N1290" i="4"/>
  <c r="N165" i="4"/>
  <c r="N72" i="4"/>
  <c r="N11" i="4"/>
  <c r="N426" i="4"/>
  <c r="N1483" i="4"/>
  <c r="N1600" i="4"/>
  <c r="N1116" i="4"/>
  <c r="N1614" i="4"/>
  <c r="N1037" i="4"/>
  <c r="N151" i="4"/>
  <c r="N1949" i="4"/>
  <c r="N408" i="4"/>
  <c r="N1445" i="4"/>
  <c r="N1606" i="4"/>
  <c r="N1548" i="4"/>
  <c r="N1916" i="4"/>
  <c r="N1015" i="4"/>
  <c r="N90" i="4"/>
  <c r="N1699" i="4"/>
  <c r="N1910" i="4"/>
  <c r="N1722" i="4"/>
  <c r="N1870" i="4"/>
  <c r="N25" i="4"/>
  <c r="N311" i="4"/>
  <c r="N1374" i="4"/>
  <c r="N540" i="4"/>
  <c r="N1380" i="4"/>
  <c r="N575" i="4"/>
  <c r="N870" i="4"/>
  <c r="N1322" i="4"/>
  <c r="N1860" i="4"/>
  <c r="N682" i="4"/>
  <c r="N1670" i="4"/>
  <c r="N1549" i="4"/>
  <c r="N319" i="4"/>
  <c r="N1455" i="4"/>
  <c r="N1231" i="4"/>
  <c r="N1266" i="4"/>
  <c r="N592" i="4"/>
  <c r="N1517" i="4"/>
  <c r="N1988" i="4"/>
  <c r="N218" i="4"/>
  <c r="N1152" i="4"/>
  <c r="N1892" i="4"/>
  <c r="N60" i="4"/>
  <c r="N1716" i="4"/>
  <c r="N1110" i="4"/>
  <c r="N1101" i="4"/>
  <c r="N1084" i="4"/>
  <c r="N1040" i="4"/>
  <c r="N1022" i="4"/>
  <c r="N1013" i="4"/>
  <c r="N1005" i="4"/>
  <c r="N995" i="4"/>
  <c r="N951" i="4"/>
  <c r="N924" i="4"/>
  <c r="N916" i="4"/>
  <c r="N907" i="4"/>
  <c r="N888" i="4"/>
  <c r="N879" i="4"/>
  <c r="N862" i="4"/>
  <c r="N853" i="4"/>
  <c r="N827" i="4"/>
  <c r="N809" i="4"/>
  <c r="N758" i="4"/>
  <c r="N739" i="4"/>
  <c r="N729" i="4"/>
  <c r="N697" i="4"/>
  <c r="N673" i="4"/>
  <c r="N650" i="4"/>
  <c r="N581" i="4"/>
  <c r="N520" i="4"/>
  <c r="N431" i="4"/>
  <c r="N396" i="4"/>
  <c r="N343" i="4"/>
  <c r="N323" i="4"/>
  <c r="N253" i="4"/>
  <c r="N230" i="4"/>
  <c r="N181" i="4"/>
  <c r="N158" i="4"/>
  <c r="N94" i="4"/>
  <c r="N1985" i="4"/>
  <c r="N1945" i="4"/>
  <c r="N1894" i="4"/>
  <c r="N293" i="4"/>
  <c r="N1323" i="4"/>
  <c r="N1895" i="4"/>
  <c r="N1229" i="4"/>
  <c r="N1772" i="4"/>
  <c r="N114" i="4"/>
  <c r="N266" i="4"/>
  <c r="N1339" i="4"/>
  <c r="N1433" i="4"/>
  <c r="N448" i="4"/>
  <c r="N1214" i="4"/>
  <c r="N1201" i="4"/>
  <c r="N1802" i="4"/>
  <c r="N1734" i="4"/>
  <c r="N43" i="4"/>
  <c r="N1479" i="4"/>
  <c r="N595" i="4"/>
  <c r="N348" i="4"/>
  <c r="N1776" i="4"/>
  <c r="N7" i="4"/>
  <c r="N47" i="4"/>
  <c r="N1128" i="4"/>
  <c r="N1816" i="4"/>
  <c r="N882" i="4"/>
  <c r="N731" i="4"/>
  <c r="N652" i="4"/>
  <c r="N456" i="4"/>
  <c r="N1952" i="4"/>
  <c r="N1690" i="4"/>
  <c r="N1834" i="4"/>
  <c r="N937" i="4"/>
  <c r="N1967" i="4"/>
  <c r="N1885" i="4"/>
  <c r="N1233" i="4"/>
  <c r="N1573" i="4"/>
  <c r="N113" i="4"/>
  <c r="N415" i="4"/>
  <c r="N1641" i="4"/>
  <c r="N1939" i="4"/>
  <c r="N1830" i="4"/>
  <c r="N1928" i="4"/>
  <c r="N30" i="4"/>
  <c r="N1173" i="4"/>
  <c r="N1424" i="4"/>
  <c r="N372" i="4"/>
  <c r="N1596" i="4"/>
  <c r="N1188" i="4"/>
  <c r="N1197" i="4"/>
  <c r="N1574" i="4"/>
  <c r="N1874" i="4"/>
  <c r="N1215" i="4"/>
  <c r="N1358" i="4"/>
  <c r="N1291" i="4"/>
  <c r="N1645" i="4"/>
  <c r="N1692" i="4"/>
  <c r="N355" i="4"/>
  <c r="N523" i="4"/>
  <c r="N1913" i="4"/>
  <c r="N482" i="4"/>
  <c r="N133" i="4"/>
  <c r="N305" i="4"/>
  <c r="N1704" i="4"/>
  <c r="N97" i="4"/>
  <c r="N276" i="4"/>
  <c r="N1541" i="4"/>
  <c r="N837" i="4"/>
  <c r="N1763" i="4"/>
  <c r="N5" i="4"/>
  <c r="N1819" i="4"/>
  <c r="N125" i="4"/>
  <c r="N648" i="4"/>
  <c r="N568" i="4"/>
  <c r="N1583" i="4"/>
  <c r="N26" i="4"/>
  <c r="N437" i="4"/>
  <c r="N86" i="4"/>
  <c r="N1877" i="4"/>
  <c r="N371" i="4"/>
  <c r="N1996" i="4"/>
  <c r="N222" i="4"/>
  <c r="N285" i="4"/>
  <c r="N684" i="4"/>
  <c r="N1650" i="4"/>
  <c r="N184" i="4"/>
  <c r="N1901" i="4"/>
  <c r="N1714" i="4"/>
  <c r="N1398" i="4"/>
  <c r="N1406" i="4"/>
  <c r="N1654" i="4"/>
  <c r="N171" i="4"/>
  <c r="N1261" i="4"/>
  <c r="N1284" i="4"/>
  <c r="N1287" i="4"/>
  <c r="N1695" i="4"/>
  <c r="N1754" i="4"/>
  <c r="N334" i="4"/>
  <c r="N1209" i="4"/>
  <c r="N84" i="4"/>
  <c r="N209" i="4"/>
  <c r="N1184" i="4"/>
  <c r="N17" i="4"/>
  <c r="N213" i="4"/>
  <c r="N1615" i="4"/>
  <c r="N1341" i="4"/>
  <c r="N382" i="4"/>
  <c r="N1486" i="4"/>
  <c r="N1876" i="4"/>
  <c r="N1906" i="4"/>
  <c r="N269" i="4"/>
  <c r="N1123" i="4"/>
  <c r="N1352" i="4"/>
  <c r="N20" i="4"/>
  <c r="N1730" i="4"/>
  <c r="N1766" i="4"/>
  <c r="N1644" i="4"/>
  <c r="N325" i="4"/>
  <c r="N1155" i="4"/>
  <c r="N1611" i="4"/>
  <c r="N1307" i="4"/>
  <c r="N246" i="4"/>
  <c r="N108" i="4"/>
  <c r="N1133" i="4"/>
  <c r="N1328" i="4"/>
  <c r="N1871" i="4"/>
  <c r="N1363" i="4"/>
  <c r="N1897" i="4"/>
  <c r="N1962" i="4"/>
  <c r="N1464" i="4"/>
  <c r="N1405" i="4"/>
  <c r="N37" i="4"/>
  <c r="N1855" i="4"/>
  <c r="N675" i="4"/>
  <c r="N1881" i="4"/>
  <c r="N460" i="4"/>
  <c r="N1953" i="4"/>
  <c r="N1837" i="4"/>
  <c r="N204" i="4"/>
  <c r="N1512" i="4"/>
  <c r="N1886" i="4"/>
  <c r="N1524" i="4"/>
  <c r="N27" i="4"/>
  <c r="N1230" i="4"/>
  <c r="N637" i="4"/>
  <c r="N1778" i="4"/>
  <c r="N224" i="4"/>
  <c r="N1326" i="4"/>
  <c r="N1813" i="4"/>
  <c r="N1728" i="4"/>
  <c r="N881" i="4"/>
  <c r="N1822" i="4"/>
  <c r="N1938" i="4"/>
  <c r="N4" i="4"/>
  <c r="N1223" i="4"/>
  <c r="N1288" i="4"/>
  <c r="N1713" i="4"/>
  <c r="N1925" i="4"/>
  <c r="N392" i="4"/>
  <c r="N1507" i="4"/>
  <c r="N1642" i="4"/>
  <c r="N1705" i="4"/>
  <c r="N1634" i="4"/>
  <c r="N789" i="4"/>
  <c r="N410" i="4"/>
  <c r="N1149" i="4"/>
  <c r="N1751" i="4"/>
  <c r="N93" i="4"/>
  <c r="N1361" i="4"/>
  <c r="N1864" i="4"/>
  <c r="N388" i="4"/>
  <c r="N926" i="4"/>
  <c r="N1859" i="4"/>
  <c r="N1195" i="4"/>
  <c r="N1282" i="4"/>
  <c r="N1216" i="4"/>
  <c r="N1677" i="4"/>
  <c r="N1538" i="4"/>
  <c r="N1739" i="4"/>
  <c r="N1662" i="4"/>
  <c r="N1371" i="4"/>
  <c r="N1109" i="4"/>
  <c r="N1100" i="4"/>
  <c r="N1083" i="4"/>
  <c r="N1074" i="4"/>
  <c r="N1065" i="4"/>
  <c r="N1047" i="4"/>
  <c r="N1021" i="4"/>
  <c r="N1012" i="4"/>
  <c r="N994" i="4"/>
  <c r="N985" i="4"/>
  <c r="N976" i="4"/>
  <c r="N950" i="4"/>
  <c r="N932" i="4"/>
  <c r="N923" i="4"/>
  <c r="N914" i="4"/>
  <c r="N906" i="4"/>
  <c r="N897" i="4"/>
  <c r="N887" i="4"/>
  <c r="N878" i="4"/>
  <c r="N852" i="4"/>
  <c r="N834" i="4"/>
  <c r="N825" i="4"/>
  <c r="N817" i="4"/>
  <c r="N799" i="4"/>
  <c r="N777" i="4"/>
  <c r="N767" i="4"/>
  <c r="N757" i="4"/>
  <c r="N747" i="4"/>
  <c r="N696" i="4"/>
  <c r="N660" i="4"/>
  <c r="N649" i="4"/>
  <c r="N608" i="4"/>
  <c r="N596" i="4"/>
  <c r="N536" i="4"/>
  <c r="N519" i="4"/>
  <c r="N466" i="4"/>
  <c r="N447" i="4"/>
  <c r="N430" i="4"/>
  <c r="N412" i="4"/>
  <c r="N359" i="4"/>
  <c r="N342" i="4"/>
  <c r="N298" i="4"/>
  <c r="N252" i="4"/>
  <c r="N129" i="4"/>
  <c r="N92" i="4"/>
  <c r="N1984" i="4"/>
  <c r="N1798" i="4"/>
  <c r="N1657" i="4"/>
  <c r="N1249" i="4"/>
  <c r="N1947" i="4"/>
  <c r="N1303" i="4"/>
  <c r="N1934" i="4"/>
  <c r="N317" i="4"/>
  <c r="N1494" i="4"/>
  <c r="N1161" i="4"/>
  <c r="N260" i="4"/>
  <c r="N1343" i="4"/>
  <c r="N1137" i="4"/>
  <c r="N1742" i="4"/>
  <c r="N1691" i="4"/>
  <c r="N1974" i="4"/>
  <c r="N375" i="4"/>
  <c r="N1436" i="4"/>
  <c r="N1321" i="4"/>
  <c r="N1593" i="4"/>
  <c r="N210" i="4"/>
  <c r="N1536" i="4"/>
  <c r="N1395" i="4"/>
  <c r="N1630" i="4"/>
  <c r="N1686" i="4"/>
  <c r="N1849" i="4"/>
  <c r="N64" i="4"/>
  <c r="N101" i="4"/>
  <c r="N73" i="4"/>
  <c r="N1733" i="4"/>
  <c r="N1495" i="4"/>
  <c r="N1626" i="4"/>
  <c r="N1818" i="4"/>
  <c r="N1375" i="4"/>
  <c r="N1203" i="4"/>
  <c r="N1470" i="4"/>
  <c r="N1151" i="4"/>
  <c r="N1243" i="4"/>
  <c r="N1447" i="4"/>
  <c r="N1475" i="4"/>
  <c r="N1801" i="4"/>
  <c r="N15" i="4"/>
  <c r="N245" i="4"/>
  <c r="N33" i="4"/>
  <c r="N1929" i="4"/>
  <c r="N1228" i="4"/>
  <c r="N1226" i="4"/>
  <c r="N346" i="4"/>
  <c r="N1112" i="4"/>
  <c r="N349" i="4"/>
  <c r="N1759" i="4"/>
  <c r="N1386" i="4"/>
  <c r="N1451" i="4"/>
  <c r="N99" i="4"/>
  <c r="N1302" i="4"/>
  <c r="N1092" i="4"/>
  <c r="N1457" i="4"/>
  <c r="N1148" i="4"/>
  <c r="N44" i="4"/>
  <c r="N1480" i="4"/>
  <c r="N1270" i="4"/>
  <c r="N804" i="4"/>
  <c r="N1166" i="4"/>
  <c r="N147" i="4"/>
  <c r="C48" i="7" s="1"/>
  <c r="N1602" i="4"/>
  <c r="N586" i="4"/>
  <c r="N1523" i="4"/>
  <c r="N1979" i="4"/>
  <c r="N115" i="4"/>
  <c r="N1838" i="4"/>
  <c r="N1196" i="4"/>
  <c r="N175" i="4"/>
  <c r="N299" i="4"/>
  <c r="N1280" i="4"/>
  <c r="N1241" i="4"/>
  <c r="N363" i="4"/>
  <c r="N436" i="4"/>
  <c r="N1340" i="4"/>
  <c r="N1743" i="4"/>
  <c r="N163" i="4"/>
  <c r="N1376" i="4"/>
  <c r="N1663" i="4"/>
  <c r="N970" i="4"/>
  <c r="N1572" i="4"/>
  <c r="N1599" i="4"/>
  <c r="N782" i="4"/>
  <c r="N1828" i="4"/>
  <c r="N1661" i="4"/>
  <c r="N1441" i="4"/>
  <c r="N1174" i="4"/>
  <c r="N1443" i="4"/>
  <c r="N1981" i="4"/>
  <c r="N442" i="4"/>
  <c r="N1218" i="4"/>
  <c r="N1706" i="4"/>
  <c r="N1224" i="4"/>
  <c r="N1297" i="4"/>
  <c r="N1565" i="4"/>
  <c r="N1158" i="4"/>
  <c r="N1773" i="4"/>
  <c r="N557" i="4"/>
  <c r="N1419" i="4"/>
  <c r="N1192" i="4"/>
  <c r="N1164" i="4"/>
  <c r="N1652" i="4"/>
  <c r="N1720" i="4"/>
  <c r="N1589" i="4"/>
  <c r="N290" i="4"/>
  <c r="N1781" i="4"/>
  <c r="N1465" i="4"/>
  <c r="N1868" i="4"/>
  <c r="N160" i="4"/>
  <c r="N1669" i="4"/>
  <c r="N301" i="4"/>
  <c r="N1179" i="4"/>
  <c r="N1535" i="4"/>
  <c r="N1310" i="4"/>
  <c r="N61" i="4"/>
  <c r="N416" i="4"/>
  <c r="N1285" i="4"/>
  <c r="N1561" i="4"/>
  <c r="N1811" i="4"/>
  <c r="N646" i="4"/>
  <c r="N709" i="4"/>
  <c r="N1746" i="4"/>
  <c r="N1315" i="4"/>
  <c r="N1142" i="4"/>
  <c r="N1514" i="4"/>
  <c r="N1594" i="4"/>
  <c r="N399" i="4"/>
  <c r="N1337" i="4"/>
  <c r="N1585" i="4"/>
  <c r="N19" i="4"/>
  <c r="N771" i="4"/>
  <c r="N603" i="4"/>
  <c r="N1528" i="4"/>
  <c r="N470" i="4"/>
  <c r="N1487" i="4"/>
  <c r="N1867" i="4"/>
  <c r="N638" i="4"/>
  <c r="N1558" i="4"/>
  <c r="N1373" i="4"/>
  <c r="N585" i="4"/>
  <c r="N975" i="4"/>
  <c r="N940" i="4"/>
  <c r="N931" i="4"/>
  <c r="N807" i="4"/>
  <c r="N797" i="4"/>
  <c r="N766" i="4"/>
  <c r="N746" i="4"/>
  <c r="N706" i="4"/>
  <c r="N695" i="4"/>
  <c r="N681" i="4"/>
  <c r="N669" i="4"/>
  <c r="N658" i="4"/>
  <c r="N607" i="4"/>
  <c r="N591" i="4"/>
  <c r="N579" i="4"/>
  <c r="N564" i="4"/>
  <c r="N551" i="4"/>
  <c r="N535" i="4"/>
  <c r="N518" i="4"/>
  <c r="N500" i="4"/>
  <c r="N465" i="4"/>
  <c r="N411" i="4"/>
  <c r="N376" i="4"/>
  <c r="N358" i="4"/>
  <c r="N341" i="4"/>
  <c r="N297" i="4"/>
  <c r="N251" i="4"/>
  <c r="N202" i="4"/>
  <c r="N155" i="4"/>
  <c r="N128" i="4"/>
  <c r="N1942" i="4"/>
  <c r="N1764" i="4"/>
  <c r="N1655" i="4"/>
  <c r="N1462" i="4"/>
  <c r="N948" i="4"/>
  <c r="N1809" i="4"/>
  <c r="N441" i="4"/>
  <c r="N1126" i="4"/>
  <c r="N915" i="4"/>
  <c r="N1588" i="4"/>
  <c r="N576" i="4"/>
  <c r="N1490" i="4"/>
  <c r="N1550" i="4"/>
  <c r="N1698" i="4"/>
  <c r="N1918" i="4"/>
  <c r="N1998" i="4"/>
  <c r="N479" i="4"/>
  <c r="N1198" i="4"/>
  <c r="N1647" i="4"/>
  <c r="N1279" i="4"/>
  <c r="N1890" i="4"/>
  <c r="N1163" i="4"/>
  <c r="N1712" i="4"/>
  <c r="N1646" i="4"/>
  <c r="N1515" i="4"/>
  <c r="N406" i="4"/>
  <c r="N185" i="4"/>
  <c r="N360" i="4"/>
  <c r="N1774" i="4"/>
  <c r="N1476" i="4"/>
  <c r="N154" i="4"/>
  <c r="N1943" i="4"/>
  <c r="N134" i="4"/>
  <c r="N1118" i="4"/>
  <c r="N759" i="4"/>
  <c r="N1293" i="4"/>
  <c r="N1826" i="4"/>
  <c r="N328" i="4"/>
  <c r="N704" i="4"/>
  <c r="N302" i="4"/>
  <c r="N469" i="4"/>
  <c r="N1584" i="4"/>
  <c r="N486" i="4"/>
  <c r="N1329" i="4"/>
  <c r="N1119" i="4"/>
  <c r="N1917" i="4"/>
  <c r="N1891" i="4"/>
  <c r="N1070" i="4"/>
  <c r="N28" i="4"/>
  <c r="N1902" i="4"/>
  <c r="N1581" i="4"/>
  <c r="N314" i="4"/>
  <c r="N66" i="4"/>
  <c r="N558" i="4"/>
  <c r="N1656" i="4"/>
  <c r="N166" i="4"/>
  <c r="N172" i="4"/>
  <c r="N1503" i="4"/>
  <c r="N1761" i="4"/>
  <c r="N779" i="4"/>
  <c r="N1559" i="4"/>
  <c r="N1752" i="4"/>
  <c r="N257" i="4"/>
  <c r="N397" i="4"/>
  <c r="N233" i="4"/>
  <c r="N1418" i="4"/>
  <c r="N1960" i="4"/>
  <c r="N381" i="4"/>
  <c r="N238" i="4"/>
  <c r="N1543" i="4"/>
  <c r="N1896" i="4"/>
  <c r="N1286" i="4"/>
  <c r="N1180" i="4"/>
  <c r="N1966" i="4"/>
  <c r="N1726" i="4"/>
  <c r="N1853" i="4"/>
  <c r="N1681" i="4"/>
  <c r="N1333" i="4"/>
  <c r="N1753" i="4"/>
  <c r="N123" i="4"/>
  <c r="N327" i="4"/>
  <c r="N1117" i="4"/>
  <c r="N1115" i="4"/>
  <c r="N1577" i="4"/>
  <c r="N461" i="4"/>
  <c r="N272" i="4"/>
  <c r="N1268" i="4"/>
  <c r="N1643" i="4"/>
  <c r="N848" i="4"/>
  <c r="N291" i="4"/>
  <c r="N1114" i="4"/>
  <c r="N1627" i="4"/>
  <c r="N428" i="4"/>
  <c r="N1154" i="4"/>
  <c r="N1414" i="4"/>
  <c r="N354" i="4"/>
  <c r="N1099" i="4"/>
  <c r="N1090" i="4"/>
  <c r="N1055" i="4"/>
  <c r="N1038" i="4"/>
  <c r="N993" i="4"/>
  <c r="N1760" i="4"/>
  <c r="N1875" i="4"/>
  <c r="N1141" i="4"/>
  <c r="N1235" i="4"/>
  <c r="N1351" i="4"/>
  <c r="N1430" i="4"/>
  <c r="N1620" i="4"/>
  <c r="N1580" i="4"/>
  <c r="N1301" i="4"/>
  <c r="N187" i="4"/>
  <c r="N1832" i="4"/>
  <c r="N665" i="4"/>
  <c r="N1165" i="4"/>
  <c r="N1564" i="4"/>
  <c r="N1311" i="4"/>
  <c r="N1862" i="4"/>
  <c r="N1325" i="4"/>
  <c r="N1887" i="4"/>
  <c r="N1825" i="4"/>
  <c r="N1658" i="4"/>
  <c r="N748" i="4"/>
  <c r="N1843" i="4"/>
  <c r="N1416" i="4"/>
  <c r="N471" i="4"/>
  <c r="N9" i="4"/>
  <c r="N1356" i="4"/>
  <c r="N122" i="4"/>
  <c r="N1932" i="4"/>
  <c r="N1941" i="4"/>
  <c r="N1547" i="4"/>
  <c r="N220" i="4"/>
  <c r="N445" i="4"/>
  <c r="N525" i="4"/>
  <c r="N1664" i="4"/>
  <c r="N313" i="4"/>
  <c r="N338" i="4"/>
  <c r="N1432" i="4"/>
  <c r="N753" i="4"/>
  <c r="N1530" i="4"/>
  <c r="N1359" i="4"/>
  <c r="N1153" i="4"/>
  <c r="N1347" i="4"/>
  <c r="N1858" i="4"/>
  <c r="N200" i="4"/>
  <c r="N626" i="4"/>
  <c r="N1831" i="4"/>
  <c r="N140" i="4"/>
  <c r="N1993" i="4"/>
  <c r="N621" i="4"/>
  <c r="N1969" i="4"/>
  <c r="N1276" i="4"/>
  <c r="N1532" i="4"/>
  <c r="N1810" i="4"/>
  <c r="N1797" i="4"/>
  <c r="N1857" i="4"/>
  <c r="N308" i="4"/>
  <c r="N1950" i="4"/>
  <c r="N201" i="4"/>
  <c r="N1735" i="4"/>
  <c r="N107" i="4"/>
  <c r="N1489" i="4"/>
  <c r="N1560" i="4"/>
  <c r="N106" i="4"/>
  <c r="N1003" i="4"/>
  <c r="N1313" i="4"/>
  <c r="N1757" i="4"/>
  <c r="N1883" i="4"/>
  <c r="N267" i="4"/>
  <c r="N1570" i="4"/>
  <c r="N1305" i="4"/>
  <c r="N227" i="4"/>
  <c r="N1534" i="4"/>
  <c r="N1438" i="4"/>
  <c r="N1399" i="4"/>
  <c r="N1921" i="4"/>
  <c r="N1131" i="4"/>
  <c r="N1552" i="4"/>
  <c r="N1911" i="4"/>
  <c r="N1222" i="4"/>
  <c r="N1444" i="4"/>
  <c r="N1608" i="4"/>
  <c r="N1427" i="4"/>
  <c r="N1869" i="4"/>
  <c r="N1369" i="4"/>
  <c r="N1366" i="4"/>
  <c r="N793" i="4"/>
  <c r="N1466" i="4"/>
  <c r="N1385" i="4"/>
  <c r="N1379" i="4"/>
  <c r="N1678" i="4"/>
  <c r="N1924" i="4"/>
  <c r="N46" i="4"/>
  <c r="N1676" i="4"/>
  <c r="N83" i="4"/>
  <c r="N1880" i="4"/>
  <c r="N1605" i="4"/>
  <c r="N1081" i="4"/>
  <c r="N1846" i="4"/>
  <c r="N1157" i="4"/>
  <c r="N1587" i="4"/>
  <c r="N1217" i="4"/>
  <c r="N1873" i="4"/>
  <c r="N1204" i="4"/>
  <c r="N127" i="4"/>
  <c r="N1931" i="4"/>
  <c r="N1498" i="4"/>
  <c r="N1182" i="4"/>
  <c r="N379" i="4"/>
  <c r="N340" i="4"/>
  <c r="N1251" i="4"/>
  <c r="N1961" i="4"/>
  <c r="N1492" i="4"/>
  <c r="N1338" i="4"/>
  <c r="N611" i="4"/>
  <c r="N1267" i="4"/>
  <c r="N271" i="4"/>
  <c r="N1510" i="4"/>
  <c r="N138" i="4"/>
  <c r="N12" i="4"/>
  <c r="N1391" i="4"/>
  <c r="N112" i="4"/>
  <c r="N1623" i="4"/>
  <c r="N1986" i="4"/>
  <c r="N584" i="4"/>
  <c r="N664" i="4"/>
  <c r="N1624" i="4"/>
  <c r="N1271" i="4"/>
  <c r="N1431" i="4"/>
  <c r="N1238" i="4"/>
  <c r="N630" i="4"/>
  <c r="N1667" i="4"/>
  <c r="N1908" i="4"/>
  <c r="N1346" i="4"/>
  <c r="N103" i="4"/>
  <c r="N550" i="4"/>
  <c r="N1169" i="4"/>
  <c r="N1240" i="4"/>
  <c r="N77" i="4"/>
  <c r="N178" i="4"/>
  <c r="N539" i="4"/>
  <c r="N1332" i="4"/>
  <c r="N1806" i="4"/>
  <c r="N1914" i="4"/>
  <c r="N1533" i="4"/>
  <c r="N1452" i="4"/>
  <c r="N1382" i="4"/>
  <c r="N1747" i="4"/>
  <c r="N116" i="4"/>
  <c r="N1959" i="4"/>
  <c r="N258" i="4"/>
  <c r="N602" i="4"/>
  <c r="N1107" i="4"/>
  <c r="N1063" i="4"/>
  <c r="N1028" i="4"/>
  <c r="N1019" i="4"/>
  <c r="N1010" i="4"/>
  <c r="N991" i="4"/>
  <c r="N983" i="4"/>
  <c r="N974" i="4"/>
  <c r="N965" i="4"/>
  <c r="N956" i="4"/>
  <c r="N930" i="4"/>
  <c r="N921" i="4"/>
  <c r="N912" i="4"/>
  <c r="N903" i="4"/>
  <c r="N895" i="4"/>
  <c r="N885" i="4"/>
  <c r="N867" i="4"/>
  <c r="N858" i="4"/>
  <c r="N850" i="4"/>
  <c r="N841" i="4"/>
  <c r="N832" i="4"/>
  <c r="N823" i="4"/>
  <c r="N814" i="4"/>
  <c r="N796" i="4"/>
  <c r="N786" i="4"/>
  <c r="N775" i="4"/>
  <c r="N755" i="4"/>
  <c r="N745" i="4"/>
  <c r="N734" i="4"/>
  <c r="N724" i="4"/>
  <c r="N714" i="4"/>
  <c r="N705" i="4"/>
  <c r="N694" i="4"/>
  <c r="N680" i="4"/>
  <c r="N668" i="4"/>
  <c r="N657" i="4"/>
  <c r="N633" i="4"/>
  <c r="N618" i="4"/>
  <c r="N606" i="4"/>
  <c r="N590" i="4"/>
  <c r="N546" i="4"/>
  <c r="N516" i="4"/>
  <c r="N498" i="4"/>
  <c r="N480" i="4"/>
  <c r="N463" i="4"/>
  <c r="N444" i="4"/>
  <c r="N409" i="4"/>
  <c r="N391" i="4"/>
  <c r="N374" i="4"/>
  <c r="N339" i="4"/>
  <c r="N295" i="4"/>
  <c r="N270" i="4"/>
  <c r="N247" i="4"/>
  <c r="N199" i="4"/>
  <c r="N153" i="4"/>
  <c r="N121" i="4"/>
  <c r="N50" i="4"/>
  <c r="N1975" i="4"/>
  <c r="N1935" i="4"/>
  <c r="N1762" i="4"/>
  <c r="N1460" i="4"/>
  <c r="N1177" i="4"/>
  <c r="N1237" i="4"/>
  <c r="C53" i="7" l="1"/>
</calcChain>
</file>

<file path=xl/sharedStrings.xml><?xml version="1.0" encoding="utf-8"?>
<sst xmlns="http://schemas.openxmlformats.org/spreadsheetml/2006/main" count="14253" uniqueCount="4033">
  <si>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</si>
  <si>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</si>
  <si>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</si>
  <si>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</si>
  <si>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</si>
  <si>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</si>
  <si>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</si>
  <si>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</si>
  <si>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</si>
  <si>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</si>
  <si>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</si>
  <si>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</si>
  <si>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</si>
  <si>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</si>
  <si>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</si>
  <si>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</si>
  <si>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</si>
  <si>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</si>
  <si>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</si>
  <si>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</si>
  <si>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</si>
  <si>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</si>
  <si>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</si>
  <si>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</si>
  <si>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</si>
  <si>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</si>
  <si>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</si>
  <si>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</si>
  <si>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</si>
  <si>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</si>
  <si>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</si>
  <si>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</si>
  <si>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</si>
  <si>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</si>
  <si>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</si>
  <si>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</si>
  <si>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</si>
  <si>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</si>
  <si>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</si>
  <si>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</si>
  <si>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</si>
  <si>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</si>
  <si>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</si>
  <si>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</si>
  <si>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</si>
  <si>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</si>
  <si>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</si>
  <si>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</si>
  <si>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</si>
  <si>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</si>
  <si>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</si>
  <si>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</si>
  <si>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</si>
  <si>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</si>
  <si>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</si>
  <si>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</si>
  <si>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</si>
  <si>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</si>
  <si>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</si>
  <si>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</si>
  <si>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</si>
  <si>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</si>
  <si>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</si>
  <si>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</si>
  <si>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</si>
  <si>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</si>
  <si>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</si>
  <si>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</si>
  <si>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</si>
  <si>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</si>
  <si>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</si>
  <si>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</si>
  <si>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</si>
  <si>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</si>
  <si>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</si>
  <si>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</si>
  <si>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</si>
  <si>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</si>
  <si>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</si>
  <si>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</si>
  <si>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</si>
  <si>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</si>
  <si>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</si>
  <si>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</si>
  <si>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</si>
  <si>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</si>
  <si>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</si>
  <si>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</si>
  <si>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</si>
  <si>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</si>
  <si>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</si>
  <si>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</si>
  <si>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</si>
  <si>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</si>
  <si>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</si>
  <si>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</si>
  <si>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</si>
  <si>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</si>
  <si>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</si>
  <si>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</si>
  <si>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</si>
  <si>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</si>
  <si>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</si>
  <si>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</si>
  <si>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</si>
  <si>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</si>
  <si>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</si>
  <si>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</si>
  <si>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</si>
  <si>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</si>
  <si>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</si>
  <si>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</si>
  <si>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</si>
  <si>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</si>
  <si>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</si>
  <si>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</si>
  <si>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</si>
  <si>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</si>
  <si>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</si>
  <si>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</si>
  <si>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</si>
  <si>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</si>
  <si>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</si>
  <si>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</si>
  <si>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</si>
  <si>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</si>
  <si>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</si>
  <si>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</si>
  <si>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</si>
  <si>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</si>
  <si>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</si>
  <si>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</si>
  <si>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</si>
  <si>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</si>
  <si>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</si>
  <si>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</si>
  <si>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</si>
  <si>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</si>
  <si>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</si>
  <si>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</si>
  <si>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</si>
  <si>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</si>
  <si>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</si>
  <si>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</si>
  <si>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</si>
  <si>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</si>
  <si>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</si>
  <si>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</si>
  <si>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</si>
  <si>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</si>
  <si>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</si>
  <si>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</si>
  <si>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</si>
  <si>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</si>
  <si>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</si>
  <si>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</si>
  <si>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</si>
  <si>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</si>
  <si>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</si>
  <si>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</si>
  <si>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</si>
  <si>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</si>
  <si>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</si>
  <si>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</si>
  <si>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</si>
  <si>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</si>
  <si>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</si>
  <si>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</si>
  <si>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</si>
  <si>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</si>
  <si>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</si>
  <si>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</si>
  <si>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</si>
  <si>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</si>
  <si>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</si>
  <si>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</si>
  <si>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</si>
  <si>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</si>
  <si>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</si>
  <si>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</si>
  <si>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</si>
  <si>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</si>
  <si>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</si>
  <si>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</si>
  <si>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</si>
  <si>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</si>
  <si>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</si>
  <si>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</si>
  <si>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</si>
  <si>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</si>
  <si>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</si>
  <si>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</si>
  <si>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</si>
  <si>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</si>
  <si>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</si>
  <si>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</si>
  <si>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</si>
  <si>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</si>
  <si>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</si>
  <si>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</si>
  <si>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</si>
  <si>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</si>
  <si>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</si>
  <si>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</si>
  <si>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</si>
  <si>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</si>
  <si>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</si>
  <si>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</si>
  <si>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</si>
  <si>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</si>
  <si>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</si>
  <si>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</si>
  <si>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</si>
  <si>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</si>
  <si>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</si>
  <si>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</si>
  <si>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</si>
  <si>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</si>
  <si>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</si>
  <si>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</si>
  <si>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</si>
  <si>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</si>
  <si>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</si>
  <si>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</si>
  <si>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</si>
  <si>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</si>
  <si>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</si>
  <si>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</si>
  <si>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</si>
  <si>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</si>
  <si>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</si>
  <si>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</si>
  <si>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</si>
  <si>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</si>
  <si>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</si>
  <si>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</si>
  <si>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</si>
  <si>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</si>
  <si>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</si>
  <si>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</si>
  <si>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</si>
  <si>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</si>
  <si>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</si>
  <si>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</si>
  <si>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</si>
  <si>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</si>
  <si>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</si>
  <si>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</si>
  <si>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</si>
  <si>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</si>
  <si>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</si>
  <si>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</si>
  <si>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</si>
  <si>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</si>
  <si>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</si>
  <si>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</si>
  <si>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</si>
  <si>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</si>
  <si>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</si>
  <si>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</si>
  <si>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</si>
  <si>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</si>
  <si>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</si>
  <si>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</si>
  <si>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</si>
  <si>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</si>
  <si>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</si>
  <si>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</si>
  <si>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</si>
  <si>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</si>
  <si>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</si>
  <si>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</si>
  <si>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</si>
  <si>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</si>
  <si>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</si>
  <si>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</si>
  <si>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</si>
  <si>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</si>
  <si>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</si>
  <si>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</si>
  <si>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</si>
  <si>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</si>
  <si>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</si>
  <si>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</si>
  <si>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</si>
  <si>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</si>
  <si>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</si>
  <si>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</si>
  <si>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</si>
  <si>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</si>
  <si>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</si>
  <si>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</si>
  <si>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</si>
  <si>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</si>
  <si>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</si>
  <si>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</si>
  <si>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</si>
  <si>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</si>
  <si>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</si>
  <si>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</si>
  <si>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</si>
  <si>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</si>
  <si>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</si>
  <si>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</si>
  <si>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</si>
  <si>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</si>
  <si>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</si>
  <si>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</si>
  <si>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</si>
  <si>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</si>
  <si>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</si>
  <si>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</si>
  <si>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</si>
  <si>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</si>
  <si>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</si>
  <si>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</si>
  <si>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</si>
  <si>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</si>
  <si>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</si>
  <si>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</si>
  <si>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</si>
  <si>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</si>
  <si>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</si>
  <si>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</si>
  <si>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</si>
  <si>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</si>
  <si>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</si>
  <si>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</si>
  <si>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</si>
  <si>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</si>
  <si>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</si>
  <si>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</si>
  <si>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</si>
  <si>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</si>
  <si>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</si>
  <si>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</si>
  <si>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</si>
  <si>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</si>
  <si>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</si>
  <si>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</si>
  <si>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</si>
  <si>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</si>
  <si>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</si>
  <si>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</si>
  <si>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</si>
  <si>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</si>
  <si>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</si>
  <si>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</si>
  <si>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</si>
  <si>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</si>
  <si>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</si>
  <si>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</si>
  <si>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</si>
  <si>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</si>
  <si>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</si>
  <si>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</si>
  <si>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</si>
  <si>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</si>
  <si>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</si>
  <si>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</si>
  <si>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</si>
  <si>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</si>
  <si>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</si>
  <si>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</si>
  <si>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</si>
  <si>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</si>
  <si>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</si>
  <si>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</si>
  <si>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</si>
  <si>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</si>
  <si>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</si>
  <si>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</si>
  <si>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</si>
  <si>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</si>
  <si>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</si>
  <si>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</si>
  <si>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</si>
  <si>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</si>
  <si>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</si>
  <si>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</si>
  <si>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</si>
  <si>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</si>
  <si>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</si>
  <si>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</si>
  <si>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</si>
  <si>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</si>
  <si>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</si>
  <si>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</si>
  <si>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</si>
  <si>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</si>
  <si>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</si>
  <si>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</si>
  <si>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</si>
  <si>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</si>
  <si>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</si>
  <si>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</si>
  <si>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</si>
  <si>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</si>
  <si>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</si>
  <si>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</si>
  <si>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</si>
  <si>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</si>
  <si>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</si>
  <si>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</si>
  <si>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</si>
  <si>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</si>
  <si>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</si>
  <si>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</si>
  <si>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</si>
  <si>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</si>
  <si>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</si>
  <si>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</si>
  <si>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</si>
  <si>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</si>
  <si>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</si>
  <si>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</si>
  <si>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</si>
  <si>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</si>
  <si>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</si>
  <si>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</si>
  <si>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</si>
  <si>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</si>
  <si>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</si>
  <si>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</si>
  <si>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</si>
  <si>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</si>
  <si>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</si>
  <si>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</si>
  <si>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</si>
  <si>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</si>
  <si>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</si>
  <si>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</si>
  <si>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</si>
  <si>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</si>
  <si>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</si>
  <si>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</si>
  <si>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</si>
  <si>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</si>
  <si>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</si>
  <si>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</si>
  <si>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</si>
  <si>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</si>
  <si>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</si>
  <si>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</si>
  <si>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</si>
  <si>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</si>
  <si>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</si>
  <si>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</si>
  <si>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</si>
  <si>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</si>
  <si>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</si>
  <si>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</si>
  <si>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</si>
  <si>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</si>
  <si>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</si>
  <si>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</si>
  <si>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</si>
  <si>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</si>
  <si>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</si>
  <si>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</si>
  <si>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</si>
  <si>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</si>
  <si>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</si>
  <si>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</si>
  <si>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</si>
  <si>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</si>
  <si>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</si>
  <si>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</si>
  <si>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</si>
  <si>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</si>
  <si>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</si>
  <si>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</si>
  <si>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</si>
  <si>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</si>
  <si>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</si>
  <si>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</si>
  <si>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</si>
  <si>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</si>
  <si>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</si>
  <si>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</si>
  <si>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</si>
  <si>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</si>
  <si>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</si>
  <si>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</si>
  <si>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</si>
  <si>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</si>
  <si>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</si>
  <si>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</si>
  <si>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</si>
  <si>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</si>
  <si>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</si>
  <si>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</si>
  <si>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</si>
  <si>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</si>
  <si>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</si>
  <si>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</si>
  <si>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</si>
  <si>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</si>
  <si>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</si>
  <si>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</si>
  <si>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</si>
  <si>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</si>
  <si>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</si>
  <si>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</si>
  <si>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</si>
  <si>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</si>
  <si>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</si>
  <si>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</si>
  <si>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</si>
  <si>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</si>
  <si>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</si>
  <si>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</si>
  <si>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</si>
  <si>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</si>
  <si>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</si>
  <si>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</si>
  <si>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</si>
  <si>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</si>
  <si>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</si>
  <si>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</si>
  <si>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</si>
  <si>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</si>
  <si>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</si>
  <si>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</si>
  <si>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</si>
  <si>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</si>
  <si>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</si>
  <si>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</si>
  <si>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</si>
  <si>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</si>
  <si>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</si>
  <si>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</si>
  <si>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</si>
  <si>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</si>
  <si>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</si>
  <si>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</si>
  <si>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</si>
  <si>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</si>
  <si>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</si>
  <si>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</si>
  <si>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</si>
  <si>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</si>
  <si>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</si>
  <si>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</si>
  <si>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</si>
  <si>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</si>
  <si>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</si>
  <si>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</si>
  <si>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</si>
  <si>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</si>
  <si>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</si>
  <si>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</si>
  <si>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</si>
  <si>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</si>
  <si>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</si>
  <si>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</si>
  <si>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</si>
  <si>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</si>
  <si>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</si>
  <si>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</si>
  <si>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</si>
  <si>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</si>
  <si>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</si>
  <si>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</si>
  <si>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</si>
  <si>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</si>
  <si>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</si>
  <si>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</si>
  <si>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</si>
  <si>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</si>
  <si>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</si>
  <si>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</si>
  <si>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</si>
  <si>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</si>
  <si>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</si>
  <si>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</si>
  <si>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</si>
  <si>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</si>
  <si>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</si>
  <si>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</si>
  <si>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</si>
  <si>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</si>
  <si>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</si>
  <si>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</si>
  <si>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</si>
  <si>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</si>
  <si>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</si>
  <si>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</si>
  <si>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</si>
  <si>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</si>
  <si>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</si>
  <si>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</si>
  <si>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</si>
  <si>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</si>
  <si>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</si>
  <si>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</si>
  <si>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</si>
  <si>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</si>
  <si>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</si>
  <si>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</si>
  <si>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</si>
  <si>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</si>
  <si>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</si>
  <si>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</si>
  <si>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</si>
  <si>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</si>
  <si>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</si>
  <si>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</si>
  <si>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</si>
  <si>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</si>
  <si>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</si>
  <si>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</si>
  <si>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</si>
  <si>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</si>
  <si>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</si>
  <si>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</si>
  <si>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</si>
  <si>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</si>
  <si>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</si>
  <si>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</si>
  <si>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</si>
  <si>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</si>
  <si>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</si>
  <si>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</si>
  <si>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</si>
  <si>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</si>
  <si>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</si>
  <si>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</si>
  <si>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</si>
  <si>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</si>
  <si>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</si>
  <si>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</si>
  <si>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</si>
  <si>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</si>
  <si>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</si>
  <si>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</si>
  <si>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</si>
  <si>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</si>
  <si>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</si>
  <si>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</si>
  <si>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</si>
  <si>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</si>
  <si>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</si>
  <si>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</si>
  <si>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</si>
  <si>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</si>
  <si>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</si>
  <si>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</si>
  <si>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</si>
  <si>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</si>
  <si>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</si>
  <si>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</si>
  <si>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</si>
  <si>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</si>
  <si>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</si>
  <si>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</si>
  <si>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</si>
  <si>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</si>
  <si>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</si>
  <si>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</si>
  <si>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</si>
  <si>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</si>
  <si>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</si>
  <si>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</si>
  <si>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</si>
  <si>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</si>
  <si>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</si>
  <si>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</si>
  <si>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</si>
  <si>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</si>
  <si>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</si>
  <si>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</si>
  <si>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</si>
  <si>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</si>
  <si>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</si>
  <si>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</si>
  <si>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</si>
  <si>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</si>
  <si>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</si>
  <si>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</si>
  <si>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</si>
  <si>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</si>
  <si>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</si>
  <si>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</si>
  <si>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</si>
  <si>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</si>
  <si>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</si>
  <si>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</si>
  <si>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</si>
  <si>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</si>
  <si>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</si>
  <si>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</si>
  <si>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</si>
  <si>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</si>
  <si>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</si>
  <si>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</si>
  <si>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</si>
  <si>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</si>
  <si>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</si>
  <si>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</si>
  <si>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</si>
  <si>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</si>
  <si>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</si>
  <si>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</si>
  <si>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</si>
  <si>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</si>
  <si>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</si>
  <si>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</si>
  <si>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</si>
  <si>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</si>
  <si>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</si>
  <si>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</si>
  <si>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</si>
  <si>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</si>
  <si>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</si>
  <si>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</si>
  <si>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</si>
  <si>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</si>
  <si>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</si>
  <si>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</si>
  <si>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</si>
  <si>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</si>
  <si>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</si>
  <si>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</si>
  <si>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</si>
  <si>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</si>
  <si>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</si>
  <si>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</si>
  <si>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</si>
  <si>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</si>
  <si>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</si>
  <si>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</si>
  <si>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</si>
  <si>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</si>
  <si>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</si>
  <si>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</si>
  <si>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</si>
  <si>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</si>
  <si>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</si>
  <si>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</si>
  <si>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</si>
  <si>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</si>
  <si>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</si>
  <si>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</si>
  <si>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</si>
  <si>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</si>
  <si>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</si>
  <si>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</si>
  <si>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</si>
  <si>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</si>
  <si>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</si>
  <si>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</si>
  <si>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</si>
  <si>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</si>
  <si>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</si>
  <si>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</si>
  <si>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</si>
  <si>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</si>
  <si>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</si>
  <si>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</si>
  <si>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</si>
  <si>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</si>
  <si>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</si>
  <si>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</si>
  <si>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</si>
  <si>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</si>
  <si>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</si>
  <si>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</si>
  <si>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</si>
  <si>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</si>
  <si>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</si>
  <si>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</si>
  <si>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</si>
  <si>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</si>
  <si>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</si>
  <si>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</si>
  <si>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</si>
  <si>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</si>
  <si>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</si>
  <si>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</si>
  <si>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</si>
  <si>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</si>
  <si>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</si>
  <si>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</si>
  <si>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</si>
  <si>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</si>
  <si>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</si>
  <si>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</si>
  <si>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</si>
  <si>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</si>
  <si>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</si>
  <si>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</si>
  <si>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</si>
  <si>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</si>
  <si>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</si>
  <si>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</si>
  <si>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</si>
  <si>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</si>
  <si>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</si>
  <si>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</si>
  <si>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</si>
  <si>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</si>
  <si>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</si>
  <si>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</si>
  <si>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</si>
  <si>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</si>
  <si>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</si>
  <si>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</si>
  <si>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</si>
  <si>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</si>
  <si>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</si>
  <si>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</si>
  <si>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</si>
  <si>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</si>
  <si>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</si>
  <si>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</si>
  <si>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</si>
  <si>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</si>
  <si>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</si>
  <si>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</si>
  <si>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</si>
  <si>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</si>
  <si>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</si>
  <si>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</si>
  <si>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</si>
  <si>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</si>
  <si>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</si>
  <si>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</si>
  <si>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</si>
  <si>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</si>
  <si>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</si>
  <si>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</si>
  <si>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</si>
  <si>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</si>
  <si>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</si>
  <si>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</si>
  <si>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</si>
  <si>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</si>
  <si>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</si>
  <si>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</si>
  <si>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</si>
  <si>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</si>
  <si>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</si>
  <si>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</si>
  <si>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</si>
  <si>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</si>
  <si>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</si>
  <si>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</si>
  <si>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</si>
  <si>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</si>
  <si>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</si>
  <si>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</si>
  <si>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</si>
  <si>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</si>
  <si>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</si>
  <si>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</si>
  <si>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</si>
  <si>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</si>
  <si>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</si>
  <si>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</si>
  <si>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</si>
  <si>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</si>
  <si>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</si>
  <si>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</si>
  <si>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</si>
  <si>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</si>
  <si>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</si>
  <si>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</si>
  <si>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</si>
  <si>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</si>
  <si>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</si>
  <si>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</si>
  <si>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</si>
  <si>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</si>
  <si>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</si>
  <si>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</si>
  <si>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</si>
  <si>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</si>
  <si>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</si>
  <si>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</si>
  <si>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</si>
  <si>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</si>
  <si>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</si>
  <si>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</si>
  <si>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</si>
  <si>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</si>
  <si>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</si>
  <si>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</si>
  <si>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</si>
  <si>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</si>
  <si>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</si>
  <si>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</si>
  <si>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</si>
  <si>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</si>
  <si>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</si>
  <si>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</si>
  <si>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</si>
  <si>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</si>
  <si>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</si>
  <si>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</si>
  <si>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</si>
  <si>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</si>
  <si>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</si>
  <si>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</si>
  <si>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</si>
  <si>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</si>
  <si>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</si>
  <si>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</si>
  <si>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</si>
  <si>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</si>
  <si>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</si>
  <si>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</si>
  <si>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</si>
  <si>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</si>
  <si>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</si>
  <si>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</si>
  <si>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</si>
  <si>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</si>
  <si>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</si>
  <si>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</si>
  <si>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</si>
  <si>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</si>
  <si>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</si>
  <si>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</si>
  <si>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</si>
  <si>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</si>
  <si>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</si>
  <si>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</si>
  <si>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</si>
  <si>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</si>
  <si>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</si>
  <si>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</si>
  <si>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</si>
  <si>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</si>
  <si>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</si>
  <si>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</si>
  <si>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</si>
  <si>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</si>
  <si>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</si>
  <si>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</si>
  <si>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</si>
  <si>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</si>
  <si>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</si>
  <si>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</si>
  <si>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</si>
  <si>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</si>
  <si>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</si>
  <si>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</si>
  <si>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</si>
  <si>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</si>
  <si>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</si>
  <si>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</si>
  <si>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</si>
  <si>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</si>
  <si>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</si>
  <si>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</si>
  <si>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</si>
  <si>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</si>
  <si>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</si>
  <si>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</si>
  <si>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</si>
  <si>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</si>
  <si>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</si>
  <si>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</si>
  <si>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</si>
  <si>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</si>
  <si>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</si>
  <si>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</si>
  <si>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</si>
  <si>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</si>
  <si>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</si>
  <si>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</si>
  <si>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</si>
  <si>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</si>
  <si>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</si>
  <si>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</si>
  <si>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</si>
  <si>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</si>
  <si>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</si>
  <si>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</si>
  <si>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</si>
  <si>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</si>
  <si>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</si>
  <si>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</si>
  <si>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</si>
  <si>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</si>
  <si>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</si>
  <si>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</si>
  <si>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</si>
  <si>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</si>
  <si>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</si>
  <si>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</si>
  <si>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</si>
  <si>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</si>
  <si>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</si>
  <si>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</si>
  <si>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</si>
  <si>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</si>
  <si>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</si>
  <si>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</si>
  <si>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</si>
  <si>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</si>
  <si>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</si>
  <si>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</si>
  <si>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</si>
  <si>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</si>
  <si>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</si>
  <si>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</si>
  <si>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</si>
  <si>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</si>
  <si>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</si>
  <si>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</si>
  <si>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</si>
  <si>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</si>
  <si>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</si>
  <si>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</si>
  <si>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</si>
  <si>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</si>
  <si>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</si>
  <si>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</si>
  <si>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</si>
  <si>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</si>
  <si>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</si>
  <si>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</si>
  <si>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</si>
  <si>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</si>
  <si>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</si>
  <si>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</si>
  <si>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</si>
  <si>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</si>
  <si>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</si>
  <si>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</si>
  <si>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</si>
  <si>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</si>
  <si>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</si>
  <si>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</si>
  <si>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</si>
  <si>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</si>
  <si>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</si>
  <si>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</si>
  <si>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</si>
  <si>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</si>
  <si>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</si>
  <si>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</si>
  <si>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</si>
  <si>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</si>
  <si>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</si>
  <si>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</si>
  <si>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</si>
  <si>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</si>
  <si>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</si>
  <si>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</si>
  <si>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</si>
  <si>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</si>
  <si>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</si>
  <si>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</si>
  <si>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</si>
  <si>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</si>
  <si>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</si>
  <si>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</si>
  <si>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</si>
  <si>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</si>
  <si>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</si>
  <si>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</si>
  <si>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</si>
  <si>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</si>
  <si>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</si>
  <si>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</si>
  <si>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</si>
  <si>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</si>
  <si>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</si>
  <si>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</si>
  <si>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</si>
  <si>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</si>
  <si>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</si>
  <si>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</si>
  <si>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</si>
  <si>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</si>
  <si>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</si>
  <si>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</si>
  <si>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</si>
  <si>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</si>
  <si>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</si>
  <si>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</si>
  <si>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</si>
  <si>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</si>
  <si>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</si>
  <si>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</si>
  <si>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</si>
  <si>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</si>
  <si>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</si>
  <si>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</si>
  <si>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</si>
  <si>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</si>
  <si>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</si>
  <si>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</si>
  <si>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</si>
  <si>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</si>
  <si>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</si>
  <si>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</si>
  <si>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</si>
  <si>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</si>
  <si>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</si>
  <si>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</si>
  <si>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</si>
  <si>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</si>
  <si>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</si>
  <si>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</si>
  <si>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</si>
  <si>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</si>
  <si>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</si>
  <si>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</si>
  <si>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</si>
  <si>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</si>
  <si>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</si>
  <si>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</si>
  <si>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</si>
  <si>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</si>
  <si>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</si>
  <si>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</si>
  <si>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</si>
  <si>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</si>
  <si>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</si>
  <si>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</si>
  <si>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</si>
  <si>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</si>
  <si>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</si>
  <si>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</si>
  <si>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</si>
  <si>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</si>
  <si>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</si>
  <si>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</si>
  <si>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</si>
  <si>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</si>
  <si>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</si>
  <si>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</si>
  <si>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</si>
  <si>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</si>
  <si>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</si>
  <si>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</si>
  <si>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</si>
  <si>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</si>
  <si>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</si>
  <si>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</si>
  <si>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</si>
  <si>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</si>
  <si>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</si>
  <si>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</si>
  <si>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</si>
  <si>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</si>
  <si>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</si>
  <si>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</si>
  <si>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</si>
  <si>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</si>
  <si>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</si>
  <si>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</si>
  <si>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</si>
  <si>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</si>
  <si>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</si>
  <si>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</si>
  <si>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</si>
  <si>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</si>
  <si>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</si>
  <si>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</si>
  <si>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</si>
  <si>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</si>
  <si>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</si>
  <si>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</si>
  <si>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</si>
  <si>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</si>
  <si>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</si>
  <si>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</si>
  <si>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</si>
  <si>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</si>
  <si>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</si>
  <si>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</si>
  <si>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</si>
  <si>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</si>
  <si>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</si>
  <si>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</si>
  <si>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</si>
  <si>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</si>
  <si>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</si>
  <si>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</si>
  <si>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</si>
  <si>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</si>
  <si>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</si>
  <si>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</si>
  <si>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</si>
  <si>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</si>
  <si>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</si>
  <si>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</si>
  <si>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</si>
  <si>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</si>
  <si>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</si>
  <si>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</si>
  <si>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</si>
  <si>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</si>
  <si>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</si>
  <si>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</si>
  <si>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</si>
  <si>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</si>
  <si>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</si>
  <si>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</si>
  <si>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</si>
  <si>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</si>
  <si>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</si>
  <si>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</si>
  <si>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</si>
  <si>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</si>
  <si>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</si>
  <si>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</si>
  <si>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</si>
  <si>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</si>
  <si>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</si>
  <si>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</si>
  <si>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</si>
  <si>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</si>
  <si>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</si>
  <si>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</si>
  <si>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</si>
  <si>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</si>
  <si>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</si>
  <si>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</si>
  <si>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</si>
  <si>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</si>
  <si>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</si>
  <si>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</si>
  <si>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</si>
  <si>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</si>
  <si>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</si>
  <si>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</si>
  <si>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</si>
  <si>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</si>
  <si>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</si>
  <si>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</si>
  <si>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</si>
  <si>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</si>
  <si>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</si>
  <si>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</si>
  <si>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</si>
  <si>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</si>
  <si>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</si>
  <si>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</si>
  <si>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</si>
  <si>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</si>
  <si>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</si>
  <si>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</si>
  <si>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</si>
  <si>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</si>
  <si>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</si>
  <si>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</si>
  <si>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</si>
  <si>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</si>
  <si>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</si>
  <si>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</si>
  <si>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</si>
  <si>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</si>
  <si>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</si>
  <si>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</si>
  <si>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</si>
  <si>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</si>
  <si>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</si>
  <si>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</si>
  <si>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</si>
  <si>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</si>
  <si>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</si>
  <si>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</si>
  <si>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</si>
  <si>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</si>
  <si>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</si>
  <si>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</si>
  <si>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</si>
  <si>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</si>
  <si>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</si>
  <si>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</si>
  <si>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</si>
  <si>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</si>
  <si>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</si>
  <si>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</si>
  <si>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</si>
  <si>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</si>
  <si>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</si>
  <si>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</si>
  <si>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</si>
  <si>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</si>
  <si>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</si>
  <si>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</si>
  <si>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</si>
  <si>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</si>
  <si>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</si>
  <si>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</si>
  <si>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</si>
  <si>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</si>
  <si>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</si>
  <si>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</si>
  <si>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</si>
  <si>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</si>
  <si>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</si>
  <si>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</si>
  <si>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</si>
  <si>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</si>
  <si>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</si>
  <si>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</si>
  <si>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</si>
  <si>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</si>
  <si>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</si>
  <si>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</si>
  <si>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</si>
  <si>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</si>
  <si>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</si>
  <si>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</si>
  <si>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</si>
  <si>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</si>
  <si>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</si>
  <si>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</si>
  <si>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</si>
  <si>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</si>
  <si>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</si>
  <si>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</si>
  <si>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</si>
  <si>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</si>
  <si>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</si>
  <si>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</si>
  <si>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</si>
  <si>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</si>
  <si>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</si>
  <si>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</si>
  <si>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</si>
  <si>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</si>
  <si>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</si>
  <si>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</si>
  <si>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</si>
  <si>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</si>
  <si>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</si>
  <si>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</si>
  <si>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</si>
  <si>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</si>
  <si>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</si>
  <si>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</si>
  <si>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</si>
  <si>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</si>
  <si>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</si>
  <si>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</si>
  <si>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</si>
  <si>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</si>
  <si>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</si>
  <si>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</si>
  <si>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</si>
  <si>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</si>
  <si>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</si>
  <si>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</si>
  <si>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</si>
  <si>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</si>
  <si>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</si>
  <si>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</si>
  <si>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</si>
  <si>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</si>
  <si>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</si>
  <si>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</si>
  <si>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</si>
  <si>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</si>
  <si>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</si>
  <si>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</si>
  <si>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</si>
  <si>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</si>
  <si>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</si>
  <si>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</si>
  <si>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</si>
  <si>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</si>
  <si>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</si>
  <si>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</si>
  <si>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</si>
  <si>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</si>
  <si>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</si>
  <si>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</si>
  <si>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</si>
  <si>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</si>
  <si>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</si>
  <si>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</si>
  <si>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</si>
  <si>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</si>
  <si>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</si>
  <si>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</si>
  <si>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</si>
  <si>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</si>
  <si>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</si>
  <si>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</si>
  <si>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</si>
  <si>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</si>
  <si>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</si>
  <si>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</si>
  <si>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</si>
  <si>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</si>
  <si>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</si>
  <si>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</si>
  <si>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</si>
  <si>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</si>
  <si>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</si>
  <si>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</si>
  <si>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</si>
  <si>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</si>
  <si>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</si>
  <si>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</si>
  <si>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</si>
  <si>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</si>
  <si>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</si>
  <si>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</si>
  <si>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</si>
  <si>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</si>
  <si>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</si>
  <si>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</si>
  <si>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</si>
  <si>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</si>
  <si>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</si>
  <si>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</si>
  <si>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</si>
  <si>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</si>
  <si>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</si>
  <si>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</si>
  <si>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</si>
  <si>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</si>
  <si>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</si>
  <si>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</si>
  <si>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</si>
  <si>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</si>
  <si>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</si>
  <si>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</si>
  <si>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</si>
  <si>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</si>
  <si>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</si>
  <si>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</si>
  <si>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</si>
  <si>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</si>
  <si>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</si>
  <si>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</si>
  <si>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</si>
  <si>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</si>
  <si>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</si>
  <si>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</si>
  <si>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</si>
  <si>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</si>
  <si>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</si>
  <si>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</si>
  <si>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</si>
  <si>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</si>
  <si>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</si>
  <si>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</si>
  <si>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</si>
  <si>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</si>
  <si>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</si>
  <si>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</si>
  <si>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</si>
  <si>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</si>
  <si>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</si>
  <si>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</si>
  <si>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</si>
  <si>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</si>
  <si>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</si>
  <si>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</si>
  <si>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</si>
  <si>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</si>
  <si>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</si>
  <si>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</si>
  <si>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</si>
  <si>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</si>
  <si>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</si>
  <si>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</si>
  <si>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</si>
  <si>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</si>
  <si>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</si>
  <si>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</si>
  <si>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</si>
  <si>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</si>
  <si>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</si>
  <si>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</si>
  <si>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</si>
  <si>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</si>
  <si>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</si>
  <si>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</si>
  <si>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</si>
  <si>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</si>
  <si>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</si>
  <si>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</si>
  <si>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</si>
  <si>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</si>
  <si>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</si>
  <si>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</si>
  <si>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</si>
  <si>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</si>
  <si>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</si>
  <si>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</si>
  <si>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</si>
  <si>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</si>
  <si>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</si>
  <si>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</si>
  <si>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</si>
  <si>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</si>
  <si>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</si>
  <si>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</si>
  <si>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</si>
  <si>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</si>
  <si>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</si>
  <si>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</si>
  <si>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</si>
  <si>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</si>
  <si>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</si>
  <si>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</si>
  <si>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</si>
  <si>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</si>
  <si>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</si>
  <si>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</si>
  <si>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</si>
  <si>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</si>
  <si>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</si>
  <si>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</si>
  <si>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</si>
  <si>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</si>
  <si>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</si>
  <si>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</si>
  <si>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</si>
  <si>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</si>
  <si>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</si>
  <si>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</si>
  <si>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</si>
  <si>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</si>
  <si>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</si>
  <si>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</si>
  <si>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</si>
  <si>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</si>
  <si>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</si>
  <si>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</si>
  <si>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</si>
  <si>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</si>
  <si>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</si>
  <si>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</si>
  <si>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</si>
  <si>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</si>
  <si>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</si>
  <si>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</si>
  <si>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</si>
  <si>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</si>
  <si>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</si>
  <si>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</si>
  <si>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</si>
  <si>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</si>
  <si>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</si>
  <si>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</si>
  <si>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</si>
  <si>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</si>
  <si>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</si>
  <si>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</si>
  <si>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</si>
  <si>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</si>
  <si>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</si>
  <si>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</si>
  <si>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</si>
  <si>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</si>
  <si>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</si>
  <si>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</si>
  <si>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</si>
  <si>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</si>
  <si>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</si>
  <si>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</si>
  <si>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</si>
  <si>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</si>
  <si>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</si>
  <si>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</si>
  <si>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</si>
  <si>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</si>
  <si>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</si>
  <si>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</si>
  <si>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</si>
  <si>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</si>
  <si>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</si>
  <si>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</si>
  <si>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</si>
  <si>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</si>
  <si>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</si>
  <si>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</si>
  <si>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</si>
  <si>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</si>
  <si>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</si>
  <si>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</si>
  <si>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</si>
  <si>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</si>
  <si>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</si>
  <si>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</si>
  <si>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</si>
  <si>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</si>
  <si>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</si>
  <si>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</si>
  <si>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</si>
  <si>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</si>
  <si>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</si>
  <si>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</si>
  <si>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</si>
  <si>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</si>
  <si>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</si>
  <si>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</si>
  <si>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</si>
  <si>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</si>
  <si>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</si>
  <si>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</si>
  <si>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</si>
  <si>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</si>
  <si>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</si>
  <si>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</si>
  <si>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</si>
  <si>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</si>
  <si>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</si>
  <si>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</si>
  <si>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</si>
  <si>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</si>
  <si>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</si>
  <si>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</si>
  <si>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</si>
  <si>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</si>
  <si>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</si>
  <si>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</si>
  <si>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</si>
  <si>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</si>
  <si>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</si>
  <si>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</si>
  <si>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</si>
  <si>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</si>
  <si>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</si>
  <si>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</si>
  <si>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</si>
  <si>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</si>
  <si>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</si>
  <si>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</si>
  <si>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</si>
  <si>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</si>
  <si>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</si>
  <si>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</si>
  <si>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</si>
  <si>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</si>
  <si>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</si>
  <si>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</si>
  <si>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</si>
  <si>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</si>
  <si>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</si>
  <si>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</si>
  <si>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</si>
  <si>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</si>
  <si>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</si>
  <si>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</si>
  <si>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</si>
  <si>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</si>
  <si>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</si>
  <si>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</si>
  <si>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</si>
  <si>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</si>
  <si>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</si>
  <si>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</si>
  <si>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</si>
  <si>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</si>
  <si>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</si>
  <si>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</si>
  <si>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</si>
  <si>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</si>
  <si>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</si>
  <si>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</si>
  <si>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</si>
  <si>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</si>
  <si>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</si>
  <si>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</si>
  <si>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</si>
  <si>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</si>
  <si>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</si>
  <si>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</si>
  <si>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</si>
  <si>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</si>
  <si>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</si>
  <si>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</si>
  <si>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</si>
  <si>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</si>
  <si>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</si>
  <si>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</si>
  <si>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</si>
  <si>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</si>
  <si>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</si>
  <si>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</si>
  <si>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</si>
  <si>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</si>
  <si>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</si>
  <si>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</si>
  <si>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</si>
  <si>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</si>
  <si>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</si>
  <si>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</si>
  <si>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</si>
  <si>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</si>
  <si>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</si>
  <si>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</si>
  <si>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</si>
  <si>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</si>
  <si>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</si>
  <si>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</si>
  <si>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</si>
  <si>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</si>
  <si>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</si>
  <si>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</si>
  <si>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</si>
  <si>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</si>
  <si>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</si>
  <si>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</si>
  <si>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</si>
  <si>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</si>
  <si>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</si>
  <si>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</si>
  <si>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</si>
  <si>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</si>
  <si>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</si>
  <si>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</si>
  <si>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</si>
  <si>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</si>
  <si>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</si>
  <si>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</si>
  <si>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</si>
  <si>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</si>
  <si>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</si>
  <si>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</si>
  <si>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</si>
  <si>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</si>
  <si>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</si>
  <si>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</si>
  <si>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</si>
  <si>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</si>
  <si>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</si>
  <si>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</si>
  <si>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</si>
  <si>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</si>
  <si>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</si>
  <si>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</si>
  <si>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</si>
  <si>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</si>
  <si>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</si>
  <si>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</si>
  <si>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</si>
  <si>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</si>
  <si>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</si>
  <si>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</si>
  <si>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</si>
  <si>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</si>
  <si>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</si>
  <si>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</si>
  <si>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</si>
  <si>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</si>
  <si>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</si>
  <si>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</si>
  <si>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</si>
  <si>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</si>
  <si>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</si>
  <si>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</si>
  <si>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</si>
  <si>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</si>
  <si>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</si>
  <si>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</si>
  <si>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</si>
  <si>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</si>
  <si>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</si>
  <si>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</si>
  <si>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</si>
  <si>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</si>
  <si>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</si>
  <si>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</si>
  <si>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</si>
  <si>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</si>
  <si>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</si>
  <si>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</si>
  <si>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</si>
  <si>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</si>
  <si>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</si>
  <si>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</si>
  <si>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</si>
  <si>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</si>
  <si>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</si>
  <si>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</si>
  <si>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</si>
  <si>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</si>
  <si>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</si>
  <si>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</si>
  <si>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</si>
  <si>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</si>
  <si>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</si>
  <si>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</si>
  <si>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</si>
  <si>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</si>
  <si>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</si>
  <si>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</si>
  <si>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</si>
  <si>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</si>
  <si>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</si>
  <si>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</si>
  <si>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</si>
  <si>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</si>
  <si>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</si>
  <si>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</si>
  <si>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</si>
  <si>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</si>
  <si>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</si>
  <si>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</si>
  <si>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</si>
  <si>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</si>
  <si>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</si>
  <si>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</si>
  <si>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</si>
  <si>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</si>
  <si>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</si>
  <si>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</si>
  <si>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</si>
  <si>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</si>
  <si>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</si>
  <si>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</si>
  <si>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</si>
  <si>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</si>
  <si>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</si>
  <si>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</si>
  <si>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</si>
  <si>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</si>
  <si>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</si>
  <si>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</si>
  <si>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</si>
  <si>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</si>
  <si>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</si>
  <si>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</si>
  <si>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</si>
  <si>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</si>
  <si>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</si>
  <si>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</si>
  <si>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</si>
  <si>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</si>
  <si>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</si>
  <si>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</si>
  <si>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</si>
  <si>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</si>
  <si>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</si>
  <si>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</si>
  <si>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</si>
  <si>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</si>
  <si>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</si>
  <si>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</si>
  <si>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</si>
  <si>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</si>
  <si>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</si>
  <si>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</si>
  <si>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</si>
  <si>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</si>
  <si>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</si>
  <si>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</si>
  <si>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</si>
  <si>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</si>
  <si>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</si>
  <si>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</si>
  <si>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</si>
  <si>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</si>
  <si>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</si>
  <si>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</si>
  <si>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</si>
  <si>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</si>
  <si>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</si>
  <si>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</si>
  <si>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</si>
  <si>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</si>
  <si>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</si>
  <si>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</si>
  <si>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</si>
  <si>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</si>
  <si>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</si>
  <si>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</si>
  <si>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</si>
  <si>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</si>
  <si>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</si>
  <si>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</si>
  <si>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</si>
  <si>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</si>
  <si>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</si>
  <si>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</si>
  <si>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</si>
  <si>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</si>
  <si>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</si>
  <si>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</si>
  <si>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</si>
  <si>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</si>
  <si>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</si>
  <si>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</si>
  <si>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</si>
  <si>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</si>
  <si>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</si>
  <si>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</si>
  <si>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</si>
  <si>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</si>
  <si>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</si>
  <si>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</si>
  <si>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</si>
  <si>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</si>
  <si>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</si>
  <si>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</si>
  <si>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</si>
  <si>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</si>
  <si>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</si>
  <si>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</si>
  <si>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</si>
  <si>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</si>
  <si>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</si>
  <si>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</si>
  <si>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</si>
  <si>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</si>
  <si>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</si>
  <si>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</si>
  <si>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</si>
  <si>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</si>
  <si>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</si>
  <si>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</si>
  <si>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</si>
  <si>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</si>
  <si>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</si>
  <si>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</si>
  <si>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</si>
  <si>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</si>
  <si>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</si>
  <si>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</si>
  <si>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</si>
  <si>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</si>
  <si>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</si>
  <si>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</si>
  <si>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</si>
  <si>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</si>
  <si>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</si>
  <si>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</si>
  <si>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</si>
  <si>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</si>
  <si>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</si>
  <si>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</si>
  <si>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</si>
  <si>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</si>
  <si>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</si>
  <si>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</si>
  <si>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</si>
  <si>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</si>
  <si>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</si>
  <si>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</si>
  <si>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</si>
  <si>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</si>
  <si>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</si>
  <si>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</si>
  <si>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</si>
  <si>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</si>
  <si>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</si>
  <si>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</si>
  <si>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</si>
  <si>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</si>
  <si>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</si>
  <si>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</si>
  <si>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</si>
  <si>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</si>
  <si>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</si>
  <si>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</si>
  <si>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</si>
  <si>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</si>
  <si>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</si>
  <si>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</si>
  <si>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</si>
  <si>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</si>
  <si>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</si>
  <si>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</si>
  <si>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</si>
  <si>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</si>
  <si>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</si>
  <si>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</si>
  <si>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</si>
  <si>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</si>
  <si>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</si>
  <si>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</si>
  <si>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</si>
  <si>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</si>
  <si>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</si>
  <si>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</si>
  <si>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</si>
  <si>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</si>
  <si>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</si>
  <si>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</si>
  <si>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</si>
  <si>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</si>
  <si>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</si>
  <si>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</si>
  <si>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</si>
  <si>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</si>
  <si>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</si>
  <si>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</si>
  <si>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</si>
  <si>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</si>
  <si>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</si>
  <si>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</si>
  <si>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</si>
  <si>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</si>
  <si>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</si>
  <si>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</si>
  <si>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</si>
  <si>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</si>
  <si>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</si>
  <si>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</si>
  <si>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</si>
  <si>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</si>
  <si>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</si>
  <si>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</si>
  <si>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</si>
  <si>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</si>
  <si>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</si>
  <si>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</si>
  <si>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</si>
  <si>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</si>
  <si>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</si>
  <si>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</si>
  <si>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</si>
  <si>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</si>
  <si>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</si>
  <si>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</si>
  <si>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</si>
  <si>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</si>
  <si>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</si>
  <si>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</si>
  <si>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</si>
  <si>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</si>
  <si>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</si>
  <si>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</si>
  <si>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</si>
  <si>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</si>
  <si>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</si>
  <si>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</si>
  <si>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</si>
  <si>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</si>
  <si>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</si>
  <si>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</si>
  <si>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</si>
  <si>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</si>
  <si>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</si>
  <si>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</si>
  <si>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</si>
  <si>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</si>
  <si>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</si>
  <si>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</si>
  <si>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</si>
  <si>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</si>
  <si>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</si>
  <si>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</si>
  <si>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</si>
  <si>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</si>
  <si>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</si>
  <si>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</si>
  <si>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</si>
  <si>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</si>
  <si>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</si>
  <si>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</si>
  <si>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</si>
  <si>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</si>
  <si>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</si>
  <si>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</si>
  <si>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</si>
  <si>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</si>
  <si>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</si>
  <si>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</si>
  <si>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</si>
  <si>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</si>
  <si>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</si>
  <si>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</si>
  <si>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</si>
  <si>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</si>
  <si>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</si>
  <si>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</si>
  <si>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</si>
  <si>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</si>
  <si>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</si>
  <si>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</si>
  <si>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</si>
  <si>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</si>
  <si>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</si>
  <si>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</si>
  <si>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</si>
  <si>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</si>
  <si>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</si>
  <si>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</si>
  <si>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</si>
  <si>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</si>
  <si>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</si>
  <si>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</si>
  <si>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</si>
  <si>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</si>
  <si>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</si>
  <si>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</si>
  <si>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</si>
  <si>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</si>
  <si>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</si>
  <si>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</si>
  <si>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</si>
  <si>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</si>
  <si>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</si>
  <si>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</si>
  <si>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</si>
  <si>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</si>
  <si>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</si>
  <si>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</si>
  <si>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</si>
  <si>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</si>
  <si>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</si>
  <si>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</si>
  <si>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</si>
  <si>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</si>
  <si>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</si>
  <si>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</si>
  <si>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</si>
  <si>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</si>
  <si>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</si>
  <si>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</si>
  <si>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</si>
  <si>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</si>
  <si>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</si>
  <si>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</si>
  <si>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</si>
  <si>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</si>
  <si>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</si>
  <si>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</si>
  <si>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</si>
  <si>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</si>
  <si>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</si>
  <si>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</si>
  <si>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</si>
  <si>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</si>
  <si>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</si>
  <si>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</si>
  <si>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</si>
  <si>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</si>
  <si>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</si>
  <si>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</si>
  <si>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</si>
  <si>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</si>
  <si>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</si>
  <si>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</si>
  <si>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</si>
  <si>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</si>
  <si>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</si>
  <si>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</si>
  <si>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</si>
  <si>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</si>
  <si>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</si>
  <si>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</si>
  <si>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</si>
  <si>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</si>
  <si>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</si>
  <si>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</si>
  <si>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</si>
  <si>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</si>
  <si>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</si>
  <si>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</si>
  <si>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</si>
  <si>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</si>
  <si>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</si>
  <si>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</si>
  <si>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</si>
  <si>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</si>
  <si>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</si>
  <si>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</si>
  <si>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</si>
  <si>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</si>
  <si>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</si>
  <si>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</si>
  <si>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</si>
  <si>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</si>
  <si>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</si>
  <si>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</si>
  <si>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</si>
  <si>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</si>
  <si>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</si>
  <si>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</si>
  <si>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</si>
  <si>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</si>
  <si>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</si>
  <si>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</si>
  <si>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</si>
  <si>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</si>
  <si>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</si>
  <si>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</si>
  <si>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</si>
  <si>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</si>
  <si>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</si>
  <si>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</si>
  <si>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</si>
  <si>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</si>
  <si>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</si>
  <si>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</si>
  <si>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</si>
  <si>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</si>
  <si>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</si>
  <si>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</si>
  <si>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</si>
  <si>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</si>
  <si>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</si>
  <si>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</si>
  <si>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</si>
  <si>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</si>
  <si>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</si>
  <si>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</si>
  <si>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</si>
  <si>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</si>
  <si>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</si>
  <si>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</si>
  <si>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</si>
  <si>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</si>
  <si>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</si>
  <si>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</si>
  <si>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</si>
  <si>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</si>
  <si>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</si>
  <si>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</si>
  <si>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</si>
  <si>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</si>
  <si>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</si>
  <si>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</si>
  <si>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</si>
  <si>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</si>
  <si>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</si>
  <si>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</si>
  <si>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</si>
  <si>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</si>
  <si>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</si>
  <si>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</si>
  <si>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</si>
  <si>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</si>
  <si>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</si>
  <si>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</si>
  <si>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</si>
  <si>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</si>
  <si>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</si>
  <si>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</si>
  <si>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</si>
  <si>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</si>
  <si>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</si>
  <si>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</si>
  <si>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</si>
  <si>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</si>
  <si>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</si>
  <si>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</si>
  <si>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</si>
  <si>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</si>
  <si>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</si>
  <si>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</si>
  <si>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</si>
  <si>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</si>
  <si>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</si>
  <si>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</si>
  <si>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</si>
  <si>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</si>
  <si>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</si>
  <si>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</si>
  <si>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</si>
  <si>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</si>
  <si>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</si>
  <si>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</si>
  <si>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</si>
  <si>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</si>
  <si>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</si>
  <si>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</si>
  <si>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</si>
  <si>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</si>
  <si>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</si>
  <si>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</si>
  <si>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</si>
  <si>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</si>
  <si>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</si>
  <si>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</si>
  <si>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</si>
  <si>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</si>
  <si>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</si>
  <si>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</si>
  <si>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</si>
  <si>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</si>
  <si>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</si>
  <si>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</si>
  <si>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</si>
  <si>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</si>
  <si>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</si>
  <si>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</si>
  <si>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</si>
  <si>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</si>
  <si>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</si>
  <si>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</si>
  <si>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</si>
  <si>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</si>
  <si>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</si>
  <si>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</si>
  <si>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</si>
  <si>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</si>
  <si>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</si>
  <si>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</si>
  <si>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</si>
  <si>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</si>
  <si>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</si>
  <si>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</si>
  <si>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</si>
  <si>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</si>
  <si>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</si>
  <si>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</si>
  <si>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</si>
  <si>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</si>
  <si>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</si>
  <si>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</si>
  <si>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</si>
  <si>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</si>
  <si>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</si>
  <si>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</si>
  <si>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</si>
  <si>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</si>
  <si>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</si>
  <si>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</si>
  <si>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</si>
  <si>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</si>
  <si>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</si>
  <si>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</si>
  <si>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</si>
  <si>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</si>
  <si>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</si>
  <si>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</si>
  <si>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</si>
  <si>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</si>
  <si>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</si>
  <si>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</si>
  <si>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</si>
  <si>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</si>
  <si>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</si>
  <si>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</si>
  <si>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</si>
  <si>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</si>
  <si>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</si>
  <si>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</si>
  <si>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</si>
  <si>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</si>
  <si>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</si>
  <si>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</si>
  <si>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</si>
  <si>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</si>
  <si>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</si>
  <si>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</si>
  <si>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</si>
  <si>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</si>
  <si>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</si>
  <si>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</si>
  <si>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</si>
  <si>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</si>
  <si>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</si>
  <si>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</si>
  <si>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</si>
  <si>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</si>
  <si>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</si>
  <si>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</si>
  <si>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</si>
  <si>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</si>
  <si>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</si>
  <si>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</si>
  <si>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</si>
  <si>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</si>
  <si>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</si>
  <si>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</si>
  <si>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</si>
  <si>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</si>
  <si>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</si>
  <si>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</si>
  <si>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</si>
  <si>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</si>
  <si>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</si>
  <si>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</si>
  <si>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</si>
  <si>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</si>
  <si>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</si>
  <si>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</si>
  <si>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</si>
  <si>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</si>
  <si>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</si>
  <si>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</si>
  <si>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</si>
  <si>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</si>
  <si>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</si>
  <si>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</si>
  <si>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</si>
  <si>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</si>
  <si>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</si>
  <si>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</si>
  <si>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</si>
  <si>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</si>
  <si>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</si>
  <si>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</si>
  <si>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</si>
  <si>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</si>
  <si>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</si>
  <si>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</si>
  <si>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</si>
  <si>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</si>
  <si>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</si>
  <si>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</si>
  <si>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</si>
  <si>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</si>
  <si>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</si>
  <si>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</si>
  <si>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</si>
  <si>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</si>
  <si>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</si>
  <si>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</si>
  <si>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</si>
  <si>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</si>
  <si>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</si>
  <si>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</si>
  <si>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</si>
  <si>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</si>
  <si>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</si>
  <si>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</si>
  <si>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</si>
  <si>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</si>
  <si>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</si>
  <si>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</si>
  <si>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</si>
  <si>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</si>
  <si>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</si>
  <si>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</si>
  <si>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</si>
  <si>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</si>
  <si>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</si>
  <si>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</si>
  <si>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</si>
  <si>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</si>
  <si>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</si>
  <si>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</si>
  <si>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</si>
  <si>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</si>
  <si>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</si>
  <si>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</si>
  <si>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</si>
  <si>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</si>
  <si>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</si>
  <si>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</si>
  <si>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</si>
  <si>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</si>
  <si>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</si>
  <si>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</si>
  <si>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</si>
  <si>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</si>
  <si>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</si>
  <si>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</si>
  <si>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</si>
  <si>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</si>
  <si>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</si>
  <si>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</si>
  <si>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</si>
  <si>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</si>
  <si>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</si>
  <si>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</si>
  <si>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</si>
  <si>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</si>
  <si>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</si>
  <si>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</si>
  <si>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</si>
  <si>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</si>
  <si>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</si>
  <si>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</si>
  <si>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</si>
  <si>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</si>
  <si>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</si>
  <si>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</si>
  <si>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</si>
  <si>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</si>
  <si>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</si>
  <si>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</si>
  <si>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</si>
  <si>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</si>
  <si>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</si>
  <si>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</si>
  <si>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</si>
  <si>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</si>
  <si>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</si>
  <si>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</si>
  <si>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</si>
  <si>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</si>
  <si>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</si>
  <si>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</si>
  <si>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</si>
  <si>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</si>
  <si>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</si>
  <si>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</si>
  <si>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</si>
  <si>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</si>
  <si>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</si>
  <si>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</si>
  <si>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</si>
  <si>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</si>
  <si>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</si>
  <si>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</si>
  <si>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</si>
  <si>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</si>
  <si>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</si>
  <si>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</si>
  <si>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</si>
  <si>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</si>
  <si>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</si>
  <si>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</si>
  <si>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</si>
  <si>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</si>
  <si>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</si>
  <si>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</si>
  <si>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</si>
  <si>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</si>
  <si>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</si>
  <si>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</si>
  <si>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</si>
  <si>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</si>
  <si>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</si>
  <si>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</si>
  <si>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</si>
  <si>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</si>
  <si>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</si>
  <si>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</si>
  <si>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</si>
  <si>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</si>
  <si>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</si>
  <si>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</si>
  <si>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</si>
  <si>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</si>
  <si>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</si>
  <si>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</si>
  <si>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</si>
  <si>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</si>
  <si>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</si>
  <si>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</si>
  <si>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</si>
  <si>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</si>
  <si>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</si>
  <si>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</si>
  <si>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</si>
  <si>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</si>
  <si>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</si>
  <si>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</si>
  <si>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</si>
  <si>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</si>
  <si>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</si>
  <si>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</si>
  <si>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</si>
  <si>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</si>
  <si>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</si>
  <si>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</si>
  <si>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</si>
  <si>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</si>
  <si>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</si>
  <si>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</si>
  <si>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</si>
  <si>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</si>
  <si>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</si>
  <si>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</si>
  <si>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</si>
  <si>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</si>
  <si>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</si>
  <si>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</si>
  <si>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</si>
  <si>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</si>
  <si>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</si>
  <si>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</si>
  <si>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</si>
  <si>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</si>
  <si>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</si>
  <si>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</si>
  <si>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</si>
  <si>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</si>
  <si>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</si>
  <si>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</si>
  <si>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</si>
  <si>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</si>
  <si>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</si>
  <si>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</si>
  <si>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</si>
  <si>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</si>
  <si>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</si>
  <si>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</si>
  <si>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</si>
  <si>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</si>
  <si>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</si>
  <si>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</si>
  <si>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</si>
  <si>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</si>
  <si>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</si>
  <si>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</si>
  <si>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</si>
  <si>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</si>
  <si>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</si>
  <si>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</si>
  <si>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</si>
  <si>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</si>
  <si>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</si>
  <si>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</si>
  <si>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</si>
  <si>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</si>
  <si>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</si>
  <si>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</si>
  <si>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</si>
  <si>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</si>
  <si>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</si>
  <si>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</si>
  <si>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</si>
  <si>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</si>
  <si>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</si>
  <si>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</si>
  <si>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</si>
  <si>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</si>
  <si>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</si>
  <si>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</si>
  <si>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</si>
  <si>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</si>
  <si>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</si>
  <si>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</si>
  <si>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</si>
  <si>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</si>
  <si>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</si>
  <si>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</si>
  <si>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</si>
  <si>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</si>
  <si>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</si>
  <si>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</si>
  <si>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</si>
  <si>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</si>
  <si>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</si>
  <si>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</si>
  <si>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</si>
  <si>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</si>
  <si>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</si>
  <si>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</si>
  <si>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</si>
  <si>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</si>
  <si>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</si>
  <si>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</si>
  <si>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</si>
  <si>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</si>
  <si>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</si>
  <si>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</si>
  <si>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</si>
  <si>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</si>
  <si>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</si>
  <si>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</si>
  <si>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</si>
  <si>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</si>
  <si>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</si>
  <si>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</si>
  <si>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</si>
  <si>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</si>
  <si>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</si>
  <si>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</si>
  <si>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</si>
  <si>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</si>
  <si>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</si>
  <si>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</si>
  <si>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</si>
  <si>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</si>
  <si>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</si>
  <si>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</si>
  <si>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</si>
  <si>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</si>
  <si>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</si>
  <si>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</si>
  <si>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</si>
  <si>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</si>
  <si>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</si>
  <si>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</si>
  <si>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</si>
  <si>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</si>
  <si>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</si>
  <si>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</si>
  <si>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</si>
  <si>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</si>
  <si>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</si>
  <si>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</si>
  <si>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</si>
  <si>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</si>
  <si>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</si>
  <si>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</si>
  <si>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</si>
  <si>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</si>
  <si>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</si>
  <si>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</si>
  <si>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</si>
  <si>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</si>
  <si>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</si>
  <si>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</si>
  <si>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</si>
  <si>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</si>
  <si>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</si>
  <si>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</si>
  <si>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</si>
  <si>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</si>
  <si>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</si>
  <si>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</si>
  <si>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</si>
  <si>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</si>
  <si>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</si>
  <si>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</si>
  <si>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</si>
  <si>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</si>
  <si>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</si>
  <si>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</si>
  <si>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</si>
  <si>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</si>
  <si>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</si>
  <si>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</si>
  <si>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</si>
  <si>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</si>
  <si>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</si>
  <si>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</si>
  <si>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</si>
  <si>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</si>
  <si>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</si>
  <si>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</si>
  <si>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</si>
  <si>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</si>
  <si>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</si>
  <si>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</si>
  <si>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</si>
  <si>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</si>
  <si>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</si>
  <si>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</si>
  <si>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</si>
  <si>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</si>
  <si>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</si>
  <si>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</si>
  <si>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</si>
  <si>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</si>
  <si>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</si>
  <si>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</si>
  <si>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</si>
  <si>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</si>
  <si>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</si>
  <si>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</si>
  <si>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</si>
  <si>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</si>
  <si>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</si>
  <si>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</si>
  <si>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</si>
  <si>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</si>
  <si>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</si>
  <si>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</si>
  <si>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</si>
  <si>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</si>
  <si>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</si>
  <si>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</si>
  <si>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</si>
  <si>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</si>
  <si>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</si>
  <si>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</si>
  <si>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</si>
  <si>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</si>
  <si>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</si>
  <si>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</si>
  <si>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</si>
  <si>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</si>
  <si>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</si>
  <si>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</si>
  <si>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</si>
  <si>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</si>
  <si>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</si>
  <si>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</si>
  <si>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</si>
  <si>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</si>
  <si>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</si>
  <si>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</si>
  <si>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</si>
  <si>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</si>
  <si>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</si>
  <si>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</si>
  <si>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</si>
  <si>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</si>
  <si>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</si>
  <si>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</si>
  <si>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</si>
  <si>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</si>
  <si>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</si>
  <si>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</si>
  <si>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</si>
  <si>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</si>
  <si>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</si>
  <si>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</si>
  <si>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</si>
  <si>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</si>
  <si>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</si>
  <si>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</si>
  <si>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</si>
  <si>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</si>
  <si>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</si>
  <si>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</si>
  <si>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</si>
  <si>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</si>
  <si>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</si>
  <si>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</si>
  <si>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</si>
  <si>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</si>
  <si>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</si>
  <si>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</si>
  <si>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</si>
  <si>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</si>
  <si>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</si>
  <si>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</si>
  <si>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</si>
  <si>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</si>
  <si>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</si>
  <si>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</si>
  <si>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</si>
  <si>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</si>
  <si>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</si>
  <si>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</si>
  <si>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</si>
  <si>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</si>
  <si>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</si>
  <si>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</si>
  <si>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</si>
  <si>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</si>
  <si>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</si>
  <si>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</si>
  <si>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</si>
  <si>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</si>
  <si>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</si>
  <si>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</si>
  <si>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</si>
  <si>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</si>
  <si>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</si>
  <si>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</si>
  <si>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</si>
  <si>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</si>
  <si>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</si>
  <si>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</si>
  <si>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</si>
  <si>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</si>
  <si>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</si>
  <si>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</si>
  <si>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</si>
  <si>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</si>
  <si>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</si>
  <si>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</si>
  <si>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</si>
  <si>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</si>
  <si>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</si>
  <si>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</si>
  <si>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</si>
  <si>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</si>
  <si>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</si>
  <si>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</si>
  <si>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</si>
  <si>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</si>
  <si>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</si>
  <si>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</si>
  <si>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</si>
  <si>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</si>
  <si>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</si>
  <si>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</si>
  <si>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</si>
  <si>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</si>
  <si>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</si>
  <si>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</si>
  <si>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</si>
  <si>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</si>
  <si>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</si>
  <si>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</si>
  <si>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</si>
  <si>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</si>
  <si>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</si>
  <si>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</si>
  <si>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</si>
  <si>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</si>
  <si>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</si>
  <si>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</si>
  <si>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</si>
  <si>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</si>
  <si>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</si>
  <si>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</si>
  <si>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</si>
  <si>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</si>
  <si>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</si>
  <si>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</si>
  <si>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</si>
  <si>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</si>
  <si>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</si>
  <si>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</si>
  <si>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</si>
  <si>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</si>
  <si>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</si>
  <si>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</si>
  <si>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</si>
  <si>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</si>
  <si>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</si>
  <si>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</si>
  <si>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</si>
  <si>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</si>
  <si>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</si>
  <si>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</si>
  <si>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</si>
  <si>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</si>
  <si>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</si>
  <si>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</si>
  <si>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</si>
  <si>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</si>
  <si>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</si>
  <si>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</si>
  <si>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</si>
  <si>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</si>
  <si>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</si>
  <si>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</si>
  <si>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</si>
  <si>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</si>
  <si>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</si>
  <si>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</si>
  <si>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</si>
  <si>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</si>
  <si>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</si>
  <si>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</si>
  <si>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</si>
  <si>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</si>
  <si>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</si>
  <si>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</si>
  <si>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</si>
  <si>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</si>
  <si>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</si>
  <si>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</si>
  <si>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</si>
  <si>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</si>
  <si>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</si>
  <si>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</si>
  <si>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</si>
  <si>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</si>
  <si>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</si>
  <si>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</si>
  <si>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</si>
  <si>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</si>
  <si>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</si>
  <si>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</si>
  <si>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</si>
  <si>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</si>
  <si>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</si>
  <si>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</si>
  <si>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</si>
  <si>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</si>
  <si>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</si>
  <si>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</si>
  <si>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</si>
  <si>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</si>
  <si>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</si>
  <si>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</si>
  <si>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</si>
  <si>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</si>
  <si>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</si>
  <si>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</si>
  <si>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</si>
  <si>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</si>
  <si>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</si>
  <si>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</si>
  <si>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</si>
  <si>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</si>
  <si>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</si>
  <si>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</si>
  <si>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</si>
  <si>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</si>
  <si>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</si>
  <si>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</si>
  <si>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</si>
  <si>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</si>
  <si>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</si>
  <si>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</si>
  <si>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</si>
  <si>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</si>
  <si>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</si>
  <si>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</si>
  <si>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</si>
  <si>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</si>
  <si>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</si>
  <si>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</si>
  <si>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</si>
  <si>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</si>
  <si>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</si>
  <si>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</si>
  <si>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</si>
  <si>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</si>
  <si>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</si>
  <si>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</si>
  <si>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</si>
  <si>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</si>
  <si>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</si>
  <si>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</si>
  <si>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</si>
  <si>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</si>
  <si>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</si>
  <si>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</si>
  <si>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</si>
  <si>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</si>
  <si>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</si>
  <si>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</si>
  <si>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</si>
  <si>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</si>
  <si>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</si>
  <si>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</si>
  <si>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</si>
  <si>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</si>
  <si>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</si>
  <si>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</si>
  <si>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</si>
  <si>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</si>
  <si>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</si>
  <si>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</si>
  <si>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</si>
  <si>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</si>
  <si>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</si>
  <si>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</si>
  <si>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</si>
  <si>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</si>
  <si>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</si>
  <si>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</si>
  <si>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</si>
  <si>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</si>
  <si>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</si>
  <si>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</si>
  <si>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</si>
  <si>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</si>
  <si>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</si>
  <si>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</si>
  <si>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</si>
  <si>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</si>
  <si>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</si>
  <si>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</si>
  <si>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</si>
  <si>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</si>
  <si>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</si>
  <si>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</si>
  <si>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</si>
  <si>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</si>
  <si>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</si>
  <si>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</si>
  <si>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</si>
  <si>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</si>
  <si>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</si>
  <si>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</si>
  <si>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</si>
  <si>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</si>
  <si>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</si>
  <si>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</si>
  <si>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</si>
  <si>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</si>
  <si>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</si>
  <si>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</si>
  <si>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</si>
  <si>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</si>
  <si>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</si>
  <si>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</si>
  <si>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</si>
  <si>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</si>
  <si>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</si>
  <si>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</si>
  <si>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</si>
  <si>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</si>
  <si>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</si>
  <si>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</si>
  <si>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</si>
  <si>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</si>
  <si>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</si>
  <si>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</si>
  <si>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</si>
  <si>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</si>
  <si>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</si>
  <si>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</si>
  <si>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</si>
  <si>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</si>
  <si>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</si>
  <si>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</si>
  <si>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</si>
  <si>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</si>
  <si>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</si>
  <si>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</si>
  <si>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</si>
  <si>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</si>
  <si>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</si>
  <si>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</si>
  <si>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</si>
  <si>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</si>
  <si>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</si>
  <si>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</si>
  <si>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</si>
  <si>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</si>
  <si>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</si>
  <si>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</si>
  <si>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</si>
  <si>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</si>
  <si>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</si>
  <si>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</si>
  <si>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</si>
  <si>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</si>
  <si>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</si>
  <si>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</si>
  <si>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</si>
  <si>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</si>
  <si>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</si>
  <si>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</si>
  <si>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</si>
  <si>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</si>
  <si>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</si>
  <si>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</si>
  <si>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</si>
  <si>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</si>
  <si>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</si>
  <si>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</si>
  <si>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</si>
  <si>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</si>
  <si>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</si>
  <si>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</si>
  <si>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</si>
  <si>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</si>
  <si>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</si>
  <si>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</si>
  <si>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</si>
  <si>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</si>
  <si>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</si>
  <si>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</si>
  <si>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</si>
  <si>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</si>
  <si>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</si>
  <si>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</si>
  <si>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</si>
  <si>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</si>
  <si>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</si>
  <si>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</si>
  <si>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</si>
  <si>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</si>
  <si>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</si>
  <si>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</si>
  <si>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</si>
  <si>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</si>
  <si>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</si>
  <si>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</si>
  <si>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</si>
  <si>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</si>
  <si>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</si>
  <si>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</si>
  <si>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</si>
  <si>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</si>
  <si>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</si>
  <si>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</si>
  <si>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</si>
  <si>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</si>
  <si>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</si>
  <si>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</si>
  <si>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</si>
  <si>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</si>
  <si>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</si>
  <si>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</si>
  <si>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</si>
  <si>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</si>
  <si>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</si>
  <si>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</si>
  <si>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</si>
  <si>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</si>
  <si>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</si>
  <si>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</si>
  <si>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</si>
  <si>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</si>
  <si>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</si>
  <si>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</si>
  <si>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</si>
  <si>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</si>
  <si>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</si>
  <si>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</si>
  <si>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</si>
  <si>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</si>
  <si>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</si>
  <si>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</si>
  <si>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</si>
  <si>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</si>
  <si>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</si>
  <si>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</si>
  <si>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</si>
  <si>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</si>
  <si>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</si>
  <si>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</si>
  <si>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</si>
  <si>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</si>
  <si>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</si>
  <si>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</si>
  <si>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</si>
  <si>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</si>
  <si>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</si>
  <si>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</si>
  <si>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</si>
  <si>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</si>
  <si>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</si>
  <si>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</si>
  <si>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</si>
  <si>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</si>
  <si>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</si>
  <si>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</si>
  <si>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</si>
  <si>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</si>
  <si>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</si>
  <si>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</si>
  <si>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</si>
  <si>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</si>
  <si>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</si>
  <si>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</si>
  <si>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</si>
  <si>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</si>
  <si>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</si>
  <si>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</si>
  <si>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</si>
  <si>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</si>
  <si>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</si>
  <si>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</si>
  <si>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</si>
  <si>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</si>
  <si>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</si>
  <si>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</si>
  <si>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</si>
  <si>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</si>
  <si>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</si>
  <si>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</si>
  <si>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</si>
  <si>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</si>
  <si>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</si>
  <si>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</si>
  <si>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</si>
  <si>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</si>
  <si>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</si>
  <si>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</si>
  <si>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</si>
  <si>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</si>
  <si>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</si>
  <si>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</si>
  <si>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</si>
  <si>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</si>
  <si>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</si>
  <si>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</si>
  <si>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</si>
  <si>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</si>
  <si>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</si>
  <si>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</si>
  <si>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</si>
  <si>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</si>
  <si>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</si>
  <si>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</si>
  <si>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</si>
  <si>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</si>
  <si>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</si>
  <si>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</si>
  <si>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</si>
  <si>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</si>
  <si>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</si>
  <si>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</si>
  <si>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</si>
  <si>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</si>
  <si>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</si>
  <si>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</si>
  <si>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</si>
  <si>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</si>
  <si>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</si>
  <si>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</si>
  <si>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</si>
  <si>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</si>
  <si>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</si>
  <si>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</si>
  <si>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</si>
  <si>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</si>
  <si>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</si>
  <si>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</si>
  <si>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</si>
  <si>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</si>
  <si>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</si>
  <si>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</si>
  <si>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</si>
  <si>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</si>
  <si>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</si>
  <si>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</si>
  <si>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</si>
  <si>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</si>
  <si>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</si>
  <si>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</si>
  <si>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</si>
  <si>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</si>
  <si>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</si>
  <si>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</si>
  <si>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</si>
  <si>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</si>
  <si>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</si>
  <si>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</si>
  <si>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</si>
  <si>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</si>
  <si>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</si>
  <si>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</si>
  <si>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</si>
  <si>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</si>
  <si>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</si>
  <si>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</si>
  <si>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</si>
  <si>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</si>
  <si>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</si>
  <si>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</si>
  <si>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</si>
  <si>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</si>
  <si>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</si>
  <si>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</si>
  <si>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</si>
  <si>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</si>
  <si>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</si>
  <si>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</si>
  <si>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</si>
  <si>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</si>
  <si>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</si>
  <si>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</si>
  <si>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</si>
  <si>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</si>
  <si>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</si>
  <si>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</si>
  <si>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</si>
  <si>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</si>
  <si>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</si>
  <si>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</si>
  <si>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</si>
  <si>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</si>
  <si>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</si>
  <si>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</si>
  <si>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</si>
  <si>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</si>
  <si>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</si>
  <si>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</si>
  <si>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</si>
  <si>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</si>
  <si>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</si>
  <si>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</si>
  <si>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</si>
  <si>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</si>
  <si>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</si>
  <si>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</si>
  <si>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</si>
  <si>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</si>
  <si>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</si>
  <si>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</si>
  <si>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</si>
  <si>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</si>
  <si>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</si>
  <si>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</si>
  <si>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</si>
  <si>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</si>
  <si>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</si>
  <si>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</si>
  <si>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</si>
  <si>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</si>
  <si>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</si>
  <si>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</si>
  <si>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</si>
  <si>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</si>
  <si>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</si>
  <si>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</si>
  <si>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</si>
  <si>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</si>
  <si>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</si>
  <si>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</si>
  <si>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</si>
  <si>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</si>
  <si>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</si>
  <si>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</si>
  <si>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</si>
  <si>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</si>
  <si>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</si>
  <si>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</si>
  <si>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</si>
  <si>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</si>
  <si>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</si>
  <si>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</si>
  <si>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</si>
  <si>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</si>
  <si>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</si>
  <si>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</si>
  <si>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</si>
  <si>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</si>
  <si>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</si>
  <si>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</si>
  <si>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</si>
  <si>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</si>
  <si>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</si>
  <si>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</si>
  <si>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</si>
  <si>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</si>
  <si>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</si>
  <si>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</si>
  <si>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</si>
  <si>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</si>
  <si>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</si>
  <si>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</si>
  <si>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</si>
  <si>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</si>
  <si>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</si>
  <si>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</si>
  <si>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</si>
  <si>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</si>
  <si>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</si>
  <si>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</si>
  <si>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</si>
  <si>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</si>
  <si>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</si>
  <si>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</si>
  <si>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</si>
  <si>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</si>
  <si>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</si>
  <si>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</si>
  <si>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</si>
  <si>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</si>
  <si>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</si>
  <si>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</si>
  <si>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</si>
  <si>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</si>
  <si>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</si>
  <si>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</si>
  <si>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</si>
  <si>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</si>
  <si>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</si>
  <si>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</si>
  <si>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</si>
  <si>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</si>
  <si>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</si>
  <si>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</si>
  <si>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</si>
  <si>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</si>
  <si>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</si>
  <si>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</si>
  <si>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</si>
  <si>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</si>
  <si>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</si>
  <si>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</si>
  <si>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</si>
  <si>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</si>
  <si>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</si>
  <si>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</si>
  <si>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</si>
  <si>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</si>
  <si>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</si>
  <si>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</si>
  <si>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</si>
  <si>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</si>
  <si>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</si>
  <si>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</si>
  <si>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</si>
  <si>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</si>
  <si>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</si>
  <si>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</si>
  <si>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</si>
  <si>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</si>
  <si>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</si>
  <si>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</si>
  <si>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</si>
  <si>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</si>
  <si>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</si>
  <si>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</si>
  <si>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</si>
  <si>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</si>
  <si>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</si>
  <si>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</si>
  <si>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</si>
  <si>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</si>
  <si>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</si>
  <si>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</si>
  <si>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</si>
  <si>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</si>
  <si>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</si>
  <si>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</si>
  <si>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</si>
  <si>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</si>
  <si>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</si>
  <si>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</si>
  <si>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</si>
  <si>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</si>
  <si>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</si>
  <si>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</si>
  <si>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</si>
  <si>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</si>
  <si>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</si>
  <si>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</si>
  <si>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</si>
  <si>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</si>
  <si>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</si>
  <si>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</si>
  <si>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</si>
  <si>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</si>
  <si>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</si>
  <si>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</si>
  <si>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</si>
  <si>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</si>
  <si>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</si>
  <si>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</si>
  <si>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</si>
  <si>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</si>
  <si>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</si>
  <si>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</si>
  <si>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</si>
  <si>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</si>
  <si>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</si>
  <si>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</si>
  <si>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</si>
  <si>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</si>
  <si>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</si>
  <si>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</si>
  <si>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</si>
  <si>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</si>
  <si>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</si>
  <si>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</si>
  <si>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</si>
  <si>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</si>
  <si>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</si>
  <si>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</si>
  <si>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</si>
  <si>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</si>
  <si>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</si>
  <si>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</si>
  <si>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</si>
  <si>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</si>
  <si>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</si>
  <si>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</si>
  <si>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</si>
  <si>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</si>
  <si>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</si>
  <si>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</si>
  <si>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</si>
  <si>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</si>
  <si>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</si>
  <si>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</si>
  <si>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</si>
  <si>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</si>
  <si>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</si>
  <si>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</si>
  <si>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</si>
  <si>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</si>
  <si>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</si>
  <si>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</si>
  <si>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</si>
  <si>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</si>
  <si>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</si>
  <si>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</si>
  <si>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</si>
  <si>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</si>
  <si>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</si>
  <si>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</si>
  <si>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</si>
  <si>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</si>
  <si>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</si>
  <si>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</si>
  <si>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</si>
  <si>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</si>
  <si>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</si>
  <si>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</si>
  <si>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</si>
  <si>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</si>
  <si>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</si>
  <si>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</si>
  <si>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</si>
  <si>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</si>
  <si>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</si>
  <si>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</si>
  <si>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</si>
  <si>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</si>
  <si>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</si>
  <si>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</si>
  <si>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</si>
  <si>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</si>
  <si>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</si>
  <si>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</si>
  <si>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</si>
  <si>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</si>
  <si>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</si>
  <si>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</si>
  <si>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</si>
  <si>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</si>
  <si>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</si>
  <si>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</si>
  <si>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</si>
  <si>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</si>
  <si>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</si>
  <si>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</si>
  <si>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</si>
  <si>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</si>
  <si>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</si>
  <si>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</si>
  <si>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</si>
  <si>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</si>
  <si>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</si>
  <si>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</si>
  <si>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</si>
  <si>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</si>
  <si>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</si>
  <si>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</si>
  <si>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</si>
  <si>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</si>
  <si>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</si>
  <si>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</si>
  <si>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</si>
  <si>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</si>
  <si>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</si>
  <si>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</si>
  <si>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</si>
  <si>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</si>
  <si>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</si>
  <si>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</si>
  <si>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</si>
  <si>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</si>
  <si>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</si>
  <si>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</si>
  <si>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</si>
  <si>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</si>
  <si>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</si>
  <si>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</si>
  <si>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</si>
  <si>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</si>
  <si>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</si>
  <si>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</si>
  <si>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</si>
  <si>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</si>
  <si>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</si>
  <si>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</si>
  <si>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</si>
  <si>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</si>
  <si>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</si>
  <si>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</si>
  <si>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</si>
  <si>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</si>
  <si>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</si>
  <si>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</si>
  <si>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</si>
  <si>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</si>
  <si>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</si>
  <si>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</si>
  <si>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</si>
  <si>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</si>
  <si>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</si>
  <si>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</si>
  <si>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</si>
  <si>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</si>
  <si>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</si>
  <si>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</si>
  <si>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</si>
  <si>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</si>
  <si>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</si>
  <si>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</si>
  <si>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</si>
  <si>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</si>
  <si>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</si>
  <si>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</si>
  <si>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</si>
  <si>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</si>
  <si>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</si>
  <si>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</si>
  <si>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</si>
  <si>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</si>
  <si>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</si>
  <si>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</si>
  <si>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</si>
  <si>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</si>
  <si>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</si>
  <si>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</si>
  <si>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</si>
  <si>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</si>
  <si>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</si>
  <si>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</si>
  <si>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</si>
  <si>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</si>
  <si>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</si>
  <si>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</si>
  <si>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</si>
  <si>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</si>
  <si>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</si>
  <si>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</si>
  <si>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</si>
  <si>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</si>
  <si>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</si>
  <si>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</si>
  <si>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</si>
  <si>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</si>
  <si>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</si>
  <si>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</si>
  <si>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</si>
  <si>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</si>
  <si>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</si>
  <si>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</si>
  <si>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</si>
  <si>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</si>
  <si>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</si>
  <si>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</si>
  <si>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</si>
  <si>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</si>
  <si>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</si>
  <si>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</si>
  <si>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</si>
  <si>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</si>
  <si>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</si>
  <si>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</si>
  <si>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</si>
  <si>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</si>
  <si>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</si>
  <si>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</si>
  <si>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</si>
  <si>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</si>
  <si>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</si>
  <si>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</si>
  <si>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</si>
  <si>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</si>
  <si>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</si>
  <si>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</si>
  <si>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</si>
  <si>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</si>
  <si>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</si>
  <si>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</si>
  <si>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</si>
  <si>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</si>
  <si>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</si>
  <si>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</si>
  <si>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</si>
  <si>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</si>
  <si>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</si>
  <si>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</si>
  <si>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</si>
  <si>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</si>
  <si>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</si>
  <si>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</si>
  <si>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</si>
  <si>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</si>
  <si>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</si>
  <si>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</si>
  <si>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</si>
  <si>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</si>
  <si>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</si>
  <si>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</si>
  <si>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</si>
  <si>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</si>
  <si>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</si>
  <si>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</si>
  <si>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</si>
  <si>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</si>
  <si>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</si>
  <si>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</si>
  <si>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</si>
  <si>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</si>
  <si>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</si>
  <si>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</si>
  <si>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</si>
  <si>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</si>
  <si>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</si>
  <si>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</si>
  <si>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</si>
  <si>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</si>
  <si>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</si>
  <si>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</si>
  <si>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</si>
  <si>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</si>
  <si>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</si>
  <si>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</si>
  <si>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</si>
  <si>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</si>
  <si>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</si>
  <si>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</si>
  <si>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</si>
  <si>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</si>
  <si>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</si>
  <si>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</si>
  <si>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</si>
  <si>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</si>
  <si>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</si>
  <si>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</si>
  <si>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</si>
  <si>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</si>
  <si>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</si>
  <si>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</si>
  <si>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</si>
  <si>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</si>
  <si>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</si>
  <si>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</si>
  <si>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</si>
  <si>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</si>
  <si>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</si>
  <si>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</si>
  <si>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</si>
  <si>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</si>
  <si>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</si>
  <si>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</si>
  <si>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</si>
  <si>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</si>
  <si>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</si>
  <si>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</si>
  <si>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</si>
  <si>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</si>
  <si>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</si>
  <si>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</si>
  <si>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</si>
  <si>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</si>
  <si>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</si>
  <si>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</si>
  <si>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</si>
  <si>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</si>
  <si>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</si>
  <si>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</si>
  <si>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</si>
  <si>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</si>
  <si>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</si>
  <si>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</si>
  <si>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</si>
  <si>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</si>
  <si>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</si>
  <si>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</si>
  <si>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</si>
  <si>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</si>
  <si>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</si>
  <si>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</si>
  <si>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</si>
  <si>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</si>
  <si>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</si>
  <si>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</si>
  <si>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</si>
  <si>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</si>
  <si>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</si>
  <si>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</si>
  <si>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</si>
  <si>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</si>
  <si>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</si>
  <si>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</si>
  <si>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</si>
  <si>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</si>
  <si>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</si>
  <si>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</si>
  <si>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</si>
  <si>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</si>
  <si>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</si>
  <si>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</si>
  <si>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</si>
  <si>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 xml:space="preserve">   laura green</t>
  </si>
  <si>
    <t>dr. Benjamin Price</t>
  </si>
  <si>
    <t xml:space="preserve">  sheena bonilla  </t>
  </si>
  <si>
    <t>jeremy harris</t>
  </si>
  <si>
    <t xml:space="preserve">   paul fox</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</si>
  <si>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</si>
  <si>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</si>
  <si>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</si>
  <si>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</si>
  <si>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</si>
  <si>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</si>
  <si>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</si>
  <si>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</si>
  <si>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</si>
  <si>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</si>
  <si>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</si>
  <si>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</si>
  <si>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</si>
  <si>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</si>
  <si>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</si>
  <si>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</si>
  <si>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</si>
  <si>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</si>
  <si>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</si>
  <si>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</si>
  <si>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</si>
  <si>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</si>
  <si>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</si>
  <si>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</si>
  <si>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</si>
  <si>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</si>
  <si>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</si>
  <si>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</si>
  <si>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</si>
  <si>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</si>
  <si>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</si>
  <si>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</si>
  <si>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</si>
  <si>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</si>
  <si>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</si>
  <si>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</si>
  <si>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</si>
  <si>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</si>
  <si>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</si>
  <si>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</si>
  <si>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</si>
  <si>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</si>
  <si>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</si>
  <si>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</si>
  <si>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</si>
  <si>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</si>
  <si>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</si>
  <si>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</si>
  <si>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</si>
  <si>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</si>
  <si>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</si>
  <si>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</si>
  <si>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</si>
  <si>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</si>
  <si>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</si>
  <si>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</si>
  <si>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</si>
  <si>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</si>
  <si>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</si>
  <si>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</si>
  <si>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</si>
  <si>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</si>
  <si>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</si>
  <si>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</si>
  <si>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</si>
  <si>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</si>
  <si>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</si>
  <si>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</si>
  <si>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</si>
  <si>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</si>
  <si>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</si>
  <si>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</si>
  <si>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</si>
  <si>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</si>
  <si>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</si>
  <si>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</si>
  <si>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</si>
  <si>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</si>
  <si>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</si>
  <si>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</si>
  <si>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</si>
  <si>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</si>
  <si>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</si>
  <si>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</si>
  <si>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</si>
  <si>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</si>
  <si>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</si>
  <si>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</si>
  <si>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</si>
  <si>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</si>
  <si>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</si>
  <si>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</si>
  <si>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</si>
  <si>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</si>
  <si>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</si>
  <si>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</si>
  <si>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</si>
  <si>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</si>
  <si>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</si>
  <si>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</si>
  <si>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</si>
  <si>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</si>
  <si>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</si>
  <si>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</si>
  <si>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</si>
  <si>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</si>
  <si>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</si>
  <si>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</si>
  <si>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</si>
  <si>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</si>
  <si>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</si>
  <si>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</si>
  <si>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</si>
  <si>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</si>
  <si>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</si>
  <si>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</si>
  <si>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</si>
  <si>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</si>
  <si>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</si>
  <si>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</si>
  <si>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</si>
  <si>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</si>
  <si>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</si>
  <si>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Month</t>
  </si>
  <si>
    <t>Uncategorized</t>
  </si>
  <si>
    <t>Name2</t>
  </si>
  <si>
    <t>City2</t>
  </si>
  <si>
    <t>Imputed Cost</t>
  </si>
  <si>
    <t>Imputed Stock</t>
  </si>
  <si>
    <t>totaL AMOUNT</t>
  </si>
  <si>
    <t>Quantity1</t>
  </si>
  <si>
    <t>Customer Name</t>
  </si>
  <si>
    <t>Product Category</t>
  </si>
  <si>
    <t>Store Region</t>
  </si>
  <si>
    <t>Sales Performance</t>
  </si>
  <si>
    <t>Loyalty Level</t>
  </si>
  <si>
    <t>Mean</t>
  </si>
  <si>
    <t>Standard Error</t>
  </si>
  <si>
    <t>Median</t>
  </si>
  <si>
    <t>Mode</t>
  </si>
  <si>
    <t>Standard Deviation</t>
  </si>
  <si>
    <t>Sample Variance</t>
  </si>
  <si>
    <t>Kurtosis</t>
  </si>
  <si>
    <t>Skewness</t>
  </si>
  <si>
    <t>Range</t>
  </si>
  <si>
    <t>Minimum</t>
  </si>
  <si>
    <t>Maximum</t>
  </si>
  <si>
    <t>Sum</t>
  </si>
  <si>
    <t>Count</t>
  </si>
  <si>
    <t>Descriptive Statistics</t>
  </si>
  <si>
    <t>Orders range</t>
  </si>
  <si>
    <t>Average Sales</t>
  </si>
  <si>
    <t>Total Revenue</t>
  </si>
  <si>
    <t>Number of Bulk orders</t>
  </si>
  <si>
    <t>Total Orders</t>
  </si>
  <si>
    <t>Maximum sale</t>
  </si>
  <si>
    <t>Number of High sales</t>
  </si>
  <si>
    <t>Customer ID</t>
  </si>
  <si>
    <t>Product category</t>
  </si>
  <si>
    <t>Total Amount</t>
  </si>
  <si>
    <t>Index and Match</t>
  </si>
  <si>
    <t>AVERAGE</t>
  </si>
  <si>
    <t>SUM</t>
  </si>
  <si>
    <t>MAXIMUM</t>
  </si>
  <si>
    <t>COUNTIF</t>
  </si>
  <si>
    <t>COUNTA</t>
  </si>
  <si>
    <t>TEXT</t>
  </si>
  <si>
    <t>Month derivation from order date</t>
  </si>
  <si>
    <t>Dropdown list using Data validation and deriving details using Xlookup formula</t>
  </si>
  <si>
    <t>Grand Total</t>
  </si>
  <si>
    <t>Sum of Total_Amount</t>
  </si>
  <si>
    <t>Category wise Total Revenue</t>
  </si>
  <si>
    <t>Region wise Sales performance</t>
  </si>
  <si>
    <t>Loyalty Level Analysis</t>
  </si>
  <si>
    <t>Payment Type</t>
  </si>
  <si>
    <t>Count of Sales_ID</t>
  </si>
  <si>
    <t>Top Products</t>
  </si>
  <si>
    <t>Product Name</t>
  </si>
  <si>
    <t>Sum of Quantity1</t>
  </si>
  <si>
    <t>Month wise Trends</t>
  </si>
  <si>
    <t>Jan</t>
  </si>
  <si>
    <t>Feb</t>
  </si>
  <si>
    <t>Mar</t>
  </si>
  <si>
    <t>Apr</t>
  </si>
  <si>
    <t>May</t>
  </si>
  <si>
    <t>Jun</t>
  </si>
  <si>
    <t>Jul</t>
  </si>
  <si>
    <t>Aug</t>
  </si>
  <si>
    <t>Sep</t>
  </si>
  <si>
    <t>Oct</t>
  </si>
  <si>
    <t>Nov</t>
  </si>
  <si>
    <t>Dec</t>
  </si>
  <si>
    <t>Product name</t>
  </si>
  <si>
    <t>Sales Performance Dashboard</t>
  </si>
  <si>
    <t>Key Business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</si>
</sst>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00"/>
    <numFmt numFmtId="165" formatCode="[$$-409]#,##0.00_ ;\-[$$-409]#,##0.00\ "/>
    <numFmt numFmtId="166" formatCode="0.000"/>
  </numFmts>
  <fonts count="14" x14ac:knownFonts="1">
    <font>
      <sz val="11"/>
      <color theme="1"/>
      <name val="Calibri"/>
      <family val="2"/>
      <scheme val="minor"/>
    </font>
    <font>
      <b/>
      <sz val="11"/>
      <name val="Calibri"/>
    </font>
    <font>
      <b/>
      <sz val="11"/>
      <color theme="0"/>
      <name val="Calibri"/>
      <family val="2"/>
      <scheme val="minor"/>
    </font>
    <font>
      <b/>
      <sz val="11"/>
      <color theme="1"/>
      <name val="Calibri"/>
      <family val="2"/>
      <scheme val="minor"/>
    </font>
    <font>
      <b/>
      <sz val="11"/>
      <name val="Calibri"/>
      <family val="2"/>
    </font>
    <font>
      <sz val="20"/>
      <color theme="1"/>
      <name val="Calibri"/>
      <family val="2"/>
      <scheme val="minor"/>
    </font>
    <font>
      <sz val="8"/>
      <name val="Calibri"/>
      <family val="2"/>
      <scheme val="minor"/>
    </font>
    <font>
      <b/>
      <sz val="28"/>
      <color theme="1"/>
      <name val="Bookman Old Style"/>
      <family val="1"/>
    </font>
    <font>
      <b/>
      <sz val="18"/>
      <color theme="1"/>
      <name val="Calibri"/>
      <family val="2"/>
      <scheme val="minor"/>
    </font>
    <font>
      <b/>
      <sz val="14"/>
      <color theme="1"/>
      <name val="Calibri"/>
      <family val="2"/>
      <scheme val="minor"/>
    </font>
    <font>
      <b/>
      <sz val="12"/>
      <color theme="1"/>
      <name val="Calibri"/>
      <family val="2"/>
      <scheme val="minor"/>
    </font>
    <font>
      <sz val="12"/>
      <color theme="1"/>
      <name val="Calibri"/>
      <family val="2"/>
      <scheme val="minor"/>
    </font>
    <font>
      <b/>
      <i/>
      <sz val="11"/>
      <color rgb="FFFFFF00"/>
      <name val="Arial Black"/>
      <family val="2"/>
    </font>
    <font>
      <b/>
      <sz val="11"/>
      <color rgb="FFFF0000"/>
      <name val="Calibri"/>
      <family val="2"/>
      <scheme val="minor"/>
    </font>
  </fonts>
  <fills count="15">
    <fill>
      <patternFill patternType="none"/>
    </fill>
    <fill>
      <patternFill patternType="gray125"/>
    </fill>
    <fill>
      <patternFill patternType="solid">
        <fgColor theme="6" tint="-0.249977111117893"/>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9" tint="0.79998168889431442"/>
        <bgColor indexed="64"/>
      </patternFill>
    </fill>
    <fill>
      <gradientFill degree="90">
        <stop position="0">
          <color theme="8" tint="-0.25098422193060094"/>
        </stop>
        <stop position="1">
          <color theme="4"/>
        </stop>
      </gradientFill>
    </fill>
    <fill>
      <patternFill patternType="solid">
        <fgColor theme="7" tint="0.59999389629810485"/>
        <bgColor indexed="64"/>
      </patternFill>
    </fill>
    <fill>
      <gradientFill degree="90">
        <stop position="0">
          <color theme="0"/>
        </stop>
        <stop position="1">
          <color theme="2" tint="-0.49803155613879818"/>
        </stop>
      </gradientFill>
    </fill>
    <fill>
      <patternFill patternType="solid">
        <fgColor theme="8" tint="0.39997558519241921"/>
        <bgColor indexed="64"/>
      </patternFill>
    </fill>
    <fill>
      <patternFill patternType="solid">
        <fgColor theme="5" tint="0.79998168889431442"/>
        <bgColor indexed="64"/>
      </patternFill>
    </fill>
    <fill>
      <patternFill patternType="solid">
        <fgColor theme="2" tint="-9.9978637043366805E-2"/>
        <bgColor indexed="64"/>
      </patternFill>
    </fill>
    <fill>
      <gradientFill degree="90">
        <stop position="0">
          <color theme="8" tint="-0.25098422193060094"/>
        </stop>
        <stop position="1">
          <color theme="6" tint="-0.25098422193060094"/>
        </stop>
      </gradientFill>
    </fill>
    <fill>
      <patternFill patternType="solid">
        <fgColor theme="8" tint="0.79998168889431442"/>
        <bgColor indexed="64"/>
      </patternFill>
    </fill>
    <fill>
      <patternFill patternType="solid">
        <fgColor theme="8"/>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52">
    <xf numFmtId="0" fontId="0" fillId="0" borderId="0" xfId="0"/>
    <xf numFmtId="0" fontId="1" fillId="0" borderId="2" xfId="0" applyFont="1" applyBorder="1" applyAlignment="1">
      <alignment horizontal="center" vertical="top"/>
    </xf>
    <xf numFmtId="164" fontId="0" fillId="0" borderId="0" xfId="0" applyNumberFormat="1"/>
    <xf numFmtId="14" fontId="1" fillId="0" borderId="2" xfId="0" applyNumberFormat="1" applyFont="1" applyBorder="1" applyAlignment="1">
      <alignment horizontal="center" vertical="top"/>
    </xf>
    <xf numFmtId="14" fontId="0" fillId="0" borderId="0" xfId="0" applyNumberFormat="1"/>
    <xf numFmtId="164" fontId="1" fillId="2" borderId="2" xfId="0" applyNumberFormat="1" applyFont="1" applyFill="1" applyBorder="1" applyAlignment="1">
      <alignment horizontal="center" vertical="top"/>
    </xf>
    <xf numFmtId="14" fontId="4" fillId="2" borderId="2" xfId="0" applyNumberFormat="1" applyFont="1" applyFill="1" applyBorder="1" applyAlignment="1">
      <alignment horizontal="center" vertical="top"/>
    </xf>
    <xf numFmtId="0" fontId="4" fillId="0" borderId="2" xfId="0" applyFont="1" applyBorder="1" applyAlignment="1">
      <alignment horizontal="center" vertical="top"/>
    </xf>
    <xf numFmtId="0" fontId="4" fillId="2" borderId="2" xfId="0" applyFont="1" applyFill="1" applyBorder="1" applyAlignment="1">
      <alignment horizontal="center" vertical="top"/>
    </xf>
    <xf numFmtId="2" fontId="0" fillId="0" borderId="0" xfId="0" applyNumberFormat="1"/>
    <xf numFmtId="1" fontId="0" fillId="0" borderId="0" xfId="0" applyNumberFormat="1"/>
    <xf numFmtId="0" fontId="0" fillId="4" borderId="0" xfId="0" applyFill="1"/>
    <xf numFmtId="0" fontId="1" fillId="2" borderId="2" xfId="0" applyFont="1" applyFill="1" applyBorder="1" applyAlignment="1">
      <alignment horizontal="center" vertical="top"/>
    </xf>
    <xf numFmtId="0" fontId="0" fillId="0" borderId="0" xfId="0" applyAlignment="1">
      <alignment horizontal="center"/>
    </xf>
    <xf numFmtId="0" fontId="3" fillId="0" borderId="0" xfId="0" applyFont="1"/>
    <xf numFmtId="0" fontId="7" fillId="0" borderId="0" xfId="0" applyFont="1"/>
    <xf numFmtId="0" fontId="9" fillId="0" borderId="0" xfId="0" applyFont="1"/>
    <xf numFmtId="0" fontId="0" fillId="5" borderId="0" xfId="0" applyFill="1"/>
    <xf numFmtId="1" fontId="0" fillId="5" borderId="0" xfId="0" applyNumberFormat="1" applyFill="1"/>
    <xf numFmtId="164" fontId="4" fillId="2" borderId="2" xfId="0" applyNumberFormat="1" applyFont="1" applyFill="1" applyBorder="1" applyAlignment="1">
      <alignment horizontal="center" vertical="top"/>
    </xf>
    <xf numFmtId="0" fontId="0" fillId="3" borderId="6" xfId="0" applyFill="1" applyBorder="1"/>
    <xf numFmtId="0" fontId="0" fillId="3" borderId="7" xfId="0" applyFill="1" applyBorder="1"/>
    <xf numFmtId="0" fontId="10" fillId="3" borderId="6" xfId="0" applyFont="1" applyFill="1" applyBorder="1"/>
    <xf numFmtId="0" fontId="11" fillId="3" borderId="7" xfId="0" applyFont="1" applyFill="1" applyBorder="1"/>
    <xf numFmtId="0" fontId="10" fillId="3" borderId="3" xfId="0" applyFont="1" applyFill="1" applyBorder="1"/>
    <xf numFmtId="0" fontId="11" fillId="3" borderId="8" xfId="0" applyFont="1" applyFill="1" applyBorder="1"/>
    <xf numFmtId="0" fontId="0" fillId="0" borderId="1" xfId="0" applyBorder="1"/>
    <xf numFmtId="164" fontId="0" fillId="0" borderId="1" xfId="0" applyNumberFormat="1" applyBorder="1"/>
    <xf numFmtId="0" fontId="3" fillId="0" borderId="1" xfId="0" applyFont="1" applyBorder="1"/>
    <xf numFmtId="0" fontId="0" fillId="7" borderId="0" xfId="0" applyFill="1"/>
    <xf numFmtId="0" fontId="13" fillId="8" borderId="1" xfId="0" applyFont="1" applyFill="1" applyBorder="1"/>
    <xf numFmtId="0" fontId="0" fillId="9" borderId="1" xfId="0" applyFill="1" applyBorder="1"/>
    <xf numFmtId="0" fontId="3" fillId="10" borderId="1" xfId="0" applyFont="1" applyFill="1" applyBorder="1"/>
    <xf numFmtId="165" fontId="0" fillId="10" borderId="1" xfId="0" applyNumberFormat="1" applyFill="1" applyBorder="1"/>
    <xf numFmtId="0" fontId="0" fillId="10" borderId="1" xfId="0" applyFill="1" applyBorder="1"/>
    <xf numFmtId="0" fontId="3" fillId="10" borderId="1" xfId="0" applyFont="1" applyFill="1" applyBorder="1" applyAlignment="1">
      <alignment horizontal="right"/>
    </xf>
    <xf numFmtId="0" fontId="0" fillId="11" borderId="0" xfId="0" applyFill="1"/>
    <xf numFmtId="0" fontId="0" fillId="9" borderId="0" xfId="0" applyFill="1"/>
    <xf numFmtId="0" fontId="3" fillId="7" borderId="0" xfId="0" applyFont="1" applyFill="1"/>
    <xf numFmtId="0" fontId="2" fillId="12" borderId="0" xfId="0" applyFont="1" applyFill="1"/>
    <xf numFmtId="0" fontId="0" fillId="7" borderId="0" xfId="0" applyFill="1" applyAlignment="1">
      <alignment horizontal="left"/>
    </xf>
    <xf numFmtId="0" fontId="0" fillId="13" borderId="0" xfId="0" applyFill="1" applyAlignment="1">
      <alignment horizontal="left"/>
    </xf>
    <xf numFmtId="0" fontId="0" fillId="13" borderId="0" xfId="0" applyFill="1"/>
    <xf numFmtId="1" fontId="0" fillId="7" borderId="0" xfId="0" applyNumberFormat="1" applyFill="1"/>
    <xf numFmtId="1" fontId="0" fillId="13" borderId="0" xfId="0" applyNumberFormat="1" applyFill="1"/>
    <xf numFmtId="0" fontId="8" fillId="0" borderId="0" xfId="0" applyFont="1"/>
    <xf numFmtId="0" fontId="0" fillId="14" borderId="0" xfId="0" applyFill="1"/>
    <xf numFmtId="0" fontId="5" fillId="14" borderId="0" xfId="0" applyFont="1" applyFill="1"/>
    <xf numFmtId="166" fontId="0" fillId="13" borderId="0" xfId="0" applyNumberFormat="1" applyFill="1"/>
    <xf numFmtId="2" fontId="0" fillId="13" borderId="0" xfId="0" applyNumberFormat="1" applyFill="1"/>
    <xf numFmtId="0" fontId="12" fillId="6" borderId="4" xfId="0" applyFont="1" applyFill="1" applyBorder="1" applyAlignment="1">
      <alignment horizontal="center"/>
    </xf>
    <xf numFmtId="0" fontId="12" fillId="6" borderId="5" xfId="0" applyFont="1" applyFill="1" applyBorder="1" applyAlignment="1">
      <alignment horizontal="center"/>
    </xf>
  </cellXfs>
  <cellStyles count="1">
    <cellStyle name="Normal" xfId="0" builtinId="0"/>
  </cellStyles>
  <dxfs count="67">
    <dxf>
      <fill>
        <patternFill>
          <bgColor theme="9" tint="0.59996337778862885"/>
        </patternFill>
      </fill>
    </dxf>
    <dxf>
      <fill>
        <gradientFill degree="90">
          <stop position="0">
            <color theme="3" tint="0.59999389629810485"/>
          </stop>
          <stop position="1">
            <color rgb="FFA461AB"/>
          </stop>
        </gradientFill>
      </fill>
    </dxf>
    <dxf>
      <fill>
        <patternFill>
          <bgColor theme="5" tint="0.59996337778862885"/>
        </patternFill>
      </fill>
    </dxf>
    <dxf>
      <fill>
        <gradientFill degree="90">
          <stop position="0">
            <color rgb="FF00B0F0"/>
          </stop>
          <stop position="1">
            <color rgb="FF7030A0"/>
          </stop>
        </gradientFill>
      </fill>
    </dxf>
    <dxf>
      <font>
        <color theme="0"/>
      </font>
    </dxf>
    <dxf>
      <numFmt numFmtId="166" formatCode="0.000"/>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8" tint="0.79998168889431442"/>
        </patternFill>
      </fill>
      <alignment horizontal="general" vertical="bottom" textRotation="0" wrapText="0" indent="0" justifyLastLine="0" shrinkToFit="0" readingOrder="0"/>
    </dxf>
    <dxf>
      <fill>
        <patternFill patternType="solid">
          <fgColor indexed="64"/>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numFmt numFmtId="166" formatCode="0.000"/>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numFmt numFmtId="2" formatCode="0.00"/>
    </dxf>
    <dxf>
      <fill>
        <patternFill patternType="solid">
          <fgColor indexed="64"/>
          <bgColor theme="7" tint="0.59999389629810485"/>
        </patternFill>
      </fill>
    </dxf>
    <dxf>
      <fill>
        <patternFill patternType="solid">
          <fgColor indexed="64"/>
          <bgColor theme="7" tint="0.59999389629810485"/>
        </patternFill>
      </fill>
    </dxf>
    <dxf>
      <fill>
        <patternFill patternType="solid">
          <fgColor indexed="64"/>
          <bgColor theme="7" tint="0.59999389629810485"/>
        </patternFill>
      </fill>
      <alignment horizontal="left"/>
    </dxf>
    <dxf>
      <fill>
        <patternFill patternType="solid">
          <fgColor indexed="64"/>
          <bgColor theme="7" tint="0.59999389629810485"/>
        </patternFill>
      </fill>
      <alignment horizontal="left"/>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7" tint="0.59999389629810485"/>
        </patternFill>
      </fill>
    </dxf>
    <dxf>
      <fill>
        <patternFill patternType="solid">
          <fgColor indexed="64"/>
          <bgColor theme="7" tint="0.59999389629810485"/>
        </patternFill>
      </fill>
    </dxf>
    <dxf>
      <fill>
        <patternFill patternType="solid">
          <fgColor indexed="64"/>
          <bgColor theme="7" tint="0.59999389629810485"/>
        </patternFill>
      </fill>
      <alignment horizontal="left"/>
    </dxf>
    <dxf>
      <fill>
        <patternFill patternType="solid">
          <fgColor indexed="64"/>
          <bgColor theme="7" tint="0.59999389629810485"/>
        </patternFill>
      </fill>
      <alignment horizontal="left"/>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7" tint="0.59999389629810485"/>
        </patternFill>
      </fill>
    </dxf>
    <dxf>
      <fill>
        <patternFill patternType="solid">
          <fgColor indexed="64"/>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fgColor indexed="64"/>
          <bgColor theme="7" tint="0.59999389629810485"/>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numFmt numFmtId="164" formatCode="[$$-409]#,##0.00"/>
    </dxf>
    <dxf>
      <numFmt numFmtId="164" formatCode="[$$-409]#,##0.00"/>
    </dxf>
    <dxf>
      <numFmt numFmtId="164" formatCode="[$$-409]#,##0.00"/>
    </dxf>
    <dxf>
      <numFmt numFmtId="164" formatCode="[$$-409]#,##0.00"/>
    </dxf>
    <dxf>
      <numFmt numFmtId="1" formatCode="0"/>
    </dxf>
    <dxf>
      <numFmt numFmtId="19" formatCode="dd/mm/yyyy"/>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A461AB"/>
      <color rgb="FFFCF6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Table!Category wise Total revenue</c:name>
    <c:fmtId val="2"/>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a:solidFill>
                  <a:srgbClr val="0070C0"/>
                </a:solidFill>
              </a:rPr>
              <a:t>Category</a:t>
            </a:r>
            <a:r>
              <a:rPr lang="en-US" baseline="0">
                <a:solidFill>
                  <a:srgbClr val="0070C0"/>
                </a:solidFill>
              </a:rPr>
              <a:t> vs Total Revenue</a:t>
            </a:r>
            <a:endParaRPr lang="en-US">
              <a:solidFill>
                <a:srgbClr val="0070C0"/>
              </a:solidFill>
            </a:endParaRPr>
          </a:p>
        </c:rich>
      </c:tx>
      <c:layout>
        <c:manualLayout>
          <c:xMode val="edge"/>
          <c:yMode val="edge"/>
          <c:x val="2.6203966005665713E-2"/>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numFmt formatCode="[$$-409]#,##0.00" sourceLinked="0"/>
          <c:spPr>
            <a:solidFill>
              <a:sysClr val="window" lastClr="FFFFFF"/>
            </a:solidFill>
            <a:ln>
              <a:solidFill>
                <a:sysClr val="windowText" lastClr="000000">
                  <a:lumMod val="25000"/>
                  <a:lumOff val="75000"/>
                </a:sysClr>
              </a:solidFill>
            </a:ln>
            <a:effectLst>
              <a:outerShdw blurRad="50800" dist="50800" dir="5400000" algn="ctr" rotWithShape="0">
                <a:srgbClr val="FFC000"/>
              </a:outerShd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dLbl>
          <c:idx val="0"/>
          <c:layout>
            <c:manualLayout>
              <c:x val="-8.686808978905966E-2"/>
              <c:y val="-3.8990230387868183E-2"/>
            </c:manualLayout>
          </c:layout>
          <c:numFmt formatCode="[$$-409]#,##0.00" sourceLinked="0"/>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50800" dir="5400000" algn="ctr" rotWithShape="0">
                <a:srgbClr val="FFC000"/>
              </a:outerShd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22687"/>
                    <a:gd name="adj2" fmla="val 185808"/>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dLbl>
          <c:idx val="0"/>
          <c:layout>
            <c:manualLayout>
              <c:x val="-1.3233402481913643E-2"/>
              <c:y val="-5.2748979294254886E-2"/>
            </c:manualLayout>
          </c:layout>
          <c:numFmt formatCode="[$$-409]#,##0.00" sourceLinked="0"/>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50800" dir="5400000" algn="ctr" rotWithShape="0">
                <a:srgbClr val="FFC000"/>
              </a:outerShd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02139"/>
                    <a:gd name="adj2" fmla="val 69754"/>
                  </a:avLst>
                </a:prstGeom>
                <a:noFill/>
                <a:ln>
                  <a:noFill/>
                </a:ln>
              </c15:spPr>
            </c:ext>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3.6207460611332933E-2"/>
              <c:y val="-0.25488116068824729"/>
            </c:manualLayout>
          </c:layout>
          <c:numFmt formatCode="[$$-409]#,##0.00" sourceLinked="0"/>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50800" dir="5400000" algn="ctr" rotWithShape="0">
                <a:srgbClr val="FFC000"/>
              </a:outerShd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02434"/>
                    <a:gd name="adj2" fmla="val 22032"/>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5.6657223796033995E-2"/>
              <c:y val="-9.5841717701953918E-2"/>
            </c:manualLayout>
          </c:layout>
          <c:numFmt formatCode="[$$-409]#,##0.00" sourceLinked="0"/>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50800" dir="5400000" algn="ctr" rotWithShape="0">
                <a:srgbClr val="FFC000"/>
              </a:outerShd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0828"/>
                    <a:gd name="adj2" fmla="val -166087"/>
                  </a:avLst>
                </a:prstGeom>
                <a:noFill/>
                <a:ln>
                  <a:noFill/>
                </a:ln>
              </c15:spPr>
            </c:ext>
          </c:extLst>
        </c:dLbl>
      </c:pivotFmt>
      <c:pivotFmt>
        <c:idx val="12"/>
        <c:spPr>
          <a:solidFill>
            <a:schemeClr val="accent1"/>
          </a:solidFill>
          <a:ln w="25400">
            <a:solidFill>
              <a:schemeClr val="lt1"/>
            </a:solidFill>
          </a:ln>
          <a:effectLst/>
          <a:sp3d contourW="25400">
            <a:contourClr>
              <a:schemeClr val="lt1"/>
            </a:contourClr>
          </a:sp3d>
        </c:spPr>
        <c:dLbl>
          <c:idx val="0"/>
          <c:layout>
            <c:manualLayout>
              <c:x val="0.11896381224301636"/>
              <c:y val="-8.991688538932634E-3"/>
            </c:manualLayout>
          </c:layout>
          <c:numFmt formatCode="[$$-409]#,##0.00" sourceLinked="0"/>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50800" dir="5400000" algn="ctr" rotWithShape="0">
                <a:srgbClr val="FFC000"/>
              </a:outerShd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5616"/>
                    <a:gd name="adj2" fmla="val 198686"/>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133-47A4-A735-D130D834C0F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133-47A4-A735-D130D834C0F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133-47A4-A735-D130D834C0F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133-47A4-A735-D130D834C0F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133-47A4-A735-D130D834C0F1}"/>
              </c:ext>
            </c:extLst>
          </c:dPt>
          <c:dLbls>
            <c:dLbl>
              <c:idx val="0"/>
              <c:layout>
                <c:manualLayout>
                  <c:x val="-8.686808978905966E-2"/>
                  <c:y val="-3.8990230387868183E-2"/>
                </c:manualLayout>
              </c:layout>
              <c:numFmt formatCode="[$$-409]#,##0.00" sourceLinked="0"/>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50800" dir="5400000" algn="ctr" rotWithShape="0">
                    <a:srgbClr val="FFC000"/>
                  </a:outerShd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22687"/>
                        <a:gd name="adj2" fmla="val 185808"/>
                      </a:avLst>
                    </a:prstGeom>
                    <a:noFill/>
                    <a:ln>
                      <a:noFill/>
                    </a:ln>
                  </c15:spPr>
                </c:ext>
                <c:ext xmlns:c16="http://schemas.microsoft.com/office/drawing/2014/chart" uri="{C3380CC4-5D6E-409C-BE32-E72D297353CC}">
                  <c16:uniqueId val="{00000001-C133-47A4-A735-D130D834C0F1}"/>
                </c:ext>
              </c:extLst>
            </c:dLbl>
            <c:dLbl>
              <c:idx val="1"/>
              <c:layout>
                <c:manualLayout>
                  <c:x val="-1.3233402481913643E-2"/>
                  <c:y val="-5.2748979294254886E-2"/>
                </c:manualLayout>
              </c:layout>
              <c:numFmt formatCode="[$$-409]#,##0.00" sourceLinked="0"/>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50800" dir="5400000" algn="ctr" rotWithShape="0">
                    <a:srgbClr val="FFC000"/>
                  </a:outerShd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02139"/>
                        <a:gd name="adj2" fmla="val 69754"/>
                      </a:avLst>
                    </a:prstGeom>
                    <a:noFill/>
                    <a:ln>
                      <a:noFill/>
                    </a:ln>
                  </c15:spPr>
                </c:ext>
                <c:ext xmlns:c16="http://schemas.microsoft.com/office/drawing/2014/chart" uri="{C3380CC4-5D6E-409C-BE32-E72D297353CC}">
                  <c16:uniqueId val="{00000003-C133-47A4-A735-D130D834C0F1}"/>
                </c:ext>
              </c:extLst>
            </c:dLbl>
            <c:dLbl>
              <c:idx val="2"/>
              <c:layout>
                <c:manualLayout>
                  <c:x val="3.6207460611332933E-2"/>
                  <c:y val="-0.25488116068824729"/>
                </c:manualLayout>
              </c:layout>
              <c:numFmt formatCode="[$$-409]#,##0.00" sourceLinked="0"/>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50800" dir="5400000" algn="ctr" rotWithShape="0">
                    <a:srgbClr val="FFC000"/>
                  </a:outerShd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02434"/>
                        <a:gd name="adj2" fmla="val 22032"/>
                      </a:avLst>
                    </a:prstGeom>
                    <a:noFill/>
                    <a:ln>
                      <a:noFill/>
                    </a:ln>
                  </c15:spPr>
                </c:ext>
                <c:ext xmlns:c16="http://schemas.microsoft.com/office/drawing/2014/chart" uri="{C3380CC4-5D6E-409C-BE32-E72D297353CC}">
                  <c16:uniqueId val="{00000005-C133-47A4-A735-D130D834C0F1}"/>
                </c:ext>
              </c:extLst>
            </c:dLbl>
            <c:dLbl>
              <c:idx val="3"/>
              <c:layout>
                <c:manualLayout>
                  <c:x val="5.6657223796033995E-2"/>
                  <c:y val="-9.5841717701953918E-2"/>
                </c:manualLayout>
              </c:layout>
              <c:numFmt formatCode="[$$-409]#,##0.00" sourceLinked="0"/>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50800" dir="5400000" algn="ctr" rotWithShape="0">
                    <a:srgbClr val="FFC000"/>
                  </a:outerShd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0828"/>
                        <a:gd name="adj2" fmla="val -166087"/>
                      </a:avLst>
                    </a:prstGeom>
                    <a:noFill/>
                    <a:ln>
                      <a:noFill/>
                    </a:ln>
                  </c15:spPr>
                </c:ext>
                <c:ext xmlns:c16="http://schemas.microsoft.com/office/drawing/2014/chart" uri="{C3380CC4-5D6E-409C-BE32-E72D297353CC}">
                  <c16:uniqueId val="{00000007-C133-47A4-A735-D130D834C0F1}"/>
                </c:ext>
              </c:extLst>
            </c:dLbl>
            <c:dLbl>
              <c:idx val="4"/>
              <c:layout>
                <c:manualLayout>
                  <c:x val="0.11896381224301636"/>
                  <c:y val="-8.991688538932634E-3"/>
                </c:manualLayout>
              </c:layout>
              <c:numFmt formatCode="[$$-409]#,##0.00" sourceLinked="0"/>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50800" dir="5400000" algn="ctr" rotWithShape="0">
                    <a:srgbClr val="FFC000"/>
                  </a:outerShd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5616"/>
                        <a:gd name="adj2" fmla="val 198686"/>
                      </a:avLst>
                    </a:prstGeom>
                    <a:noFill/>
                    <a:ln>
                      <a:noFill/>
                    </a:ln>
                  </c15:spPr>
                </c:ext>
                <c:ext xmlns:c16="http://schemas.microsoft.com/office/drawing/2014/chart" uri="{C3380CC4-5D6E-409C-BE32-E72D297353CC}">
                  <c16:uniqueId val="{00000009-C133-47A4-A735-D130D834C0F1}"/>
                </c:ext>
              </c:extLst>
            </c:dLbl>
            <c:numFmt formatCode="[$$-409]#,##0.00" sourceLinked="0"/>
            <c:spPr>
              <a:solidFill>
                <a:sysClr val="window" lastClr="FFFFFF"/>
              </a:solidFill>
              <a:ln>
                <a:solidFill>
                  <a:sysClr val="windowText" lastClr="000000">
                    <a:lumMod val="25000"/>
                    <a:lumOff val="75000"/>
                  </a:sysClr>
                </a:solidFill>
              </a:ln>
              <a:effectLst>
                <a:outerShdw blurRad="50800" dist="50800" dir="5400000" algn="ctr" rotWithShape="0">
                  <a:srgbClr val="FFC000"/>
                </a:outerShdw>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Table'!$A$4:$A$9</c:f>
              <c:strCache>
                <c:ptCount val="5"/>
                <c:pt idx="0">
                  <c:v>Beauty</c:v>
                </c:pt>
                <c:pt idx="1">
                  <c:v>Clothing</c:v>
                </c:pt>
                <c:pt idx="2">
                  <c:v>Electronics</c:v>
                </c:pt>
                <c:pt idx="3">
                  <c:v>Home</c:v>
                </c:pt>
                <c:pt idx="4">
                  <c:v>Sports</c:v>
                </c:pt>
              </c:strCache>
            </c:strRef>
          </c:cat>
          <c:val>
            <c:numRef>
              <c:f>'Pivot Table'!$B$4:$B$9</c:f>
              <c:numCache>
                <c:formatCode>0.000</c:formatCode>
                <c:ptCount val="5"/>
                <c:pt idx="0">
                  <c:v>321362.08990000014</c:v>
                </c:pt>
                <c:pt idx="1">
                  <c:v>377055.37410000007</c:v>
                </c:pt>
                <c:pt idx="2">
                  <c:v>504311.348</c:v>
                </c:pt>
                <c:pt idx="3">
                  <c:v>427295.8036000001</c:v>
                </c:pt>
                <c:pt idx="4">
                  <c:v>540882.84180000005</c:v>
                </c:pt>
              </c:numCache>
            </c:numRef>
          </c:val>
          <c:extLst>
            <c:ext xmlns:c16="http://schemas.microsoft.com/office/drawing/2014/chart" uri="{C3380CC4-5D6E-409C-BE32-E72D297353CC}">
              <c16:uniqueId val="{0000000A-C133-47A4-A735-D130D834C0F1}"/>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Table!Region wise Salesperformance</c:name>
    <c:fmtId val="2"/>
  </c:pivotSource>
  <c:chart>
    <c:title>
      <c:tx>
        <c:rich>
          <a:bodyPr rot="0" spcFirstLastPara="1" vertOverflow="ellipsis" vert="horz" wrap="square" anchor="ctr" anchorCtr="1"/>
          <a:lstStyle/>
          <a:p>
            <a:pPr>
              <a:defRPr sz="1400" b="0" i="0" u="none" strike="noStrike" kern="1200" spc="0" baseline="0">
                <a:solidFill>
                  <a:srgbClr val="00B0F0"/>
                </a:solidFill>
                <a:latin typeface="+mn-lt"/>
                <a:ea typeface="+mn-ea"/>
                <a:cs typeface="+mn-cs"/>
              </a:defRPr>
            </a:pPr>
            <a:r>
              <a:rPr lang="en-US">
                <a:solidFill>
                  <a:srgbClr val="00B0F0"/>
                </a:solidFill>
              </a:rPr>
              <a:t>Region</a:t>
            </a:r>
            <a:r>
              <a:rPr lang="en-US" baseline="0">
                <a:solidFill>
                  <a:srgbClr val="00B0F0"/>
                </a:solidFill>
              </a:rPr>
              <a:t> vs Total sales</a:t>
            </a:r>
            <a:endParaRPr lang="en-US">
              <a:solidFill>
                <a:srgbClr val="00B0F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409]#,##0.00" sourceLinked="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37195574511519391"/>
            </c:manualLayout>
          </c:layout>
          <c:numFmt formatCode="[$$-409]#,##0.00" sourceLinked="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7777777777777779E-3"/>
              <c:y val="-0.19855169145523477"/>
            </c:manualLayout>
          </c:layout>
          <c:numFmt formatCode="[$$-409]#,##0.00" sourceLinked="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7777777777777779E-3"/>
              <c:y val="-0.40386738116068827"/>
            </c:manualLayout>
          </c:layout>
          <c:numFmt formatCode="[$$-409]#,##0.00" sourceLinked="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5462668816039986E-17"/>
              <c:y val="-0.35208807232429279"/>
            </c:manualLayout>
          </c:layout>
          <c:numFmt formatCode="[$$-409]#,##0.00" sourceLinked="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1"/>
        <c:ser>
          <c:idx val="0"/>
          <c:order val="0"/>
          <c:tx>
            <c:strRef>
              <c:f>'Pivot Table'!$B$14</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6-BF2D-45F5-BF4B-8AD2130CBEA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5-BF2D-45F5-BF4B-8AD2130CBEA0}"/>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3-BF2D-45F5-BF4B-8AD2130CBEA0}"/>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4-BF2D-45F5-BF4B-8AD2130CBEA0}"/>
              </c:ext>
            </c:extLst>
          </c:dPt>
          <c:dLbls>
            <c:dLbl>
              <c:idx val="0"/>
              <c:layout>
                <c:manualLayout>
                  <c:x val="-2.5462668816039986E-17"/>
                  <c:y val="-0.352088072324292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F2D-45F5-BF4B-8AD2130CBEA0}"/>
                </c:ext>
              </c:extLst>
            </c:dLbl>
            <c:dLbl>
              <c:idx val="1"/>
              <c:layout>
                <c:manualLayout>
                  <c:x val="2.7777777777777779E-3"/>
                  <c:y val="-0.403867381160688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F2D-45F5-BF4B-8AD2130CBEA0}"/>
                </c:ext>
              </c:extLst>
            </c:dLbl>
            <c:dLbl>
              <c:idx val="2"/>
              <c:layout>
                <c:manualLayout>
                  <c:x val="0"/>
                  <c:y val="-0.3719557451151939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2D-45F5-BF4B-8AD2130CBEA0}"/>
                </c:ext>
              </c:extLst>
            </c:dLbl>
            <c:dLbl>
              <c:idx val="3"/>
              <c:layout>
                <c:manualLayout>
                  <c:x val="2.7777777777777779E-3"/>
                  <c:y val="-0.198551691455234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2D-45F5-BF4B-8AD2130CBEA0}"/>
                </c:ext>
              </c:extLst>
            </c:dLbl>
            <c:numFmt formatCode="[$$-409]#,##0.00" sourceLinked="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Table'!$A$15:$A$19</c:f>
              <c:strCache>
                <c:ptCount val="4"/>
                <c:pt idx="0">
                  <c:v>East</c:v>
                </c:pt>
                <c:pt idx="1">
                  <c:v>North</c:v>
                </c:pt>
                <c:pt idx="2">
                  <c:v>South</c:v>
                </c:pt>
                <c:pt idx="3">
                  <c:v>West</c:v>
                </c:pt>
              </c:strCache>
            </c:strRef>
          </c:cat>
          <c:val>
            <c:numRef>
              <c:f>'Pivot Table'!$B$15:$B$19</c:f>
              <c:numCache>
                <c:formatCode>0.000</c:formatCode>
                <c:ptCount val="4"/>
                <c:pt idx="0">
                  <c:v>619851.20530000061</c:v>
                </c:pt>
                <c:pt idx="1">
                  <c:v>645166.75039999944</c:v>
                </c:pt>
                <c:pt idx="2">
                  <c:v>635213.09570000041</c:v>
                </c:pt>
                <c:pt idx="3">
                  <c:v>270676.40600000002</c:v>
                </c:pt>
              </c:numCache>
            </c:numRef>
          </c:val>
          <c:extLst>
            <c:ext xmlns:c16="http://schemas.microsoft.com/office/drawing/2014/chart" uri="{C3380CC4-5D6E-409C-BE32-E72D297353CC}">
              <c16:uniqueId val="{00000001-BF2D-45F5-BF4B-8AD2130CBEA0}"/>
            </c:ext>
          </c:extLst>
        </c:ser>
        <c:dLbls>
          <c:dLblPos val="ctr"/>
          <c:showLegendKey val="0"/>
          <c:showVal val="1"/>
          <c:showCatName val="0"/>
          <c:showSerName val="0"/>
          <c:showPercent val="0"/>
          <c:showBubbleSize val="0"/>
        </c:dLbls>
        <c:gapWidth val="150"/>
        <c:overlap val="100"/>
        <c:axId val="778166799"/>
        <c:axId val="106487391"/>
      </c:barChart>
      <c:catAx>
        <c:axId val="77816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87391"/>
        <c:crosses val="autoZero"/>
        <c:auto val="1"/>
        <c:lblAlgn val="ctr"/>
        <c:lblOffset val="100"/>
        <c:noMultiLvlLbl val="0"/>
      </c:catAx>
      <c:valAx>
        <c:axId val="106487391"/>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16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Table!Loyalty level Analysis</c:name>
    <c:fmtId val="2"/>
  </c:pivotSource>
  <c:chart>
    <c:title>
      <c:tx>
        <c:rich>
          <a:bodyPr rot="0" spcFirstLastPara="1" vertOverflow="ellipsis" vert="horz" wrap="square" anchor="ctr" anchorCtr="1"/>
          <a:lstStyle/>
          <a:p>
            <a:pPr>
              <a:defRPr sz="1400" b="0" i="0" u="none" strike="noStrike" kern="1200" spc="0" baseline="0">
                <a:solidFill>
                  <a:srgbClr val="00B0F0"/>
                </a:solidFill>
                <a:latin typeface="+mn-lt"/>
                <a:ea typeface="+mn-ea"/>
                <a:cs typeface="+mn-cs"/>
              </a:defRPr>
            </a:pPr>
            <a:r>
              <a:rPr lang="en-US">
                <a:solidFill>
                  <a:srgbClr val="00B0F0"/>
                </a:solidFill>
              </a:rPr>
              <a:t>Loyalty</a:t>
            </a:r>
            <a:r>
              <a:rPr lang="en-US" baseline="0">
                <a:solidFill>
                  <a:srgbClr val="00B0F0"/>
                </a:solidFill>
              </a:rPr>
              <a:t> level</a:t>
            </a:r>
            <a:endParaRPr lang="en-US">
              <a:solidFill>
                <a:srgbClr val="00B0F0"/>
              </a:solidFill>
            </a:endParaRPr>
          </a:p>
        </c:rich>
      </c:tx>
      <c:layout>
        <c:manualLayout>
          <c:xMode val="edge"/>
          <c:yMode val="edge"/>
          <c:x val="0.3834582239720035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a:sp3d/>
        </c:spPr>
        <c:dLbl>
          <c:idx val="0"/>
          <c:layout>
            <c:manualLayout>
              <c:x val="0"/>
              <c:y val="4.6296296296296294E-2"/>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1"/>
        <c:ser>
          <c:idx val="0"/>
          <c:order val="0"/>
          <c:tx>
            <c:strRef>
              <c:f>'Pivot Table'!$B$24</c:f>
              <c:strCache>
                <c:ptCount val="1"/>
                <c:pt idx="0">
                  <c:v>Total</c:v>
                </c:pt>
              </c:strCache>
            </c:strRef>
          </c:tx>
          <c:invertIfNegative val="0"/>
          <c:dPt>
            <c:idx val="0"/>
            <c:invertIfNegative val="0"/>
            <c:bubble3D val="0"/>
            <c:spPr>
              <a:solidFill>
                <a:srgbClr val="FFFF00"/>
              </a:solidFill>
              <a:ln>
                <a:noFill/>
              </a:ln>
              <a:effectLst/>
              <a:sp3d/>
            </c:spPr>
            <c:extLst>
              <c:ext xmlns:c16="http://schemas.microsoft.com/office/drawing/2014/chart" uri="{C3380CC4-5D6E-409C-BE32-E72D297353CC}">
                <c16:uniqueId val="{00000001-83CD-4223-A4B7-C4EF37C5B181}"/>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83CD-4223-A4B7-C4EF37C5B181}"/>
              </c:ext>
            </c:extLst>
          </c:dPt>
          <c:dPt>
            <c:idx val="2"/>
            <c:invertIfNegative val="0"/>
            <c:bubble3D val="0"/>
            <c:spPr>
              <a:solidFill>
                <a:srgbClr val="0070C0"/>
              </a:solidFill>
              <a:ln>
                <a:noFill/>
              </a:ln>
              <a:effectLst/>
              <a:sp3d/>
            </c:spPr>
            <c:extLst>
              <c:ext xmlns:c16="http://schemas.microsoft.com/office/drawing/2014/chart" uri="{C3380CC4-5D6E-409C-BE32-E72D297353CC}">
                <c16:uniqueId val="{00000002-83CD-4223-A4B7-C4EF37C5B181}"/>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22C4-436D-B7FF-EFA09A8B6263}"/>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22C4-436D-B7FF-EFA09A8B6263}"/>
              </c:ext>
            </c:extLst>
          </c:dPt>
          <c:dLbls>
            <c:dLbl>
              <c:idx val="0"/>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CD-4223-A4B7-C4EF37C5B181}"/>
                </c:ext>
              </c:extLst>
            </c:dLbl>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Bronze</c:v>
                </c:pt>
                <c:pt idx="1">
                  <c:v>Gold</c:v>
                </c:pt>
                <c:pt idx="2">
                  <c:v>Platinum</c:v>
                </c:pt>
                <c:pt idx="3">
                  <c:v>Silver</c:v>
                </c:pt>
                <c:pt idx="4">
                  <c:v>Uncategorized</c:v>
                </c:pt>
              </c:strCache>
            </c:strRef>
          </c:cat>
          <c:val>
            <c:numRef>
              <c:f>'Pivot Table'!$B$25:$B$30</c:f>
              <c:numCache>
                <c:formatCode>General</c:formatCode>
                <c:ptCount val="5"/>
                <c:pt idx="0">
                  <c:v>522623.38190000009</c:v>
                </c:pt>
                <c:pt idx="1">
                  <c:v>516196.27920000005</c:v>
                </c:pt>
                <c:pt idx="2">
                  <c:v>654777.59459999995</c:v>
                </c:pt>
                <c:pt idx="3">
                  <c:v>459797.86640000023</c:v>
                </c:pt>
                <c:pt idx="4">
                  <c:v>17512.335299999999</c:v>
                </c:pt>
              </c:numCache>
            </c:numRef>
          </c:val>
          <c:extLst>
            <c:ext xmlns:c16="http://schemas.microsoft.com/office/drawing/2014/chart" uri="{C3380CC4-5D6E-409C-BE32-E72D297353CC}">
              <c16:uniqueId val="{00000000-83CD-4223-A4B7-C4EF37C5B181}"/>
            </c:ext>
          </c:extLst>
        </c:ser>
        <c:dLbls>
          <c:showLegendKey val="0"/>
          <c:showVal val="1"/>
          <c:showCatName val="0"/>
          <c:showSerName val="0"/>
          <c:showPercent val="0"/>
          <c:showBubbleSize val="0"/>
        </c:dLbls>
        <c:gapWidth val="150"/>
        <c:shape val="box"/>
        <c:axId val="682214431"/>
        <c:axId val="682215391"/>
        <c:axId val="685926639"/>
      </c:bar3DChart>
      <c:catAx>
        <c:axId val="682214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682215391"/>
        <c:crosses val="autoZero"/>
        <c:auto val="1"/>
        <c:lblAlgn val="ctr"/>
        <c:lblOffset val="100"/>
        <c:noMultiLvlLbl val="0"/>
      </c:catAx>
      <c:valAx>
        <c:axId val="6822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214431"/>
        <c:crosses val="autoZero"/>
        <c:crossBetween val="between"/>
      </c:valAx>
      <c:serAx>
        <c:axId val="68592663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21539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Table!Payment</c:name>
    <c:fmtId val="2"/>
  </c:pivotSource>
  <c:chart>
    <c:title>
      <c:tx>
        <c:rich>
          <a:bodyPr rot="0" spcFirstLastPara="1" vertOverflow="ellipsis" vert="horz" wrap="square" anchor="ctr" anchorCtr="1"/>
          <a:lstStyle/>
          <a:p>
            <a:pPr>
              <a:defRPr sz="1400" b="0" i="0" u="none" strike="noStrike" kern="1200" spc="0" baseline="0">
                <a:solidFill>
                  <a:srgbClr val="00B0F0"/>
                </a:solidFill>
                <a:latin typeface="+mn-lt"/>
                <a:ea typeface="+mn-ea"/>
                <a:cs typeface="+mn-cs"/>
              </a:defRPr>
            </a:pPr>
            <a:r>
              <a:rPr lang="en-US">
                <a:solidFill>
                  <a:srgbClr val="00B0F0"/>
                </a:solidFill>
              </a:rPr>
              <a:t>Payment</a:t>
            </a:r>
            <a:r>
              <a:rPr lang="en-US" baseline="0">
                <a:solidFill>
                  <a:srgbClr val="00B0F0"/>
                </a:solidFill>
              </a:rPr>
              <a:t> Type</a:t>
            </a:r>
            <a:endParaRPr lang="en-US">
              <a:solidFill>
                <a:srgbClr val="00B0F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5.8333333333333334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
              <c:y val="8.7962962962962965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7731"/>
                    <a:gd name="adj2" fmla="val -92013"/>
                  </a:avLst>
                </a:prstGeom>
                <a:noFill/>
                <a:ln>
                  <a:noFill/>
                </a:ln>
              </c15:spPr>
            </c:ext>
          </c:extLst>
        </c:dLbl>
      </c:pivotFmt>
      <c:pivotFmt>
        <c:idx val="8"/>
        <c:spPr>
          <a:solidFill>
            <a:schemeClr val="accent1"/>
          </a:solidFill>
          <a:ln w="19050">
            <a:solidFill>
              <a:schemeClr val="lt1"/>
            </a:solidFill>
          </a:ln>
          <a:effectLst/>
        </c:spPr>
        <c:dLbl>
          <c:idx val="0"/>
          <c:layout>
            <c:manualLayout>
              <c:x val="-6.6666666666666666E-2"/>
              <c:y val="-8.7962962962963007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2905"/>
                    <a:gd name="adj2" fmla="val 46799"/>
                  </a:avLst>
                </a:prstGeom>
                <a:noFill/>
                <a:ln>
                  <a:noFill/>
                </a:ln>
              </c15:spPr>
            </c:ext>
          </c:extLst>
        </c:dLbl>
      </c:pivotFmt>
    </c:pivotFmts>
    <c:plotArea>
      <c:layout/>
      <c:doughnutChart>
        <c:varyColors val="1"/>
        <c:ser>
          <c:idx val="0"/>
          <c:order val="0"/>
          <c:tx>
            <c:strRef>
              <c:f>'Pivot Table'!$B$35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E8-4EB3-8770-41DCEDF93D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E8-4EB3-8770-41DCEDF93D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E8-4EB3-8770-41DCEDF93D08}"/>
              </c:ext>
            </c:extLst>
          </c:dPt>
          <c:dLbls>
            <c:dLbl>
              <c:idx val="0"/>
              <c:layout>
                <c:manualLayout>
                  <c:x val="5.8333333333333334E-2"/>
                  <c:y val="-3.2407407407407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9E8-4EB3-8770-41DCEDF93D08}"/>
                </c:ext>
              </c:extLst>
            </c:dLbl>
            <c:dLbl>
              <c:idx val="1"/>
              <c:layout>
                <c:manualLayout>
                  <c:x val="0"/>
                  <c:y val="8.7962962962962965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7731"/>
                        <a:gd name="adj2" fmla="val -92013"/>
                      </a:avLst>
                    </a:prstGeom>
                    <a:noFill/>
                    <a:ln>
                      <a:noFill/>
                    </a:ln>
                  </c15:spPr>
                </c:ext>
                <c:ext xmlns:c16="http://schemas.microsoft.com/office/drawing/2014/chart" uri="{C3380CC4-5D6E-409C-BE32-E72D297353CC}">
                  <c16:uniqueId val="{00000003-E9E8-4EB3-8770-41DCEDF93D08}"/>
                </c:ext>
              </c:extLst>
            </c:dLbl>
            <c:dLbl>
              <c:idx val="2"/>
              <c:layout>
                <c:manualLayout>
                  <c:x val="-6.6666666666666666E-2"/>
                  <c:y val="-8.7962962962963007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2905"/>
                        <a:gd name="adj2" fmla="val 46799"/>
                      </a:avLst>
                    </a:prstGeom>
                    <a:noFill/>
                    <a:ln>
                      <a:noFill/>
                    </a:ln>
                  </c15:spPr>
                </c:ext>
                <c:ext xmlns:c16="http://schemas.microsoft.com/office/drawing/2014/chart" uri="{C3380CC4-5D6E-409C-BE32-E72D297353CC}">
                  <c16:uniqueId val="{00000005-E9E8-4EB3-8770-41DCEDF93D0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Table'!$A$36:$A$39</c:f>
              <c:strCache>
                <c:ptCount val="3"/>
                <c:pt idx="0">
                  <c:v>COD</c:v>
                </c:pt>
                <c:pt idx="1">
                  <c:v>Credit Card</c:v>
                </c:pt>
                <c:pt idx="2">
                  <c:v>PayPal</c:v>
                </c:pt>
              </c:strCache>
            </c:strRef>
          </c:cat>
          <c:val>
            <c:numRef>
              <c:f>'Pivot Table'!$B$36:$B$39</c:f>
              <c:numCache>
                <c:formatCode>General</c:formatCode>
                <c:ptCount val="3"/>
                <c:pt idx="0">
                  <c:v>660</c:v>
                </c:pt>
                <c:pt idx="1">
                  <c:v>645</c:v>
                </c:pt>
                <c:pt idx="2">
                  <c:v>695</c:v>
                </c:pt>
              </c:numCache>
            </c:numRef>
          </c:val>
          <c:extLst>
            <c:ext xmlns:c16="http://schemas.microsoft.com/office/drawing/2014/chart" uri="{C3380CC4-5D6E-409C-BE32-E72D297353CC}">
              <c16:uniqueId val="{00000006-E9E8-4EB3-8770-41DCEDF93D0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Table!Top products via quantity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B0F0"/>
                </a:solidFill>
              </a:rPr>
              <a:t>Top</a:t>
            </a:r>
            <a:r>
              <a:rPr lang="en-US" baseline="0">
                <a:solidFill>
                  <a:srgbClr val="00B0F0"/>
                </a:solidFill>
              </a:rPr>
              <a:t> Products via Quantity</a:t>
            </a:r>
            <a:endParaRPr lang="en-US">
              <a:solidFill>
                <a:srgbClr val="00B0F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bar"/>
        <c:grouping val="clustered"/>
        <c:varyColors val="1"/>
        <c:ser>
          <c:idx val="0"/>
          <c:order val="0"/>
          <c:tx>
            <c:strRef>
              <c:f>'Pivot Table'!$B$62</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CDE-4044-88C6-0057EED1899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DCDE-4044-88C6-0057EED1899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DCDE-4044-88C6-0057EED1899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DCDE-4044-88C6-0057EED1899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DCDE-4044-88C6-0057EED1899E}"/>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DCDE-4044-88C6-0057EED1899E}"/>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DCDE-4044-88C6-0057EED1899E}"/>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DCDE-4044-88C6-0057EED1899E}"/>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DCDE-4044-88C6-0057EED1899E}"/>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DCDE-4044-88C6-0057EED189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Table'!$A$63:$A$73</c:f>
              <c:strCache>
                <c:ptCount val="10"/>
                <c:pt idx="0">
                  <c:v>Men's Casual Sneakers</c:v>
                </c:pt>
                <c:pt idx="1">
                  <c:v>Gaming Mechanical Keyboard</c:v>
                </c:pt>
                <c:pt idx="2">
                  <c:v>Portable Power Bank</c:v>
                </c:pt>
                <c:pt idx="3">
                  <c:v>Shin Guards – Adult</c:v>
                </c:pt>
                <c:pt idx="4">
                  <c:v>Wireless Mouse</c:v>
                </c:pt>
                <c:pt idx="5">
                  <c:v>4K Home Projector</c:v>
                </c:pt>
                <c:pt idx="6">
                  <c:v>Soccer Training Cone Set</c:v>
                </c:pt>
                <c:pt idx="7">
                  <c:v>Vitamin E Body Lotion</c:v>
                </c:pt>
                <c:pt idx="8">
                  <c:v>Face Foundation Kit</c:v>
                </c:pt>
                <c:pt idx="9">
                  <c:v>Laptop Cooling Pad</c:v>
                </c:pt>
              </c:strCache>
            </c:strRef>
          </c:cat>
          <c:val>
            <c:numRef>
              <c:f>'Pivot Table'!$B$63:$B$73</c:f>
              <c:numCache>
                <c:formatCode>0</c:formatCode>
                <c:ptCount val="10"/>
                <c:pt idx="0">
                  <c:v>87</c:v>
                </c:pt>
                <c:pt idx="1">
                  <c:v>84</c:v>
                </c:pt>
                <c:pt idx="2">
                  <c:v>84</c:v>
                </c:pt>
                <c:pt idx="3">
                  <c:v>77</c:v>
                </c:pt>
                <c:pt idx="4">
                  <c:v>73</c:v>
                </c:pt>
                <c:pt idx="5">
                  <c:v>72</c:v>
                </c:pt>
                <c:pt idx="6">
                  <c:v>70</c:v>
                </c:pt>
                <c:pt idx="7">
                  <c:v>68</c:v>
                </c:pt>
                <c:pt idx="8">
                  <c:v>68</c:v>
                </c:pt>
                <c:pt idx="9">
                  <c:v>68</c:v>
                </c:pt>
              </c:numCache>
            </c:numRef>
          </c:val>
          <c:extLst>
            <c:ext xmlns:c16="http://schemas.microsoft.com/office/drawing/2014/chart" uri="{C3380CC4-5D6E-409C-BE32-E72D297353CC}">
              <c16:uniqueId val="{00000000-FF12-4843-A8F3-FE401EB7277B}"/>
            </c:ext>
          </c:extLst>
        </c:ser>
        <c:dLbls>
          <c:dLblPos val="outEnd"/>
          <c:showLegendKey val="0"/>
          <c:showVal val="1"/>
          <c:showCatName val="0"/>
          <c:showSerName val="0"/>
          <c:showPercent val="0"/>
          <c:showBubbleSize val="0"/>
        </c:dLbls>
        <c:gapWidth val="182"/>
        <c:axId val="682398751"/>
        <c:axId val="682399231"/>
      </c:barChart>
      <c:catAx>
        <c:axId val="68239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399231"/>
        <c:crosses val="autoZero"/>
        <c:auto val="1"/>
        <c:lblAlgn val="ctr"/>
        <c:lblOffset val="100"/>
        <c:noMultiLvlLbl val="0"/>
      </c:catAx>
      <c:valAx>
        <c:axId val="6823992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39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Table!Month wise Trends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B0F0"/>
                </a:solidFill>
              </a:rPr>
              <a:t>Monthly</a:t>
            </a:r>
            <a:r>
              <a:rPr lang="en-US" baseline="0">
                <a:solidFill>
                  <a:srgbClr val="00B0F0"/>
                </a:solidFill>
              </a:rPr>
              <a:t> Sales</a:t>
            </a:r>
            <a:endParaRPr lang="en-US">
              <a:solidFill>
                <a:srgbClr val="00B0F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C000"/>
            </a:solidFill>
            <a:round/>
          </a:ln>
          <a:effectLst/>
        </c:spPr>
        <c:marker>
          <c:symbol val="none"/>
        </c:marker>
        <c:dLbl>
          <c:idx val="0"/>
          <c:spPr>
            <a:solidFill>
              <a:srgbClr val="9BBB59">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28575" cap="rnd">
            <a:solidFill>
              <a:srgbClr val="FFC000"/>
            </a:solidFill>
            <a:round/>
          </a:ln>
          <a:effectLst/>
        </c:spPr>
        <c:marker>
          <c:symbol val="none"/>
        </c:marker>
        <c:dLbl>
          <c:idx val="0"/>
          <c:layout>
            <c:manualLayout>
              <c:x val="-5.7369614512471655E-2"/>
              <c:y val="-0.1111111111111111"/>
            </c:manualLayout>
          </c:layout>
          <c:spPr>
            <a:solidFill>
              <a:srgbClr val="9BBB59">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28575" cap="rnd">
            <a:solidFill>
              <a:srgbClr val="FFC000"/>
            </a:solidFill>
            <a:round/>
          </a:ln>
          <a:effectLst/>
        </c:spPr>
        <c:marker>
          <c:symbol val="none"/>
        </c:marker>
        <c:dLbl>
          <c:idx val="0"/>
          <c:layout>
            <c:manualLayout>
              <c:x val="-0.11938775510204082"/>
              <c:y val="0.12499999999999992"/>
            </c:manualLayout>
          </c:layout>
          <c:spPr>
            <a:solidFill>
              <a:srgbClr val="9BBB59">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28575" cap="rnd">
            <a:solidFill>
              <a:srgbClr val="FFC000"/>
            </a:solidFill>
            <a:round/>
          </a:ln>
          <a:effectLst/>
        </c:spPr>
        <c:marker>
          <c:symbol val="none"/>
        </c:marker>
        <c:dLbl>
          <c:idx val="0"/>
          <c:layout>
            <c:manualLayout>
              <c:x val="-2.7777777777777779E-3"/>
              <c:y val="-5.5555555555555601E-2"/>
            </c:manualLayout>
          </c:layout>
          <c:spPr>
            <a:solidFill>
              <a:srgbClr val="9BBB59">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28575" cap="rnd">
            <a:solidFill>
              <a:srgbClr val="FFC000"/>
            </a:solidFill>
            <a:round/>
          </a:ln>
          <a:effectLst/>
        </c:spPr>
        <c:marker>
          <c:symbol val="none"/>
        </c:marker>
        <c:dLbl>
          <c:idx val="0"/>
          <c:layout>
            <c:manualLayout>
              <c:x val="-6.4172335600907029E-2"/>
              <c:y val="0.15046296296296297"/>
            </c:manualLayout>
          </c:layout>
          <c:spPr>
            <a:solidFill>
              <a:srgbClr val="9BBB59">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844805113646508"/>
                  <c:h val="5.1488772236803731E-2"/>
                </c:manualLayout>
              </c15:layout>
            </c:ext>
          </c:extLst>
        </c:dLbl>
      </c:pivotFmt>
      <c:pivotFmt>
        <c:idx val="7"/>
        <c:spPr>
          <a:ln w="28575" cap="rnd">
            <a:solidFill>
              <a:srgbClr val="FFC000"/>
            </a:solidFill>
            <a:round/>
          </a:ln>
          <a:effectLst/>
        </c:spPr>
        <c:marker>
          <c:symbol val="none"/>
        </c:marker>
        <c:dLbl>
          <c:idx val="0"/>
          <c:layout>
            <c:manualLayout>
              <c:x val="6.7517096077276059E-2"/>
              <c:y val="-0.25462962962962965"/>
            </c:manualLayout>
          </c:layout>
          <c:spPr>
            <a:solidFill>
              <a:srgbClr val="9BBB59">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28575" cap="rnd">
            <a:solidFill>
              <a:srgbClr val="FFC000"/>
            </a:solidFill>
            <a:round/>
          </a:ln>
          <a:effectLst/>
        </c:spPr>
        <c:marker>
          <c:symbol val="none"/>
        </c:marker>
        <c:dLbl>
          <c:idx val="0"/>
          <c:layout>
            <c:manualLayout>
              <c:x val="-2.7777777777777779E-3"/>
              <c:y val="0.12962962962962954"/>
            </c:manualLayout>
          </c:layout>
          <c:spPr>
            <a:solidFill>
              <a:srgbClr val="9BBB59">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28575" cap="rnd">
            <a:solidFill>
              <a:srgbClr val="FFC000"/>
            </a:solidFill>
            <a:round/>
          </a:ln>
          <a:effectLst/>
        </c:spPr>
        <c:marker>
          <c:symbol val="none"/>
        </c:marker>
        <c:dLbl>
          <c:idx val="0"/>
          <c:layout>
            <c:manualLayout>
              <c:x val="-5.5555555555555558E-3"/>
              <c:y val="0.12037037037037036"/>
            </c:manualLayout>
          </c:layout>
          <c:spPr>
            <a:solidFill>
              <a:srgbClr val="9BBB59">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ln w="28575" cap="rnd">
            <a:solidFill>
              <a:srgbClr val="FFC000"/>
            </a:solidFill>
            <a:round/>
          </a:ln>
          <a:effectLst/>
        </c:spPr>
        <c:marker>
          <c:symbol val="none"/>
        </c:marker>
        <c:dLbl>
          <c:idx val="0"/>
          <c:layout>
            <c:manualLayout>
              <c:x val="3.2426303854875202E-2"/>
              <c:y val="-8.333333333333337E-2"/>
            </c:manualLayout>
          </c:layout>
          <c:spPr>
            <a:solidFill>
              <a:srgbClr val="9BBB59">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ln w="28575" cap="rnd">
            <a:solidFill>
              <a:srgbClr val="FFC000"/>
            </a:solidFill>
            <a:round/>
          </a:ln>
          <a:effectLst/>
        </c:spPr>
        <c:marker>
          <c:symbol val="none"/>
        </c:marker>
        <c:dLbl>
          <c:idx val="0"/>
          <c:layout>
            <c:manualLayout>
              <c:x val="1.4399092970521459E-2"/>
              <c:y val="0.16203703703703703"/>
            </c:manualLayout>
          </c:layout>
          <c:spPr>
            <a:solidFill>
              <a:srgbClr val="9BBB59">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ln w="28575" cap="rnd">
            <a:solidFill>
              <a:srgbClr val="FFC000"/>
            </a:solidFill>
            <a:round/>
          </a:ln>
          <a:effectLst/>
        </c:spPr>
        <c:marker>
          <c:symbol val="none"/>
        </c:marker>
        <c:dLbl>
          <c:idx val="0"/>
          <c:layout>
            <c:manualLayout>
              <c:x val="0.10878693734711732"/>
              <c:y val="9.2592592592592504E-2"/>
            </c:manualLayout>
          </c:layout>
          <c:spPr>
            <a:solidFill>
              <a:srgbClr val="9BBB59">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ln w="28575" cap="rnd">
            <a:solidFill>
              <a:srgbClr val="FFC000"/>
            </a:solidFill>
            <a:round/>
          </a:ln>
          <a:effectLst/>
        </c:spPr>
        <c:marker>
          <c:symbol val="none"/>
        </c:marker>
        <c:dLbl>
          <c:idx val="0"/>
          <c:layout>
            <c:manualLayout>
              <c:x val="3.0101951541771563E-2"/>
              <c:y val="-0.14351851851851857"/>
            </c:manualLayout>
          </c:layout>
          <c:spPr>
            <a:solidFill>
              <a:srgbClr val="9BBB59">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ln w="28575" cap="rnd">
            <a:solidFill>
              <a:srgbClr val="FFC000"/>
            </a:solidFill>
            <a:round/>
          </a:ln>
          <a:effectLst/>
        </c:spPr>
        <c:marker>
          <c:symbol val="none"/>
        </c:marker>
        <c:dLbl>
          <c:idx val="0"/>
          <c:layout>
            <c:manualLayout>
              <c:x val="4.5351473922902496E-3"/>
              <c:y val="-2.3148148148148147E-2"/>
            </c:manualLayout>
          </c:layout>
          <c:spPr>
            <a:solidFill>
              <a:srgbClr val="9BBB59">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'Pivot Table'!$B$44</c:f>
              <c:strCache>
                <c:ptCount val="1"/>
                <c:pt idx="0">
                  <c:v>Total</c:v>
                </c:pt>
              </c:strCache>
            </c:strRef>
          </c:tx>
          <c:spPr>
            <a:ln w="28575" cap="rnd">
              <a:solidFill>
                <a:srgbClr val="FFC000"/>
              </a:solidFill>
              <a:round/>
            </a:ln>
            <a:effectLst/>
          </c:spPr>
          <c:marker>
            <c:symbol val="none"/>
          </c:marker>
          <c:dPt>
            <c:idx val="0"/>
            <c:marker>
              <c:symbol val="none"/>
            </c:marker>
            <c:bubble3D val="0"/>
            <c:spPr>
              <a:ln w="28575" cap="rnd">
                <a:solidFill>
                  <a:srgbClr val="FFC000"/>
                </a:solidFill>
                <a:round/>
              </a:ln>
              <a:effectLst/>
            </c:spPr>
            <c:extLst>
              <c:ext xmlns:c16="http://schemas.microsoft.com/office/drawing/2014/chart" uri="{C3380CC4-5D6E-409C-BE32-E72D297353CC}">
                <c16:uniqueId val="{00000001-4939-4EEB-9F7C-4477E39B282E}"/>
              </c:ext>
            </c:extLst>
          </c:dPt>
          <c:dPt>
            <c:idx val="1"/>
            <c:marker>
              <c:symbol val="none"/>
            </c:marker>
            <c:bubble3D val="0"/>
            <c:spPr>
              <a:ln w="28575" cap="rnd">
                <a:solidFill>
                  <a:srgbClr val="FFC000"/>
                </a:solidFill>
                <a:round/>
              </a:ln>
              <a:effectLst/>
            </c:spPr>
            <c:extLst>
              <c:ext xmlns:c16="http://schemas.microsoft.com/office/drawing/2014/chart" uri="{C3380CC4-5D6E-409C-BE32-E72D297353CC}">
                <c16:uniqueId val="{00000002-4939-4EEB-9F7C-4477E39B282E}"/>
              </c:ext>
            </c:extLst>
          </c:dPt>
          <c:dPt>
            <c:idx val="2"/>
            <c:marker>
              <c:symbol val="none"/>
            </c:marker>
            <c:bubble3D val="0"/>
            <c:spPr>
              <a:ln w="28575" cap="rnd">
                <a:solidFill>
                  <a:srgbClr val="FFC000"/>
                </a:solidFill>
                <a:round/>
              </a:ln>
              <a:effectLst/>
            </c:spPr>
            <c:extLst>
              <c:ext xmlns:c16="http://schemas.microsoft.com/office/drawing/2014/chart" uri="{C3380CC4-5D6E-409C-BE32-E72D297353CC}">
                <c16:uniqueId val="{00000003-4939-4EEB-9F7C-4477E39B282E}"/>
              </c:ext>
            </c:extLst>
          </c:dPt>
          <c:dPt>
            <c:idx val="3"/>
            <c:marker>
              <c:symbol val="none"/>
            </c:marker>
            <c:bubble3D val="0"/>
            <c:spPr>
              <a:ln w="28575" cap="rnd">
                <a:solidFill>
                  <a:srgbClr val="FFC000"/>
                </a:solidFill>
                <a:round/>
              </a:ln>
              <a:effectLst/>
            </c:spPr>
            <c:extLst>
              <c:ext xmlns:c16="http://schemas.microsoft.com/office/drawing/2014/chart" uri="{C3380CC4-5D6E-409C-BE32-E72D297353CC}">
                <c16:uniqueId val="{00000004-4939-4EEB-9F7C-4477E39B282E}"/>
              </c:ext>
            </c:extLst>
          </c:dPt>
          <c:dPt>
            <c:idx val="4"/>
            <c:marker>
              <c:symbol val="none"/>
            </c:marker>
            <c:bubble3D val="0"/>
            <c:spPr>
              <a:ln w="28575" cap="rnd">
                <a:solidFill>
                  <a:srgbClr val="FFC000"/>
                </a:solidFill>
                <a:round/>
              </a:ln>
              <a:effectLst/>
            </c:spPr>
            <c:extLst>
              <c:ext xmlns:c16="http://schemas.microsoft.com/office/drawing/2014/chart" uri="{C3380CC4-5D6E-409C-BE32-E72D297353CC}">
                <c16:uniqueId val="{00000005-4939-4EEB-9F7C-4477E39B282E}"/>
              </c:ext>
            </c:extLst>
          </c:dPt>
          <c:dPt>
            <c:idx val="5"/>
            <c:marker>
              <c:symbol val="none"/>
            </c:marker>
            <c:bubble3D val="0"/>
            <c:spPr>
              <a:ln w="28575" cap="rnd">
                <a:solidFill>
                  <a:srgbClr val="FFC000"/>
                </a:solidFill>
                <a:round/>
              </a:ln>
              <a:effectLst/>
            </c:spPr>
            <c:extLst>
              <c:ext xmlns:c16="http://schemas.microsoft.com/office/drawing/2014/chart" uri="{C3380CC4-5D6E-409C-BE32-E72D297353CC}">
                <c16:uniqueId val="{00000006-4939-4EEB-9F7C-4477E39B282E}"/>
              </c:ext>
            </c:extLst>
          </c:dPt>
          <c:dPt>
            <c:idx val="6"/>
            <c:marker>
              <c:symbol val="none"/>
            </c:marker>
            <c:bubble3D val="0"/>
            <c:spPr>
              <a:ln w="28575" cap="rnd">
                <a:solidFill>
                  <a:srgbClr val="FFC000"/>
                </a:solidFill>
                <a:round/>
              </a:ln>
              <a:effectLst/>
            </c:spPr>
            <c:extLst>
              <c:ext xmlns:c16="http://schemas.microsoft.com/office/drawing/2014/chart" uri="{C3380CC4-5D6E-409C-BE32-E72D297353CC}">
                <c16:uniqueId val="{00000007-4939-4EEB-9F7C-4477E39B282E}"/>
              </c:ext>
            </c:extLst>
          </c:dPt>
          <c:dPt>
            <c:idx val="7"/>
            <c:marker>
              <c:symbol val="none"/>
            </c:marker>
            <c:bubble3D val="0"/>
            <c:spPr>
              <a:ln w="28575" cap="rnd">
                <a:solidFill>
                  <a:srgbClr val="FFC000"/>
                </a:solidFill>
                <a:round/>
              </a:ln>
              <a:effectLst/>
            </c:spPr>
            <c:extLst>
              <c:ext xmlns:c16="http://schemas.microsoft.com/office/drawing/2014/chart" uri="{C3380CC4-5D6E-409C-BE32-E72D297353CC}">
                <c16:uniqueId val="{00000008-4939-4EEB-9F7C-4477E39B282E}"/>
              </c:ext>
            </c:extLst>
          </c:dPt>
          <c:dPt>
            <c:idx val="8"/>
            <c:marker>
              <c:symbol val="none"/>
            </c:marker>
            <c:bubble3D val="0"/>
            <c:spPr>
              <a:ln w="28575" cap="rnd">
                <a:solidFill>
                  <a:srgbClr val="FFC000"/>
                </a:solidFill>
                <a:round/>
              </a:ln>
              <a:effectLst/>
            </c:spPr>
            <c:extLst>
              <c:ext xmlns:c16="http://schemas.microsoft.com/office/drawing/2014/chart" uri="{C3380CC4-5D6E-409C-BE32-E72D297353CC}">
                <c16:uniqueId val="{00000009-4939-4EEB-9F7C-4477E39B282E}"/>
              </c:ext>
            </c:extLst>
          </c:dPt>
          <c:dPt>
            <c:idx val="9"/>
            <c:marker>
              <c:symbol val="none"/>
            </c:marker>
            <c:bubble3D val="0"/>
            <c:spPr>
              <a:ln w="28575" cap="rnd">
                <a:solidFill>
                  <a:srgbClr val="FFC000"/>
                </a:solidFill>
                <a:round/>
              </a:ln>
              <a:effectLst/>
            </c:spPr>
            <c:extLst>
              <c:ext xmlns:c16="http://schemas.microsoft.com/office/drawing/2014/chart" uri="{C3380CC4-5D6E-409C-BE32-E72D297353CC}">
                <c16:uniqueId val="{0000000A-4939-4EEB-9F7C-4477E39B282E}"/>
              </c:ext>
            </c:extLst>
          </c:dPt>
          <c:dPt>
            <c:idx val="10"/>
            <c:marker>
              <c:symbol val="none"/>
            </c:marker>
            <c:bubble3D val="0"/>
            <c:spPr>
              <a:ln w="28575" cap="rnd">
                <a:solidFill>
                  <a:srgbClr val="FFC000"/>
                </a:solidFill>
                <a:round/>
              </a:ln>
              <a:effectLst/>
            </c:spPr>
            <c:extLst>
              <c:ext xmlns:c16="http://schemas.microsoft.com/office/drawing/2014/chart" uri="{C3380CC4-5D6E-409C-BE32-E72D297353CC}">
                <c16:uniqueId val="{0000000B-4939-4EEB-9F7C-4477E39B282E}"/>
              </c:ext>
            </c:extLst>
          </c:dPt>
          <c:dPt>
            <c:idx val="11"/>
            <c:marker>
              <c:symbol val="none"/>
            </c:marker>
            <c:bubble3D val="0"/>
            <c:spPr>
              <a:ln w="28575" cap="rnd">
                <a:solidFill>
                  <a:srgbClr val="FFC000"/>
                </a:solidFill>
                <a:round/>
              </a:ln>
              <a:effectLst/>
            </c:spPr>
            <c:extLst>
              <c:ext xmlns:c16="http://schemas.microsoft.com/office/drawing/2014/chart" uri="{C3380CC4-5D6E-409C-BE32-E72D297353CC}">
                <c16:uniqueId val="{0000000C-4939-4EEB-9F7C-4477E39B282E}"/>
              </c:ext>
            </c:extLst>
          </c:dPt>
          <c:dLbls>
            <c:dLbl>
              <c:idx val="0"/>
              <c:layout>
                <c:manualLayout>
                  <c:x val="-5.7369614512471655E-2"/>
                  <c:y val="-0.111111111111111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39-4EEB-9F7C-4477E39B282E}"/>
                </c:ext>
              </c:extLst>
            </c:dLbl>
            <c:dLbl>
              <c:idx val="1"/>
              <c:layout>
                <c:manualLayout>
                  <c:x val="-0.11938775510204082"/>
                  <c:y val="0.1249999999999999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39-4EEB-9F7C-4477E39B282E}"/>
                </c:ext>
              </c:extLst>
            </c:dLbl>
            <c:dLbl>
              <c:idx val="2"/>
              <c:layout>
                <c:manualLayout>
                  <c:x val="-2.7777777777777779E-3"/>
                  <c:y val="-5.555555555555560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39-4EEB-9F7C-4477E39B282E}"/>
                </c:ext>
              </c:extLst>
            </c:dLbl>
            <c:dLbl>
              <c:idx val="3"/>
              <c:layout>
                <c:manualLayout>
                  <c:x val="-6.4172335600907029E-2"/>
                  <c:y val="0.15046296296296297"/>
                </c:manualLayout>
              </c:layout>
              <c:spPr>
                <a:solidFill>
                  <a:srgbClr val="9BBB59">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844805113646508"/>
                      <c:h val="5.1488772236803731E-2"/>
                    </c:manualLayout>
                  </c15:layout>
                </c:ext>
                <c:ext xmlns:c16="http://schemas.microsoft.com/office/drawing/2014/chart" uri="{C3380CC4-5D6E-409C-BE32-E72D297353CC}">
                  <c16:uniqueId val="{00000004-4939-4EEB-9F7C-4477E39B282E}"/>
                </c:ext>
              </c:extLst>
            </c:dLbl>
            <c:dLbl>
              <c:idx val="4"/>
              <c:layout>
                <c:manualLayout>
                  <c:x val="6.7517096077276059E-2"/>
                  <c:y val="-0.2546296296296296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39-4EEB-9F7C-4477E39B282E}"/>
                </c:ext>
              </c:extLst>
            </c:dLbl>
            <c:dLbl>
              <c:idx val="5"/>
              <c:layout>
                <c:manualLayout>
                  <c:x val="-2.7777777777777779E-3"/>
                  <c:y val="0.1296296296296295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39-4EEB-9F7C-4477E39B282E}"/>
                </c:ext>
              </c:extLst>
            </c:dLbl>
            <c:dLbl>
              <c:idx val="6"/>
              <c:layout>
                <c:manualLayout>
                  <c:x val="-5.5555555555555558E-3"/>
                  <c:y val="0.1203703703703703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39-4EEB-9F7C-4477E39B282E}"/>
                </c:ext>
              </c:extLst>
            </c:dLbl>
            <c:dLbl>
              <c:idx val="7"/>
              <c:layout>
                <c:manualLayout>
                  <c:x val="3.2426303854875202E-2"/>
                  <c:y val="-8.33333333333333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39-4EEB-9F7C-4477E39B282E}"/>
                </c:ext>
              </c:extLst>
            </c:dLbl>
            <c:dLbl>
              <c:idx val="8"/>
              <c:layout>
                <c:manualLayout>
                  <c:x val="1.4399092970521459E-2"/>
                  <c:y val="0.1620370370370370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39-4EEB-9F7C-4477E39B282E}"/>
                </c:ext>
              </c:extLst>
            </c:dLbl>
            <c:dLbl>
              <c:idx val="9"/>
              <c:layout>
                <c:manualLayout>
                  <c:x val="0.10878693734711732"/>
                  <c:y val="9.259259259259250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39-4EEB-9F7C-4477E39B282E}"/>
                </c:ext>
              </c:extLst>
            </c:dLbl>
            <c:dLbl>
              <c:idx val="10"/>
              <c:layout>
                <c:manualLayout>
                  <c:x val="3.0101951541771563E-2"/>
                  <c:y val="-0.1435185185185185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39-4EEB-9F7C-4477E39B282E}"/>
                </c:ext>
              </c:extLst>
            </c:dLbl>
            <c:dLbl>
              <c:idx val="11"/>
              <c:layout>
                <c:manualLayout>
                  <c:x val="4.5351473922902496E-3"/>
                  <c:y val="-2.314814814814814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39-4EEB-9F7C-4477E39B282E}"/>
                </c:ext>
              </c:extLst>
            </c:dLbl>
            <c:spPr>
              <a:solidFill>
                <a:srgbClr val="9BBB59">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Table'!$A$45:$A$57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Table'!$B$45:$B$57</c:f>
              <c:numCache>
                <c:formatCode>0.00</c:formatCode>
                <c:ptCount val="12"/>
                <c:pt idx="0">
                  <c:v>174449.13999999996</c:v>
                </c:pt>
                <c:pt idx="1">
                  <c:v>155073.93909999993</c:v>
                </c:pt>
                <c:pt idx="2">
                  <c:v>210704.52200000011</c:v>
                </c:pt>
                <c:pt idx="3">
                  <c:v>192864.0352999999</c:v>
                </c:pt>
                <c:pt idx="4">
                  <c:v>146511.96290000007</c:v>
                </c:pt>
                <c:pt idx="5">
                  <c:v>162640.01649999994</c:v>
                </c:pt>
                <c:pt idx="6">
                  <c:v>194512.57700000002</c:v>
                </c:pt>
                <c:pt idx="7">
                  <c:v>191032.39979999996</c:v>
                </c:pt>
                <c:pt idx="8">
                  <c:v>187144.39880000014</c:v>
                </c:pt>
                <c:pt idx="9">
                  <c:v>186168.20670000001</c:v>
                </c:pt>
                <c:pt idx="10">
                  <c:v>187386.1682000001</c:v>
                </c:pt>
                <c:pt idx="11">
                  <c:v>182420.09109999999</c:v>
                </c:pt>
              </c:numCache>
            </c:numRef>
          </c:val>
          <c:smooth val="0"/>
          <c:extLst>
            <c:ext xmlns:c16="http://schemas.microsoft.com/office/drawing/2014/chart" uri="{C3380CC4-5D6E-409C-BE32-E72D297353CC}">
              <c16:uniqueId val="{00000000-4939-4EEB-9F7C-4477E39B282E}"/>
            </c:ext>
          </c:extLst>
        </c:ser>
        <c:dLbls>
          <c:showLegendKey val="0"/>
          <c:showVal val="0"/>
          <c:showCatName val="0"/>
          <c:showSerName val="0"/>
          <c:showPercent val="0"/>
          <c:showBubbleSize val="0"/>
        </c:dLbls>
        <c:smooth val="0"/>
        <c:axId val="1969800623"/>
        <c:axId val="763116511"/>
      </c:lineChart>
      <c:catAx>
        <c:axId val="196980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116511"/>
        <c:crosses val="autoZero"/>
        <c:auto val="1"/>
        <c:lblAlgn val="ctr"/>
        <c:lblOffset val="100"/>
        <c:noMultiLvlLbl val="0"/>
      </c:catAx>
      <c:valAx>
        <c:axId val="7631165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80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Table!Category wise Total revenue</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vs Total Revenue</a:t>
            </a:r>
          </a:p>
        </c:rich>
      </c:tx>
      <c:layout>
        <c:manualLayout>
          <c:xMode val="edge"/>
          <c:yMode val="edge"/>
          <c:x val="1.1349483720951995E-2"/>
          <c:y val="2.508756077621444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8"/>
        <c:dLbl>
          <c:idx val="0"/>
          <c:layout>
            <c:manualLayout>
              <c:x val="-8.686808978905966E-2"/>
              <c:y val="-3.8990230387868183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9"/>
        <c:dLbl>
          <c:idx val="0"/>
          <c:layout>
            <c:manualLayout>
              <c:x val="-1.3233402481913643E-2"/>
              <c:y val="-5.2748979294254886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0"/>
        <c:dLbl>
          <c:idx val="0"/>
          <c:layout>
            <c:manualLayout>
              <c:x val="3.6207460611332933E-2"/>
              <c:y val="-0.25488116068824729"/>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1"/>
        <c:dLbl>
          <c:idx val="0"/>
          <c:layout>
            <c:manualLayout>
              <c:x val="5.6657223796033995E-2"/>
              <c:y val="-9.5841717701953918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2"/>
        <c:dLbl>
          <c:idx val="0"/>
          <c:layout>
            <c:manualLayout>
              <c:x val="0.11896381224301636"/>
              <c:y val="-8.991688538932634E-3"/>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3"/>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14"/>
        <c:dLbl>
          <c:idx val="0"/>
          <c:layout>
            <c:manualLayout>
              <c:x val="-8.686808978905966E-2"/>
              <c:y val="-3.8990230387868183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5"/>
        <c:dLbl>
          <c:idx val="0"/>
          <c:layout>
            <c:manualLayout>
              <c:x val="-1.3233402481913643E-2"/>
              <c:y val="-5.2748979294254886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6"/>
        <c:dLbl>
          <c:idx val="0"/>
          <c:layout>
            <c:manualLayout>
              <c:x val="3.6207460611332933E-2"/>
              <c:y val="-0.25488116068824729"/>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7"/>
        <c:dLbl>
          <c:idx val="0"/>
          <c:layout>
            <c:manualLayout>
              <c:x val="5.6657223796033995E-2"/>
              <c:y val="-9.5841717701953918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8"/>
        <c:dLbl>
          <c:idx val="0"/>
          <c:layout>
            <c:manualLayout>
              <c:x val="0.11896381224301636"/>
              <c:y val="-8.991688538932634E-3"/>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2304705227354605E-2"/>
              <c:y val="-3.899014672346283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1854814939576402E-2"/>
              <c:y val="-9.9332827961722173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207460611332933E-2"/>
              <c:y val="-0.25488116068824729"/>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6657223796033995E-2"/>
              <c:y val="-9.5841717701953918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896381224301636"/>
              <c:y val="-8.991688538932634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7A4-4A48-BB6C-603F81DDC91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7A4-4A48-BB6C-603F81DDC91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7A4-4A48-BB6C-603F81DDC91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7A4-4A48-BB6C-603F81DDC91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B7A4-4A48-BB6C-603F81DDC912}"/>
              </c:ext>
            </c:extLst>
          </c:dPt>
          <c:dLbls>
            <c:dLbl>
              <c:idx val="0"/>
              <c:layout>
                <c:manualLayout>
                  <c:x val="-4.2304705227354605E-2"/>
                  <c:y val="-3.899014672346283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A4-4A48-BB6C-603F81DDC912}"/>
                </c:ext>
              </c:extLst>
            </c:dLbl>
            <c:dLbl>
              <c:idx val="1"/>
              <c:layout>
                <c:manualLayout>
                  <c:x val="-5.1854814939576402E-2"/>
                  <c:y val="-9.933282796172217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A4-4A48-BB6C-603F81DDC912}"/>
                </c:ext>
              </c:extLst>
            </c:dLbl>
            <c:dLbl>
              <c:idx val="2"/>
              <c:layout>
                <c:manualLayout>
                  <c:x val="3.6207460611332933E-2"/>
                  <c:y val="-0.2548811606882472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7A4-4A48-BB6C-603F81DDC912}"/>
                </c:ext>
              </c:extLst>
            </c:dLbl>
            <c:dLbl>
              <c:idx val="3"/>
              <c:layout>
                <c:manualLayout>
                  <c:x val="5.6657223796033995E-2"/>
                  <c:y val="-9.584171770195391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7A4-4A48-BB6C-603F81DDC912}"/>
                </c:ext>
              </c:extLst>
            </c:dLbl>
            <c:dLbl>
              <c:idx val="4"/>
              <c:layout>
                <c:manualLayout>
                  <c:x val="0.11896381224301636"/>
                  <c:y val="-8.991688538932634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7A4-4A48-BB6C-603F81DDC912}"/>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Table'!$A$4:$A$9</c:f>
              <c:strCache>
                <c:ptCount val="5"/>
                <c:pt idx="0">
                  <c:v>Beauty</c:v>
                </c:pt>
                <c:pt idx="1">
                  <c:v>Clothing</c:v>
                </c:pt>
                <c:pt idx="2">
                  <c:v>Electronics</c:v>
                </c:pt>
                <c:pt idx="3">
                  <c:v>Home</c:v>
                </c:pt>
                <c:pt idx="4">
                  <c:v>Sports</c:v>
                </c:pt>
              </c:strCache>
            </c:strRef>
          </c:cat>
          <c:val>
            <c:numRef>
              <c:f>'Pivot Table'!$B$4:$B$9</c:f>
              <c:numCache>
                <c:formatCode>0.000</c:formatCode>
                <c:ptCount val="5"/>
                <c:pt idx="0">
                  <c:v>321362.08990000014</c:v>
                </c:pt>
                <c:pt idx="1">
                  <c:v>377055.37410000007</c:v>
                </c:pt>
                <c:pt idx="2">
                  <c:v>504311.348</c:v>
                </c:pt>
                <c:pt idx="3">
                  <c:v>427295.8036000001</c:v>
                </c:pt>
                <c:pt idx="4">
                  <c:v>540882.84180000005</c:v>
                </c:pt>
              </c:numCache>
            </c:numRef>
          </c:val>
          <c:extLst>
            <c:ext xmlns:c16="http://schemas.microsoft.com/office/drawing/2014/chart" uri="{C3380CC4-5D6E-409C-BE32-E72D297353CC}">
              <c16:uniqueId val="{0000000A-B7A4-4A48-BB6C-603F81DDC912}"/>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Table!Region wise Salesperformance</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vs Total sales</a:t>
            </a:r>
          </a:p>
        </c:rich>
      </c:tx>
      <c:layout>
        <c:manualLayout>
          <c:xMode val="edge"/>
          <c:yMode val="edge"/>
          <c:x val="4.0376998329754409E-3"/>
          <c:y val="2.229654403567447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0.3719557451151939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7777777777777779E-3"/>
              <c:y val="-0.1985516914552347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7777777777777779E-3"/>
              <c:y val="-0.4038673811606882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5462668816039986E-17"/>
              <c:y val="-0.35208807232429279"/>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5462668816039986E-17"/>
              <c:y val="-0.35208807232429279"/>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2.7777777777777779E-3"/>
              <c:y val="-0.4038673811606882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
              <c:y val="-0.3719557451151939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2.7777777777777779E-3"/>
              <c:y val="-0.1985516914552347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462668816039986E-17"/>
              <c:y val="-0.352088072324292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0.403867381160688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371955745115193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0.19855169145523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1"/>
        <c:ser>
          <c:idx val="0"/>
          <c:order val="0"/>
          <c:tx>
            <c:strRef>
              <c:f>'Pivot Table'!$B$14</c:f>
              <c:strCache>
                <c:ptCount val="1"/>
                <c:pt idx="0">
                  <c:v>Total</c:v>
                </c:pt>
              </c:strCache>
            </c:strRef>
          </c:tx>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D6C-4978-A6A9-318DFD2E1385}"/>
              </c:ext>
            </c:extLst>
          </c:dPt>
          <c:dPt>
            <c:idx val="1"/>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D6C-4978-A6A9-318DFD2E1385}"/>
              </c:ext>
            </c:extLst>
          </c:dPt>
          <c:dPt>
            <c:idx val="2"/>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D6C-4978-A6A9-318DFD2E1385}"/>
              </c:ext>
            </c:extLst>
          </c:dPt>
          <c:dPt>
            <c:idx val="3"/>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D6C-4978-A6A9-318DFD2E1385}"/>
              </c:ext>
            </c:extLst>
          </c:dPt>
          <c:dLbls>
            <c:dLbl>
              <c:idx val="0"/>
              <c:layout>
                <c:manualLayout>
                  <c:x val="-2.5462668816039986E-17"/>
                  <c:y val="-0.352088072324292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6C-4978-A6A9-318DFD2E1385}"/>
                </c:ext>
              </c:extLst>
            </c:dLbl>
            <c:dLbl>
              <c:idx val="1"/>
              <c:layout>
                <c:manualLayout>
                  <c:x val="2.7777777777777779E-3"/>
                  <c:y val="-0.403867381160688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6C-4978-A6A9-318DFD2E1385}"/>
                </c:ext>
              </c:extLst>
            </c:dLbl>
            <c:dLbl>
              <c:idx val="2"/>
              <c:layout>
                <c:manualLayout>
                  <c:x val="0"/>
                  <c:y val="-0.3719557451151939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6C-4978-A6A9-318DFD2E1385}"/>
                </c:ext>
              </c:extLst>
            </c:dLbl>
            <c:dLbl>
              <c:idx val="3"/>
              <c:layout>
                <c:manualLayout>
                  <c:x val="2.7777777777777779E-3"/>
                  <c:y val="-0.198551691455234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D6C-4978-A6A9-318DFD2E13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Table'!$A$15:$A$19</c:f>
              <c:strCache>
                <c:ptCount val="4"/>
                <c:pt idx="0">
                  <c:v>East</c:v>
                </c:pt>
                <c:pt idx="1">
                  <c:v>North</c:v>
                </c:pt>
                <c:pt idx="2">
                  <c:v>South</c:v>
                </c:pt>
                <c:pt idx="3">
                  <c:v>West</c:v>
                </c:pt>
              </c:strCache>
            </c:strRef>
          </c:cat>
          <c:val>
            <c:numRef>
              <c:f>'Pivot Table'!$B$15:$B$19</c:f>
              <c:numCache>
                <c:formatCode>0.000</c:formatCode>
                <c:ptCount val="4"/>
                <c:pt idx="0">
                  <c:v>619851.20530000061</c:v>
                </c:pt>
                <c:pt idx="1">
                  <c:v>645166.75039999944</c:v>
                </c:pt>
                <c:pt idx="2">
                  <c:v>635213.09570000041</c:v>
                </c:pt>
                <c:pt idx="3">
                  <c:v>270676.40600000002</c:v>
                </c:pt>
              </c:numCache>
            </c:numRef>
          </c:val>
          <c:extLst>
            <c:ext xmlns:c16="http://schemas.microsoft.com/office/drawing/2014/chart" uri="{C3380CC4-5D6E-409C-BE32-E72D297353CC}">
              <c16:uniqueId val="{00000008-8D6C-4978-A6A9-318DFD2E1385}"/>
            </c:ext>
          </c:extLst>
        </c:ser>
        <c:dLbls>
          <c:dLblPos val="ctr"/>
          <c:showLegendKey val="0"/>
          <c:showVal val="1"/>
          <c:showCatName val="0"/>
          <c:showSerName val="0"/>
          <c:showPercent val="0"/>
          <c:showBubbleSize val="0"/>
        </c:dLbls>
        <c:gapWidth val="150"/>
        <c:overlap val="100"/>
        <c:axId val="778166799"/>
        <c:axId val="106487391"/>
      </c:barChart>
      <c:catAx>
        <c:axId val="7781667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487391"/>
        <c:crosses val="autoZero"/>
        <c:auto val="1"/>
        <c:lblAlgn val="ctr"/>
        <c:lblOffset val="100"/>
        <c:noMultiLvlLbl val="0"/>
      </c:catAx>
      <c:valAx>
        <c:axId val="106487391"/>
        <c:scaling>
          <c:orientation val="minMax"/>
        </c:scaling>
        <c:delete val="0"/>
        <c:axPos val="l"/>
        <c:majorGridlines>
          <c:spPr>
            <a:ln w="9525" cap="flat" cmpd="sng" algn="ctr">
              <a:solidFill>
                <a:schemeClr val="lt1">
                  <a:lumMod val="95000"/>
                  <a:alpha val="10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816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Table!Month wise Trends</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1"/>
          <c:showSerName val="0"/>
          <c:showPercent val="0"/>
          <c:showBubbleSize val="0"/>
          <c:extLst>
            <c:ext xmlns:c15="http://schemas.microsoft.com/office/drawing/2012/chart" uri="{CE6537A1-D6FC-4f65-9D91-7224C49458BB}"/>
          </c:extLst>
        </c:dLbl>
      </c:pivotFmt>
      <c:pivotFmt>
        <c:idx val="3"/>
        <c:dLbl>
          <c:idx val="0"/>
          <c:layout>
            <c:manualLayout>
              <c:x val="-5.7369614512471655E-2"/>
              <c:y val="-0.1111111111111111"/>
            </c:manualLayout>
          </c:layout>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0.11938775510204082"/>
              <c:y val="0.12499999999999992"/>
            </c:manualLayout>
          </c:layout>
          <c:showLegendKey val="0"/>
          <c:showVal val="1"/>
          <c:showCatName val="1"/>
          <c:showSerName val="0"/>
          <c:showPercent val="0"/>
          <c:showBubbleSize val="0"/>
          <c:extLst>
            <c:ext xmlns:c15="http://schemas.microsoft.com/office/drawing/2012/chart" uri="{CE6537A1-D6FC-4f65-9D91-7224C49458BB}"/>
          </c:extLst>
        </c:dLbl>
      </c:pivotFmt>
      <c:pivotFmt>
        <c:idx val="5"/>
        <c:dLbl>
          <c:idx val="0"/>
          <c:layout>
            <c:manualLayout>
              <c:x val="-2.7777777777777779E-3"/>
              <c:y val="-5.5555555555555601E-2"/>
            </c:manualLayout>
          </c:layout>
          <c:showLegendKey val="0"/>
          <c:showVal val="1"/>
          <c:showCatName val="1"/>
          <c:showSerName val="0"/>
          <c:showPercent val="0"/>
          <c:showBubbleSize val="0"/>
          <c:extLst>
            <c:ext xmlns:c15="http://schemas.microsoft.com/office/drawing/2012/chart" uri="{CE6537A1-D6FC-4f65-9D91-7224C49458BB}"/>
          </c:extLst>
        </c:dLbl>
      </c:pivotFmt>
      <c:pivotFmt>
        <c:idx val="6"/>
        <c:dLbl>
          <c:idx val="0"/>
          <c:layout>
            <c:manualLayout>
              <c:x val="-6.4172335600907029E-2"/>
              <c:y val="0.15046296296296297"/>
            </c:manualLayout>
          </c:layout>
          <c:showLegendKey val="0"/>
          <c:showVal val="1"/>
          <c:showCatName val="1"/>
          <c:showSerName val="0"/>
          <c:showPercent val="0"/>
          <c:showBubbleSize val="0"/>
          <c:extLst>
            <c:ext xmlns:c15="http://schemas.microsoft.com/office/drawing/2012/chart" uri="{CE6537A1-D6FC-4f65-9D91-7224C49458BB}">
              <c15:layout>
                <c:manualLayout>
                  <c:w val="0.20844805113646508"/>
                  <c:h val="5.1488772236803731E-2"/>
                </c:manualLayout>
              </c15:layout>
            </c:ext>
          </c:extLst>
        </c:dLbl>
      </c:pivotFmt>
      <c:pivotFmt>
        <c:idx val="7"/>
        <c:dLbl>
          <c:idx val="0"/>
          <c:layout>
            <c:manualLayout>
              <c:x val="6.7517096077276059E-2"/>
              <c:y val="-0.25462962962962965"/>
            </c:manualLayout>
          </c:layout>
          <c:showLegendKey val="0"/>
          <c:showVal val="1"/>
          <c:showCatName val="1"/>
          <c:showSerName val="0"/>
          <c:showPercent val="0"/>
          <c:showBubbleSize val="0"/>
          <c:extLst>
            <c:ext xmlns:c15="http://schemas.microsoft.com/office/drawing/2012/chart" uri="{CE6537A1-D6FC-4f65-9D91-7224C49458BB}"/>
          </c:extLst>
        </c:dLbl>
      </c:pivotFmt>
      <c:pivotFmt>
        <c:idx val="8"/>
        <c:dLbl>
          <c:idx val="0"/>
          <c:layout>
            <c:manualLayout>
              <c:x val="-2.7777777777777779E-3"/>
              <c:y val="0.12962962962962954"/>
            </c:manualLayout>
          </c:layout>
          <c:showLegendKey val="0"/>
          <c:showVal val="1"/>
          <c:showCatName val="1"/>
          <c:showSerName val="0"/>
          <c:showPercent val="0"/>
          <c:showBubbleSize val="0"/>
          <c:extLst>
            <c:ext xmlns:c15="http://schemas.microsoft.com/office/drawing/2012/chart" uri="{CE6537A1-D6FC-4f65-9D91-7224C49458BB}"/>
          </c:extLst>
        </c:dLbl>
      </c:pivotFmt>
      <c:pivotFmt>
        <c:idx val="9"/>
        <c:dLbl>
          <c:idx val="0"/>
          <c:layout>
            <c:manualLayout>
              <c:x val="-5.5555555555555558E-3"/>
              <c:y val="0.12037037037037036"/>
            </c:manualLayout>
          </c:layout>
          <c:showLegendKey val="0"/>
          <c:showVal val="1"/>
          <c:showCatName val="1"/>
          <c:showSerName val="0"/>
          <c:showPercent val="0"/>
          <c:showBubbleSize val="0"/>
          <c:extLst>
            <c:ext xmlns:c15="http://schemas.microsoft.com/office/drawing/2012/chart" uri="{CE6537A1-D6FC-4f65-9D91-7224C49458BB}"/>
          </c:extLst>
        </c:dLbl>
      </c:pivotFmt>
      <c:pivotFmt>
        <c:idx val="10"/>
        <c:dLbl>
          <c:idx val="0"/>
          <c:layout>
            <c:manualLayout>
              <c:x val="3.2426303854875202E-2"/>
              <c:y val="-8.333333333333337E-2"/>
            </c:manualLayout>
          </c:layout>
          <c:showLegendKey val="0"/>
          <c:showVal val="1"/>
          <c:showCatName val="1"/>
          <c:showSerName val="0"/>
          <c:showPercent val="0"/>
          <c:showBubbleSize val="0"/>
          <c:extLst>
            <c:ext xmlns:c15="http://schemas.microsoft.com/office/drawing/2012/chart" uri="{CE6537A1-D6FC-4f65-9D91-7224C49458BB}"/>
          </c:extLst>
        </c:dLbl>
      </c:pivotFmt>
      <c:pivotFmt>
        <c:idx val="11"/>
        <c:dLbl>
          <c:idx val="0"/>
          <c:layout>
            <c:manualLayout>
              <c:x val="1.4399092970521459E-2"/>
              <c:y val="0.16203703703703703"/>
            </c:manualLayout>
          </c:layout>
          <c:showLegendKey val="0"/>
          <c:showVal val="1"/>
          <c:showCatName val="1"/>
          <c:showSerName val="0"/>
          <c:showPercent val="0"/>
          <c:showBubbleSize val="0"/>
          <c:extLst>
            <c:ext xmlns:c15="http://schemas.microsoft.com/office/drawing/2012/chart" uri="{CE6537A1-D6FC-4f65-9D91-7224C49458BB}"/>
          </c:extLst>
        </c:dLbl>
      </c:pivotFmt>
      <c:pivotFmt>
        <c:idx val="12"/>
        <c:dLbl>
          <c:idx val="0"/>
          <c:layout>
            <c:manualLayout>
              <c:x val="0.10878693734711732"/>
              <c:y val="9.2592592592592504E-2"/>
            </c:manualLayout>
          </c:layout>
          <c:showLegendKey val="0"/>
          <c:showVal val="1"/>
          <c:showCatName val="1"/>
          <c:showSerName val="0"/>
          <c:showPercent val="0"/>
          <c:showBubbleSize val="0"/>
          <c:extLst>
            <c:ext xmlns:c15="http://schemas.microsoft.com/office/drawing/2012/chart" uri="{CE6537A1-D6FC-4f65-9D91-7224C49458BB}"/>
          </c:extLst>
        </c:dLbl>
      </c:pivotFmt>
      <c:pivotFmt>
        <c:idx val="13"/>
        <c:dLbl>
          <c:idx val="0"/>
          <c:layout>
            <c:manualLayout>
              <c:x val="3.0101951541771563E-2"/>
              <c:y val="-0.14351851851851857"/>
            </c:manualLayout>
          </c:layout>
          <c:showLegendKey val="0"/>
          <c:showVal val="1"/>
          <c:showCatName val="1"/>
          <c:showSerName val="0"/>
          <c:showPercent val="0"/>
          <c:showBubbleSize val="0"/>
          <c:extLst>
            <c:ext xmlns:c15="http://schemas.microsoft.com/office/drawing/2012/chart" uri="{CE6537A1-D6FC-4f65-9D91-7224C49458BB}"/>
          </c:extLst>
        </c:dLbl>
      </c:pivotFmt>
      <c:pivotFmt>
        <c:idx val="14"/>
        <c:dLbl>
          <c:idx val="0"/>
          <c:layout>
            <c:manualLayout>
              <c:x val="4.5351473922902496E-3"/>
              <c:y val="-2.3148148148148147E-2"/>
            </c:manualLayout>
          </c:layout>
          <c:showLegendKey val="0"/>
          <c:showVal val="1"/>
          <c:showCatName val="1"/>
          <c:showSerName val="0"/>
          <c:showPercent val="0"/>
          <c:showBubbleSize val="0"/>
          <c:extLst>
            <c:ext xmlns:c15="http://schemas.microsoft.com/office/drawing/2012/chart" uri="{CE6537A1-D6FC-4f65-9D91-7224C49458BB}"/>
          </c:extLst>
        </c:dLbl>
      </c:pivotFmt>
      <c:pivotFmt>
        <c:idx val="15"/>
        <c:dLbl>
          <c:idx val="0"/>
          <c:showLegendKey val="0"/>
          <c:showVal val="1"/>
          <c:showCatName val="1"/>
          <c:showSerName val="0"/>
          <c:showPercent val="0"/>
          <c:showBubbleSize val="0"/>
          <c:extLst>
            <c:ext xmlns:c15="http://schemas.microsoft.com/office/drawing/2012/chart" uri="{CE6537A1-D6FC-4f65-9D91-7224C49458BB}"/>
          </c:extLst>
        </c:dLbl>
      </c:pivotFmt>
      <c:pivotFmt>
        <c:idx val="16"/>
        <c:dLbl>
          <c:idx val="0"/>
          <c:layout>
            <c:manualLayout>
              <c:x val="-5.7369614512471655E-2"/>
              <c:y val="-0.1111111111111111"/>
            </c:manualLayout>
          </c:layout>
          <c:showLegendKey val="0"/>
          <c:showVal val="1"/>
          <c:showCatName val="1"/>
          <c:showSerName val="0"/>
          <c:showPercent val="0"/>
          <c:showBubbleSize val="0"/>
          <c:extLst>
            <c:ext xmlns:c15="http://schemas.microsoft.com/office/drawing/2012/chart" uri="{CE6537A1-D6FC-4f65-9D91-7224C49458BB}"/>
          </c:extLst>
        </c:dLbl>
      </c:pivotFmt>
      <c:pivotFmt>
        <c:idx val="17"/>
        <c:dLbl>
          <c:idx val="0"/>
          <c:layout>
            <c:manualLayout>
              <c:x val="-0.11938775510204082"/>
              <c:y val="0.12499999999999992"/>
            </c:manualLayout>
          </c:layout>
          <c:showLegendKey val="0"/>
          <c:showVal val="1"/>
          <c:showCatName val="1"/>
          <c:showSerName val="0"/>
          <c:showPercent val="0"/>
          <c:showBubbleSize val="0"/>
          <c:extLst>
            <c:ext xmlns:c15="http://schemas.microsoft.com/office/drawing/2012/chart" uri="{CE6537A1-D6FC-4f65-9D91-7224C49458BB}"/>
          </c:extLst>
        </c:dLbl>
      </c:pivotFmt>
      <c:pivotFmt>
        <c:idx val="18"/>
        <c:dLbl>
          <c:idx val="0"/>
          <c:layout>
            <c:manualLayout>
              <c:x val="-2.7777777777777779E-3"/>
              <c:y val="-5.5555555555555601E-2"/>
            </c:manualLayout>
          </c:layout>
          <c:showLegendKey val="0"/>
          <c:showVal val="1"/>
          <c:showCatName val="1"/>
          <c:showSerName val="0"/>
          <c:showPercent val="0"/>
          <c:showBubbleSize val="0"/>
          <c:extLst>
            <c:ext xmlns:c15="http://schemas.microsoft.com/office/drawing/2012/chart" uri="{CE6537A1-D6FC-4f65-9D91-7224C49458BB}"/>
          </c:extLst>
        </c:dLbl>
      </c:pivotFmt>
      <c:pivotFmt>
        <c:idx val="19"/>
        <c:dLbl>
          <c:idx val="0"/>
          <c:layout>
            <c:manualLayout>
              <c:x val="-6.4172335600907029E-2"/>
              <c:y val="0.15046296296296297"/>
            </c:manualLayout>
          </c:layout>
          <c:showLegendKey val="0"/>
          <c:showVal val="1"/>
          <c:showCatName val="1"/>
          <c:showSerName val="0"/>
          <c:showPercent val="0"/>
          <c:showBubbleSize val="0"/>
          <c:extLst>
            <c:ext xmlns:c15="http://schemas.microsoft.com/office/drawing/2012/chart" uri="{CE6537A1-D6FC-4f65-9D91-7224C49458BB}">
              <c15:layout>
                <c:manualLayout>
                  <c:w val="0.20844805113646508"/>
                  <c:h val="5.1488772236803731E-2"/>
                </c:manualLayout>
              </c15:layout>
            </c:ext>
          </c:extLst>
        </c:dLbl>
      </c:pivotFmt>
      <c:pivotFmt>
        <c:idx val="20"/>
        <c:dLbl>
          <c:idx val="0"/>
          <c:layout>
            <c:manualLayout>
              <c:x val="6.7517096077276059E-2"/>
              <c:y val="-0.25462962962962965"/>
            </c:manualLayout>
          </c:layout>
          <c:showLegendKey val="0"/>
          <c:showVal val="1"/>
          <c:showCatName val="1"/>
          <c:showSerName val="0"/>
          <c:showPercent val="0"/>
          <c:showBubbleSize val="0"/>
          <c:extLst>
            <c:ext xmlns:c15="http://schemas.microsoft.com/office/drawing/2012/chart" uri="{CE6537A1-D6FC-4f65-9D91-7224C49458BB}"/>
          </c:extLst>
        </c:dLbl>
      </c:pivotFmt>
      <c:pivotFmt>
        <c:idx val="21"/>
        <c:dLbl>
          <c:idx val="0"/>
          <c:layout>
            <c:manualLayout>
              <c:x val="-2.7777777777777779E-3"/>
              <c:y val="0.12962962962962954"/>
            </c:manualLayout>
          </c:layout>
          <c:showLegendKey val="0"/>
          <c:showVal val="1"/>
          <c:showCatName val="1"/>
          <c:showSerName val="0"/>
          <c:showPercent val="0"/>
          <c:showBubbleSize val="0"/>
          <c:extLst>
            <c:ext xmlns:c15="http://schemas.microsoft.com/office/drawing/2012/chart" uri="{CE6537A1-D6FC-4f65-9D91-7224C49458BB}"/>
          </c:extLst>
        </c:dLbl>
      </c:pivotFmt>
      <c:pivotFmt>
        <c:idx val="22"/>
        <c:dLbl>
          <c:idx val="0"/>
          <c:layout>
            <c:manualLayout>
              <c:x val="-5.5555555555555558E-3"/>
              <c:y val="0.12037037037037036"/>
            </c:manualLayout>
          </c:layout>
          <c:showLegendKey val="0"/>
          <c:showVal val="1"/>
          <c:showCatName val="1"/>
          <c:showSerName val="0"/>
          <c:showPercent val="0"/>
          <c:showBubbleSize val="0"/>
          <c:extLst>
            <c:ext xmlns:c15="http://schemas.microsoft.com/office/drawing/2012/chart" uri="{CE6537A1-D6FC-4f65-9D91-7224C49458BB}"/>
          </c:extLst>
        </c:dLbl>
      </c:pivotFmt>
      <c:pivotFmt>
        <c:idx val="23"/>
        <c:dLbl>
          <c:idx val="0"/>
          <c:layout>
            <c:manualLayout>
              <c:x val="3.2426303854875202E-2"/>
              <c:y val="-8.333333333333337E-2"/>
            </c:manualLayout>
          </c:layout>
          <c:showLegendKey val="0"/>
          <c:showVal val="1"/>
          <c:showCatName val="1"/>
          <c:showSerName val="0"/>
          <c:showPercent val="0"/>
          <c:showBubbleSize val="0"/>
          <c:extLst>
            <c:ext xmlns:c15="http://schemas.microsoft.com/office/drawing/2012/chart" uri="{CE6537A1-D6FC-4f65-9D91-7224C49458BB}"/>
          </c:extLst>
        </c:dLbl>
      </c:pivotFmt>
      <c:pivotFmt>
        <c:idx val="24"/>
        <c:dLbl>
          <c:idx val="0"/>
          <c:layout>
            <c:manualLayout>
              <c:x val="1.4399092970521459E-2"/>
              <c:y val="0.16203703703703703"/>
            </c:manualLayout>
          </c:layout>
          <c:showLegendKey val="0"/>
          <c:showVal val="1"/>
          <c:showCatName val="1"/>
          <c:showSerName val="0"/>
          <c:showPercent val="0"/>
          <c:showBubbleSize val="0"/>
          <c:extLst>
            <c:ext xmlns:c15="http://schemas.microsoft.com/office/drawing/2012/chart" uri="{CE6537A1-D6FC-4f65-9D91-7224C49458BB}"/>
          </c:extLst>
        </c:dLbl>
      </c:pivotFmt>
      <c:pivotFmt>
        <c:idx val="25"/>
        <c:dLbl>
          <c:idx val="0"/>
          <c:layout>
            <c:manualLayout>
              <c:x val="0.10878693734711732"/>
              <c:y val="9.2592592592592504E-2"/>
            </c:manualLayout>
          </c:layout>
          <c:showLegendKey val="0"/>
          <c:showVal val="1"/>
          <c:showCatName val="1"/>
          <c:showSerName val="0"/>
          <c:showPercent val="0"/>
          <c:showBubbleSize val="0"/>
          <c:extLst>
            <c:ext xmlns:c15="http://schemas.microsoft.com/office/drawing/2012/chart" uri="{CE6537A1-D6FC-4f65-9D91-7224C49458BB}"/>
          </c:extLst>
        </c:dLbl>
      </c:pivotFmt>
      <c:pivotFmt>
        <c:idx val="26"/>
        <c:dLbl>
          <c:idx val="0"/>
          <c:layout>
            <c:manualLayout>
              <c:x val="3.0101951541771563E-2"/>
              <c:y val="-0.14351851851851857"/>
            </c:manualLayout>
          </c:layout>
          <c:showLegendKey val="0"/>
          <c:showVal val="1"/>
          <c:showCatName val="1"/>
          <c:showSerName val="0"/>
          <c:showPercent val="0"/>
          <c:showBubbleSize val="0"/>
          <c:extLst>
            <c:ext xmlns:c15="http://schemas.microsoft.com/office/drawing/2012/chart" uri="{CE6537A1-D6FC-4f65-9D91-7224C49458BB}"/>
          </c:extLst>
        </c:dLbl>
      </c:pivotFmt>
      <c:pivotFmt>
        <c:idx val="27"/>
        <c:dLbl>
          <c:idx val="0"/>
          <c:layout>
            <c:manualLayout>
              <c:x val="4.5351473922902496E-3"/>
              <c:y val="-2.3148148148148147E-2"/>
            </c:manualLayout>
          </c:layout>
          <c:showLegendKey val="0"/>
          <c:showVal val="1"/>
          <c:showCatName val="1"/>
          <c:showSerName val="0"/>
          <c:showPercent val="0"/>
          <c:showBubbleSize val="0"/>
          <c:extLst>
            <c:ext xmlns:c15="http://schemas.microsoft.com/office/drawing/2012/chart" uri="{CE6537A1-D6FC-4f65-9D91-7224C49458BB}"/>
          </c:extLst>
        </c:dLbl>
      </c:pivotFmt>
      <c:pivotFmt>
        <c:idx val="2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3066202090592335"/>
              <c:y val="-0.1342592592592592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1904761904761907"/>
              <c:y val="0.1064814814814814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6457607433217217E-2"/>
              <c:y val="-6.0185185185185182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1904761904761904"/>
              <c:y val="0.39351851851851855"/>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9361207897793261E-2"/>
              <c:y val="0.17129629629629631"/>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7421602787456501E-2"/>
              <c:y val="7.870370370370370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9361207897793316E-2"/>
              <c:y val="-0.1388888888888889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1033681765389082"/>
              <c:y val="-0.18055555555555555"/>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8072009291522553E-3"/>
              <c:y val="0.18055555555555555"/>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8722415795586521E-2"/>
              <c:y val="0.1435185185185185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0077802774653169"/>
              <c:y val="-0.1399207980234142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3511481796482759E-2"/>
              <c:y val="-7.9694583631591959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'Pivot Table'!$B$44</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0-6665-4C42-B33A-B47CEB1580C6}"/>
              </c:ext>
            </c:extLst>
          </c:dPt>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6665-4C42-B33A-B47CEB1580C6}"/>
              </c:ext>
            </c:extLst>
          </c:dPt>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2-6665-4C42-B33A-B47CEB1580C6}"/>
              </c:ext>
            </c:extLst>
          </c:dPt>
          <c:dPt>
            <c:idx val="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6665-4C42-B33A-B47CEB1580C6}"/>
              </c:ext>
            </c:extLst>
          </c:dPt>
          <c:dPt>
            <c:idx val="4"/>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4-6665-4C42-B33A-B47CEB1580C6}"/>
              </c:ext>
            </c:extLst>
          </c:dPt>
          <c:dPt>
            <c:idx val="5"/>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5-6665-4C42-B33A-B47CEB1580C6}"/>
              </c:ext>
            </c:extLst>
          </c:dPt>
          <c:dPt>
            <c:idx val="6"/>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6-6665-4C42-B33A-B47CEB1580C6}"/>
              </c:ext>
            </c:extLst>
          </c:dPt>
          <c:dPt>
            <c:idx val="7"/>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7-6665-4C42-B33A-B47CEB1580C6}"/>
              </c:ext>
            </c:extLst>
          </c:dPt>
          <c:dPt>
            <c:idx val="8"/>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8-6665-4C42-B33A-B47CEB1580C6}"/>
              </c:ext>
            </c:extLst>
          </c:dPt>
          <c:dPt>
            <c:idx val="9"/>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9-6665-4C42-B33A-B47CEB1580C6}"/>
              </c:ext>
            </c:extLst>
          </c:dPt>
          <c:dPt>
            <c:idx val="1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A-6665-4C42-B33A-B47CEB1580C6}"/>
              </c:ext>
            </c:extLst>
          </c:dPt>
          <c:dPt>
            <c:idx val="1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B-6665-4C42-B33A-B47CEB1580C6}"/>
              </c:ext>
            </c:extLst>
          </c:dPt>
          <c:dLbls>
            <c:dLbl>
              <c:idx val="0"/>
              <c:layout>
                <c:manualLayout>
                  <c:x val="-0.13066202090592335"/>
                  <c:y val="-0.1342592592592592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665-4C42-B33A-B47CEB1580C6}"/>
                </c:ext>
              </c:extLst>
            </c:dLbl>
            <c:dLbl>
              <c:idx val="1"/>
              <c:layout>
                <c:manualLayout>
                  <c:x val="-0.11904761904761907"/>
                  <c:y val="0.1064814814814814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65-4C42-B33A-B47CEB1580C6}"/>
                </c:ext>
              </c:extLst>
            </c:dLbl>
            <c:dLbl>
              <c:idx val="2"/>
              <c:layout>
                <c:manualLayout>
                  <c:x val="-4.6457607433217217E-2"/>
                  <c:y val="-6.018518518518518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665-4C42-B33A-B47CEB1580C6}"/>
                </c:ext>
              </c:extLst>
            </c:dLbl>
            <c:dLbl>
              <c:idx val="3"/>
              <c:layout>
                <c:manualLayout>
                  <c:x val="-0.11904761904761904"/>
                  <c:y val="0.3935185185185185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665-4C42-B33A-B47CEB1580C6}"/>
                </c:ext>
              </c:extLst>
            </c:dLbl>
            <c:dLbl>
              <c:idx val="4"/>
              <c:layout>
                <c:manualLayout>
                  <c:x val="4.9361207897793261E-2"/>
                  <c:y val="0.1712962962962963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665-4C42-B33A-B47CEB1580C6}"/>
                </c:ext>
              </c:extLst>
            </c:dLbl>
            <c:dLbl>
              <c:idx val="5"/>
              <c:layout>
                <c:manualLayout>
                  <c:x val="-1.7421602787456501E-2"/>
                  <c:y val="7.87037037037037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665-4C42-B33A-B47CEB1580C6}"/>
                </c:ext>
              </c:extLst>
            </c:dLbl>
            <c:dLbl>
              <c:idx val="6"/>
              <c:layout>
                <c:manualLayout>
                  <c:x val="-4.9361207897793316E-2"/>
                  <c:y val="-0.1388888888888889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665-4C42-B33A-B47CEB1580C6}"/>
                </c:ext>
              </c:extLst>
            </c:dLbl>
            <c:dLbl>
              <c:idx val="7"/>
              <c:layout>
                <c:manualLayout>
                  <c:x val="0.11033681765389082"/>
                  <c:y val="-0.1805555555555555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665-4C42-B33A-B47CEB1580C6}"/>
                </c:ext>
              </c:extLst>
            </c:dLbl>
            <c:dLbl>
              <c:idx val="8"/>
              <c:layout>
                <c:manualLayout>
                  <c:x val="-5.8072009291522553E-3"/>
                  <c:y val="0.1805555555555555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665-4C42-B33A-B47CEB1580C6}"/>
                </c:ext>
              </c:extLst>
            </c:dLbl>
            <c:dLbl>
              <c:idx val="9"/>
              <c:layout>
                <c:manualLayout>
                  <c:x val="9.8722415795586521E-2"/>
                  <c:y val="0.1435185185185185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665-4C42-B33A-B47CEB1580C6}"/>
                </c:ext>
              </c:extLst>
            </c:dLbl>
            <c:dLbl>
              <c:idx val="10"/>
              <c:layout>
                <c:manualLayout>
                  <c:x val="0.10077802774653169"/>
                  <c:y val="-0.1399207980234142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665-4C42-B33A-B47CEB1580C6}"/>
                </c:ext>
              </c:extLst>
            </c:dLbl>
            <c:dLbl>
              <c:idx val="11"/>
              <c:layout>
                <c:manualLayout>
                  <c:x val="4.3511481796482759E-2"/>
                  <c:y val="-7.9694583631591959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665-4C42-B33A-B47CEB1580C6}"/>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Table'!$A$45:$A$57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Table'!$B$45:$B$57</c:f>
              <c:numCache>
                <c:formatCode>0.00</c:formatCode>
                <c:ptCount val="12"/>
                <c:pt idx="0">
                  <c:v>174449.13999999996</c:v>
                </c:pt>
                <c:pt idx="1">
                  <c:v>155073.93909999993</c:v>
                </c:pt>
                <c:pt idx="2">
                  <c:v>210704.52200000011</c:v>
                </c:pt>
                <c:pt idx="3">
                  <c:v>192864.0352999999</c:v>
                </c:pt>
                <c:pt idx="4">
                  <c:v>146511.96290000007</c:v>
                </c:pt>
                <c:pt idx="5">
                  <c:v>162640.01649999994</c:v>
                </c:pt>
                <c:pt idx="6">
                  <c:v>194512.57700000002</c:v>
                </c:pt>
                <c:pt idx="7">
                  <c:v>191032.39979999996</c:v>
                </c:pt>
                <c:pt idx="8">
                  <c:v>187144.39880000014</c:v>
                </c:pt>
                <c:pt idx="9">
                  <c:v>186168.20670000001</c:v>
                </c:pt>
                <c:pt idx="10">
                  <c:v>187386.1682000001</c:v>
                </c:pt>
                <c:pt idx="11">
                  <c:v>182420.09109999999</c:v>
                </c:pt>
              </c:numCache>
            </c:numRef>
          </c:val>
          <c:smooth val="0"/>
          <c:extLst>
            <c:ext xmlns:c16="http://schemas.microsoft.com/office/drawing/2014/chart" uri="{C3380CC4-5D6E-409C-BE32-E72D297353CC}">
              <c16:uniqueId val="{0000000C-6665-4C42-B33A-B47CEB1580C6}"/>
            </c:ext>
          </c:extLst>
        </c:ser>
        <c:dLbls>
          <c:dLblPos val="t"/>
          <c:showLegendKey val="0"/>
          <c:showVal val="1"/>
          <c:showCatName val="0"/>
          <c:showSerName val="0"/>
          <c:showPercent val="0"/>
          <c:showBubbleSize val="0"/>
        </c:dLbls>
        <c:marker val="1"/>
        <c:smooth val="0"/>
        <c:axId val="1969800623"/>
        <c:axId val="763116511"/>
      </c:lineChart>
      <c:catAx>
        <c:axId val="19698006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3116511"/>
        <c:crosses val="autoZero"/>
        <c:auto val="1"/>
        <c:lblAlgn val="ctr"/>
        <c:lblOffset val="100"/>
        <c:noMultiLvlLbl val="0"/>
      </c:catAx>
      <c:valAx>
        <c:axId val="76311651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980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Table!Top products via quantity</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Products via Quantity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bar"/>
        <c:grouping val="clustered"/>
        <c:varyColors val="1"/>
        <c:ser>
          <c:idx val="0"/>
          <c:order val="0"/>
          <c:tx>
            <c:strRef>
              <c:f>'Pivot Table'!$B$62</c:f>
              <c:strCache>
                <c:ptCount val="1"/>
                <c:pt idx="0">
                  <c:v>Total</c:v>
                </c:pt>
              </c:strCache>
            </c:strRef>
          </c:tx>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087-4E83-BE2F-363EDFEDC997}"/>
              </c:ext>
            </c:extLst>
          </c:dPt>
          <c:dPt>
            <c:idx val="1"/>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087-4E83-BE2F-363EDFEDC997}"/>
              </c:ext>
            </c:extLst>
          </c:dPt>
          <c:dPt>
            <c:idx val="2"/>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087-4E83-BE2F-363EDFEDC997}"/>
              </c:ext>
            </c:extLst>
          </c:dPt>
          <c:dPt>
            <c:idx val="3"/>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087-4E83-BE2F-363EDFEDC997}"/>
              </c:ext>
            </c:extLst>
          </c:dPt>
          <c:dPt>
            <c:idx val="4"/>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4087-4E83-BE2F-363EDFEDC997}"/>
              </c:ext>
            </c:extLst>
          </c:dPt>
          <c:dPt>
            <c:idx val="5"/>
            <c:invertIfNegative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4087-4E83-BE2F-363EDFEDC997}"/>
              </c:ext>
            </c:extLst>
          </c:dPt>
          <c:dPt>
            <c:idx val="6"/>
            <c:invertIfNegative val="0"/>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4087-4E83-BE2F-363EDFEDC997}"/>
              </c:ext>
            </c:extLst>
          </c:dPt>
          <c:dPt>
            <c:idx val="7"/>
            <c:invertIfNegative val="0"/>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4087-4E83-BE2F-363EDFEDC997}"/>
              </c:ext>
            </c:extLst>
          </c:dPt>
          <c:dPt>
            <c:idx val="8"/>
            <c:invertIfNegative val="0"/>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4087-4E83-BE2F-363EDFEDC997}"/>
              </c:ext>
            </c:extLst>
          </c:dPt>
          <c:dPt>
            <c:idx val="9"/>
            <c:invertIfNegative val="0"/>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4087-4E83-BE2F-363EDFEDC9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Table'!$A$63:$A$73</c:f>
              <c:strCache>
                <c:ptCount val="10"/>
                <c:pt idx="0">
                  <c:v>Men's Casual Sneakers</c:v>
                </c:pt>
                <c:pt idx="1">
                  <c:v>Gaming Mechanical Keyboard</c:v>
                </c:pt>
                <c:pt idx="2">
                  <c:v>Portable Power Bank</c:v>
                </c:pt>
                <c:pt idx="3">
                  <c:v>Shin Guards – Adult</c:v>
                </c:pt>
                <c:pt idx="4">
                  <c:v>Wireless Mouse</c:v>
                </c:pt>
                <c:pt idx="5">
                  <c:v>4K Home Projector</c:v>
                </c:pt>
                <c:pt idx="6">
                  <c:v>Soccer Training Cone Set</c:v>
                </c:pt>
                <c:pt idx="7">
                  <c:v>Vitamin E Body Lotion</c:v>
                </c:pt>
                <c:pt idx="8">
                  <c:v>Face Foundation Kit</c:v>
                </c:pt>
                <c:pt idx="9">
                  <c:v>Laptop Cooling Pad</c:v>
                </c:pt>
              </c:strCache>
            </c:strRef>
          </c:cat>
          <c:val>
            <c:numRef>
              <c:f>'Pivot Table'!$B$63:$B$73</c:f>
              <c:numCache>
                <c:formatCode>0</c:formatCode>
                <c:ptCount val="10"/>
                <c:pt idx="0">
                  <c:v>87</c:v>
                </c:pt>
                <c:pt idx="1">
                  <c:v>84</c:v>
                </c:pt>
                <c:pt idx="2">
                  <c:v>84</c:v>
                </c:pt>
                <c:pt idx="3">
                  <c:v>77</c:v>
                </c:pt>
                <c:pt idx="4">
                  <c:v>73</c:v>
                </c:pt>
                <c:pt idx="5">
                  <c:v>72</c:v>
                </c:pt>
                <c:pt idx="6">
                  <c:v>70</c:v>
                </c:pt>
                <c:pt idx="7">
                  <c:v>68</c:v>
                </c:pt>
                <c:pt idx="8">
                  <c:v>68</c:v>
                </c:pt>
                <c:pt idx="9">
                  <c:v>68</c:v>
                </c:pt>
              </c:numCache>
            </c:numRef>
          </c:val>
          <c:extLst>
            <c:ext xmlns:c16="http://schemas.microsoft.com/office/drawing/2014/chart" uri="{C3380CC4-5D6E-409C-BE32-E72D297353CC}">
              <c16:uniqueId val="{00000014-4087-4E83-BE2F-363EDFEDC997}"/>
            </c:ext>
          </c:extLst>
        </c:ser>
        <c:dLbls>
          <c:dLblPos val="outEnd"/>
          <c:showLegendKey val="0"/>
          <c:showVal val="1"/>
          <c:showCatName val="0"/>
          <c:showSerName val="0"/>
          <c:showPercent val="0"/>
          <c:showBubbleSize val="0"/>
        </c:dLbls>
        <c:gapWidth val="115"/>
        <c:overlap val="-20"/>
        <c:axId val="682398751"/>
        <c:axId val="682399231"/>
      </c:barChart>
      <c:catAx>
        <c:axId val="6823987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2399231"/>
        <c:crosses val="autoZero"/>
        <c:auto val="1"/>
        <c:lblAlgn val="ctr"/>
        <c:lblOffset val="100"/>
        <c:noMultiLvlLbl val="0"/>
      </c:catAx>
      <c:valAx>
        <c:axId val="682399231"/>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239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Table!Payment</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5.8333333333333334E-2"/>
              <c:y val="-3.240740740740740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
              <c:y val="8.7962962962962965E-2"/>
            </c:manualLayout>
          </c:layou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6.6666666666666666E-2"/>
              <c:y val="-8.7962962962963007E-2"/>
            </c:manualLayout>
          </c:layout>
          <c:showLegendKey val="0"/>
          <c:showVal val="0"/>
          <c:showCatName val="1"/>
          <c:showSerName val="0"/>
          <c:showPercent val="1"/>
          <c:showBubbleSize val="0"/>
          <c:extLst>
            <c:ext xmlns:c15="http://schemas.microsoft.com/office/drawing/2012/chart" uri="{CE6537A1-D6FC-4f65-9D91-7224C49458BB}"/>
          </c:extLst>
        </c:dLbl>
      </c:pivotFmt>
      <c:pivotFmt>
        <c:idx val="9"/>
        <c:dLbl>
          <c:idx val="0"/>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5.8333333333333334E-2"/>
              <c:y val="-3.240740740740740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0"/>
              <c:y val="8.7962962962962965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2"/>
        <c:dLbl>
          <c:idx val="0"/>
          <c:layout>
            <c:manualLayout>
              <c:x val="-6.6666666666666666E-2"/>
              <c:y val="-8.7962962962963007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977366255144033"/>
              <c:y val="-0.1051141468054748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1604938271604932"/>
              <c:y val="-2.803290528281280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6666666666666666E-2"/>
              <c:y val="-8.796296296296300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Table'!$B$35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80E-4117-934B-C53E7310C58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80E-4117-934B-C53E7310C58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80E-4117-934B-C53E7310C589}"/>
              </c:ext>
            </c:extLst>
          </c:dPt>
          <c:dLbls>
            <c:dLbl>
              <c:idx val="0"/>
              <c:layout>
                <c:manualLayout>
                  <c:x val="0.10977366255144033"/>
                  <c:y val="-0.1051141468054748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0E-4117-934B-C53E7310C589}"/>
                </c:ext>
              </c:extLst>
            </c:dLbl>
            <c:dLbl>
              <c:idx val="1"/>
              <c:layout>
                <c:manualLayout>
                  <c:x val="0.21604938271604932"/>
                  <c:y val="-2.803290528281280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0E-4117-934B-C53E7310C589}"/>
                </c:ext>
              </c:extLst>
            </c:dLbl>
            <c:dLbl>
              <c:idx val="2"/>
              <c:layout>
                <c:manualLayout>
                  <c:x val="-6.6666666666666666E-2"/>
                  <c:y val="-8.796296296296300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80E-4117-934B-C53E7310C589}"/>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Table'!$A$36:$A$39</c:f>
              <c:strCache>
                <c:ptCount val="3"/>
                <c:pt idx="0">
                  <c:v>COD</c:v>
                </c:pt>
                <c:pt idx="1">
                  <c:v>Credit Card</c:v>
                </c:pt>
                <c:pt idx="2">
                  <c:v>PayPal</c:v>
                </c:pt>
              </c:strCache>
            </c:strRef>
          </c:cat>
          <c:val>
            <c:numRef>
              <c:f>'Pivot Table'!$B$36:$B$39</c:f>
              <c:numCache>
                <c:formatCode>General</c:formatCode>
                <c:ptCount val="3"/>
                <c:pt idx="0">
                  <c:v>660</c:v>
                </c:pt>
                <c:pt idx="1">
                  <c:v>645</c:v>
                </c:pt>
                <c:pt idx="2">
                  <c:v>695</c:v>
                </c:pt>
              </c:numCache>
            </c:numRef>
          </c:val>
          <c:extLst>
            <c:ext xmlns:c16="http://schemas.microsoft.com/office/drawing/2014/chart" uri="{C3380CC4-5D6E-409C-BE32-E72D297353CC}">
              <c16:uniqueId val="{00000006-980E-4117-934B-C53E7310C58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Table!Loyalty level Analysis</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Loyalty level</a:t>
            </a:r>
          </a:p>
        </c:rich>
      </c:tx>
      <c:layout>
        <c:manualLayout>
          <c:xMode val="edge"/>
          <c:yMode val="edge"/>
          <c:x val="0.38345822397200352"/>
          <c:y val="3.7037037037037035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dLbl>
          <c:idx val="0"/>
          <c:layout>
            <c:manualLayout>
              <c:x val="-1.5621269212294469E-17"/>
              <c:y val="0.22222222222222213"/>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pivotFmt>
      <c:pivotFmt>
        <c:idx val="16"/>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dLbl>
          <c:idx val="0"/>
          <c:layout>
            <c:manualLayout>
              <c:x val="0.11588275391956374"/>
              <c:y val="2.1164021164021163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1"/>
        <c:ser>
          <c:idx val="0"/>
          <c:order val="0"/>
          <c:tx>
            <c:strRef>
              <c:f>'Pivot Table'!$B$24</c:f>
              <c:strCache>
                <c:ptCount val="1"/>
                <c:pt idx="0">
                  <c:v>Total</c:v>
                </c:pt>
              </c:strCache>
            </c:strRef>
          </c:tx>
          <c:invertIfNegative val="0"/>
          <c:dPt>
            <c:idx val="0"/>
            <c:invertIfNegative val="0"/>
            <c:bubble3D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1-59E8-4B44-B054-EBF896A8CAD0}"/>
              </c:ext>
            </c:extLst>
          </c:dPt>
          <c:dPt>
            <c:idx val="1"/>
            <c:invertIfNegative val="0"/>
            <c:bubble3D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extLst>
              <c:ext xmlns:c16="http://schemas.microsoft.com/office/drawing/2014/chart" uri="{C3380CC4-5D6E-409C-BE32-E72D297353CC}">
                <c16:uniqueId val="{00000003-59E8-4B44-B054-EBF896A8CAD0}"/>
              </c:ext>
            </c:extLst>
          </c:dPt>
          <c:dPt>
            <c:idx val="2"/>
            <c:invertIfNegative val="0"/>
            <c:bubble3D val="0"/>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extLst>
              <c:ext xmlns:c16="http://schemas.microsoft.com/office/drawing/2014/chart" uri="{C3380CC4-5D6E-409C-BE32-E72D297353CC}">
                <c16:uniqueId val="{00000005-59E8-4B44-B054-EBF896A8CAD0}"/>
              </c:ext>
            </c:extLst>
          </c:dPt>
          <c:dPt>
            <c:idx val="3"/>
            <c:invertIfNegative val="0"/>
            <c:bubble3D val="0"/>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extLst>
              <c:ext xmlns:c16="http://schemas.microsoft.com/office/drawing/2014/chart" uri="{C3380CC4-5D6E-409C-BE32-E72D297353CC}">
                <c16:uniqueId val="{00000007-59E8-4B44-B054-EBF896A8CAD0}"/>
              </c:ext>
            </c:extLst>
          </c:dPt>
          <c:dPt>
            <c:idx val="4"/>
            <c:invertIfNegative val="0"/>
            <c:bubble3D val="0"/>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extLst>
              <c:ext xmlns:c16="http://schemas.microsoft.com/office/drawing/2014/chart" uri="{C3380CC4-5D6E-409C-BE32-E72D297353CC}">
                <c16:uniqueId val="{00000009-59E8-4B44-B054-EBF896A8CAD0}"/>
              </c:ext>
            </c:extLst>
          </c:dPt>
          <c:dLbls>
            <c:dLbl>
              <c:idx val="0"/>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E8-4B44-B054-EBF896A8CAD0}"/>
                </c:ext>
              </c:extLst>
            </c:dLbl>
            <c:dLbl>
              <c:idx val="1"/>
              <c:layout>
                <c:manualLayout>
                  <c:x val="-1.5621269212294469E-17"/>
                  <c:y val="0.222222222222222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E8-4B44-B054-EBF896A8CAD0}"/>
                </c:ext>
              </c:extLst>
            </c:dLbl>
            <c:dLbl>
              <c:idx val="3"/>
              <c:layout>
                <c:manualLayout>
                  <c:x val="0.11588275391956374"/>
                  <c:y val="2.116402116402116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9E8-4B44-B054-EBF896A8CAD0}"/>
                </c:ext>
              </c:extLst>
            </c:dLbl>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'Pivot Table'!$A$25:$A$30</c:f>
              <c:strCache>
                <c:ptCount val="5"/>
                <c:pt idx="0">
                  <c:v>Bronze</c:v>
                </c:pt>
                <c:pt idx="1">
                  <c:v>Gold</c:v>
                </c:pt>
                <c:pt idx="2">
                  <c:v>Platinum</c:v>
                </c:pt>
                <c:pt idx="3">
                  <c:v>Silver</c:v>
                </c:pt>
                <c:pt idx="4">
                  <c:v>Uncategorized</c:v>
                </c:pt>
              </c:strCache>
            </c:strRef>
          </c:cat>
          <c:val>
            <c:numRef>
              <c:f>'Pivot Table'!$B$25:$B$30</c:f>
              <c:numCache>
                <c:formatCode>General</c:formatCode>
                <c:ptCount val="5"/>
                <c:pt idx="0">
                  <c:v>522623.38190000009</c:v>
                </c:pt>
                <c:pt idx="1">
                  <c:v>516196.27920000005</c:v>
                </c:pt>
                <c:pt idx="2">
                  <c:v>654777.59459999995</c:v>
                </c:pt>
                <c:pt idx="3">
                  <c:v>459797.86640000023</c:v>
                </c:pt>
                <c:pt idx="4">
                  <c:v>17512.335299999999</c:v>
                </c:pt>
              </c:numCache>
            </c:numRef>
          </c:val>
          <c:extLst>
            <c:ext xmlns:c16="http://schemas.microsoft.com/office/drawing/2014/chart" uri="{C3380CC4-5D6E-409C-BE32-E72D297353CC}">
              <c16:uniqueId val="{0000000A-59E8-4B44-B054-EBF896A8CAD0}"/>
            </c:ext>
          </c:extLst>
        </c:ser>
        <c:dLbls>
          <c:showLegendKey val="0"/>
          <c:showVal val="1"/>
          <c:showCatName val="0"/>
          <c:showSerName val="0"/>
          <c:showPercent val="0"/>
          <c:showBubbleSize val="0"/>
        </c:dLbls>
        <c:gapWidth val="84"/>
        <c:gapDepth val="53"/>
        <c:shape val="box"/>
        <c:axId val="682214431"/>
        <c:axId val="682215391"/>
        <c:axId val="685926639"/>
      </c:bar3DChart>
      <c:catAx>
        <c:axId val="682214431"/>
        <c:scaling>
          <c:orientation val="minMax"/>
        </c:scaling>
        <c:delete val="1"/>
        <c:axPos val="b"/>
        <c:numFmt formatCode="General" sourceLinked="1"/>
        <c:majorTickMark val="none"/>
        <c:minorTickMark val="none"/>
        <c:tickLblPos val="nextTo"/>
        <c:crossAx val="682215391"/>
        <c:crosses val="autoZero"/>
        <c:auto val="1"/>
        <c:lblAlgn val="ctr"/>
        <c:lblOffset val="100"/>
        <c:noMultiLvlLbl val="0"/>
      </c:catAx>
      <c:valAx>
        <c:axId val="682215391"/>
        <c:scaling>
          <c:orientation val="minMax"/>
        </c:scaling>
        <c:delete val="1"/>
        <c:axPos val="l"/>
        <c:numFmt formatCode="General" sourceLinked="1"/>
        <c:majorTickMark val="out"/>
        <c:minorTickMark val="none"/>
        <c:tickLblPos val="nextTo"/>
        <c:crossAx val="682214431"/>
        <c:crosses val="autoZero"/>
        <c:crossBetween val="between"/>
      </c:valAx>
      <c:serAx>
        <c:axId val="68592663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221539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129540</xdr:colOff>
      <xdr:row>3</xdr:row>
      <xdr:rowOff>30480</xdr:rowOff>
    </xdr:from>
    <xdr:to>
      <xdr:col>11</xdr:col>
      <xdr:colOff>434340</xdr:colOff>
      <xdr:row>18</xdr:row>
      <xdr:rowOff>30480</xdr:rowOff>
    </xdr:to>
    <xdr:graphicFrame macro="">
      <xdr:nvGraphicFramePr>
        <xdr:cNvPr id="2" name="Chart 1">
          <a:extLst>
            <a:ext uri="{FF2B5EF4-FFF2-40B4-BE49-F238E27FC236}">
              <a16:creationId xmlns:a16="http://schemas.microsoft.com/office/drawing/2014/main" id="{B03E981B-72F1-4455-BC32-26C07EB37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175260</xdr:colOff>
      <xdr:row>23</xdr:row>
      <xdr:rowOff>106680</xdr:rowOff>
    </xdr:from>
    <xdr:to>
      <xdr:col>10</xdr:col>
      <xdr:colOff>281940</xdr:colOff>
      <xdr:row>38</xdr:row>
      <xdr:rowOff>106680</xdr:rowOff>
    </xdr:to>
    <xdr:graphicFrame macro="">
      <xdr:nvGraphicFramePr>
        <xdr:cNvPr id="3" name="Chart 2">
          <a:extLst>
            <a:ext uri="{FF2B5EF4-FFF2-40B4-BE49-F238E27FC236}">
              <a16:creationId xmlns:a16="http://schemas.microsoft.com/office/drawing/2014/main" id="{BFC11BC8-20E4-4DD2-98EF-7305A2178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43</xdr:row>
      <xdr:rowOff>0</xdr:rowOff>
    </xdr:from>
    <xdr:to>
      <xdr:col>10</xdr:col>
      <xdr:colOff>106680</xdr:colOff>
      <xdr:row>58</xdr:row>
      <xdr:rowOff>0</xdr:rowOff>
    </xdr:to>
    <xdr:graphicFrame macro="">
      <xdr:nvGraphicFramePr>
        <xdr:cNvPr id="4" name="Chart 3">
          <a:extLst>
            <a:ext uri="{FF2B5EF4-FFF2-40B4-BE49-F238E27FC236}">
              <a16:creationId xmlns:a16="http://schemas.microsoft.com/office/drawing/2014/main" id="{38063F41-33F9-4EFC-8C50-944CD4A6D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457200</xdr:colOff>
      <xdr:row>63</xdr:row>
      <xdr:rowOff>121920</xdr:rowOff>
    </xdr:from>
    <xdr:to>
      <xdr:col>9</xdr:col>
      <xdr:colOff>563880</xdr:colOff>
      <xdr:row>78</xdr:row>
      <xdr:rowOff>121920</xdr:rowOff>
    </xdr:to>
    <xdr:graphicFrame macro="">
      <xdr:nvGraphicFramePr>
        <xdr:cNvPr id="5" name="Chart 4">
          <a:extLst>
            <a:ext uri="{FF2B5EF4-FFF2-40B4-BE49-F238E27FC236}">
              <a16:creationId xmlns:a16="http://schemas.microsoft.com/office/drawing/2014/main" id="{E01E304D-1951-4DA6-A794-DD49B8F5F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472440</xdr:colOff>
      <xdr:row>84</xdr:row>
      <xdr:rowOff>91440</xdr:rowOff>
    </xdr:from>
    <xdr:to>
      <xdr:col>9</xdr:col>
      <xdr:colOff>579120</xdr:colOff>
      <xdr:row>99</xdr:row>
      <xdr:rowOff>91440</xdr:rowOff>
    </xdr:to>
    <xdr:graphicFrame macro="">
      <xdr:nvGraphicFramePr>
        <xdr:cNvPr id="6" name="Chart 5">
          <a:extLst>
            <a:ext uri="{FF2B5EF4-FFF2-40B4-BE49-F238E27FC236}">
              <a16:creationId xmlns:a16="http://schemas.microsoft.com/office/drawing/2014/main" id="{74257F49-A459-48C1-B7E5-FFB07729B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487680</xdr:colOff>
      <xdr:row>106</xdr:row>
      <xdr:rowOff>60960</xdr:rowOff>
    </xdr:from>
    <xdr:to>
      <xdr:col>11</xdr:col>
      <xdr:colOff>403860</xdr:colOff>
      <xdr:row>121</xdr:row>
      <xdr:rowOff>60960</xdr:rowOff>
    </xdr:to>
    <xdr:graphicFrame macro="">
      <xdr:nvGraphicFramePr>
        <xdr:cNvPr id="7" name="Chart 6">
          <a:extLst>
            <a:ext uri="{FF2B5EF4-FFF2-40B4-BE49-F238E27FC236}">
              <a16:creationId xmlns:a16="http://schemas.microsoft.com/office/drawing/2014/main" id="{7625A072-7611-426C-A90E-020E7E6C2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579120</xdr:colOff>
      <xdr:row>1</xdr:row>
      <xdr:rowOff>15240</xdr:rowOff>
    </xdr:from>
    <xdr:to>
      <xdr:col>9</xdr:col>
      <xdr:colOff>30480</xdr:colOff>
      <xdr:row>12</xdr:row>
      <xdr:rowOff>76200</xdr:rowOff>
    </xdr:to>
    <xdr:graphicFrame macro="">
      <xdr:nvGraphicFramePr>
        <xdr:cNvPr id="2" name="Chart 1">
          <a:extLst>
            <a:ext uri="{FF2B5EF4-FFF2-40B4-BE49-F238E27FC236}">
              <a16:creationId xmlns:a16="http://schemas.microsoft.com/office/drawing/2014/main" id="{601E1B71-A042-46D8-8DA9-13DCD39A3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45720</xdr:colOff>
      <xdr:row>1</xdr:row>
      <xdr:rowOff>22860</xdr:rowOff>
    </xdr:from>
    <xdr:to>
      <xdr:col>17</xdr:col>
      <xdr:colOff>15240</xdr:colOff>
      <xdr:row>12</xdr:row>
      <xdr:rowOff>76200</xdr:rowOff>
    </xdr:to>
    <xdr:graphicFrame macro="">
      <xdr:nvGraphicFramePr>
        <xdr:cNvPr id="3" name="Chart 2">
          <a:extLst>
            <a:ext uri="{FF2B5EF4-FFF2-40B4-BE49-F238E27FC236}">
              <a16:creationId xmlns:a16="http://schemas.microsoft.com/office/drawing/2014/main" id="{0E23A87D-6CD8-4A60-89E3-CEF5E70BB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571500</xdr:colOff>
      <xdr:row>12</xdr:row>
      <xdr:rowOff>91440</xdr:rowOff>
    </xdr:from>
    <xdr:to>
      <xdr:col>9</xdr:col>
      <xdr:colOff>68580</xdr:colOff>
      <xdr:row>26</xdr:row>
      <xdr:rowOff>114300</xdr:rowOff>
    </xdr:to>
    <xdr:graphicFrame macro="">
      <xdr:nvGraphicFramePr>
        <xdr:cNvPr id="4" name="Chart 3">
          <a:extLst>
            <a:ext uri="{FF2B5EF4-FFF2-40B4-BE49-F238E27FC236}">
              <a16:creationId xmlns:a16="http://schemas.microsoft.com/office/drawing/2014/main" id="{7B86B3EB-42A4-4343-AEB2-BE1FFB545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83820</xdr:colOff>
      <xdr:row>12</xdr:row>
      <xdr:rowOff>91440</xdr:rowOff>
    </xdr:from>
    <xdr:to>
      <xdr:col>17</xdr:col>
      <xdr:colOff>7620</xdr:colOff>
      <xdr:row>26</xdr:row>
      <xdr:rowOff>129540</xdr:rowOff>
    </xdr:to>
    <xdr:graphicFrame macro="">
      <xdr:nvGraphicFramePr>
        <xdr:cNvPr id="5" name="Chart 4">
          <a:extLst>
            <a:ext uri="{FF2B5EF4-FFF2-40B4-BE49-F238E27FC236}">
              <a16:creationId xmlns:a16="http://schemas.microsoft.com/office/drawing/2014/main" id="{E0D5A2E0-6D65-42AA-B4D9-094A96075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22860</xdr:colOff>
      <xdr:row>14</xdr:row>
      <xdr:rowOff>30480</xdr:rowOff>
    </xdr:from>
    <xdr:to>
      <xdr:col>23</xdr:col>
      <xdr:colOff>99060</xdr:colOff>
      <xdr:row>26</xdr:row>
      <xdr:rowOff>106680</xdr:rowOff>
    </xdr:to>
    <xdr:graphicFrame macro="">
      <xdr:nvGraphicFramePr>
        <xdr:cNvPr id="6" name="Chart 5">
          <a:extLst>
            <a:ext uri="{FF2B5EF4-FFF2-40B4-BE49-F238E27FC236}">
              <a16:creationId xmlns:a16="http://schemas.microsoft.com/office/drawing/2014/main" id="{7062BF81-4138-452B-8EF9-FE5474A9A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22860</xdr:colOff>
      <xdr:row>0</xdr:row>
      <xdr:rowOff>320040</xdr:rowOff>
    </xdr:from>
    <xdr:to>
      <xdr:col>23</xdr:col>
      <xdr:colOff>99060</xdr:colOff>
      <xdr:row>14</xdr:row>
      <xdr:rowOff>15240</xdr:rowOff>
    </xdr:to>
    <xdr:graphicFrame macro="">
      <xdr:nvGraphicFramePr>
        <xdr:cNvPr id="7" name="Chart 6">
          <a:extLst>
            <a:ext uri="{FF2B5EF4-FFF2-40B4-BE49-F238E27FC236}">
              <a16:creationId xmlns:a16="http://schemas.microsoft.com/office/drawing/2014/main" id="{7402F894-27B8-45F4-901F-E2ED8C213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312421</xdr:rowOff>
    </xdr:from>
    <xdr:to>
      <xdr:col>1</xdr:col>
      <xdr:colOff>563880</xdr:colOff>
      <xdr:row>11</xdr:row>
      <xdr:rowOff>106681</xdr:rowOff>
    </xdr:to>
    <mc:AlternateContent xmlns:mc="http://schemas.openxmlformats.org/markup-compatibility/2006" xmlns:a14="http://schemas.microsoft.com/office/drawing/2010/main">
      <mc:Choice Requires="a14">
        <xdr:graphicFrame macro="">
          <xdr:nvGraphicFramePr>
            <xdr:cNvPr id="8" name="Store Region">
              <a:extLst>
                <a:ext uri="{FF2B5EF4-FFF2-40B4-BE49-F238E27FC236}">
                  <a16:creationId xmlns:a16="http://schemas.microsoft.com/office/drawing/2014/main" id="{19971FE9-3886-8A2D-B5C6-7F3E3E39370C}"/>
                </a:ext>
              </a:extLst>
            </xdr:cNvPr>
            <xdr:cNvGraphicFramePr/>
          </xdr:nvGraphicFramePr>
          <xdr:xfrm>
            <a:off x="0" y="0"/>
            <a:ext cx="0" cy="0"/>
          </xdr:xfrm>
          <a:graphic>
            <a:graphicData uri="http://schemas.microsoft.com/office/drawing/2010/slicer">
              <sle:slicer xmlns:sle="http://schemas.microsoft.com/office/drawing/2010/slicer" name="Store Region"/>
            </a:graphicData>
          </a:graphic>
        </xdr:graphicFrame>
      </mc:Choice>
      <mc:Fallback xmlns="">
        <xdr:sp macro="" textlink="">
          <xdr:nvSpPr>
            <xdr:cNvPr id="0" name=""/>
            <xdr:cNvSpPr>
              <a:spLocks noTextEdit="1"/>
            </xdr:cNvSpPr>
          </xdr:nvSpPr>
          <xdr:spPr>
            <a:xfrm>
              <a:off x="0" y="312421"/>
              <a:ext cx="1173480" cy="1950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11</xdr:row>
      <xdr:rowOff>129541</xdr:rowOff>
    </xdr:from>
    <xdr:to>
      <xdr:col>1</xdr:col>
      <xdr:colOff>571500</xdr:colOff>
      <xdr:row>26</xdr:row>
      <xdr:rowOff>99061</xdr:rowOff>
    </xdr:to>
    <mc:AlternateContent xmlns:mc="http://schemas.openxmlformats.org/markup-compatibility/2006" xmlns:a14="http://schemas.microsoft.com/office/drawing/2010/main">
      <mc:Choice Requires="a14">
        <xdr:graphicFrame macro="">
          <xdr:nvGraphicFramePr>
            <xdr:cNvPr id="9" name="Loyalty Level">
              <a:extLst>
                <a:ext uri="{FF2B5EF4-FFF2-40B4-BE49-F238E27FC236}">
                  <a16:creationId xmlns:a16="http://schemas.microsoft.com/office/drawing/2014/main" id="{3BED6290-A300-727E-FB26-49697E39295F}"/>
                </a:ext>
              </a:extLst>
            </xdr:cNvPr>
            <xdr:cNvGraphicFramePr/>
          </xdr:nvGraphicFramePr>
          <xdr:xfrm>
            <a:off x="0" y="0"/>
            <a:ext cx="0" cy="0"/>
          </xdr:xfrm>
          <a:graphic>
            <a:graphicData uri="http://schemas.microsoft.com/office/drawing/2010/slicer">
              <sle:slicer xmlns:sle="http://schemas.microsoft.com/office/drawing/2010/slicer" name="Loyalty Level"/>
            </a:graphicData>
          </a:graphic>
        </xdr:graphicFrame>
      </mc:Choice>
      <mc:Fallback xmlns="">
        <xdr:sp macro="" textlink="">
          <xdr:nvSpPr>
            <xdr:cNvPr id="0" name=""/>
            <xdr:cNvSpPr>
              <a:spLocks noTextEdit="1"/>
            </xdr:cNvSpPr>
          </xdr:nvSpPr>
          <xdr:spPr>
            <a:xfrm>
              <a:off x="7620" y="2286001"/>
              <a:ext cx="1173480" cy="2712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685800</xdr:colOff>
      <xdr:row>1</xdr:row>
      <xdr:rowOff>129540</xdr:rowOff>
    </xdr:from>
    <xdr:to>
      <xdr:col>9</xdr:col>
      <xdr:colOff>121920</xdr:colOff>
      <xdr:row>34</xdr:row>
      <xdr:rowOff>144780</xdr:rowOff>
    </xdr:to>
    <xdr:sp macro="" textlink="">
      <xdr:nvSpPr>
        <xdr:cNvPr id="2" name="TextBox 1">
          <a:extLst>
            <a:ext uri="{FF2B5EF4-FFF2-40B4-BE49-F238E27FC236}">
              <a16:creationId xmlns:a16="http://schemas.microsoft.com/office/drawing/2014/main" id="{A7D99F28-FBEA-7276-68FA-6F2AD7408597}"/>
            </a:ext>
          </a:extLst>
        </xdr:cNvPr>
        <xdr:cNvSpPr txBox="1"/>
      </xdr:nvSpPr>
      <xdr:spPr>
        <a:xfrm>
          <a:off x="4030980" y="579120"/>
          <a:ext cx="6637020" cy="605028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Black" panose="020B0A04020102020204" pitchFamily="34" charset="0"/>
            </a:rPr>
            <a:t>1.Sales Performance</a:t>
          </a:r>
        </a:p>
        <a:p>
          <a:endParaRPr lang="en-IN" sz="1100">
            <a:latin typeface="Arial Black" panose="020B0A04020102020204" pitchFamily="34" charset="0"/>
          </a:endParaRPr>
        </a:p>
        <a:p>
          <a:r>
            <a:rPr lang="en-IN" sz="1200" b="1" u="sng">
              <a:latin typeface="+mj-lt"/>
            </a:rPr>
            <a:t>Looking at the Category wise sales</a:t>
          </a:r>
        </a:p>
        <a:p>
          <a:endParaRPr lang="en-IN" sz="1200" b="1">
            <a:latin typeface="+mj-lt"/>
          </a:endParaRPr>
        </a:p>
        <a:p>
          <a:r>
            <a:rPr lang="en-IN" sz="1100">
              <a:latin typeface="Arial Black" panose="020B0A04020102020204" pitchFamily="34" charset="0"/>
            </a:rPr>
            <a:t> </a:t>
          </a:r>
          <a:r>
            <a:rPr lang="en-IN" sz="1100" b="0">
              <a:latin typeface="+mj-lt"/>
            </a:rPr>
            <a:t>The </a:t>
          </a:r>
          <a:r>
            <a:rPr lang="en-IN" sz="1100" b="1">
              <a:solidFill>
                <a:srgbClr val="0070C0"/>
              </a:solidFill>
              <a:latin typeface="+mj-lt"/>
            </a:rPr>
            <a:t>Sports Category </a:t>
          </a:r>
          <a:r>
            <a:rPr lang="en-IN" sz="1100" b="0">
              <a:latin typeface="+mj-lt"/>
            </a:rPr>
            <a:t>contributes</a:t>
          </a:r>
          <a:r>
            <a:rPr lang="en-IN" sz="1100" b="0" baseline="0">
              <a:latin typeface="+mj-lt"/>
            </a:rPr>
            <a:t> the largest share of total sales</a:t>
          </a:r>
        </a:p>
        <a:p>
          <a:endParaRPr lang="en-IN" sz="1100" b="0" baseline="0">
            <a:latin typeface="+mj-lt"/>
          </a:endParaRPr>
        </a:p>
        <a:p>
          <a:r>
            <a:rPr lang="en-IN" sz="1100" b="0" baseline="0">
              <a:latin typeface="+mj-lt"/>
            </a:rPr>
            <a:t>  Total revenue in Sports category is </a:t>
          </a:r>
          <a:r>
            <a:rPr lang="en-IN" sz="1100" b="1" baseline="0">
              <a:latin typeface="+mj-lt"/>
            </a:rPr>
            <a:t>$540882.842</a:t>
          </a:r>
        </a:p>
        <a:p>
          <a:endParaRPr lang="en-IN" sz="1100" b="0" baseline="0">
            <a:latin typeface="+mj-lt"/>
          </a:endParaRPr>
        </a:p>
        <a:p>
          <a:endParaRPr lang="en-IN" sz="1100" b="0" baseline="0">
            <a:latin typeface="+mj-lt"/>
          </a:endParaRPr>
        </a:p>
        <a:p>
          <a:pPr marL="0" indent="0"/>
          <a:r>
            <a:rPr lang="en-IN" sz="1100">
              <a:solidFill>
                <a:schemeClr val="dk1"/>
              </a:solidFill>
              <a:latin typeface="Arial Black" panose="020B0A04020102020204" pitchFamily="34" charset="0"/>
              <a:ea typeface="+mn-ea"/>
              <a:cs typeface="+mn-cs"/>
            </a:rPr>
            <a:t>2.Region wise Sales</a:t>
          </a:r>
        </a:p>
        <a:p>
          <a:r>
            <a:rPr lang="en-IN" sz="1100" b="0" baseline="0">
              <a:latin typeface="+mj-lt"/>
            </a:rPr>
            <a:t> </a:t>
          </a:r>
        </a:p>
        <a:p>
          <a:r>
            <a:rPr lang="en-IN" sz="1200" b="1" u="sng" baseline="0">
              <a:latin typeface="+mj-lt"/>
            </a:rPr>
            <a:t>Looking at the Region wise sales</a:t>
          </a:r>
        </a:p>
        <a:p>
          <a:endParaRPr lang="en-IN" sz="1100" b="0" baseline="0">
            <a:latin typeface="+mj-lt"/>
          </a:endParaRPr>
        </a:p>
        <a:p>
          <a:r>
            <a:rPr lang="en-IN" sz="1100" b="0" baseline="0">
              <a:latin typeface="+mj-lt"/>
            </a:rPr>
            <a:t>The </a:t>
          </a:r>
          <a:r>
            <a:rPr lang="en-IN" sz="1100" b="0" baseline="0">
              <a:solidFill>
                <a:srgbClr val="0070C0"/>
              </a:solidFill>
              <a:latin typeface="+mj-lt"/>
            </a:rPr>
            <a:t>North Region </a:t>
          </a:r>
          <a:r>
            <a:rPr lang="en-IN" sz="1100" b="0" baseline="0">
              <a:latin typeface="+mj-lt"/>
            </a:rPr>
            <a:t>has the</a:t>
          </a:r>
          <a:r>
            <a:rPr lang="en-IN" sz="1100" b="0" baseline="0">
              <a:solidFill>
                <a:srgbClr val="00B050"/>
              </a:solidFill>
              <a:latin typeface="+mj-lt"/>
            </a:rPr>
            <a:t> highest sales record </a:t>
          </a:r>
          <a:r>
            <a:rPr lang="en-IN" sz="1100" b="0" baseline="0">
              <a:latin typeface="+mj-lt"/>
            </a:rPr>
            <a:t>of </a:t>
          </a:r>
          <a:r>
            <a:rPr lang="en-IN" sz="1100" b="1" baseline="0">
              <a:latin typeface="+mj-lt"/>
            </a:rPr>
            <a:t>$645166.750</a:t>
          </a:r>
        </a:p>
        <a:p>
          <a:endParaRPr lang="en-IN" sz="1100" b="0" baseline="0">
            <a:latin typeface="+mj-lt"/>
          </a:endParaRPr>
        </a:p>
        <a:p>
          <a:r>
            <a:rPr lang="en-IN" sz="1100" b="0" baseline="0">
              <a:latin typeface="+mj-lt"/>
            </a:rPr>
            <a:t>The </a:t>
          </a:r>
          <a:r>
            <a:rPr lang="en-IN" sz="1100" b="0" baseline="0">
              <a:solidFill>
                <a:srgbClr val="FF0000"/>
              </a:solidFill>
              <a:latin typeface="+mj-lt"/>
            </a:rPr>
            <a:t>West region </a:t>
          </a:r>
          <a:r>
            <a:rPr lang="en-IN" sz="1100" b="0" baseline="0">
              <a:latin typeface="+mj-lt"/>
            </a:rPr>
            <a:t>has the </a:t>
          </a:r>
          <a:r>
            <a:rPr lang="en-IN" sz="1100" b="0" baseline="0">
              <a:solidFill>
                <a:srgbClr val="FF0000"/>
              </a:solidFill>
              <a:latin typeface="+mj-lt"/>
            </a:rPr>
            <a:t>lowest sales record </a:t>
          </a:r>
          <a:r>
            <a:rPr lang="en-IN" sz="1100" b="0" baseline="0">
              <a:latin typeface="+mj-lt"/>
            </a:rPr>
            <a:t>when compare to other regions with </a:t>
          </a:r>
          <a:r>
            <a:rPr lang="en-IN" sz="1100" b="1" baseline="0">
              <a:latin typeface="+mj-lt"/>
            </a:rPr>
            <a:t>$270676.406</a:t>
          </a:r>
        </a:p>
        <a:p>
          <a:endParaRPr lang="en-IN" sz="1100" b="0" baseline="0">
            <a:latin typeface="+mj-lt"/>
          </a:endParaRPr>
        </a:p>
        <a:p>
          <a:pPr marL="0" indent="0"/>
          <a:endParaRPr lang="en-IN" sz="1100">
            <a:solidFill>
              <a:schemeClr val="dk1"/>
            </a:solidFill>
            <a:latin typeface="Arial Black" panose="020B0A04020102020204" pitchFamily="34" charset="0"/>
            <a:ea typeface="+mn-ea"/>
            <a:cs typeface="+mn-cs"/>
          </a:endParaRPr>
        </a:p>
        <a:p>
          <a:pPr marL="0" indent="0"/>
          <a:r>
            <a:rPr lang="en-IN" sz="1100">
              <a:solidFill>
                <a:schemeClr val="dk1"/>
              </a:solidFill>
              <a:latin typeface="Arial Black" panose="020B0A04020102020204" pitchFamily="34" charset="0"/>
              <a:ea typeface="+mn-ea"/>
              <a:cs typeface="+mn-cs"/>
            </a:rPr>
            <a:t>3.Loyalty Level with payment method</a:t>
          </a:r>
        </a:p>
        <a:p>
          <a:endParaRPr lang="en-IN" sz="1100" b="0" baseline="0">
            <a:latin typeface="+mj-lt"/>
          </a:endParaRPr>
        </a:p>
        <a:p>
          <a:r>
            <a:rPr lang="en-IN" sz="1200" b="1" u="sng" baseline="0">
              <a:latin typeface="+mj-lt"/>
            </a:rPr>
            <a:t> Looking at the Loyalty level with Total revenue and Payment method</a:t>
          </a:r>
        </a:p>
        <a:p>
          <a:endParaRPr lang="en-IN" sz="1200" b="1" u="sng" baseline="0">
            <a:latin typeface="+mj-lt"/>
          </a:endParaRPr>
        </a:p>
        <a:p>
          <a:r>
            <a:rPr lang="en-IN" sz="1100" b="0" baseline="0">
              <a:latin typeface="+mj-lt"/>
            </a:rPr>
            <a:t>The </a:t>
          </a:r>
          <a:r>
            <a:rPr lang="en-IN" sz="1100" b="0" baseline="0">
              <a:solidFill>
                <a:srgbClr val="00B0F0"/>
              </a:solidFill>
              <a:latin typeface="+mj-lt"/>
            </a:rPr>
            <a:t>Platinum customers </a:t>
          </a:r>
          <a:r>
            <a:rPr lang="en-IN" sz="1100" b="0" baseline="0">
              <a:latin typeface="+mj-lt"/>
            </a:rPr>
            <a:t>are having the </a:t>
          </a:r>
          <a:r>
            <a:rPr lang="en-IN" sz="1100" b="0" baseline="0">
              <a:solidFill>
                <a:srgbClr val="00B050"/>
              </a:solidFill>
              <a:latin typeface="+mj-lt"/>
            </a:rPr>
            <a:t>highest transaction </a:t>
          </a:r>
          <a:r>
            <a:rPr lang="en-IN" sz="1100" b="0" baseline="0">
              <a:latin typeface="+mj-lt"/>
            </a:rPr>
            <a:t>values and most commonly </a:t>
          </a:r>
          <a:r>
            <a:rPr lang="en-IN" sz="1100" b="0" baseline="0">
              <a:solidFill>
                <a:srgbClr val="00B0F0"/>
              </a:solidFill>
              <a:latin typeface="+mj-lt"/>
            </a:rPr>
            <a:t>Paypal</a:t>
          </a:r>
          <a:r>
            <a:rPr lang="en-IN" sz="1100" b="0" baseline="0">
              <a:latin typeface="+mj-lt"/>
            </a:rPr>
            <a:t> method of transaction is used widely among customers.</a:t>
          </a:r>
        </a:p>
        <a:p>
          <a:endParaRPr lang="en-IN" sz="1100" b="0" baseline="0">
            <a:latin typeface="+mj-lt"/>
          </a:endParaRPr>
        </a:p>
        <a:p>
          <a:endParaRPr lang="en-IN" sz="1100" b="0" baseline="0">
            <a:latin typeface="+mj-lt"/>
          </a:endParaRPr>
        </a:p>
        <a:p>
          <a:pPr marL="0" indent="0"/>
          <a:r>
            <a:rPr lang="en-IN" sz="1100">
              <a:solidFill>
                <a:schemeClr val="dk1"/>
              </a:solidFill>
              <a:latin typeface="Arial Black" panose="020B0A04020102020204" pitchFamily="34" charset="0"/>
              <a:ea typeface="+mn-ea"/>
              <a:cs typeface="+mn-cs"/>
            </a:rPr>
            <a:t>4.Monthly sales distribution</a:t>
          </a:r>
        </a:p>
        <a:p>
          <a:endParaRPr lang="en-IN" sz="1100" b="0" baseline="0">
            <a:latin typeface="+mj-lt"/>
          </a:endParaRPr>
        </a:p>
        <a:p>
          <a:r>
            <a:rPr lang="en-IN" sz="1200" b="1" u="sng" baseline="0">
              <a:latin typeface="+mj-lt"/>
            </a:rPr>
            <a:t>Looking at the month sales and products </a:t>
          </a:r>
        </a:p>
        <a:p>
          <a:endParaRPr lang="en-IN" sz="1100" b="0" baseline="0">
            <a:latin typeface="+mj-lt"/>
          </a:endParaRPr>
        </a:p>
        <a:p>
          <a:r>
            <a:rPr lang="en-IN" sz="1100" b="0" baseline="0">
              <a:latin typeface="+mj-lt"/>
            </a:rPr>
            <a:t>The </a:t>
          </a:r>
          <a:r>
            <a:rPr lang="en-IN" sz="1100" b="0" baseline="0">
              <a:solidFill>
                <a:srgbClr val="00B0F0"/>
              </a:solidFill>
              <a:latin typeface="+mj-lt"/>
            </a:rPr>
            <a:t>March month </a:t>
          </a:r>
          <a:r>
            <a:rPr lang="en-IN" sz="1100" b="0" baseline="0">
              <a:latin typeface="+mj-lt"/>
            </a:rPr>
            <a:t>has the highest contribution in total revenue of </a:t>
          </a:r>
          <a:r>
            <a:rPr lang="en-IN" sz="1100" b="0" baseline="0">
              <a:solidFill>
                <a:srgbClr val="00B050"/>
              </a:solidFill>
              <a:latin typeface="+mj-lt"/>
            </a:rPr>
            <a:t>$210704.52</a:t>
          </a:r>
        </a:p>
        <a:p>
          <a:endParaRPr lang="en-IN" sz="1100" b="0" baseline="0">
            <a:latin typeface="+mj-lt"/>
          </a:endParaRPr>
        </a:p>
        <a:p>
          <a:r>
            <a:rPr lang="en-IN" sz="1100" b="0" baseline="0">
              <a:latin typeface="+mj-lt"/>
            </a:rPr>
            <a:t>Highly purchased product is </a:t>
          </a:r>
          <a:r>
            <a:rPr lang="en-IN" sz="1100" b="0" baseline="0">
              <a:solidFill>
                <a:srgbClr val="00B0F0"/>
              </a:solidFill>
              <a:latin typeface="+mj-lt"/>
            </a:rPr>
            <a:t>Men's casual sneakers</a:t>
          </a:r>
        </a:p>
        <a:p>
          <a:endParaRPr lang="en-IN" sz="1100" b="0" baseline="0">
            <a:latin typeface="+mj-lt"/>
          </a:endParaRPr>
        </a:p>
        <a:p>
          <a:endParaRPr lang="en-IN" sz="1100" b="0" baseline="0">
            <a:latin typeface="+mj-lt"/>
          </a:endParaRPr>
        </a:p>
      </xdr:txBody>
    </xdr:sp>
    <xdr:clientData/>
  </xdr:twoCellAnchor>
  <xdr:twoCellAnchor>
    <xdr:from>
      <xdr:col>1</xdr:col>
      <xdr:colOff>723900</xdr:colOff>
      <xdr:row>37</xdr:row>
      <xdr:rowOff>152400</xdr:rowOff>
    </xdr:from>
    <xdr:to>
      <xdr:col>9</xdr:col>
      <xdr:colOff>182880</xdr:colOff>
      <xdr:row>83</xdr:row>
      <xdr:rowOff>99060</xdr:rowOff>
    </xdr:to>
    <xdr:sp macro="" textlink="">
      <xdr:nvSpPr>
        <xdr:cNvPr id="3" name="TextBox 2">
          <a:extLst>
            <a:ext uri="{FF2B5EF4-FFF2-40B4-BE49-F238E27FC236}">
              <a16:creationId xmlns:a16="http://schemas.microsoft.com/office/drawing/2014/main" id="{5A5F9303-CFDE-40E7-029F-B3FB2A87273A}"/>
            </a:ext>
          </a:extLst>
        </xdr:cNvPr>
        <xdr:cNvSpPr txBox="1"/>
      </xdr:nvSpPr>
      <xdr:spPr>
        <a:xfrm>
          <a:off x="4069080" y="7185660"/>
          <a:ext cx="6659880" cy="840486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Steps Involved </a:t>
          </a:r>
        </a:p>
        <a:p>
          <a:endParaRPr lang="en-IN" sz="1100"/>
        </a:p>
        <a:p>
          <a:r>
            <a:rPr lang="en-IN" sz="1100" b="1"/>
            <a:t>Data</a:t>
          </a:r>
          <a:r>
            <a:rPr lang="en-IN" sz="1100" b="1" baseline="0"/>
            <a:t> Cleaning</a:t>
          </a:r>
        </a:p>
        <a:p>
          <a:endParaRPr lang="en-IN" sz="1100" baseline="0"/>
        </a:p>
        <a:p>
          <a:r>
            <a:rPr lang="en-IN" sz="1100" baseline="0"/>
            <a:t>Imported data set and created tables and named.</a:t>
          </a:r>
        </a:p>
        <a:p>
          <a:r>
            <a:rPr lang="en-IN" sz="1100" baseline="0"/>
            <a:t>Formatted the Name and City column using TRIM(PROPER(TEXT))</a:t>
          </a:r>
        </a:p>
        <a:p>
          <a:r>
            <a:rPr lang="en-IN" sz="1100" baseline="0"/>
            <a:t>Replaced the inconsistent customer id and product id with Find and Relace using ctrl+H</a:t>
          </a:r>
        </a:p>
        <a:p>
          <a:r>
            <a:rPr lang="en-IN" sz="1100" baseline="0"/>
            <a:t>Changed the unite price and Total Amount to currency format.</a:t>
          </a:r>
        </a:p>
        <a:p>
          <a:endParaRPr lang="en-IN" sz="1100" baseline="0"/>
        </a:p>
        <a:p>
          <a:r>
            <a:rPr lang="en-IN" sz="1100" b="1" baseline="0"/>
            <a:t>Data Imputation</a:t>
          </a:r>
        </a:p>
        <a:p>
          <a:endParaRPr lang="en-IN" sz="1100" baseline="0"/>
        </a:p>
        <a:p>
          <a:r>
            <a:rPr lang="en-IN" sz="1100" baseline="0"/>
            <a:t>Imputed the Loyalty level missing value as Uncategorized</a:t>
          </a:r>
        </a:p>
        <a:p>
          <a:r>
            <a:rPr lang="en-IN" sz="1100" baseline="0"/>
            <a:t>Imputed cost missing value using IF(ISBLANK([@Cost]),AVERAGEIF([Sub_Category],[@[Sub_Category]],[Cost]),[@Cost])</a:t>
          </a:r>
        </a:p>
        <a:p>
          <a:r>
            <a:rPr lang="en-IN" sz="1100" baseline="0"/>
            <a:t>Imputed stock missing value using IF(ISBLANK([@Stock]),AVERAGEIFS([Stock],[Category],[@Category],[Sub_Category],[@[Sub_Category]]),[@Stock])</a:t>
          </a:r>
        </a:p>
        <a:p>
          <a:r>
            <a:rPr lang="en-IN" sz="1100" baseline="0"/>
            <a:t>Imputed quantity missing value using IF(ISBLANK([@Quantity]),AVERAGEIF([Product_ID],[@[Product_ID]],[Quantity]),[@Quantity])</a:t>
          </a:r>
        </a:p>
        <a:p>
          <a:endParaRPr lang="en-IN" sz="1100" baseline="0"/>
        </a:p>
        <a:p>
          <a:r>
            <a:rPr lang="en-IN" sz="1100" b="1" baseline="0"/>
            <a:t>Data Transformation</a:t>
          </a:r>
        </a:p>
        <a:p>
          <a:endParaRPr lang="en-IN" sz="1100" baseline="0"/>
        </a:p>
        <a:p>
          <a:r>
            <a:rPr lang="en-IN" sz="1100" baseline="0"/>
            <a:t>Month is extracted from order date using TEXT(TEXT VALUE,"MMM")</a:t>
          </a:r>
        </a:p>
        <a:p>
          <a:endParaRPr lang="en-IN" sz="1100" baseline="0"/>
        </a:p>
        <a:p>
          <a:r>
            <a:rPr lang="en-IN" sz="1100" b="1" baseline="0"/>
            <a:t>Conditional formatting</a:t>
          </a:r>
        </a:p>
        <a:p>
          <a:endParaRPr lang="en-IN" sz="1100" baseline="0"/>
        </a:p>
        <a:p>
          <a:r>
            <a:rPr lang="en-IN" sz="1100" baseline="0"/>
            <a:t>Used in Order range and sales performance columns to highlight bulk orders and high performance</a:t>
          </a:r>
        </a:p>
        <a:p>
          <a:endParaRPr lang="en-IN" sz="1100" baseline="0"/>
        </a:p>
        <a:p>
          <a:r>
            <a:rPr lang="en-IN" sz="1100" b="1" baseline="0"/>
            <a:t>Vlookup and Xlookup</a:t>
          </a:r>
        </a:p>
        <a:p>
          <a:endParaRPr lang="en-IN" sz="1100" baseline="0"/>
        </a:p>
        <a:p>
          <a:r>
            <a:rPr lang="en-IN" sz="1100" baseline="0"/>
            <a:t>Used Vlookup formula and combine the tables imported the needed columns like Customer name,Product category,Product name,Store region and Loyalty level </a:t>
          </a:r>
        </a:p>
        <a:p>
          <a:endParaRPr lang="en-IN" sz="1100" baseline="0"/>
        </a:p>
        <a:p>
          <a:r>
            <a:rPr lang="en-IN" sz="1100" b="1" baseline="0"/>
            <a:t>IF formula</a:t>
          </a:r>
        </a:p>
        <a:p>
          <a:endParaRPr lang="en-IN" sz="1100" baseline="0"/>
        </a:p>
        <a:p>
          <a:r>
            <a:rPr lang="en-IN" sz="1100" baseline="0"/>
            <a:t>Used IF formula in Sales performance column and order range column to find High sales performance and Bulk orders</a:t>
          </a:r>
        </a:p>
        <a:p>
          <a:endParaRPr lang="en-IN" sz="1100" baseline="0"/>
        </a:p>
        <a:p>
          <a:r>
            <a:rPr lang="en-IN" sz="1100" b="1" baseline="0"/>
            <a:t>SUM,COUNTIF,COUNTA,AVERAGE AVERAGE IF,MAX</a:t>
          </a:r>
        </a:p>
        <a:p>
          <a:r>
            <a:rPr lang="en-IN" sz="1100" baseline="0"/>
            <a:t>Find the total sales,number of bulk orders,tital orders,mean of total sales,maximum sales amount</a:t>
          </a:r>
        </a:p>
        <a:p>
          <a:endParaRPr lang="en-IN" sz="1100" baseline="0"/>
        </a:p>
        <a:p>
          <a:r>
            <a:rPr lang="en-IN" sz="1100" b="1" baseline="0"/>
            <a:t>Descriptive statistics</a:t>
          </a:r>
        </a:p>
        <a:p>
          <a:endParaRPr lang="en-IN" sz="1100" baseline="0"/>
        </a:p>
        <a:p>
          <a:r>
            <a:rPr lang="en-IN" sz="1100" b="1" baseline="0"/>
            <a:t>Pivot tables and chart visualization</a:t>
          </a:r>
        </a:p>
        <a:p>
          <a:endParaRPr lang="en-IN" sz="1100" baseline="0"/>
        </a:p>
        <a:p>
          <a:r>
            <a:rPr lang="en-IN" sz="1100" b="1" baseline="0"/>
            <a:t>Dashborad creation</a:t>
          </a:r>
        </a:p>
        <a:p>
          <a:endParaRPr lang="en-IN" sz="1100" baseline="0"/>
        </a:p>
        <a:p>
          <a:endParaRPr lang="en-IN" sz="1100" baseline="0"/>
        </a:p>
        <a:p>
          <a:endParaRPr lang="en-IN" sz="1100" baseline="0"/>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alya J" refreshedDate="46089.473522453707" createdVersion="8" refreshedVersion="8" minRefreshableVersion="3" recordCount="2000" xr:uid="{3F7A2BFF-75DC-46D6-90F4-58E0A8DE2DD1}">
  <cacheSource type="worksheet">
    <worksheetSource name="ESales_DB"/>
  </cacheSource>
  <cacheFields count="19">
    <cacheField name="Sales_ID" numFmtId="0">
      <sharedItems/>
    </cacheField>
    <cacheField name="Order_Date" numFmtId="14">
      <sharedItems containsSemiMixedTypes="0" containsNonDate="0" containsDate="1" containsString="0" minDate="2023-10-14T00:00:00" maxDate="2025-10-14T00:00:00"/>
    </cacheField>
    <cacheField name="Month" numFmtId="14">
      <sharedItems count="12">
        <s v="Jul"/>
        <s v="Dec"/>
        <s v="Feb"/>
        <s v="Jan"/>
        <s v="Jun"/>
        <s v="Apr"/>
        <s v="Oct"/>
        <s v="Sep"/>
        <s v="Nov"/>
        <s v="Mar"/>
        <s v="Aug"/>
        <s v="May"/>
      </sharedItems>
    </cacheField>
    <cacheField name="Customer_ID" numFmtId="0">
      <sharedItems/>
    </cacheField>
    <cacheField name="Product_ID" numFmtId="0">
      <sharedItems/>
    </cacheField>
    <cacheField name="Store_ID" numFmtId="0">
      <sharedItems/>
    </cacheField>
    <cacheField name="Quantity" numFmtId="0">
      <sharedItems containsString="0" containsBlank="1" containsNumber="1" containsInteger="1" minValue="1" maxValue="4"/>
    </cacheField>
    <cacheField name="Quantity1" numFmtId="1">
      <sharedItems containsSemiMixedTypes="0" containsString="0" containsNumber="1" minValue="1" maxValue="4"/>
    </cacheField>
    <cacheField name="Unit_Price" numFmtId="164">
      <sharedItems containsString="0" containsBlank="1" containsNumber="1" minValue="20.09" maxValue="999.89"/>
    </cacheField>
    <cacheField name="Discount" numFmtId="0">
      <sharedItems containsString="0" containsBlank="1" containsNumber="1" minValue="0" maxValue="0.3"/>
    </cacheField>
    <cacheField name="Payment_Type" numFmtId="0">
      <sharedItems count="3">
        <s v="Credit Card"/>
        <s v="PayPal"/>
        <s v="COD"/>
      </sharedItems>
    </cacheField>
    <cacheField name="Total_Amount" numFmtId="164">
      <sharedItems containsString="0" containsBlank="1" containsNumber="1" minValue="18.459" maxValue="3908.2428"/>
    </cacheField>
    <cacheField name="Sales Performance" numFmtId="164">
      <sharedItems/>
    </cacheField>
    <cacheField name="Customer Name" numFmtId="164">
      <sharedItems/>
    </cacheField>
    <cacheField name="Product Category" numFmtId="164">
      <sharedItems count="5">
        <s v="Sports"/>
        <s v="Electronics"/>
        <s v="Home"/>
        <s v="Beauty"/>
        <s v="Clothing"/>
      </sharedItems>
    </cacheField>
    <cacheField name="Product Name" numFmtId="164">
      <sharedItems count="100">
        <s v="Cricket Bat"/>
        <s v="Bluetooth Car Audio System"/>
        <s v="Foldable Camping Chair"/>
        <s v="Modern Wall Clock"/>
        <s v="Men's Hair Styling Gel"/>
        <s v="Men's Sports Shorts"/>
        <s v="Shin Guards – Adult"/>
        <s v="Brother Laser Printer"/>
        <s v="Sports Stopwatch Pro"/>
        <s v="Men's Formal Shirt"/>
        <s v="Women's Ankle Boots"/>
        <s v="Organic Sunscreen Lotion"/>
        <s v="Wireless Bluetooth Earbuds"/>
        <s v="Women's Scarf Set"/>
        <s v="Decorative Lamp Shade"/>
        <s v="Badminton Racket Set"/>
        <s v="Men's Casual Sneakers"/>
        <s v="LED Table Lamp"/>
        <s v="Luxury Perfume Spray"/>
        <s v="Laptop Cooling Pad"/>
        <s v="Men's Track Pants"/>
        <s v="Gaming Mechanical Keyboard"/>
        <s v="Rugby Ball"/>
        <s v="High-Grip Football"/>
        <s v="Wall-Mounted Spice Rack"/>
        <s v="Ceramic Plant Pot"/>
        <s v="Fitness Resistance Bands"/>
        <s v="USB-C Laptop Charger"/>
        <s v="Sports Stopwatch Basic"/>
        <s v="Soccer Training Cone Set"/>
        <s v="Kitchen Cutting Board"/>
        <s v="Adjustable Jump Rope"/>
        <s v="Knee Support Brace"/>
        <s v="Essential Oil Diffuser"/>
        <s v="USB External Hard Drive"/>
        <s v="Professional Jump Rope"/>
        <s v="Womens Cotton Scarf"/>
        <s v="Makeup Brush Set"/>
        <s v="Stainless Steel Cutlery Set"/>
        <s v="Microwave Oven"/>
        <s v="Sports Stopwatch Timer"/>
        <s v="Men's Winter Jacket"/>
        <s v="4K Home Projector"/>
        <s v="Sports Water Hydration Pack"/>
        <s v="Bedroom Table Lamp"/>
        <s v="Wireless Mouse"/>
        <s v="Women's Hair Dryer Brush"/>
        <s v="Ceramic Kitchen Bowl Set"/>
        <s v="LED Bedside Lamp"/>
        <s v="Tennis Ball 3-Pack"/>
        <s v="Noise-Canceling Headphones"/>
        <s v="Portable Bluetooth Speaker"/>
        <s v="Boxing Hand Wraps"/>
        <s v="Face Foundation Kit"/>
        <s v="Multi-Purpose Storage Box"/>
        <s v="Matte Lipstick Set"/>
        <s v="Wooden Bookshelf"/>
        <s v="Hair Repair Oil Treatment"/>
        <s v="Women's Yoga Pants"/>
        <s v="Carbon Fiber Tennis Racket"/>
        <s v="Women's Casual Hoodie"/>
        <s v="Hydrating Face Cleanser"/>
        <s v="Fabric Sofa Throw Blanket"/>
        <s v="Beard Grooming Kit"/>
        <s v="Foam Roller"/>
        <s v="Portable Power Bank"/>
        <s v="Car Dashboard Phone Holder"/>
        <s v="Women's High Heels"/>
        <s v="HD Smart TV Stick"/>
        <s v="Outdoor Sports Water Bottle"/>
        <s v="Women's Beanie Hat"/>
        <s v="Smart Home WiFi Camera"/>
        <s v="Basketball"/>
        <s v="Gaming Mouse Pad XL"/>
        <s v="Adjustable Dumbbells 20kg"/>
        <s v="USB-C Fast Charger"/>
        <s v="Women's Formal Blazer"/>
        <s v="Decorative Floor Vase"/>
        <s v="HDMI Cable – 2m"/>
        <s v="WiFi Mesh Router"/>
        <s v="Men's Roll-On Perfume"/>
        <s v="Wireless Bluetooth Speaker"/>
        <s v="Yoga Exercise Mat"/>
        <s v="Women's Denim Jeans"/>
        <s v="Men's Running Jacket"/>
        <s v="Hair Strengthening Shampoo"/>
        <s v="Stainless Steel Cookware Set"/>
        <s v="Premium Blanket Throw"/>
        <s v="Women's Summer Dress"/>
        <s v="Vitamin E Body Lotion"/>
        <s v="Sports Wrist Sweatbands"/>
        <s v="Men's Leather Belt"/>
        <s v="Kitchen Storage Rack"/>
        <s v="Men's Graphic T-Shirt"/>
        <s v="Decorative Wall Mirror"/>
        <s v="Herbal Face Moisturizer"/>
        <s v="Vitamin C Face Serum"/>
        <s v="Wooden Nightstand"/>
        <s v="Adjustable Dumbbell Set"/>
        <s v="Smart LED Light Strip"/>
      </sharedItems>
    </cacheField>
    <cacheField name="Store Region" numFmtId="164">
      <sharedItems count="4">
        <s v="North"/>
        <s v="South"/>
        <s v="East"/>
        <s v="West"/>
      </sharedItems>
    </cacheField>
    <cacheField name="Loyalty Level" numFmtId="0">
      <sharedItems count="5">
        <s v="Gold"/>
        <s v="Silver"/>
        <s v="Platinum"/>
        <s v="Bronze"/>
        <s v="Uncategorized"/>
      </sharedItems>
    </cacheField>
    <cacheField name="Orders range" numFmtId="0">
      <sharedItems/>
    </cacheField>
  </cacheFields>
  <extLst>
    <ext xmlns:x14="http://schemas.microsoft.com/office/spreadsheetml/2009/9/main" uri="{725AE2AE-9491-48be-B2B4-4EB974FC3084}">
      <x14:pivotCacheDefinition pivotCacheId="526934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x v="0"/>
    <s v="CUST1409"/>
    <s v="PROD97"/>
    <s v="STORE3"/>
    <n v="1"/>
    <n v="1"/>
    <n v="218.04"/>
    <n v="0.09"/>
    <x v="0"/>
    <n v="198.41640000000001"/>
    <s v="Low"/>
    <s v="Sarah Smith"/>
    <x v="0"/>
    <x v="0"/>
    <x v="0"/>
    <x v="0"/>
    <s v="Normal order"/>
  </r>
  <r>
    <s v="SALE1"/>
    <d v="2023-12-25T00:00:00"/>
    <x v="1"/>
    <s v="CUST1467"/>
    <s v="PROD74"/>
    <s v="STORE17"/>
    <n v="3"/>
    <n v="3"/>
    <n v="104.47"/>
    <n v="0.27"/>
    <x v="1"/>
    <n v="228.7893"/>
    <s v="Low"/>
    <s v="Michael Foley"/>
    <x v="1"/>
    <x v="1"/>
    <x v="0"/>
    <x v="0"/>
    <s v="Normal order"/>
  </r>
  <r>
    <s v="SALE10"/>
    <d v="2024-02-13T00:00:00"/>
    <x v="2"/>
    <s v="CUST1065"/>
    <s v="PROD24"/>
    <s v="STORE14"/>
    <n v="1"/>
    <n v="1"/>
    <n v="278.63"/>
    <n v="7.0000000000000007E-2"/>
    <x v="0"/>
    <n v="259.1259"/>
    <s v="Low"/>
    <s v="Michael Thomas"/>
    <x v="0"/>
    <x v="2"/>
    <x v="1"/>
    <x v="1"/>
    <s v="Normal order"/>
  </r>
  <r>
    <s v="SALE100"/>
    <d v="2025-01-20T00:00:00"/>
    <x v="3"/>
    <s v="CUST1369"/>
    <s v="PROD33"/>
    <s v="STORE5"/>
    <n v="2"/>
    <n v="2"/>
    <n v="401.5"/>
    <n v="0.18"/>
    <x v="0"/>
    <n v="658.46"/>
    <s v="Low"/>
    <s v="Gregory Allen"/>
    <x v="2"/>
    <x v="3"/>
    <x v="0"/>
    <x v="2"/>
    <s v="Normal order"/>
  </r>
  <r>
    <s v="SALE1000"/>
    <d v="2024-06-13T00:00:00"/>
    <x v="4"/>
    <s v="CUST1190"/>
    <s v="PROD59"/>
    <s v="STORE2"/>
    <n v="2"/>
    <n v="2"/>
    <n v="909.51"/>
    <n v="0.27"/>
    <x v="0"/>
    <n v="1327.8846000000001"/>
    <s v="High"/>
    <s v="Christopher Stewart"/>
    <x v="3"/>
    <x v="4"/>
    <x v="1"/>
    <x v="3"/>
    <s v="Normal order"/>
  </r>
  <r>
    <s v="SALE1001"/>
    <d v="2025-04-29T00:00:00"/>
    <x v="5"/>
    <s v="CUST1052"/>
    <s v="PROD69"/>
    <s v="STORE14"/>
    <n v="4"/>
    <n v="4"/>
    <n v="593.84"/>
    <n v="0.24"/>
    <x v="1"/>
    <n v="1805.2736"/>
    <s v="High"/>
    <s v="Debra Liu"/>
    <x v="4"/>
    <x v="5"/>
    <x v="1"/>
    <x v="3"/>
    <s v="Bulk order"/>
  </r>
  <r>
    <s v="SALE1002"/>
    <d v="2024-10-01T00:00:00"/>
    <x v="6"/>
    <s v="CUST1109"/>
    <s v="PROD73"/>
    <s v="STORE10"/>
    <n v="3"/>
    <n v="3"/>
    <n v="909.11"/>
    <n v="0.23"/>
    <x v="2"/>
    <n v="2100.0441000000001"/>
    <s v="High"/>
    <s v="Amy Walker"/>
    <x v="0"/>
    <x v="6"/>
    <x v="2"/>
    <x v="1"/>
    <s v="Normal order"/>
  </r>
  <r>
    <s v="SALE1003"/>
    <d v="2024-09-07T00:00:00"/>
    <x v="7"/>
    <s v="CUST1399"/>
    <s v="PROD24"/>
    <s v="STORE1"/>
    <n v="4"/>
    <n v="4"/>
    <n v="996.85"/>
    <n v="0.24"/>
    <x v="1"/>
    <n v="3030.424"/>
    <s v="High"/>
    <s v="John Donaldson"/>
    <x v="0"/>
    <x v="2"/>
    <x v="0"/>
    <x v="3"/>
    <s v="Bulk order"/>
  </r>
  <r>
    <s v="SALE1004"/>
    <d v="2025-06-26T00:00:00"/>
    <x v="4"/>
    <s v="CUST1300"/>
    <s v="PROD0"/>
    <s v="STORE17"/>
    <n v="1"/>
    <n v="1"/>
    <n v="522.69000000000005"/>
    <n v="0.06"/>
    <x v="2"/>
    <n v="491.32860000000011"/>
    <s v="Low"/>
    <s v="Matthew Avery"/>
    <x v="1"/>
    <x v="7"/>
    <x v="0"/>
    <x v="1"/>
    <s v="Normal order"/>
  </r>
  <r>
    <s v="SALE1005"/>
    <d v="2024-04-23T00:00:00"/>
    <x v="5"/>
    <s v="CUST1194"/>
    <s v="PROD54"/>
    <s v="STORE3"/>
    <n v="3"/>
    <n v="3"/>
    <n v="261.05"/>
    <n v="0.12"/>
    <x v="1"/>
    <n v="689.17200000000014"/>
    <s v="Low"/>
    <s v="Ashley Ferguson"/>
    <x v="0"/>
    <x v="8"/>
    <x v="0"/>
    <x v="0"/>
    <s v="Normal order"/>
  </r>
  <r>
    <s v="SALE1006"/>
    <d v="2025-09-18T00:00:00"/>
    <x v="7"/>
    <s v="CUST1087"/>
    <s v="PROD23"/>
    <s v="STORE17"/>
    <n v="3"/>
    <n v="3"/>
    <n v="644.73"/>
    <n v="0.01"/>
    <x v="2"/>
    <n v="1914.8480999999999"/>
    <s v="High"/>
    <s v="Melissa Duffy Md"/>
    <x v="4"/>
    <x v="9"/>
    <x v="0"/>
    <x v="3"/>
    <s v="Normal order"/>
  </r>
  <r>
    <s v="SALE1007"/>
    <d v="2023-10-18T00:00:00"/>
    <x v="6"/>
    <s v="CUST1198"/>
    <s v="PROD75"/>
    <s v="STORE2"/>
    <n v="2"/>
    <n v="2"/>
    <n v="541.52"/>
    <n v="0.26"/>
    <x v="1"/>
    <n v="801.44959999999992"/>
    <s v="Low"/>
    <s v="Wanda Snyder"/>
    <x v="4"/>
    <x v="10"/>
    <x v="1"/>
    <x v="3"/>
    <s v="Normal order"/>
  </r>
  <r>
    <s v="SALE1008"/>
    <d v="2023-11-29T00:00:00"/>
    <x v="8"/>
    <s v="CUST1426"/>
    <s v="PROD63"/>
    <s v="STORE10"/>
    <n v="1"/>
    <n v="1"/>
    <n v="395.18"/>
    <n v="0.09"/>
    <x v="1"/>
    <n v="359.61380000000003"/>
    <s v="Low"/>
    <s v="Jeanette Nichols"/>
    <x v="3"/>
    <x v="11"/>
    <x v="2"/>
    <x v="2"/>
    <s v="Normal order"/>
  </r>
  <r>
    <s v="SALE1009"/>
    <d v="2025-03-24T00:00:00"/>
    <x v="9"/>
    <s v="CUST1100"/>
    <s v="PROD8"/>
    <s v="STORE8"/>
    <n v="4"/>
    <n v="4"/>
    <n v="56.37"/>
    <n v="0.17"/>
    <x v="0"/>
    <n v="187.14840000000001"/>
    <s v="Low"/>
    <s v="Diane Watson"/>
    <x v="1"/>
    <x v="12"/>
    <x v="3"/>
    <x v="2"/>
    <s v="Bulk order"/>
  </r>
  <r>
    <s v="SALE101"/>
    <d v="2024-06-10T00:00:00"/>
    <x v="4"/>
    <s v="CUST1084"/>
    <s v="PROD25"/>
    <s v="STORE13"/>
    <n v="3"/>
    <n v="3"/>
    <n v="359.56"/>
    <n v="0.17"/>
    <x v="1"/>
    <n v="895.30439999999999"/>
    <s v="Low"/>
    <s v="Christy Hoffman"/>
    <x v="4"/>
    <x v="13"/>
    <x v="2"/>
    <x v="2"/>
    <s v="Normal order"/>
  </r>
  <r>
    <s v="SALE1010"/>
    <d v="2025-09-08T00:00:00"/>
    <x v="7"/>
    <s v="CUST1209"/>
    <s v="PROD79"/>
    <s v="STORE9"/>
    <n v="4"/>
    <n v="4"/>
    <n v="202.59"/>
    <n v="0.06"/>
    <x v="2"/>
    <n v="761.73839999999996"/>
    <s v="Low"/>
    <s v="Joan Johnson"/>
    <x v="2"/>
    <x v="14"/>
    <x v="1"/>
    <x v="2"/>
    <s v="Bulk order"/>
  </r>
  <r>
    <s v="SALE1011"/>
    <d v="2024-11-05T00:00:00"/>
    <x v="8"/>
    <s v="CUST1004"/>
    <s v="PROD81"/>
    <s v="STORE5"/>
    <n v="2"/>
    <n v="2"/>
    <n v="358.36"/>
    <n v="0.05"/>
    <x v="1"/>
    <n v="680.88400000000001"/>
    <s v="Low"/>
    <s v="Caroline Collins"/>
    <x v="0"/>
    <x v="15"/>
    <x v="0"/>
    <x v="1"/>
    <s v="Normal order"/>
  </r>
  <r>
    <s v="SALE1012"/>
    <d v="2024-08-31T00:00:00"/>
    <x v="10"/>
    <s v="CUST1072"/>
    <s v="PROD37"/>
    <s v="STORE18"/>
    <n v="4"/>
    <n v="4"/>
    <n v="85.62"/>
    <n v="0.28000000000000003"/>
    <x v="2"/>
    <n v="246.5856"/>
    <s v="Low"/>
    <s v="Tonya Burch"/>
    <x v="4"/>
    <x v="16"/>
    <x v="2"/>
    <x v="0"/>
    <s v="Bulk order"/>
  </r>
  <r>
    <s v="SALE1013"/>
    <d v="2024-06-16T00:00:00"/>
    <x v="4"/>
    <s v="CUST1185"/>
    <s v="PROD7"/>
    <s v="STORE17"/>
    <n v="4"/>
    <n v="4"/>
    <n v="929.26"/>
    <n v="0.23"/>
    <x v="1"/>
    <n v="2862.1208000000001"/>
    <s v="High"/>
    <s v="Brent Rivas"/>
    <x v="2"/>
    <x v="17"/>
    <x v="0"/>
    <x v="2"/>
    <s v="Bulk order"/>
  </r>
  <r>
    <s v="SALE1014"/>
    <d v="2025-01-24T00:00:00"/>
    <x v="3"/>
    <s v="CUST1309"/>
    <s v="PROD60"/>
    <s v="STORE13"/>
    <n v="2"/>
    <n v="2"/>
    <n v="92.64"/>
    <n v="0.14000000000000001"/>
    <x v="2"/>
    <n v="159.3408"/>
    <s v="Low"/>
    <s v="Stacy Collins"/>
    <x v="3"/>
    <x v="18"/>
    <x v="2"/>
    <x v="3"/>
    <s v="Normal order"/>
  </r>
  <r>
    <s v="SALE1015"/>
    <d v="2025-03-09T00:00:00"/>
    <x v="9"/>
    <s v="CUST1248"/>
    <s v="PROD62"/>
    <s v="STORE4"/>
    <n v="4"/>
    <n v="4"/>
    <n v="139.05000000000001"/>
    <n v="0.28999999999999998"/>
    <x v="2"/>
    <n v="394.90199999999999"/>
    <s v="Low"/>
    <s v="Nicholas Webb"/>
    <x v="1"/>
    <x v="19"/>
    <x v="1"/>
    <x v="0"/>
    <s v="Bulk order"/>
  </r>
  <r>
    <s v="SALE1016"/>
    <d v="2024-06-18T00:00:00"/>
    <x v="4"/>
    <s v="CUST1140"/>
    <s v="PROD53"/>
    <s v="STORE4"/>
    <n v="3"/>
    <n v="3"/>
    <n v="155.87"/>
    <n v="0.03"/>
    <x v="2"/>
    <n v="453.58170000000001"/>
    <s v="Low"/>
    <s v="Patty Francis"/>
    <x v="4"/>
    <x v="20"/>
    <x v="1"/>
    <x v="0"/>
    <s v="Normal order"/>
  </r>
  <r>
    <s v="SALE1017"/>
    <d v="2025-06-29T00:00:00"/>
    <x v="4"/>
    <s v="CUST1442"/>
    <s v="PROD34"/>
    <s v="STORE16"/>
    <n v="4"/>
    <n v="4"/>
    <n v="115.42"/>
    <n v="0.03"/>
    <x v="2"/>
    <n v="447.82960000000003"/>
    <s v="Low"/>
    <s v="Kelli Smith"/>
    <x v="1"/>
    <x v="21"/>
    <x v="3"/>
    <x v="3"/>
    <s v="Bulk order"/>
  </r>
  <r>
    <s v="SALE1018"/>
    <d v="2025-06-15T00:00:00"/>
    <x v="4"/>
    <s v="CUST1122"/>
    <s v="PROD52"/>
    <s v="STORE6"/>
    <n v="3"/>
    <n v="3"/>
    <n v="593.62"/>
    <n v="0.08"/>
    <x v="0"/>
    <n v="1638.3912"/>
    <s v="High"/>
    <s v="Michael Chang"/>
    <x v="0"/>
    <x v="22"/>
    <x v="2"/>
    <x v="2"/>
    <s v="Normal order"/>
  </r>
  <r>
    <s v="SALE1019"/>
    <d v="2025-03-17T00:00:00"/>
    <x v="9"/>
    <s v="CUST1353"/>
    <s v="PROD45"/>
    <s v="STORE4"/>
    <n v="2"/>
    <n v="2"/>
    <n v="825.04"/>
    <n v="0.2"/>
    <x v="0"/>
    <n v="1320.0640000000001"/>
    <s v="High"/>
    <s v="Laura Green"/>
    <x v="0"/>
    <x v="23"/>
    <x v="1"/>
    <x v="2"/>
    <s v="Normal order"/>
  </r>
  <r>
    <s v="SALE102"/>
    <d v="2024-09-17T00:00:00"/>
    <x v="7"/>
    <s v="CUST1097"/>
    <s v="PROD80"/>
    <s v="STORE12"/>
    <n v="2"/>
    <n v="2"/>
    <n v="471.88"/>
    <n v="0.24"/>
    <x v="1"/>
    <n v="717.25760000000002"/>
    <s v="Low"/>
    <s v="David Cobb"/>
    <x v="2"/>
    <x v="24"/>
    <x v="0"/>
    <x v="1"/>
    <s v="Normal order"/>
  </r>
  <r>
    <s v="SALE1020"/>
    <d v="2024-01-31T00:00:00"/>
    <x v="3"/>
    <s v="CUST1464"/>
    <s v="PROD25"/>
    <s v="STORE13"/>
    <n v="1"/>
    <n v="1"/>
    <n v="963.76"/>
    <n v="0.14000000000000001"/>
    <x v="1"/>
    <n v="828.83359999999993"/>
    <s v="Low"/>
    <s v="David Pierce"/>
    <x v="4"/>
    <x v="13"/>
    <x v="2"/>
    <x v="2"/>
    <s v="Normal order"/>
  </r>
  <r>
    <s v="SALE1021"/>
    <d v="2024-05-03T00:00:00"/>
    <x v="11"/>
    <s v="CUST1292"/>
    <s v="PROD55"/>
    <s v="STORE6"/>
    <n v="1"/>
    <n v="1"/>
    <n v="238.24"/>
    <n v="0.12"/>
    <x v="1"/>
    <n v="209.65119999999999"/>
    <s v="Low"/>
    <s v="Ricardo Jones"/>
    <x v="2"/>
    <x v="25"/>
    <x v="2"/>
    <x v="1"/>
    <s v="Normal order"/>
  </r>
  <r>
    <s v="SALE1022"/>
    <d v="2024-12-18T00:00:00"/>
    <x v="1"/>
    <s v="CUST1457"/>
    <s v="PROD82"/>
    <s v="STORE16"/>
    <n v="1"/>
    <n v="1"/>
    <n v="756.63"/>
    <n v="0.04"/>
    <x v="1"/>
    <n v="726.36479999999995"/>
    <s v="Low"/>
    <s v="Christina Robertson"/>
    <x v="0"/>
    <x v="26"/>
    <x v="3"/>
    <x v="2"/>
    <s v="Normal order"/>
  </r>
  <r>
    <s v="SALE1023"/>
    <d v="2025-07-07T00:00:00"/>
    <x v="0"/>
    <s v="CUST1019"/>
    <s v="PROD93"/>
    <s v="STORE7"/>
    <n v="3"/>
    <n v="3"/>
    <n v="159.76"/>
    <n v="0.22"/>
    <x v="0"/>
    <n v="373.83839999999998"/>
    <s v="Low"/>
    <s v="Michael Torres"/>
    <x v="1"/>
    <x v="27"/>
    <x v="1"/>
    <x v="2"/>
    <s v="Normal order"/>
  </r>
  <r>
    <s v="SALE1024"/>
    <d v="2024-03-03T00:00:00"/>
    <x v="9"/>
    <s v="CUST1368"/>
    <s v="PROD95"/>
    <s v="STORE8"/>
    <n v="1"/>
    <n v="1"/>
    <n v="329.94"/>
    <n v="0.14000000000000001"/>
    <x v="2"/>
    <n v="283.7484"/>
    <s v="Low"/>
    <s v="Miranda King"/>
    <x v="0"/>
    <x v="28"/>
    <x v="3"/>
    <x v="2"/>
    <s v="Normal order"/>
  </r>
  <r>
    <s v="SALE1025"/>
    <d v="2025-03-04T00:00:00"/>
    <x v="9"/>
    <s v="CUST1060"/>
    <s v="PROD17"/>
    <s v="STORE8"/>
    <n v="1"/>
    <n v="1"/>
    <n v="234.06"/>
    <n v="0.11"/>
    <x v="1"/>
    <n v="208.3134"/>
    <s v="Low"/>
    <s v="Dr. David Smith"/>
    <x v="0"/>
    <x v="29"/>
    <x v="3"/>
    <x v="1"/>
    <s v="Normal order"/>
  </r>
  <r>
    <s v="SALE1026"/>
    <d v="2023-12-18T00:00:00"/>
    <x v="1"/>
    <s v="CUST1317"/>
    <s v="PROD81"/>
    <s v="STORE0"/>
    <n v="2"/>
    <n v="2"/>
    <n v="773.75"/>
    <n v="0.16"/>
    <x v="1"/>
    <n v="1299.9000000000001"/>
    <s v="High"/>
    <s v="Tiffany Williams"/>
    <x v="0"/>
    <x v="15"/>
    <x v="2"/>
    <x v="0"/>
    <s v="Normal order"/>
  </r>
  <r>
    <s v="SALE1027"/>
    <d v="2024-05-10T00:00:00"/>
    <x v="11"/>
    <s v="CUST1436"/>
    <s v="PROD52"/>
    <s v="STORE18"/>
    <n v="1"/>
    <n v="1"/>
    <n v="73.88"/>
    <n v="0.04"/>
    <x v="0"/>
    <n v="70.924799999999991"/>
    <s v="Low"/>
    <s v="Sharon Simpson"/>
    <x v="0"/>
    <x v="22"/>
    <x v="2"/>
    <x v="0"/>
    <s v="Normal order"/>
  </r>
  <r>
    <s v="SALE1028"/>
    <d v="2024-02-15T00:00:00"/>
    <x v="2"/>
    <s v="CUST1005"/>
    <s v="PROD86"/>
    <s v="STORE18"/>
    <n v="1"/>
    <n v="1"/>
    <n v="859.3"/>
    <n v="0.16"/>
    <x v="1"/>
    <n v="721.8119999999999"/>
    <s v="Low"/>
    <s v="Christine Vaughn"/>
    <x v="2"/>
    <x v="30"/>
    <x v="2"/>
    <x v="3"/>
    <s v="Normal order"/>
  </r>
  <r>
    <s v="SALE1029"/>
    <d v="2024-09-29T00:00:00"/>
    <x v="7"/>
    <s v="CUST1129"/>
    <s v="PROD81"/>
    <s v="STORE6"/>
    <n v="4"/>
    <n v="4"/>
    <n v="762.43"/>
    <n v="0.05"/>
    <x v="0"/>
    <n v="2897.233999999999"/>
    <s v="High"/>
    <s v="Jessica Mitchell"/>
    <x v="0"/>
    <x v="15"/>
    <x v="2"/>
    <x v="1"/>
    <s v="Bulk order"/>
  </r>
  <r>
    <s v="SALE103"/>
    <d v="2025-09-07T00:00:00"/>
    <x v="7"/>
    <s v="CUST1182"/>
    <s v="PROD34"/>
    <s v="STORE4"/>
    <n v="4"/>
    <n v="4"/>
    <n v="925.19"/>
    <n v="0.19"/>
    <x v="1"/>
    <n v="2997.615600000001"/>
    <s v="High"/>
    <s v="Melissa Hamilton"/>
    <x v="1"/>
    <x v="21"/>
    <x v="1"/>
    <x v="1"/>
    <s v="Bulk order"/>
  </r>
  <r>
    <s v="SALE1030"/>
    <d v="2024-05-12T00:00:00"/>
    <x v="11"/>
    <s v="CUST1124"/>
    <s v="PROD73"/>
    <s v="STORE0"/>
    <n v="1"/>
    <n v="1"/>
    <n v="328.51"/>
    <n v="0.2"/>
    <x v="2"/>
    <n v="262.80799999999999"/>
    <s v="Low"/>
    <s v="Donald Lee"/>
    <x v="0"/>
    <x v="6"/>
    <x v="2"/>
    <x v="3"/>
    <s v="Normal order"/>
  </r>
  <r>
    <s v="SALE1031"/>
    <d v="2025-03-03T00:00:00"/>
    <x v="9"/>
    <s v="CUST1274"/>
    <s v="PROD44"/>
    <s v="STORE4"/>
    <n v="1"/>
    <n v="1"/>
    <n v="34.51"/>
    <n v="0.04"/>
    <x v="2"/>
    <n v="33.129600000000003"/>
    <s v="Low"/>
    <s v="Sarah Lane"/>
    <x v="0"/>
    <x v="31"/>
    <x v="1"/>
    <x v="1"/>
    <s v="Normal order"/>
  </r>
  <r>
    <s v="SALE1032"/>
    <d v="2023-11-20T00:00:00"/>
    <x v="8"/>
    <s v="CUST1105"/>
    <s v="PROD19"/>
    <s v="STORE11"/>
    <n v="3"/>
    <n v="3"/>
    <n v="663.73"/>
    <n v="0.06"/>
    <x v="2"/>
    <n v="1871.7185999999999"/>
    <s v="High"/>
    <s v="Lance Baker"/>
    <x v="0"/>
    <x v="32"/>
    <x v="1"/>
    <x v="0"/>
    <s v="Normal order"/>
  </r>
  <r>
    <s v="SALE1033"/>
    <d v="2024-07-06T00:00:00"/>
    <x v="0"/>
    <s v="CUST1246"/>
    <s v="PROD33"/>
    <s v="STORE9"/>
    <n v="1"/>
    <n v="1"/>
    <n v="409.41"/>
    <n v="0.13"/>
    <x v="1"/>
    <n v="356.18669999999997"/>
    <s v="Low"/>
    <s v="Mary Russell"/>
    <x v="2"/>
    <x v="3"/>
    <x v="1"/>
    <x v="3"/>
    <s v="Normal order"/>
  </r>
  <r>
    <s v="SALE1034"/>
    <d v="2025-03-11T00:00:00"/>
    <x v="9"/>
    <s v="CUST1092"/>
    <s v="PROD78"/>
    <s v="STORE3"/>
    <n v="3"/>
    <n v="3"/>
    <n v="461.03"/>
    <n v="0.11"/>
    <x v="1"/>
    <n v="1230.9501"/>
    <s v="High"/>
    <s v="Robert Jackson"/>
    <x v="2"/>
    <x v="33"/>
    <x v="0"/>
    <x v="2"/>
    <s v="Normal order"/>
  </r>
  <r>
    <s v="SALE1035"/>
    <d v="2024-04-12T00:00:00"/>
    <x v="5"/>
    <s v="CUST1368"/>
    <s v="PROD19"/>
    <s v="STORE14"/>
    <n v="2"/>
    <n v="2"/>
    <n v="760.14"/>
    <n v="0.02"/>
    <x v="2"/>
    <n v="1489.8743999999999"/>
    <s v="High"/>
    <s v="Miranda King"/>
    <x v="0"/>
    <x v="32"/>
    <x v="1"/>
    <x v="2"/>
    <s v="Normal order"/>
  </r>
  <r>
    <s v="SALE1036"/>
    <d v="2025-04-26T00:00:00"/>
    <x v="5"/>
    <s v="CUST1278"/>
    <s v="PROD23"/>
    <s v="STORE1"/>
    <n v="3"/>
    <n v="3"/>
    <n v="688.76"/>
    <n v="0.12"/>
    <x v="1"/>
    <n v="1818.3263999999999"/>
    <s v="High"/>
    <s v="Stephen Fowler"/>
    <x v="4"/>
    <x v="9"/>
    <x v="0"/>
    <x v="2"/>
    <s v="Normal order"/>
  </r>
  <r>
    <s v="SALE1037"/>
    <d v="2025-05-02T00:00:00"/>
    <x v="11"/>
    <s v="CUST1159"/>
    <s v="PROD43"/>
    <s v="STORE9"/>
    <n v="2"/>
    <n v="2"/>
    <n v="257.77999999999997"/>
    <n v="0.05"/>
    <x v="0"/>
    <n v="489.78199999999993"/>
    <s v="Low"/>
    <s v="Brian Choi"/>
    <x v="1"/>
    <x v="34"/>
    <x v="1"/>
    <x v="0"/>
    <s v="Normal order"/>
  </r>
  <r>
    <s v="SALE1038"/>
    <d v="2024-04-18T00:00:00"/>
    <x v="5"/>
    <s v="CUST1052"/>
    <s v="PROD53"/>
    <s v="STORE7"/>
    <n v="2"/>
    <n v="2"/>
    <n v="314.29000000000002"/>
    <n v="0.19"/>
    <x v="2"/>
    <n v="509.14980000000008"/>
    <s v="Low"/>
    <s v="Debra Liu"/>
    <x v="4"/>
    <x v="20"/>
    <x v="1"/>
    <x v="3"/>
    <s v="Normal order"/>
  </r>
  <r>
    <s v="SALE1039"/>
    <d v="2024-08-16T00:00:00"/>
    <x v="10"/>
    <s v="CUST1155"/>
    <s v="PROD72"/>
    <s v="STORE14"/>
    <n v="3"/>
    <n v="3"/>
    <n v="336.09"/>
    <n v="0.01"/>
    <x v="1"/>
    <n v="998.18729999999994"/>
    <s v="Low"/>
    <s v="Curtis Haynes"/>
    <x v="0"/>
    <x v="35"/>
    <x v="1"/>
    <x v="0"/>
    <s v="Normal order"/>
  </r>
  <r>
    <s v="SALE104"/>
    <d v="2024-02-08T00:00:00"/>
    <x v="2"/>
    <s v="CUST1029"/>
    <s v="PROD86"/>
    <s v="STORE11"/>
    <n v="2"/>
    <n v="2"/>
    <n v="879.63"/>
    <n v="7.0000000000000007E-2"/>
    <x v="2"/>
    <n v="1636.1117999999999"/>
    <s v="High"/>
    <s v="David Arnold"/>
    <x v="2"/>
    <x v="30"/>
    <x v="1"/>
    <x v="1"/>
    <s v="Normal order"/>
  </r>
  <r>
    <s v="SALE1040"/>
    <d v="2025-07-23T00:00:00"/>
    <x v="0"/>
    <s v="CUST1002"/>
    <s v="PROD75"/>
    <s v="STORE17"/>
    <n v="3"/>
    <n v="3"/>
    <n v="202.07"/>
    <n v="0.23"/>
    <x v="1"/>
    <n v="466.78170000000011"/>
    <s v="Low"/>
    <s v="Dr. Benjamin Price"/>
    <x v="4"/>
    <x v="10"/>
    <x v="0"/>
    <x v="2"/>
    <s v="Normal order"/>
  </r>
  <r>
    <s v="SALE1041"/>
    <d v="2025-05-04T00:00:00"/>
    <x v="11"/>
    <s v="CUST1310"/>
    <s v="PROD17"/>
    <s v="STORE8"/>
    <n v="2"/>
    <n v="2"/>
    <n v="485.25"/>
    <n v="0.28000000000000003"/>
    <x v="0"/>
    <n v="698.76"/>
    <s v="Low"/>
    <s v="Kara Dodson"/>
    <x v="0"/>
    <x v="29"/>
    <x v="3"/>
    <x v="1"/>
    <s v="Normal order"/>
  </r>
  <r>
    <s v="SALE1042"/>
    <d v="2025-09-06T00:00:00"/>
    <x v="7"/>
    <s v="CUST1171"/>
    <s v="PROD75"/>
    <s v="STORE10"/>
    <n v="4"/>
    <n v="4"/>
    <n v="552.38"/>
    <n v="0.1"/>
    <x v="1"/>
    <n v="1988.568"/>
    <s v="High"/>
    <s v="Amy Wilson"/>
    <x v="4"/>
    <x v="10"/>
    <x v="2"/>
    <x v="2"/>
    <s v="Bulk order"/>
  </r>
  <r>
    <s v="SALE1043"/>
    <d v="2023-11-21T00:00:00"/>
    <x v="8"/>
    <s v="CUST1107"/>
    <s v="PROD58"/>
    <s v="STORE17"/>
    <n v="4"/>
    <n v="4"/>
    <n v="377.26"/>
    <n v="0.22"/>
    <x v="2"/>
    <n v="1177.0512000000001"/>
    <s v="High"/>
    <s v="Erica Carney"/>
    <x v="4"/>
    <x v="36"/>
    <x v="0"/>
    <x v="2"/>
    <s v="Bulk order"/>
  </r>
  <r>
    <s v="SALE1044"/>
    <d v="2023-11-27T00:00:00"/>
    <x v="8"/>
    <s v="CUST1053"/>
    <s v="PROD47"/>
    <s v="STORE19"/>
    <n v="4"/>
    <n v="4"/>
    <n v="189.07"/>
    <n v="0.1"/>
    <x v="2"/>
    <n v="680.65200000000004"/>
    <s v="Low"/>
    <s v="Sharon Brown"/>
    <x v="3"/>
    <x v="37"/>
    <x v="2"/>
    <x v="0"/>
    <s v="Bulk order"/>
  </r>
  <r>
    <s v="SALE1045"/>
    <d v="2025-06-10T00:00:00"/>
    <x v="4"/>
    <s v="CUST1499"/>
    <s v="PROD30"/>
    <s v="STORE4"/>
    <n v="3"/>
    <n v="3"/>
    <n v="272.27"/>
    <n v="0.01"/>
    <x v="0"/>
    <n v="808.64189999999996"/>
    <s v="Low"/>
    <s v="Philip Pennington"/>
    <x v="2"/>
    <x v="38"/>
    <x v="1"/>
    <x v="2"/>
    <s v="Normal order"/>
  </r>
  <r>
    <s v="SALE1046"/>
    <d v="2025-05-29T00:00:00"/>
    <x v="11"/>
    <s v="CUST1264"/>
    <s v="PROD92"/>
    <s v="STORE11"/>
    <n v="1"/>
    <n v="1"/>
    <n v="209.39"/>
    <n v="0.28000000000000003"/>
    <x v="1"/>
    <n v="150.76079999999999"/>
    <s v="Low"/>
    <s v="Matthew Payne"/>
    <x v="2"/>
    <x v="39"/>
    <x v="1"/>
    <x v="0"/>
    <s v="Normal order"/>
  </r>
  <r>
    <s v="SALE1047"/>
    <d v="2023-12-28T00:00:00"/>
    <x v="1"/>
    <s v="CUST1053"/>
    <s v="PROD80"/>
    <s v="STORE9"/>
    <n v="1"/>
    <n v="1"/>
    <n v="813.87"/>
    <n v="0.23"/>
    <x v="0"/>
    <n v="626.67989999999998"/>
    <s v="Low"/>
    <s v="Sharon Brown"/>
    <x v="2"/>
    <x v="24"/>
    <x v="1"/>
    <x v="0"/>
    <s v="Normal order"/>
  </r>
  <r>
    <s v="SALE1048"/>
    <d v="2025-05-06T00:00:00"/>
    <x v="11"/>
    <s v="CUST1257"/>
    <s v="PROD28"/>
    <s v="STORE0"/>
    <n v="1"/>
    <n v="1"/>
    <n v="143.69999999999999"/>
    <n v="0.19"/>
    <x v="1"/>
    <n v="116.39700000000001"/>
    <s v="Low"/>
    <s v="Christopher David"/>
    <x v="0"/>
    <x v="40"/>
    <x v="2"/>
    <x v="1"/>
    <s v="Normal order"/>
  </r>
  <r>
    <s v="SALE1049"/>
    <d v="2024-04-03T00:00:00"/>
    <x v="5"/>
    <s v="CUST1470"/>
    <s v="PROD46"/>
    <s v="STORE1"/>
    <n v="4"/>
    <n v="4"/>
    <n v="837.34"/>
    <n v="0.05"/>
    <x v="1"/>
    <n v="3181.8919999999998"/>
    <s v="High"/>
    <s v="Manuel Fisher"/>
    <x v="4"/>
    <x v="41"/>
    <x v="0"/>
    <x v="0"/>
    <s v="Bulk order"/>
  </r>
  <r>
    <s v="SALE105"/>
    <d v="2023-10-15T00:00:00"/>
    <x v="6"/>
    <s v="CUST1002"/>
    <s v="PROD79"/>
    <s v="STORE17"/>
    <n v="2"/>
    <n v="2"/>
    <n v="418.23"/>
    <n v="0.28000000000000003"/>
    <x v="0"/>
    <n v="602.25120000000004"/>
    <s v="Low"/>
    <s v="Dr. Benjamin Price"/>
    <x v="2"/>
    <x v="14"/>
    <x v="0"/>
    <x v="2"/>
    <s v="Normal order"/>
  </r>
  <r>
    <s v="SALE1050"/>
    <d v="2025-08-09T00:00:00"/>
    <x v="10"/>
    <s v="CUST1120"/>
    <s v="PROD15"/>
    <s v="STORE19"/>
    <n v="1"/>
    <n v="1"/>
    <n v="151.66"/>
    <n v="0.16"/>
    <x v="2"/>
    <n v="127.3944"/>
    <s v="Low"/>
    <s v="Jacob Hopkins"/>
    <x v="1"/>
    <x v="42"/>
    <x v="2"/>
    <x v="2"/>
    <s v="Normal order"/>
  </r>
  <r>
    <s v="SALE1051"/>
    <d v="2025-03-04T00:00:00"/>
    <x v="9"/>
    <s v="CUST1499"/>
    <s v="PROD44"/>
    <s v="STORE8"/>
    <n v="3"/>
    <n v="3"/>
    <n v="961.4"/>
    <n v="0.02"/>
    <x v="1"/>
    <n v="2826.5160000000001"/>
    <s v="High"/>
    <s v="Philip Pennington"/>
    <x v="0"/>
    <x v="31"/>
    <x v="3"/>
    <x v="2"/>
    <s v="Normal order"/>
  </r>
  <r>
    <s v="SALE1052"/>
    <d v="2024-07-30T00:00:00"/>
    <x v="0"/>
    <s v="CUST1370"/>
    <s v="PROD74"/>
    <s v="STORE18"/>
    <n v="4"/>
    <n v="4"/>
    <n v="475.98"/>
    <n v="0.19"/>
    <x v="1"/>
    <n v="1542.1751999999999"/>
    <s v="High"/>
    <s v="James Holloway Jr."/>
    <x v="1"/>
    <x v="1"/>
    <x v="2"/>
    <x v="1"/>
    <s v="Bulk order"/>
  </r>
  <r>
    <s v="SALE1053"/>
    <d v="2024-09-16T00:00:00"/>
    <x v="7"/>
    <s v="CUST1380"/>
    <s v="PROD38"/>
    <s v="STORE15"/>
    <n v="4"/>
    <n v="4"/>
    <n v="132.88999999999999"/>
    <n v="0.12"/>
    <x v="0"/>
    <n v="467.77280000000002"/>
    <s v="Low"/>
    <s v="Shelley Ponce"/>
    <x v="0"/>
    <x v="43"/>
    <x v="0"/>
    <x v="0"/>
    <s v="Bulk order"/>
  </r>
  <r>
    <s v="SALE1054"/>
    <d v="2025-07-12T00:00:00"/>
    <x v="0"/>
    <s v="CUST1437"/>
    <s v="PROD35"/>
    <s v="STORE12"/>
    <n v="3"/>
    <n v="3"/>
    <n v="471.31"/>
    <n v="0"/>
    <x v="1"/>
    <n v="1413.93"/>
    <s v="High"/>
    <s v="Melinda Rivera"/>
    <x v="2"/>
    <x v="44"/>
    <x v="0"/>
    <x v="2"/>
    <s v="Normal order"/>
  </r>
  <r>
    <s v="SALE1055"/>
    <d v="2024-05-29T00:00:00"/>
    <x v="11"/>
    <s v="CUST1464"/>
    <s v="PROD76"/>
    <s v="STORE14"/>
    <n v="2"/>
    <n v="2"/>
    <n v="720.32"/>
    <n v="0.26"/>
    <x v="0"/>
    <n v="1066.0735999999999"/>
    <s v="High"/>
    <s v="David Pierce"/>
    <x v="1"/>
    <x v="45"/>
    <x v="1"/>
    <x v="2"/>
    <s v="Normal order"/>
  </r>
  <r>
    <s v="SALE1056"/>
    <d v="2024-05-19T00:00:00"/>
    <x v="11"/>
    <s v="CUST1075"/>
    <s v="PROD66"/>
    <s v="STORE18"/>
    <n v="4"/>
    <n v="4"/>
    <n v="99.92"/>
    <n v="0.11"/>
    <x v="2"/>
    <n v="355.71519999999998"/>
    <s v="Low"/>
    <s v="Rhonda Morales"/>
    <x v="3"/>
    <x v="46"/>
    <x v="2"/>
    <x v="0"/>
    <s v="Bulk order"/>
  </r>
  <r>
    <s v="SALE1057"/>
    <d v="2025-08-04T00:00:00"/>
    <x v="10"/>
    <s v="CUST1067"/>
    <s v="PROD10"/>
    <s v="STORE3"/>
    <n v="3"/>
    <n v="3"/>
    <n v="900.63"/>
    <n v="0.11"/>
    <x v="2"/>
    <n v="2404.6821"/>
    <s v="High"/>
    <s v="Amber Mcclain"/>
    <x v="2"/>
    <x v="47"/>
    <x v="0"/>
    <x v="1"/>
    <s v="Normal order"/>
  </r>
  <r>
    <s v="SALE1058"/>
    <d v="2024-12-03T00:00:00"/>
    <x v="1"/>
    <s v="CUST1442"/>
    <s v="PROD46"/>
    <s v="STORE8"/>
    <n v="1"/>
    <n v="1"/>
    <n v="681.72"/>
    <n v="0.11"/>
    <x v="1"/>
    <n v="606.73080000000004"/>
    <s v="Low"/>
    <s v="Kelli Smith"/>
    <x v="4"/>
    <x v="41"/>
    <x v="3"/>
    <x v="3"/>
    <s v="Normal order"/>
  </r>
  <r>
    <s v="SALE1059"/>
    <d v="2023-10-23T00:00:00"/>
    <x v="6"/>
    <s v="CUST1009"/>
    <s v="PROD78"/>
    <s v="STORE13"/>
    <n v="2"/>
    <n v="2"/>
    <n v="838.22"/>
    <n v="0.3"/>
    <x v="0"/>
    <n v="1173.508"/>
    <s v="High"/>
    <s v="Ms. Maria Leach"/>
    <x v="2"/>
    <x v="33"/>
    <x v="2"/>
    <x v="2"/>
    <s v="Normal order"/>
  </r>
  <r>
    <s v="SALE106"/>
    <d v="2025-08-22T00:00:00"/>
    <x v="10"/>
    <s v="CUST1269"/>
    <s v="PROD19"/>
    <s v="STORE18"/>
    <n v="3"/>
    <n v="3"/>
    <n v="551.72"/>
    <n v="0.03"/>
    <x v="2"/>
    <n v="1605.5052000000001"/>
    <s v="High"/>
    <s v="Tyrone Olson"/>
    <x v="0"/>
    <x v="32"/>
    <x v="2"/>
    <x v="1"/>
    <s v="Normal order"/>
  </r>
  <r>
    <s v="SALE1060"/>
    <d v="2025-05-20T00:00:00"/>
    <x v="11"/>
    <s v="CUST1194"/>
    <s v="PROD87"/>
    <s v="STORE12"/>
    <n v="2"/>
    <n v="2"/>
    <n v="816.22"/>
    <n v="0.27"/>
    <x v="0"/>
    <n v="1191.6812"/>
    <s v="High"/>
    <s v="Ashley Ferguson"/>
    <x v="2"/>
    <x v="48"/>
    <x v="0"/>
    <x v="0"/>
    <s v="Normal order"/>
  </r>
  <r>
    <s v="SALE1061"/>
    <d v="2024-09-19T00:00:00"/>
    <x v="7"/>
    <s v="CUST1380"/>
    <s v="PROD61"/>
    <s v="STORE7"/>
    <n v="2"/>
    <n v="2"/>
    <n v="654.12"/>
    <n v="0.27"/>
    <x v="1"/>
    <n v="955.01519999999994"/>
    <s v="Low"/>
    <s v="Shelley Ponce"/>
    <x v="0"/>
    <x v="49"/>
    <x v="1"/>
    <x v="0"/>
    <s v="Normal order"/>
  </r>
  <r>
    <s v="SALE1062"/>
    <d v="2024-04-03T00:00:00"/>
    <x v="5"/>
    <s v="CUST1105"/>
    <s v="PROD73"/>
    <s v="STORE13"/>
    <n v="4"/>
    <n v="4"/>
    <n v="528.22"/>
    <n v="0.2"/>
    <x v="1"/>
    <n v="1690.3040000000001"/>
    <s v="High"/>
    <s v="Lance Baker"/>
    <x v="0"/>
    <x v="6"/>
    <x v="2"/>
    <x v="0"/>
    <s v="Bulk order"/>
  </r>
  <r>
    <s v="SALE1063"/>
    <d v="2025-02-16T00:00:00"/>
    <x v="2"/>
    <s v="CUST1221"/>
    <s v="PROD34"/>
    <s v="STORE7"/>
    <n v="4"/>
    <n v="4"/>
    <n v="36.72"/>
    <n v="7.0000000000000007E-2"/>
    <x v="2"/>
    <n v="136.5984"/>
    <s v="Low"/>
    <s v="Lisa Young"/>
    <x v="1"/>
    <x v="21"/>
    <x v="1"/>
    <x v="2"/>
    <s v="Bulk order"/>
  </r>
  <r>
    <s v="SALE1064"/>
    <d v="2024-09-10T00:00:00"/>
    <x v="7"/>
    <s v="CUST1370"/>
    <s v="PROD78"/>
    <s v="STORE19"/>
    <n v="2"/>
    <n v="2"/>
    <n v="705.97"/>
    <n v="0.1"/>
    <x v="1"/>
    <n v="1270.7460000000001"/>
    <s v="High"/>
    <s v="James Holloway Jr."/>
    <x v="2"/>
    <x v="33"/>
    <x v="2"/>
    <x v="1"/>
    <s v="Normal order"/>
  </r>
  <r>
    <s v="SALE1065"/>
    <d v="2025-03-20T00:00:00"/>
    <x v="9"/>
    <s v="CUST1023"/>
    <s v="PROD40"/>
    <s v="STORE1"/>
    <n v="2"/>
    <n v="2"/>
    <n v="994.29"/>
    <n v="0.01"/>
    <x v="1"/>
    <n v="1968.6941999999999"/>
    <s v="High"/>
    <s v="Jonathan Steele"/>
    <x v="1"/>
    <x v="50"/>
    <x v="0"/>
    <x v="1"/>
    <s v="Normal order"/>
  </r>
  <r>
    <s v="SALE1066"/>
    <d v="2024-11-12T00:00:00"/>
    <x v="8"/>
    <s v="CUST1421"/>
    <s v="PROD92"/>
    <s v="STORE18"/>
    <n v="1"/>
    <n v="1"/>
    <n v="909.04"/>
    <n v="0.11"/>
    <x v="0"/>
    <n v="809.04560000000004"/>
    <s v="Low"/>
    <s v="Holly Robinson"/>
    <x v="2"/>
    <x v="39"/>
    <x v="2"/>
    <x v="2"/>
    <s v="Normal order"/>
  </r>
  <r>
    <s v="SALE1067"/>
    <d v="2024-02-12T00:00:00"/>
    <x v="2"/>
    <s v="CUST1349"/>
    <s v="PROD34"/>
    <s v="STORE11"/>
    <n v="1"/>
    <n v="1"/>
    <n v="164.73"/>
    <n v="0.12"/>
    <x v="1"/>
    <n v="144.9624"/>
    <s v="Low"/>
    <s v="Heather Valenzuela"/>
    <x v="1"/>
    <x v="21"/>
    <x v="1"/>
    <x v="3"/>
    <s v="Normal order"/>
  </r>
  <r>
    <s v="SALE1068"/>
    <d v="2025-02-02T00:00:00"/>
    <x v="2"/>
    <s v="CUST1062"/>
    <s v="PROD37"/>
    <s v="STORE7"/>
    <n v="2"/>
    <n v="2"/>
    <n v="606.35"/>
    <n v="0.16"/>
    <x v="2"/>
    <n v="1018.668"/>
    <s v="High"/>
    <s v="James Bean"/>
    <x v="4"/>
    <x v="16"/>
    <x v="1"/>
    <x v="3"/>
    <s v="Normal order"/>
  </r>
  <r>
    <s v="SALE1069"/>
    <d v="2024-07-08T00:00:00"/>
    <x v="0"/>
    <s v="CUST1163"/>
    <s v="PROD98"/>
    <s v="STORE4"/>
    <n v="3"/>
    <n v="3"/>
    <n v="904.19"/>
    <n v="0.09"/>
    <x v="0"/>
    <n v="2468.4387000000002"/>
    <s v="High"/>
    <s v="Joseph Jones"/>
    <x v="1"/>
    <x v="51"/>
    <x v="1"/>
    <x v="3"/>
    <s v="Normal order"/>
  </r>
  <r>
    <s v="SALE107"/>
    <d v="2024-02-01T00:00:00"/>
    <x v="2"/>
    <s v="CUST1338"/>
    <s v="PROD86"/>
    <s v="STORE7"/>
    <n v="4"/>
    <n v="4"/>
    <n v="525.61"/>
    <n v="0.02"/>
    <x v="1"/>
    <n v="2060.3912"/>
    <s v="High"/>
    <s v="Jasmine Snyder"/>
    <x v="2"/>
    <x v="30"/>
    <x v="1"/>
    <x v="1"/>
    <s v="Bulk order"/>
  </r>
  <r>
    <s v="SALE1070"/>
    <d v="2024-10-11T00:00:00"/>
    <x v="6"/>
    <s v="CUST1151"/>
    <s v="PROD50"/>
    <s v="STORE2"/>
    <n v="4"/>
    <n v="4"/>
    <n v="694.61"/>
    <n v="0.18"/>
    <x v="2"/>
    <n v="2278.3208"/>
    <s v="High"/>
    <s v="Michael Davies"/>
    <x v="0"/>
    <x v="52"/>
    <x v="1"/>
    <x v="0"/>
    <s v="Bulk order"/>
  </r>
  <r>
    <s v="SALE1071"/>
    <d v="2023-10-16T00:00:00"/>
    <x v="6"/>
    <s v="CUST1225"/>
    <s v="PROD89"/>
    <s v="STORE2"/>
    <n v="4"/>
    <n v="4"/>
    <n v="753.83"/>
    <n v="0.24"/>
    <x v="0"/>
    <n v="2291.6432"/>
    <s v="High"/>
    <s v="Elizabeth Stanley"/>
    <x v="3"/>
    <x v="53"/>
    <x v="1"/>
    <x v="2"/>
    <s v="Bulk order"/>
  </r>
  <r>
    <s v="SALE1072"/>
    <d v="2024-12-27T00:00:00"/>
    <x v="1"/>
    <s v="CUST1197"/>
    <s v="PROD21"/>
    <s v="STORE8"/>
    <n v="1"/>
    <n v="1"/>
    <n v="66.22"/>
    <n v="0.02"/>
    <x v="0"/>
    <n v="64.895600000000002"/>
    <s v="Low"/>
    <s v="Andrea Jacobs"/>
    <x v="2"/>
    <x v="54"/>
    <x v="3"/>
    <x v="2"/>
    <s v="Normal order"/>
  </r>
  <r>
    <s v="SALE1073"/>
    <d v="2023-11-11T00:00:00"/>
    <x v="8"/>
    <s v="CUST1337"/>
    <s v="PROD64"/>
    <s v="STORE14"/>
    <n v="2"/>
    <n v="2"/>
    <n v="891.8"/>
    <n v="0.28999999999999998"/>
    <x v="2"/>
    <n v="1266.356"/>
    <s v="High"/>
    <s v="Carol Lewis"/>
    <x v="3"/>
    <x v="55"/>
    <x v="1"/>
    <x v="3"/>
    <s v="Normal order"/>
  </r>
  <r>
    <s v="SALE1074"/>
    <d v="2024-05-16T00:00:00"/>
    <x v="11"/>
    <s v="CUST1363"/>
    <s v="PROD75"/>
    <s v="STORE9"/>
    <n v="4"/>
    <n v="4"/>
    <n v="255.48"/>
    <n v="0.03"/>
    <x v="2"/>
    <n v="991.26239999999996"/>
    <s v="Low"/>
    <s v="Elizabeth Smith"/>
    <x v="4"/>
    <x v="10"/>
    <x v="1"/>
    <x v="3"/>
    <s v="Bulk order"/>
  </r>
  <r>
    <s v="SALE1075"/>
    <d v="2024-10-28T00:00:00"/>
    <x v="6"/>
    <s v="CUST1301"/>
    <s v="PROD84"/>
    <s v="STORE17"/>
    <n v="4"/>
    <n v="4"/>
    <n v="604.87"/>
    <n v="0.28000000000000003"/>
    <x v="1"/>
    <n v="1742.0255999999999"/>
    <s v="High"/>
    <s v="Ryan Kane"/>
    <x v="2"/>
    <x v="56"/>
    <x v="0"/>
    <x v="0"/>
    <s v="Bulk order"/>
  </r>
  <r>
    <s v="SALE1076"/>
    <d v="2024-03-19T00:00:00"/>
    <x v="9"/>
    <s v="CUST1045"/>
    <s v="PROD33"/>
    <s v="STORE17"/>
    <n v="3"/>
    <n v="3"/>
    <n v="623.82000000000005"/>
    <n v="0.13"/>
    <x v="2"/>
    <n v="1628.1702"/>
    <s v="High"/>
    <s v="Jordan Jackson Dds"/>
    <x v="2"/>
    <x v="3"/>
    <x v="0"/>
    <x v="0"/>
    <s v="Normal order"/>
  </r>
  <r>
    <s v="SALE1077"/>
    <d v="2025-08-13T00:00:00"/>
    <x v="10"/>
    <s v="CUST1138"/>
    <s v="PROD71"/>
    <s v="STORE16"/>
    <n v="3"/>
    <n v="3"/>
    <n v="575.24"/>
    <n v="0.12"/>
    <x v="2"/>
    <n v="1518.6335999999999"/>
    <s v="High"/>
    <s v="Sean Roth"/>
    <x v="3"/>
    <x v="57"/>
    <x v="3"/>
    <x v="0"/>
    <s v="Normal order"/>
  </r>
  <r>
    <s v="SALE1078"/>
    <d v="2025-08-09T00:00:00"/>
    <x v="10"/>
    <s v="CUST1414"/>
    <s v="PROD4"/>
    <s v="STORE11"/>
    <n v="1"/>
    <n v="1"/>
    <n v="769.4"/>
    <n v="0.16"/>
    <x v="0"/>
    <n v="646.29599999999994"/>
    <s v="Low"/>
    <s v="Melissa Valentine"/>
    <x v="4"/>
    <x v="58"/>
    <x v="1"/>
    <x v="0"/>
    <s v="Normal order"/>
  </r>
  <r>
    <s v="SALE1079"/>
    <d v="2024-05-08T00:00:00"/>
    <x v="11"/>
    <s v="CUST1329"/>
    <s v="PROD4"/>
    <s v="STORE17"/>
    <n v="1"/>
    <n v="1"/>
    <n v="227.28"/>
    <n v="0.13"/>
    <x v="2"/>
    <n v="197.7336"/>
    <s v="Low"/>
    <s v="Victor Mcintosh"/>
    <x v="4"/>
    <x v="58"/>
    <x v="0"/>
    <x v="3"/>
    <s v="Normal order"/>
  </r>
  <r>
    <s v="SALE108"/>
    <d v="2025-05-08T00:00:00"/>
    <x v="11"/>
    <s v="CUST1041"/>
    <s v="PROD22"/>
    <s v="STORE13"/>
    <n v="3"/>
    <n v="3"/>
    <n v="815.3"/>
    <n v="0.03"/>
    <x v="0"/>
    <n v="2372.5230000000001"/>
    <s v="High"/>
    <s v="James Gibbs"/>
    <x v="0"/>
    <x v="59"/>
    <x v="2"/>
    <x v="2"/>
    <s v="Normal order"/>
  </r>
  <r>
    <s v="SALE1080"/>
    <d v="2024-03-10T00:00:00"/>
    <x v="9"/>
    <s v="CUST1051"/>
    <s v="PROD2"/>
    <s v="STORE17"/>
    <n v="4"/>
    <n v="4"/>
    <n v="127.58"/>
    <n v="0.15"/>
    <x v="0"/>
    <n v="433.77199999999999"/>
    <s v="Low"/>
    <s v="Sarah Rodgers"/>
    <x v="4"/>
    <x v="60"/>
    <x v="0"/>
    <x v="0"/>
    <s v="Bulk order"/>
  </r>
  <r>
    <s v="SALE1081"/>
    <d v="2025-02-14T00:00:00"/>
    <x v="2"/>
    <s v="CUST1418"/>
    <s v="PROD44"/>
    <s v="STORE3"/>
    <n v="1"/>
    <n v="1"/>
    <n v="793.21"/>
    <n v="0.09"/>
    <x v="0"/>
    <n v="721.8211"/>
    <s v="Low"/>
    <s v="Luke Parks"/>
    <x v="0"/>
    <x v="31"/>
    <x v="0"/>
    <x v="1"/>
    <s v="Normal order"/>
  </r>
  <r>
    <s v="SALE1082"/>
    <d v="2025-08-02T00:00:00"/>
    <x v="10"/>
    <s v="CUST1301"/>
    <s v="PROD83"/>
    <s v="STORE12"/>
    <n v="3"/>
    <n v="3"/>
    <n v="435.61"/>
    <n v="0.03"/>
    <x v="1"/>
    <n v="1267.6251"/>
    <s v="High"/>
    <s v="Ryan Kane"/>
    <x v="3"/>
    <x v="61"/>
    <x v="0"/>
    <x v="0"/>
    <s v="Normal order"/>
  </r>
  <r>
    <s v="SALE1083"/>
    <d v="2024-08-27T00:00:00"/>
    <x v="10"/>
    <s v="CUST1385"/>
    <s v="PROD29"/>
    <s v="STORE16"/>
    <n v="1"/>
    <n v="1"/>
    <n v="850.06"/>
    <n v="0.28999999999999998"/>
    <x v="1"/>
    <n v="603.54259999999988"/>
    <s v="Low"/>
    <s v="Tammy Brennan"/>
    <x v="2"/>
    <x v="62"/>
    <x v="3"/>
    <x v="0"/>
    <s v="Normal order"/>
  </r>
  <r>
    <s v="SALE1084"/>
    <d v="2024-02-08T00:00:00"/>
    <x v="2"/>
    <s v="CUST1347"/>
    <s v="PROD16"/>
    <s v="STORE16"/>
    <n v="2"/>
    <n v="2"/>
    <n v="753.92"/>
    <n v="0.17"/>
    <x v="1"/>
    <n v="1251.5072"/>
    <s v="High"/>
    <s v="Justin Mason Dds"/>
    <x v="3"/>
    <x v="63"/>
    <x v="3"/>
    <x v="0"/>
    <s v="Normal order"/>
  </r>
  <r>
    <s v="SALE1085"/>
    <d v="2024-01-20T00:00:00"/>
    <x v="3"/>
    <s v="CUST1488"/>
    <s v="PROD4"/>
    <s v="STORE13"/>
    <n v="3"/>
    <n v="3"/>
    <n v="408.99"/>
    <n v="0.27"/>
    <x v="1"/>
    <n v="895.68809999999996"/>
    <s v="Low"/>
    <s v="Zachary Andrade"/>
    <x v="4"/>
    <x v="58"/>
    <x v="2"/>
    <x v="2"/>
    <s v="Normal order"/>
  </r>
  <r>
    <s v="SALE1086"/>
    <d v="2024-10-02T00:00:00"/>
    <x v="6"/>
    <s v="CUST1285"/>
    <s v="PROD57"/>
    <s v="STORE5"/>
    <n v="3"/>
    <n v="3"/>
    <n v="404.5"/>
    <n v="0.22"/>
    <x v="1"/>
    <n v="946.53000000000009"/>
    <s v="Low"/>
    <s v="Donna Guerra"/>
    <x v="0"/>
    <x v="64"/>
    <x v="0"/>
    <x v="1"/>
    <s v="Normal order"/>
  </r>
  <r>
    <s v="SALE1087"/>
    <d v="2023-11-09T00:00:00"/>
    <x v="8"/>
    <s v="CUST1380"/>
    <s v="PROD39"/>
    <s v="STORE3"/>
    <n v="3"/>
    <n v="3"/>
    <n v="717.81"/>
    <n v="0.17"/>
    <x v="2"/>
    <n v="1787.3469"/>
    <s v="High"/>
    <s v="Shelley Ponce"/>
    <x v="1"/>
    <x v="65"/>
    <x v="0"/>
    <x v="0"/>
    <s v="Normal order"/>
  </r>
  <r>
    <s v="SALE1088"/>
    <d v="2023-12-24T00:00:00"/>
    <x v="1"/>
    <s v="CUST1251"/>
    <s v="PROD84"/>
    <s v="STORE1"/>
    <n v="3"/>
    <n v="3"/>
    <n v="204.77"/>
    <n v="0.14000000000000001"/>
    <x v="0"/>
    <n v="528.3066"/>
    <s v="Low"/>
    <s v="Tyler Garner"/>
    <x v="2"/>
    <x v="56"/>
    <x v="0"/>
    <x v="1"/>
    <s v="Normal order"/>
  </r>
  <r>
    <s v="SALE1089"/>
    <d v="2025-01-29T00:00:00"/>
    <x v="3"/>
    <s v="CUST1039"/>
    <s v="PROD48"/>
    <s v="STORE18"/>
    <n v="4"/>
    <n v="4"/>
    <n v="106.23"/>
    <n v="0.28000000000000003"/>
    <x v="2"/>
    <n v="305.94240000000002"/>
    <s v="Low"/>
    <s v="Tonya Reynolds"/>
    <x v="1"/>
    <x v="66"/>
    <x v="2"/>
    <x v="0"/>
    <s v="Bulk order"/>
  </r>
  <r>
    <s v="SALE109"/>
    <d v="2025-03-22T00:00:00"/>
    <x v="9"/>
    <s v="CUST1214"/>
    <s v="PROD91"/>
    <s v="STORE0"/>
    <n v="3"/>
    <n v="3"/>
    <n v="376.46"/>
    <n v="0.09"/>
    <x v="2"/>
    <n v="1027.7357999999999"/>
    <s v="High"/>
    <s v="Eric Todd"/>
    <x v="4"/>
    <x v="67"/>
    <x v="2"/>
    <x v="0"/>
    <s v="Normal order"/>
  </r>
  <r>
    <s v="SALE1090"/>
    <d v="2025-06-16T00:00:00"/>
    <x v="4"/>
    <s v="CUST1325"/>
    <s v="PROD66"/>
    <s v="STORE5"/>
    <n v="2"/>
    <n v="2"/>
    <n v="769.48"/>
    <n v="0.11"/>
    <x v="1"/>
    <n v="1369.6744000000001"/>
    <s v="High"/>
    <s v="Andrew Smith"/>
    <x v="3"/>
    <x v="46"/>
    <x v="0"/>
    <x v="3"/>
    <s v="Normal order"/>
  </r>
  <r>
    <s v="SALE1091"/>
    <d v="2025-07-29T00:00:00"/>
    <x v="0"/>
    <s v="CUST1255"/>
    <s v="PROD57"/>
    <s v="STORE13"/>
    <n v="2"/>
    <n v="2"/>
    <n v="714.21"/>
    <n v="0.14000000000000001"/>
    <x v="0"/>
    <n v="1228.4412"/>
    <s v="High"/>
    <s v="Damon Perez"/>
    <x v="0"/>
    <x v="64"/>
    <x v="2"/>
    <x v="0"/>
    <s v="Normal order"/>
  </r>
  <r>
    <s v="SALE1092"/>
    <d v="2024-10-13T00:00:00"/>
    <x v="6"/>
    <s v="CUST1271"/>
    <s v="PROD11"/>
    <s v="STORE15"/>
    <n v="4"/>
    <n v="4"/>
    <n v="632.24"/>
    <n v="0.25"/>
    <x v="1"/>
    <n v="1896.72"/>
    <s v="High"/>
    <s v="Daisy Johnson Dds"/>
    <x v="1"/>
    <x v="68"/>
    <x v="0"/>
    <x v="2"/>
    <s v="Bulk order"/>
  </r>
  <r>
    <s v="SALE1093"/>
    <d v="2024-10-10T00:00:00"/>
    <x v="6"/>
    <s v="CUST1161"/>
    <s v="PROD78"/>
    <s v="STORE3"/>
    <n v="2"/>
    <n v="2"/>
    <n v="845.27"/>
    <n v="0.18"/>
    <x v="1"/>
    <n v="1386.2428"/>
    <s v="High"/>
    <s v="Cynthia Morris"/>
    <x v="2"/>
    <x v="33"/>
    <x v="0"/>
    <x v="1"/>
    <s v="Normal order"/>
  </r>
  <r>
    <s v="SALE1094"/>
    <d v="2025-06-08T00:00:00"/>
    <x v="4"/>
    <s v="CUST1497"/>
    <s v="PROD87"/>
    <s v="STORE13"/>
    <n v="1"/>
    <n v="1"/>
    <n v="575.94000000000005"/>
    <n v="0.17"/>
    <x v="0"/>
    <n v="478.03019999999998"/>
    <s v="Low"/>
    <s v="Sarah Marsh"/>
    <x v="2"/>
    <x v="48"/>
    <x v="2"/>
    <x v="0"/>
    <s v="Normal order"/>
  </r>
  <r>
    <s v="SALE1095"/>
    <d v="2024-11-24T00:00:00"/>
    <x v="8"/>
    <s v="CUST1251"/>
    <s v="PROD84"/>
    <s v="STORE15"/>
    <n v="1"/>
    <n v="1"/>
    <n v="907.97"/>
    <n v="0.26"/>
    <x v="2"/>
    <n v="671.89779999999996"/>
    <s v="Low"/>
    <s v="Tyler Garner"/>
    <x v="2"/>
    <x v="56"/>
    <x v="0"/>
    <x v="1"/>
    <s v="Normal order"/>
  </r>
  <r>
    <s v="SALE1096"/>
    <d v="2025-02-07T00:00:00"/>
    <x v="2"/>
    <s v="CUST1266"/>
    <s v="PROD20"/>
    <s v="STORE12"/>
    <n v="1"/>
    <n v="1"/>
    <n v="99.35"/>
    <n v="0.08"/>
    <x v="2"/>
    <n v="91.402000000000001"/>
    <s v="Low"/>
    <s v="Cynthia Payne"/>
    <x v="0"/>
    <x v="69"/>
    <x v="0"/>
    <x v="3"/>
    <s v="Normal order"/>
  </r>
  <r>
    <s v="SALE1097"/>
    <d v="2024-10-31T00:00:00"/>
    <x v="6"/>
    <s v="CUST1071"/>
    <s v="PROD0"/>
    <s v="STORE3"/>
    <n v="2"/>
    <n v="2"/>
    <n v="374.42"/>
    <n v="0.21"/>
    <x v="2"/>
    <n v="591.58360000000005"/>
    <s v="Low"/>
    <s v="Andrea Perez"/>
    <x v="1"/>
    <x v="7"/>
    <x v="0"/>
    <x v="0"/>
    <s v="Normal order"/>
  </r>
  <r>
    <s v="SALE1098"/>
    <d v="2025-07-31T00:00:00"/>
    <x v="0"/>
    <s v="CUST1481"/>
    <s v="PROD15"/>
    <s v="STORE15"/>
    <n v="3"/>
    <n v="3"/>
    <n v="248.43"/>
    <n v="0.24"/>
    <x v="2"/>
    <n v="566.42039999999997"/>
    <s v="Low"/>
    <s v="Bryan Tran"/>
    <x v="1"/>
    <x v="42"/>
    <x v="0"/>
    <x v="0"/>
    <s v="Normal order"/>
  </r>
  <r>
    <s v="SALE1099"/>
    <d v="2024-12-05T00:00:00"/>
    <x v="1"/>
    <s v="CUST1468"/>
    <s v="PROD85"/>
    <s v="STORE1"/>
    <n v="1"/>
    <n v="1"/>
    <n v="784.46"/>
    <n v="0.14000000000000001"/>
    <x v="2"/>
    <n v="674.63560000000007"/>
    <s v="Low"/>
    <s v="Gregory Curtis"/>
    <x v="4"/>
    <x v="70"/>
    <x v="0"/>
    <x v="3"/>
    <s v="Normal order"/>
  </r>
  <r>
    <s v="SALE11"/>
    <d v="2025-05-24T00:00:00"/>
    <x v="11"/>
    <s v="CUST1320"/>
    <s v="PROD39"/>
    <s v="STORE1"/>
    <n v="4"/>
    <n v="4"/>
    <n v="286.92"/>
    <n v="0.17"/>
    <x v="0"/>
    <n v="952.57439999999997"/>
    <s v="Low"/>
    <s v="Jessica Gonzalez"/>
    <x v="1"/>
    <x v="65"/>
    <x v="0"/>
    <x v="3"/>
    <s v="Bulk order"/>
  </r>
  <r>
    <s v="SALE110"/>
    <d v="2025-07-13T00:00:00"/>
    <x v="0"/>
    <s v="CUST1007"/>
    <s v="PROD42"/>
    <s v="STORE8"/>
    <n v="4"/>
    <n v="4"/>
    <n v="239.83"/>
    <n v="0.08"/>
    <x v="0"/>
    <n v="882.57440000000008"/>
    <s v="Low"/>
    <s v="Daniel Boyd"/>
    <x v="1"/>
    <x v="71"/>
    <x v="3"/>
    <x v="3"/>
    <s v="Bulk order"/>
  </r>
  <r>
    <s v="SALE1100"/>
    <d v="2024-03-28T00:00:00"/>
    <x v="9"/>
    <s v="CUST1259"/>
    <s v="PROD52"/>
    <s v="STORE10"/>
    <n v="3"/>
    <n v="3"/>
    <n v="70.88"/>
    <n v="0.27"/>
    <x v="2"/>
    <n v="155.22720000000001"/>
    <s v="Low"/>
    <s v="Beth Allen"/>
    <x v="0"/>
    <x v="22"/>
    <x v="2"/>
    <x v="1"/>
    <s v="Normal order"/>
  </r>
  <r>
    <s v="SALE1101"/>
    <d v="2024-12-15T00:00:00"/>
    <x v="1"/>
    <s v="CUST1110"/>
    <s v="PROD8"/>
    <s v="STORE1"/>
    <n v="3"/>
    <n v="3"/>
    <n v="324.29000000000002"/>
    <n v="0.16"/>
    <x v="2"/>
    <n v="817.21080000000006"/>
    <s v="Low"/>
    <s v="Ashley Griffin"/>
    <x v="1"/>
    <x v="12"/>
    <x v="0"/>
    <x v="0"/>
    <s v="Normal order"/>
  </r>
  <r>
    <s v="SALE1102"/>
    <d v="2025-07-04T00:00:00"/>
    <x v="0"/>
    <s v="CUST1141"/>
    <s v="PROD15"/>
    <s v="STORE3"/>
    <n v="4"/>
    <n v="4"/>
    <n v="243.92"/>
    <n v="0.02"/>
    <x v="1"/>
    <n v="956.16639999999995"/>
    <s v="Low"/>
    <s v="Cristian Wright"/>
    <x v="1"/>
    <x v="42"/>
    <x v="0"/>
    <x v="3"/>
    <s v="Bulk order"/>
  </r>
  <r>
    <s v="SALE1103"/>
    <d v="2023-11-27T00:00:00"/>
    <x v="8"/>
    <s v="CUST1375"/>
    <s v="PROD28"/>
    <s v="STORE13"/>
    <n v="1"/>
    <n v="1"/>
    <n v="664.35"/>
    <n v="0"/>
    <x v="0"/>
    <n v="664.35"/>
    <s v="Low"/>
    <s v="Joshua Bell"/>
    <x v="0"/>
    <x v="40"/>
    <x v="2"/>
    <x v="2"/>
    <s v="Normal order"/>
  </r>
  <r>
    <s v="SALE1104"/>
    <d v="2024-06-25T00:00:00"/>
    <x v="4"/>
    <s v="CUST1384"/>
    <s v="PROD21"/>
    <s v="STORE10"/>
    <n v="2"/>
    <n v="2"/>
    <n v="218.07"/>
    <n v="0.19"/>
    <x v="1"/>
    <n v="353.27339999999998"/>
    <s v="Low"/>
    <s v="Andrew Mason"/>
    <x v="2"/>
    <x v="54"/>
    <x v="2"/>
    <x v="3"/>
    <s v="Normal order"/>
  </r>
  <r>
    <s v="SALE1105"/>
    <d v="2023-10-29T00:00:00"/>
    <x v="6"/>
    <s v="CUST1383"/>
    <s v="PROD15"/>
    <s v="STORE3"/>
    <n v="4"/>
    <n v="4"/>
    <n v="921.83"/>
    <n v="0.27"/>
    <x v="0"/>
    <n v="2691.7435999999998"/>
    <s v="High"/>
    <s v="Kristine Higgins"/>
    <x v="1"/>
    <x v="42"/>
    <x v="0"/>
    <x v="1"/>
    <s v="Bulk order"/>
  </r>
  <r>
    <s v="SALE1106"/>
    <d v="2025-01-04T00:00:00"/>
    <x v="3"/>
    <s v="CUST1168"/>
    <s v="PROD50"/>
    <s v="STORE1"/>
    <n v="3"/>
    <n v="3"/>
    <n v="326.2"/>
    <n v="0.22"/>
    <x v="2"/>
    <n v="763.30799999999999"/>
    <s v="Low"/>
    <s v="Daniel Contreras"/>
    <x v="0"/>
    <x v="52"/>
    <x v="0"/>
    <x v="2"/>
    <s v="Normal order"/>
  </r>
  <r>
    <s v="SALE1107"/>
    <d v="2025-02-13T00:00:00"/>
    <x v="2"/>
    <s v="CUST1458"/>
    <s v="PROD17"/>
    <s v="STORE19"/>
    <n v="1"/>
    <n v="1"/>
    <n v="244.25"/>
    <n v="0.09"/>
    <x v="1"/>
    <n v="222.26750000000001"/>
    <s v="Low"/>
    <s v="Kelly Garrett"/>
    <x v="0"/>
    <x v="29"/>
    <x v="2"/>
    <x v="1"/>
    <s v="Normal order"/>
  </r>
  <r>
    <s v="SALE1108"/>
    <d v="2024-06-05T00:00:00"/>
    <x v="4"/>
    <s v="CUST1369"/>
    <s v="PROD61"/>
    <s v="STORE10"/>
    <n v="3"/>
    <n v="3"/>
    <n v="808.87"/>
    <n v="0.12"/>
    <x v="2"/>
    <n v="2135.4168"/>
    <s v="High"/>
    <s v="Gregory Allen"/>
    <x v="0"/>
    <x v="49"/>
    <x v="2"/>
    <x v="2"/>
    <s v="Normal order"/>
  </r>
  <r>
    <s v="SALE1109"/>
    <d v="2024-04-05T00:00:00"/>
    <x v="5"/>
    <s v="CUST1338"/>
    <s v="PROD31"/>
    <s v="STORE2"/>
    <n v="3"/>
    <n v="3"/>
    <n v="826.15"/>
    <n v="0"/>
    <x v="1"/>
    <n v="2478.4499999999998"/>
    <s v="High"/>
    <s v="Jasmine Snyder"/>
    <x v="0"/>
    <x v="72"/>
    <x v="1"/>
    <x v="1"/>
    <s v="Normal order"/>
  </r>
  <r>
    <s v="SALE111"/>
    <d v="2025-05-21T00:00:00"/>
    <x v="11"/>
    <s v="CUST1119"/>
    <s v="PROD90"/>
    <s v="STORE3"/>
    <n v="2"/>
    <n v="2"/>
    <n v="845.71"/>
    <n v="0.01"/>
    <x v="1"/>
    <n v="1674.5057999999999"/>
    <s v="High"/>
    <s v="Michael Jones"/>
    <x v="1"/>
    <x v="73"/>
    <x v="0"/>
    <x v="3"/>
    <s v="Normal order"/>
  </r>
  <r>
    <s v="SALE1110"/>
    <d v="2024-12-26T00:00:00"/>
    <x v="1"/>
    <s v="CUST1187"/>
    <s v="PROD24"/>
    <s v="STORE19"/>
    <n v="3"/>
    <n v="3"/>
    <n v="631.20000000000005"/>
    <n v="0.24"/>
    <x v="0"/>
    <n v="1439.136"/>
    <s v="High"/>
    <s v="Dr. Suzanne Bullock"/>
    <x v="0"/>
    <x v="2"/>
    <x v="2"/>
    <x v="2"/>
    <s v="Normal order"/>
  </r>
  <r>
    <s v="SALE1111"/>
    <d v="2024-01-25T00:00:00"/>
    <x v="3"/>
    <s v="CUST1274"/>
    <s v="PROD58"/>
    <s v="STORE10"/>
    <n v="1"/>
    <n v="1"/>
    <n v="937.01"/>
    <n v="7.0000000000000007E-2"/>
    <x v="0"/>
    <n v="871.41929999999991"/>
    <s v="Low"/>
    <s v="Sarah Lane"/>
    <x v="4"/>
    <x v="36"/>
    <x v="2"/>
    <x v="1"/>
    <s v="Normal order"/>
  </r>
  <r>
    <s v="SALE1112"/>
    <d v="2024-01-25T00:00:00"/>
    <x v="3"/>
    <s v="CUST1151"/>
    <s v="PROD73"/>
    <s v="STORE5"/>
    <n v="2"/>
    <n v="2"/>
    <n v="644"/>
    <n v="0.04"/>
    <x v="1"/>
    <n v="1236.48"/>
    <s v="High"/>
    <s v="Michael Davies"/>
    <x v="0"/>
    <x v="6"/>
    <x v="0"/>
    <x v="0"/>
    <s v="Normal order"/>
  </r>
  <r>
    <s v="SALE1113"/>
    <d v="2025-08-19T00:00:00"/>
    <x v="10"/>
    <s v="CUST1094"/>
    <s v="PROD91"/>
    <s v="STORE5"/>
    <n v="3"/>
    <n v="3"/>
    <n v="629.58000000000004"/>
    <n v="0.05"/>
    <x v="0"/>
    <n v="1794.3030000000001"/>
    <s v="High"/>
    <s v="David Patterson"/>
    <x v="4"/>
    <x v="67"/>
    <x v="0"/>
    <x v="0"/>
    <s v="Normal order"/>
  </r>
  <r>
    <s v="SALE1114"/>
    <d v="2025-05-14T00:00:00"/>
    <x v="11"/>
    <s v="CUST1466"/>
    <s v="PROD87"/>
    <s v="STORE2"/>
    <n v="2"/>
    <n v="2"/>
    <n v="121.52"/>
    <n v="0.18"/>
    <x v="2"/>
    <n v="199.2928"/>
    <s v="Low"/>
    <s v="Cynthia Parrish"/>
    <x v="2"/>
    <x v="48"/>
    <x v="1"/>
    <x v="1"/>
    <s v="Normal order"/>
  </r>
  <r>
    <s v="SALE1115"/>
    <d v="2024-05-08T00:00:00"/>
    <x v="11"/>
    <s v="CUST1401"/>
    <s v="PROD65"/>
    <s v="STORE19"/>
    <n v="2"/>
    <n v="2"/>
    <n v="549.83000000000004"/>
    <n v="7.0000000000000007E-2"/>
    <x v="1"/>
    <n v="1022.6838"/>
    <s v="High"/>
    <s v="Terry Moses"/>
    <x v="0"/>
    <x v="74"/>
    <x v="2"/>
    <x v="2"/>
    <s v="Normal order"/>
  </r>
  <r>
    <s v="SALE1116"/>
    <d v="2023-10-20T00:00:00"/>
    <x v="6"/>
    <s v="CUST1140"/>
    <s v="PROD13"/>
    <s v="STORE8"/>
    <n v="3"/>
    <n v="3"/>
    <n v="278.38"/>
    <n v="0.03"/>
    <x v="0"/>
    <n v="810.08579999999995"/>
    <s v="Low"/>
    <s v="Patty Francis"/>
    <x v="1"/>
    <x v="75"/>
    <x v="3"/>
    <x v="0"/>
    <s v="Normal order"/>
  </r>
  <r>
    <s v="SALE1117"/>
    <d v="2024-08-06T00:00:00"/>
    <x v="10"/>
    <s v="CUST1437"/>
    <s v="PROD96"/>
    <s v="STORE3"/>
    <n v="4"/>
    <n v="4"/>
    <n v="723.66"/>
    <n v="0.03"/>
    <x v="1"/>
    <n v="2807.8008"/>
    <s v="High"/>
    <s v="Melinda Rivera"/>
    <x v="4"/>
    <x v="76"/>
    <x v="0"/>
    <x v="2"/>
    <s v="Bulk order"/>
  </r>
  <r>
    <s v="SALE1118"/>
    <d v="2025-01-30T00:00:00"/>
    <x v="3"/>
    <s v="CUST1205"/>
    <s v="PROD72"/>
    <s v="STORE9"/>
    <n v="1"/>
    <n v="1"/>
    <n v="724.74"/>
    <n v="0.15"/>
    <x v="1"/>
    <n v="616.029"/>
    <s v="Low"/>
    <s v="Michelle Carpenter"/>
    <x v="0"/>
    <x v="35"/>
    <x v="1"/>
    <x v="0"/>
    <s v="Normal order"/>
  </r>
  <r>
    <s v="SALE1119"/>
    <d v="2023-12-11T00:00:00"/>
    <x v="1"/>
    <s v="CUST1455"/>
    <s v="PROD21"/>
    <s v="STORE4"/>
    <n v="2"/>
    <n v="2"/>
    <n v="961.84"/>
    <n v="0.25"/>
    <x v="1"/>
    <n v="1442.76"/>
    <s v="High"/>
    <s v="Tyler Weber"/>
    <x v="2"/>
    <x v="54"/>
    <x v="1"/>
    <x v="0"/>
    <s v="Normal order"/>
  </r>
  <r>
    <s v="SALE112"/>
    <d v="2025-02-17T00:00:00"/>
    <x v="2"/>
    <s v="CUST1087"/>
    <s v="PROD76"/>
    <s v="STORE13"/>
    <n v="3"/>
    <n v="3"/>
    <n v="948.69"/>
    <n v="0.28999999999999998"/>
    <x v="0"/>
    <n v="2020.7097000000001"/>
    <s v="High"/>
    <s v="Melissa Duffy Md"/>
    <x v="1"/>
    <x v="45"/>
    <x v="2"/>
    <x v="3"/>
    <s v="Normal order"/>
  </r>
  <r>
    <s v="SALE1120"/>
    <d v="2024-06-03T00:00:00"/>
    <x v="4"/>
    <s v="CUST1020"/>
    <s v="PROD37"/>
    <s v="STORE16"/>
    <n v="4"/>
    <n v="4"/>
    <n v="21.12"/>
    <n v="0.18"/>
    <x v="2"/>
    <n v="69.273600000000002"/>
    <s v="Low"/>
    <s v="Bridget Allen"/>
    <x v="4"/>
    <x v="16"/>
    <x v="3"/>
    <x v="1"/>
    <s v="Bulk order"/>
  </r>
  <r>
    <s v="SALE1121"/>
    <d v="2024-10-14T00:00:00"/>
    <x v="6"/>
    <s v="CUST1319"/>
    <s v="PROD0"/>
    <s v="STORE4"/>
    <n v="3"/>
    <n v="3"/>
    <n v="819.93"/>
    <n v="0.08"/>
    <x v="1"/>
    <n v="2263.0068000000001"/>
    <s v="High"/>
    <s v="Casey Simpson"/>
    <x v="1"/>
    <x v="7"/>
    <x v="1"/>
    <x v="2"/>
    <s v="Normal order"/>
  </r>
  <r>
    <s v="SALE1122"/>
    <d v="2025-03-09T00:00:00"/>
    <x v="9"/>
    <s v="CUST1294"/>
    <s v="PROD42"/>
    <s v="STORE0"/>
    <n v="2"/>
    <n v="2"/>
    <n v="700.95"/>
    <n v="0.18"/>
    <x v="0"/>
    <n v="1149.558"/>
    <s v="High"/>
    <s v="Lisa Chandler"/>
    <x v="1"/>
    <x v="71"/>
    <x v="2"/>
    <x v="2"/>
    <s v="Normal order"/>
  </r>
  <r>
    <s v="SALE1123"/>
    <d v="2025-09-10T00:00:00"/>
    <x v="7"/>
    <s v="CUST1141"/>
    <s v="PROD17"/>
    <s v="STORE14"/>
    <n v="2"/>
    <n v="2"/>
    <n v="456.38"/>
    <n v="0.12"/>
    <x v="0"/>
    <n v="803.22879999999998"/>
    <s v="Low"/>
    <s v="Cristian Wright"/>
    <x v="0"/>
    <x v="29"/>
    <x v="1"/>
    <x v="3"/>
    <s v="Normal order"/>
  </r>
  <r>
    <s v="SALE1124"/>
    <d v="2024-06-04T00:00:00"/>
    <x v="4"/>
    <s v="CUST1361"/>
    <s v="PROD76"/>
    <s v="STORE14"/>
    <n v="3"/>
    <n v="3"/>
    <n v="291.05"/>
    <n v="0.3"/>
    <x v="0"/>
    <n v="611.20500000000004"/>
    <s v="Low"/>
    <s v="Natalie Johnson"/>
    <x v="1"/>
    <x v="45"/>
    <x v="1"/>
    <x v="2"/>
    <s v="Normal order"/>
  </r>
  <r>
    <s v="SALE1125"/>
    <d v="2024-01-16T00:00:00"/>
    <x v="3"/>
    <s v="CUST1233"/>
    <s v="PROD95"/>
    <s v="STORE15"/>
    <n v="2"/>
    <n v="2"/>
    <n v="463.52"/>
    <n v="0.27"/>
    <x v="1"/>
    <n v="676.73919999999998"/>
    <s v="Low"/>
    <s v="Michelle Gonzalez"/>
    <x v="0"/>
    <x v="28"/>
    <x v="0"/>
    <x v="1"/>
    <s v="Normal order"/>
  </r>
  <r>
    <s v="SALE1126"/>
    <d v="2024-12-27T00:00:00"/>
    <x v="1"/>
    <s v="CUST1379"/>
    <s v="PROD0"/>
    <s v="STORE17"/>
    <n v="3"/>
    <n v="3"/>
    <n v="241.64"/>
    <n v="0.28999999999999998"/>
    <x v="1"/>
    <n v="514.69319999999993"/>
    <s v="Low"/>
    <s v="Tanya Lopez"/>
    <x v="1"/>
    <x v="7"/>
    <x v="0"/>
    <x v="0"/>
    <s v="Normal order"/>
  </r>
  <r>
    <s v="SALE1127"/>
    <d v="2025-06-09T00:00:00"/>
    <x v="4"/>
    <s v="CUST1483"/>
    <s v="PROD30"/>
    <s v="STORE10"/>
    <n v="2"/>
    <n v="2"/>
    <n v="47.86"/>
    <n v="0.03"/>
    <x v="1"/>
    <n v="92.848399999999998"/>
    <s v="Low"/>
    <s v="Sarah Smith"/>
    <x v="2"/>
    <x v="38"/>
    <x v="2"/>
    <x v="0"/>
    <s v="Normal order"/>
  </r>
  <r>
    <s v="SALE1128"/>
    <d v="2024-08-05T00:00:00"/>
    <x v="10"/>
    <s v="CUST1344"/>
    <s v="PROD92"/>
    <s v="STORE3"/>
    <n v="1"/>
    <n v="1"/>
    <n v="805.07"/>
    <n v="0.06"/>
    <x v="2"/>
    <n v="756.76580000000001"/>
    <s v="Low"/>
    <s v="Evelyn Brown"/>
    <x v="2"/>
    <x v="39"/>
    <x v="0"/>
    <x v="0"/>
    <s v="Normal order"/>
  </r>
  <r>
    <s v="SALE1129"/>
    <d v="2025-04-06T00:00:00"/>
    <x v="5"/>
    <s v="CUST1373"/>
    <s v="PROD34"/>
    <s v="STORE1"/>
    <n v="3"/>
    <n v="3"/>
    <n v="848.48"/>
    <n v="0"/>
    <x v="2"/>
    <n v="2545.44"/>
    <s v="High"/>
    <s v="James Orozco"/>
    <x v="1"/>
    <x v="21"/>
    <x v="0"/>
    <x v="0"/>
    <s v="Normal order"/>
  </r>
  <r>
    <s v="SALE113"/>
    <d v="2024-05-01T00:00:00"/>
    <x v="11"/>
    <s v="CUST1467"/>
    <s v="PROD27"/>
    <s v="STORE10"/>
    <n v="1"/>
    <n v="1"/>
    <n v="281.97000000000003"/>
    <n v="0.2"/>
    <x v="1"/>
    <n v="225.57599999999999"/>
    <s v="Low"/>
    <s v="Michael Foley"/>
    <x v="2"/>
    <x v="77"/>
    <x v="2"/>
    <x v="0"/>
    <s v="Normal order"/>
  </r>
  <r>
    <s v="SALE1130"/>
    <d v="2024-08-08T00:00:00"/>
    <x v="10"/>
    <s v="CUST1244"/>
    <s v="PROD53"/>
    <s v="STORE8"/>
    <n v="2"/>
    <n v="2"/>
    <n v="568.95000000000005"/>
    <n v="0.22"/>
    <x v="0"/>
    <n v="887.56200000000013"/>
    <s v="Low"/>
    <s v="Nancy Page"/>
    <x v="4"/>
    <x v="20"/>
    <x v="3"/>
    <x v="3"/>
    <s v="Normal order"/>
  </r>
  <r>
    <s v="SALE1131"/>
    <d v="2025-04-17T00:00:00"/>
    <x v="5"/>
    <s v="CUST1162"/>
    <s v="PROD53"/>
    <s v="STORE11"/>
    <n v="3"/>
    <n v="3"/>
    <n v="269.83999999999997"/>
    <n v="0.05"/>
    <x v="1"/>
    <n v="769.04399999999998"/>
    <s v="Low"/>
    <s v="Mariah Brown"/>
    <x v="4"/>
    <x v="20"/>
    <x v="1"/>
    <x v="1"/>
    <s v="Normal order"/>
  </r>
  <r>
    <s v="SALE1132"/>
    <d v="2025-03-30T00:00:00"/>
    <x v="9"/>
    <s v="CUST1309"/>
    <s v="PROD62"/>
    <s v="STORE13"/>
    <n v="4"/>
    <n v="4"/>
    <n v="267.36"/>
    <n v="0.27"/>
    <x v="1"/>
    <n v="780.69119999999998"/>
    <s v="Low"/>
    <s v="Stacy Collins"/>
    <x v="1"/>
    <x v="19"/>
    <x v="2"/>
    <x v="3"/>
    <s v="Bulk order"/>
  </r>
  <r>
    <s v="SALE1133"/>
    <d v="2024-12-21T00:00:00"/>
    <x v="1"/>
    <s v="CUST1114"/>
    <s v="PROD37"/>
    <s v="STORE1"/>
    <n v="1"/>
    <n v="1"/>
    <n v="438.41"/>
    <n v="0.09"/>
    <x v="0"/>
    <n v="398.95310000000012"/>
    <s v="Low"/>
    <s v="Ryan Hernandez"/>
    <x v="4"/>
    <x v="16"/>
    <x v="0"/>
    <x v="3"/>
    <s v="Normal order"/>
  </r>
  <r>
    <s v="SALE1134"/>
    <d v="2024-05-31T00:00:00"/>
    <x v="11"/>
    <s v="CUST1164"/>
    <s v="PROD51"/>
    <s v="STORE18"/>
    <n v="2"/>
    <n v="2"/>
    <n v="86.72"/>
    <n v="0.28000000000000003"/>
    <x v="2"/>
    <n v="124.8768"/>
    <s v="Low"/>
    <s v="Daniel Rivas"/>
    <x v="1"/>
    <x v="78"/>
    <x v="2"/>
    <x v="1"/>
    <s v="Normal order"/>
  </r>
  <r>
    <s v="SALE1135"/>
    <d v="2025-03-06T00:00:00"/>
    <x v="9"/>
    <s v="CUST1425"/>
    <s v="PROD89"/>
    <s v="STORE6"/>
    <n v="4"/>
    <n v="4"/>
    <n v="630.21"/>
    <n v="0.14000000000000001"/>
    <x v="2"/>
    <n v="2167.9223999999999"/>
    <s v="High"/>
    <s v="Bryce Hawkins"/>
    <x v="3"/>
    <x v="53"/>
    <x v="2"/>
    <x v="3"/>
    <s v="Bulk order"/>
  </r>
  <r>
    <s v="SALE1136"/>
    <d v="2024-10-10T00:00:00"/>
    <x v="6"/>
    <s v="CUST1359"/>
    <s v="PROD59"/>
    <s v="STORE6"/>
    <n v="3"/>
    <n v="3"/>
    <n v="180.84"/>
    <n v="0.03"/>
    <x v="1"/>
    <n v="526.24439999999993"/>
    <s v="Low"/>
    <s v="Melanie Lam"/>
    <x v="3"/>
    <x v="4"/>
    <x v="2"/>
    <x v="1"/>
    <s v="Normal order"/>
  </r>
  <r>
    <s v="SALE1137"/>
    <d v="2024-05-29T00:00:00"/>
    <x v="11"/>
    <s v="CUST1004"/>
    <s v="PROD64"/>
    <s v="STORE16"/>
    <n v="1"/>
    <n v="1"/>
    <n v="453.41"/>
    <n v="0.04"/>
    <x v="2"/>
    <n v="435.27359999999999"/>
    <s v="Low"/>
    <s v="Caroline Collins"/>
    <x v="3"/>
    <x v="55"/>
    <x v="3"/>
    <x v="1"/>
    <s v="Normal order"/>
  </r>
  <r>
    <s v="SALE1138"/>
    <d v="2025-10-10T00:00:00"/>
    <x v="6"/>
    <s v="CUST1024"/>
    <s v="PROD51"/>
    <s v="STORE6"/>
    <n v="1"/>
    <n v="1"/>
    <n v="629.09"/>
    <n v="0.02"/>
    <x v="0"/>
    <n v="616.50819999999999"/>
    <s v="Low"/>
    <s v="Heather Collins"/>
    <x v="1"/>
    <x v="78"/>
    <x v="2"/>
    <x v="2"/>
    <s v="Normal order"/>
  </r>
  <r>
    <s v="SALE1139"/>
    <d v="2024-08-14T00:00:00"/>
    <x v="10"/>
    <s v="CUST1022"/>
    <s v="PROD77"/>
    <s v="STORE2"/>
    <n v="2"/>
    <n v="2"/>
    <n v="257.45"/>
    <n v="0"/>
    <x v="2"/>
    <n v="514.9"/>
    <s v="Low"/>
    <s v="Paul Fox"/>
    <x v="1"/>
    <x v="79"/>
    <x v="1"/>
    <x v="1"/>
    <s v="Normal order"/>
  </r>
  <r>
    <s v="SALE114"/>
    <d v="2024-07-09T00:00:00"/>
    <x v="0"/>
    <s v="CUST1152"/>
    <s v="PROD91"/>
    <s v="STORE4"/>
    <n v="2"/>
    <n v="2"/>
    <n v="731.01"/>
    <n v="0.05"/>
    <x v="1"/>
    <n v="1388.9190000000001"/>
    <s v="High"/>
    <s v="Patrick Roberts"/>
    <x v="4"/>
    <x v="67"/>
    <x v="1"/>
    <x v="2"/>
    <s v="Normal order"/>
  </r>
  <r>
    <s v="SALE1140"/>
    <d v="2025-07-23T00:00:00"/>
    <x v="0"/>
    <s v="CUST1179"/>
    <s v="PROD34"/>
    <s v="STORE15"/>
    <n v="2"/>
    <n v="2"/>
    <n v="696.61"/>
    <n v="0.17"/>
    <x v="1"/>
    <n v="1156.3725999999999"/>
    <s v="High"/>
    <s v="Nicholas Bradshaw"/>
    <x v="1"/>
    <x v="21"/>
    <x v="0"/>
    <x v="1"/>
    <s v="Normal order"/>
  </r>
  <r>
    <s v="SALE1141"/>
    <d v="2024-05-04T00:00:00"/>
    <x v="11"/>
    <s v="CUST1373"/>
    <s v="PROD46"/>
    <s v="STORE7"/>
    <n v="2"/>
    <n v="2"/>
    <n v="143.79"/>
    <n v="0.1"/>
    <x v="1"/>
    <n v="258.822"/>
    <s v="Low"/>
    <s v="James Orozco"/>
    <x v="4"/>
    <x v="41"/>
    <x v="1"/>
    <x v="0"/>
    <s v="Normal order"/>
  </r>
  <r>
    <s v="SALE1142"/>
    <d v="2024-11-12T00:00:00"/>
    <x v="8"/>
    <s v="CUST1296"/>
    <s v="PROD83"/>
    <s v="STORE1"/>
    <n v="3"/>
    <n v="3"/>
    <n v="460.93"/>
    <n v="0.19"/>
    <x v="2"/>
    <n v="1120.0599"/>
    <s v="High"/>
    <s v="Jared Moran"/>
    <x v="3"/>
    <x v="61"/>
    <x v="0"/>
    <x v="3"/>
    <s v="Normal order"/>
  </r>
  <r>
    <s v="SALE1143"/>
    <d v="2024-01-10T00:00:00"/>
    <x v="3"/>
    <s v="CUST1499"/>
    <s v="PROD28"/>
    <s v="STORE9"/>
    <n v="2"/>
    <n v="2"/>
    <n v="67.55"/>
    <n v="0.03"/>
    <x v="0"/>
    <n v="131.047"/>
    <s v="Low"/>
    <s v="Philip Pennington"/>
    <x v="0"/>
    <x v="40"/>
    <x v="1"/>
    <x v="2"/>
    <s v="Normal order"/>
  </r>
  <r>
    <s v="SALE1144"/>
    <d v="2024-05-21T00:00:00"/>
    <x v="11"/>
    <s v="CUST1210"/>
    <s v="PROD49"/>
    <s v="STORE1"/>
    <n v="3"/>
    <n v="3"/>
    <n v="803.31"/>
    <n v="0.1"/>
    <x v="1"/>
    <n v="2168.9369999999999"/>
    <s v="High"/>
    <s v="Antonio Jones"/>
    <x v="3"/>
    <x v="80"/>
    <x v="0"/>
    <x v="1"/>
    <s v="Normal order"/>
  </r>
  <r>
    <s v="SALE1145"/>
    <d v="2025-06-13T00:00:00"/>
    <x v="4"/>
    <s v="CUST1432"/>
    <s v="PROD16"/>
    <s v="STORE13"/>
    <n v="4"/>
    <n v="4"/>
    <n v="254.71"/>
    <n v="0.2"/>
    <x v="2"/>
    <n v="815.07200000000012"/>
    <s v="Low"/>
    <s v="Summer Weiss"/>
    <x v="3"/>
    <x v="63"/>
    <x v="2"/>
    <x v="3"/>
    <s v="Bulk order"/>
  </r>
  <r>
    <s v="SALE1146"/>
    <d v="2024-08-04T00:00:00"/>
    <x v="10"/>
    <s v="CUST1051"/>
    <s v="PROD50"/>
    <s v="STORE4"/>
    <n v="4"/>
    <n v="4"/>
    <n v="594.89"/>
    <n v="0.3"/>
    <x v="1"/>
    <n v="1665.692"/>
    <s v="High"/>
    <s v="Sarah Rodgers"/>
    <x v="0"/>
    <x v="52"/>
    <x v="1"/>
    <x v="0"/>
    <s v="Bulk order"/>
  </r>
  <r>
    <s v="SALE1147"/>
    <d v="2025-07-16T00:00:00"/>
    <x v="0"/>
    <s v="CUST1219"/>
    <s v="PROD91"/>
    <s v="STORE0"/>
    <n v="2"/>
    <n v="2"/>
    <n v="844.31"/>
    <n v="7.0000000000000007E-2"/>
    <x v="1"/>
    <n v="1570.4166"/>
    <s v="High"/>
    <s v="Jordan Wells"/>
    <x v="4"/>
    <x v="67"/>
    <x v="2"/>
    <x v="0"/>
    <s v="Normal order"/>
  </r>
  <r>
    <s v="SALE1148"/>
    <d v="2024-10-04T00:00:00"/>
    <x v="6"/>
    <s v="CUST1134"/>
    <s v="PROD15"/>
    <s v="STORE6"/>
    <n v="4"/>
    <n v="4"/>
    <n v="101.33"/>
    <n v="0"/>
    <x v="0"/>
    <n v="405.32"/>
    <s v="Low"/>
    <s v="Morgan Bowen"/>
    <x v="1"/>
    <x v="42"/>
    <x v="2"/>
    <x v="0"/>
    <s v="Bulk order"/>
  </r>
  <r>
    <s v="SALE1149"/>
    <d v="2025-06-16T00:00:00"/>
    <x v="4"/>
    <s v="CUST1131"/>
    <s v="PROD26"/>
    <s v="STORE8"/>
    <n v="3"/>
    <n v="3"/>
    <n v="922.56"/>
    <n v="0.18"/>
    <x v="1"/>
    <n v="2269.4976000000001"/>
    <s v="High"/>
    <s v="Joseph Richards"/>
    <x v="1"/>
    <x v="81"/>
    <x v="3"/>
    <x v="3"/>
    <s v="Normal order"/>
  </r>
  <r>
    <s v="SALE115"/>
    <d v="2025-09-25T00:00:00"/>
    <x v="7"/>
    <s v="CUST1257"/>
    <s v="PROD85"/>
    <s v="STORE7"/>
    <n v="4"/>
    <n v="4"/>
    <n v="930.85"/>
    <n v="0.13"/>
    <x v="1"/>
    <n v="3239.3580000000002"/>
    <s v="High"/>
    <s v="Christopher David"/>
    <x v="4"/>
    <x v="70"/>
    <x v="1"/>
    <x v="1"/>
    <s v="Bulk order"/>
  </r>
  <r>
    <s v="SALE1150"/>
    <d v="2024-03-01T00:00:00"/>
    <x v="9"/>
    <s v="CUST1432"/>
    <s v="PROD38"/>
    <s v="STORE14"/>
    <n v="4"/>
    <n v="4"/>
    <n v="867.19"/>
    <n v="7.0000000000000007E-2"/>
    <x v="2"/>
    <n v="3225.9468000000002"/>
    <s v="High"/>
    <s v="Summer Weiss"/>
    <x v="0"/>
    <x v="43"/>
    <x v="1"/>
    <x v="3"/>
    <s v="Bulk order"/>
  </r>
  <r>
    <s v="SALE1151"/>
    <d v="2024-06-11T00:00:00"/>
    <x v="4"/>
    <s v="CUST1006"/>
    <s v="PROD83"/>
    <s v="STORE17"/>
    <n v="3"/>
    <n v="3"/>
    <n v="816.87"/>
    <n v="0.14000000000000001"/>
    <x v="1"/>
    <n v="2107.5246000000002"/>
    <s v="High"/>
    <s v="Amber Jackson"/>
    <x v="3"/>
    <x v="61"/>
    <x v="0"/>
    <x v="2"/>
    <s v="Normal order"/>
  </r>
  <r>
    <s v="SALE1152"/>
    <d v="2025-09-24T00:00:00"/>
    <x v="7"/>
    <s v="CUST1480"/>
    <s v="PROD65"/>
    <s v="STORE3"/>
    <n v="3"/>
    <n v="3"/>
    <n v="258.06"/>
    <n v="0"/>
    <x v="1"/>
    <n v="774.18000000000006"/>
    <s v="Low"/>
    <s v="Jordan Medina"/>
    <x v="0"/>
    <x v="74"/>
    <x v="0"/>
    <x v="3"/>
    <s v="Normal order"/>
  </r>
  <r>
    <s v="SALE1153"/>
    <d v="2025-02-06T00:00:00"/>
    <x v="2"/>
    <s v="CUST1312"/>
    <s v="PROD38"/>
    <s v="STORE14"/>
    <n v="2"/>
    <n v="2"/>
    <n v="574.58000000000004"/>
    <n v="0.06"/>
    <x v="0"/>
    <n v="1080.2103999999999"/>
    <s v="High"/>
    <s v="Jason Mullins"/>
    <x v="0"/>
    <x v="43"/>
    <x v="1"/>
    <x v="1"/>
    <s v="Normal order"/>
  </r>
  <r>
    <s v="SALE1154"/>
    <d v="2024-10-22T00:00:00"/>
    <x v="6"/>
    <s v="CUST1022"/>
    <s v="PROD83"/>
    <s v="STORE6"/>
    <n v="2"/>
    <n v="2"/>
    <n v="472.18"/>
    <n v="0.27"/>
    <x v="1"/>
    <n v="689.38279999999997"/>
    <s v="Low"/>
    <s v="Paul Fox"/>
    <x v="3"/>
    <x v="61"/>
    <x v="2"/>
    <x v="1"/>
    <s v="Normal order"/>
  </r>
  <r>
    <s v="SALE1155"/>
    <d v="2024-09-21T00:00:00"/>
    <x v="7"/>
    <s v="CUST1340"/>
    <s v="PROD41"/>
    <s v="STORE5"/>
    <n v="2"/>
    <n v="2"/>
    <n v="20.47"/>
    <n v="0.12"/>
    <x v="2"/>
    <n v="36.027200000000001"/>
    <s v="Low"/>
    <s v="Eric Davis"/>
    <x v="0"/>
    <x v="82"/>
    <x v="0"/>
    <x v="3"/>
    <s v="Normal order"/>
  </r>
  <r>
    <s v="SALE1156"/>
    <d v="2025-09-23T00:00:00"/>
    <x v="7"/>
    <s v="CUST1023"/>
    <s v="PROD22"/>
    <s v="STORE7"/>
    <n v="3"/>
    <n v="3"/>
    <n v="235.41"/>
    <n v="0.15"/>
    <x v="1"/>
    <n v="600.29549999999995"/>
    <s v="Low"/>
    <s v="Jonathan Steele"/>
    <x v="0"/>
    <x v="59"/>
    <x v="1"/>
    <x v="1"/>
    <s v="Normal order"/>
  </r>
  <r>
    <s v="SALE1157"/>
    <d v="2025-06-03T00:00:00"/>
    <x v="4"/>
    <s v="CUST1230"/>
    <s v="PROD78"/>
    <s v="STORE7"/>
    <n v="3"/>
    <n v="3"/>
    <n v="744.9"/>
    <n v="0.27"/>
    <x v="1"/>
    <n v="1631.3309999999999"/>
    <s v="High"/>
    <s v="Timothy Sanders"/>
    <x v="2"/>
    <x v="33"/>
    <x v="1"/>
    <x v="3"/>
    <s v="Normal order"/>
  </r>
  <r>
    <s v="SALE1158"/>
    <d v="2024-09-24T00:00:00"/>
    <x v="7"/>
    <s v="CUST1047"/>
    <s v="PROD18"/>
    <s v="STORE3"/>
    <n v="2"/>
    <n v="2"/>
    <n v="382.2"/>
    <n v="0.15"/>
    <x v="0"/>
    <n v="649.74"/>
    <s v="Low"/>
    <s v="Gina Knight"/>
    <x v="4"/>
    <x v="83"/>
    <x v="0"/>
    <x v="1"/>
    <s v="Normal order"/>
  </r>
  <r>
    <s v="SALE1159"/>
    <d v="2025-08-12T00:00:00"/>
    <x v="10"/>
    <s v="CUST1346"/>
    <s v="PROD90"/>
    <s v="STORE16"/>
    <n v="1"/>
    <n v="1"/>
    <n v="269.25"/>
    <n v="0.14000000000000001"/>
    <x v="1"/>
    <n v="231.55500000000001"/>
    <s v="Low"/>
    <s v="John Jordan"/>
    <x v="1"/>
    <x v="73"/>
    <x v="3"/>
    <x v="2"/>
    <s v="Normal order"/>
  </r>
  <r>
    <s v="SALE116"/>
    <d v="2024-05-08T00:00:00"/>
    <x v="11"/>
    <s v="CUST1419"/>
    <s v="PROD3"/>
    <s v="STORE8"/>
    <n v="4"/>
    <n v="4"/>
    <n v="770.77"/>
    <n v="0.22"/>
    <x v="0"/>
    <n v="2404.8024"/>
    <s v="High"/>
    <s v="Monica Miller"/>
    <x v="4"/>
    <x v="84"/>
    <x v="3"/>
    <x v="0"/>
    <s v="Bulk order"/>
  </r>
  <r>
    <s v="SALE1160"/>
    <d v="2024-03-16T00:00:00"/>
    <x v="9"/>
    <s v="CUST1365"/>
    <s v="PROD30"/>
    <s v="STORE11"/>
    <n v="2"/>
    <n v="2"/>
    <n v="723.75"/>
    <n v="0.03"/>
    <x v="1"/>
    <n v="1404.075"/>
    <s v="High"/>
    <s v="Brandon Mcbride"/>
    <x v="2"/>
    <x v="38"/>
    <x v="1"/>
    <x v="2"/>
    <s v="Normal order"/>
  </r>
  <r>
    <s v="SALE1161"/>
    <d v="2025-06-24T00:00:00"/>
    <x v="4"/>
    <s v="CUST1281"/>
    <s v="PROD19"/>
    <s v="STORE19"/>
    <n v="4"/>
    <n v="4"/>
    <n v="58.92"/>
    <n v="0.18"/>
    <x v="0"/>
    <n v="193.2576"/>
    <s v="Low"/>
    <s v="Brittany Watson"/>
    <x v="0"/>
    <x v="32"/>
    <x v="2"/>
    <x v="2"/>
    <s v="Bulk order"/>
  </r>
  <r>
    <s v="SALE1162"/>
    <d v="2024-05-26T00:00:00"/>
    <x v="11"/>
    <s v="CUST1188"/>
    <s v="PROD71"/>
    <s v="STORE10"/>
    <n v="2"/>
    <n v="2"/>
    <n v="913.08"/>
    <n v="0.26"/>
    <x v="0"/>
    <n v="1351.3584000000001"/>
    <s v="High"/>
    <s v="Kimberly Brooks"/>
    <x v="3"/>
    <x v="57"/>
    <x v="2"/>
    <x v="1"/>
    <s v="Normal order"/>
  </r>
  <r>
    <s v="SALE1163"/>
    <d v="2025-02-03T00:00:00"/>
    <x v="2"/>
    <s v="CUST1242"/>
    <s v="PROD81"/>
    <s v="STORE1"/>
    <n v="1"/>
    <n v="1"/>
    <n v="791.83"/>
    <n v="0.28000000000000003"/>
    <x v="1"/>
    <n v="570.11760000000004"/>
    <s v="Low"/>
    <s v="William Jackson"/>
    <x v="0"/>
    <x v="15"/>
    <x v="0"/>
    <x v="1"/>
    <s v="Normal order"/>
  </r>
  <r>
    <s v="SALE1164"/>
    <d v="2024-08-02T00:00:00"/>
    <x v="10"/>
    <s v="CUST1471"/>
    <s v="PROD3"/>
    <s v="STORE15"/>
    <n v="1"/>
    <n v="1"/>
    <n v="74.290000000000006"/>
    <n v="0.3"/>
    <x v="2"/>
    <n v="52.003"/>
    <s v="Low"/>
    <s v="Debra Mccullough"/>
    <x v="4"/>
    <x v="84"/>
    <x v="0"/>
    <x v="2"/>
    <s v="Normal order"/>
  </r>
  <r>
    <s v="SALE1165"/>
    <d v="2023-11-21T00:00:00"/>
    <x v="8"/>
    <s v="CUST1243"/>
    <s v="PROD35"/>
    <s v="STORE0"/>
    <n v="2"/>
    <n v="2"/>
    <n v="961.68"/>
    <n v="0.27"/>
    <x v="1"/>
    <n v="1404.0527999999999"/>
    <s v="High"/>
    <s v="Brian Hammond"/>
    <x v="2"/>
    <x v="44"/>
    <x v="2"/>
    <x v="0"/>
    <s v="Normal order"/>
  </r>
  <r>
    <s v="SALE1166"/>
    <d v="2025-03-06T00:00:00"/>
    <x v="9"/>
    <s v="CUST1494"/>
    <s v="PROD19"/>
    <s v="STORE14"/>
    <n v="1"/>
    <n v="1"/>
    <n v="90.72"/>
    <n v="0.1"/>
    <x v="1"/>
    <n v="81.647999999999996"/>
    <s v="Low"/>
    <s v="Justin Lopez"/>
    <x v="0"/>
    <x v="32"/>
    <x v="1"/>
    <x v="0"/>
    <s v="Normal order"/>
  </r>
  <r>
    <s v="SALE1167"/>
    <d v="2025-02-01T00:00:00"/>
    <x v="2"/>
    <s v="CUST1060"/>
    <s v="PROD58"/>
    <s v="STORE7"/>
    <n v="1"/>
    <n v="1"/>
    <n v="458.69"/>
    <n v="0.16"/>
    <x v="1"/>
    <n v="385.2996"/>
    <s v="Low"/>
    <s v="Dr. David Smith"/>
    <x v="4"/>
    <x v="36"/>
    <x v="1"/>
    <x v="1"/>
    <s v="Normal order"/>
  </r>
  <r>
    <s v="SALE1168"/>
    <d v="2024-02-24T00:00:00"/>
    <x v="2"/>
    <s v="CUST1231"/>
    <s v="PROD34"/>
    <s v="STORE7"/>
    <n v="1"/>
    <n v="1"/>
    <n v="168.29"/>
    <n v="0.05"/>
    <x v="1"/>
    <n v="159.87549999999999"/>
    <s v="Low"/>
    <s v="Timothy Juarez"/>
    <x v="1"/>
    <x v="21"/>
    <x v="1"/>
    <x v="3"/>
    <s v="Normal order"/>
  </r>
  <r>
    <s v="SALE1169"/>
    <d v="2024-09-14T00:00:00"/>
    <x v="7"/>
    <s v="CUST1211"/>
    <s v="PROD17"/>
    <s v="STORE17"/>
    <n v="1"/>
    <n v="1"/>
    <n v="391.77"/>
    <n v="0.1"/>
    <x v="1"/>
    <n v="352.59300000000002"/>
    <s v="Low"/>
    <s v="Rodney Huffman"/>
    <x v="0"/>
    <x v="29"/>
    <x v="0"/>
    <x v="1"/>
    <s v="Normal order"/>
  </r>
  <r>
    <s v="SALE117"/>
    <d v="2024-09-19T00:00:00"/>
    <x v="7"/>
    <s v="CUST1067"/>
    <s v="PROD46"/>
    <s v="STORE4"/>
    <n v="3"/>
    <n v="3"/>
    <n v="479.63"/>
    <n v="0.3"/>
    <x v="1"/>
    <n v="1007.223"/>
    <s v="High"/>
    <s v="Amber Mcclain"/>
    <x v="4"/>
    <x v="41"/>
    <x v="1"/>
    <x v="1"/>
    <s v="Normal order"/>
  </r>
  <r>
    <s v="SALE1170"/>
    <d v="2025-08-31T00:00:00"/>
    <x v="10"/>
    <s v="CUST1343"/>
    <s v="PROD12"/>
    <s v="STORE14"/>
    <n v="1"/>
    <n v="1"/>
    <n v="424.83"/>
    <n v="0.05"/>
    <x v="2"/>
    <n v="403.58850000000001"/>
    <s v="Low"/>
    <s v="Ryan Moore"/>
    <x v="3"/>
    <x v="85"/>
    <x v="1"/>
    <x v="3"/>
    <s v="Normal order"/>
  </r>
  <r>
    <s v="SALE1171"/>
    <d v="2024-01-17T00:00:00"/>
    <x v="3"/>
    <s v="CUST1053"/>
    <s v="PROD11"/>
    <s v="STORE3"/>
    <n v="1"/>
    <n v="1"/>
    <n v="499.46"/>
    <n v="0.1"/>
    <x v="0"/>
    <n v="449.51400000000001"/>
    <s v="Low"/>
    <s v="Sharon Brown"/>
    <x v="1"/>
    <x v="68"/>
    <x v="0"/>
    <x v="0"/>
    <s v="Normal order"/>
  </r>
  <r>
    <s v="SALE1172"/>
    <d v="2024-02-14T00:00:00"/>
    <x v="2"/>
    <s v="CUST1019"/>
    <s v="PROD99"/>
    <s v="STORE1"/>
    <n v="2"/>
    <n v="2"/>
    <n v="698.34"/>
    <n v="0.15"/>
    <x v="1"/>
    <n v="1187.1780000000001"/>
    <s v="High"/>
    <s v="Michael Torres"/>
    <x v="2"/>
    <x v="86"/>
    <x v="0"/>
    <x v="2"/>
    <s v="Normal order"/>
  </r>
  <r>
    <s v="SALE1173"/>
    <d v="2023-10-14T00:00:00"/>
    <x v="6"/>
    <s v="CUST1283"/>
    <s v="PROD56"/>
    <s v="STORE16"/>
    <n v="2"/>
    <n v="2"/>
    <n v="805.08"/>
    <n v="0.27"/>
    <x v="1"/>
    <n v="1175.4168"/>
    <s v="High"/>
    <s v="Bryan Garcia"/>
    <x v="2"/>
    <x v="87"/>
    <x v="3"/>
    <x v="1"/>
    <s v="Normal order"/>
  </r>
  <r>
    <s v="SALE1174"/>
    <d v="2025-03-26T00:00:00"/>
    <x v="9"/>
    <s v="CUST1466"/>
    <s v="PROD76"/>
    <s v="STORE2"/>
    <n v="4"/>
    <n v="4"/>
    <n v="934.79"/>
    <n v="0.08"/>
    <x v="1"/>
    <n v="3440.0272"/>
    <s v="High"/>
    <s v="Cynthia Parrish"/>
    <x v="1"/>
    <x v="45"/>
    <x v="1"/>
    <x v="1"/>
    <s v="Bulk order"/>
  </r>
  <r>
    <s v="SALE1175"/>
    <d v="2025-10-02T00:00:00"/>
    <x v="6"/>
    <s v="CUST1019"/>
    <s v="PROD60"/>
    <s v="STORE1"/>
    <n v="2"/>
    <n v="2"/>
    <n v="424.54"/>
    <n v="0.24"/>
    <x v="1"/>
    <n v="645.30080000000009"/>
    <s v="Low"/>
    <s v="Michael Torres"/>
    <x v="3"/>
    <x v="18"/>
    <x v="0"/>
    <x v="2"/>
    <s v="Normal order"/>
  </r>
  <r>
    <s v="SALE1176"/>
    <d v="2024-06-19T00:00:00"/>
    <x v="4"/>
    <s v="CUST1327"/>
    <s v="PROD84"/>
    <s v="STORE17"/>
    <n v="1"/>
    <n v="1"/>
    <n v="235.44"/>
    <n v="0.19"/>
    <x v="2"/>
    <n v="190.7064"/>
    <s v="Low"/>
    <s v="Reginald Willis"/>
    <x v="2"/>
    <x v="56"/>
    <x v="0"/>
    <x v="3"/>
    <s v="Normal order"/>
  </r>
  <r>
    <s v="SALE1177"/>
    <d v="2024-10-03T00:00:00"/>
    <x v="6"/>
    <s v="CUST1271"/>
    <s v="PROD49"/>
    <s v="STORE13"/>
    <n v="2"/>
    <n v="2"/>
    <n v="620.71"/>
    <n v="0.27"/>
    <x v="0"/>
    <n v="906.23660000000007"/>
    <s v="Low"/>
    <s v="Daisy Johnson Dds"/>
    <x v="3"/>
    <x v="80"/>
    <x v="2"/>
    <x v="2"/>
    <s v="Normal order"/>
  </r>
  <r>
    <s v="SALE1178"/>
    <d v="2024-04-15T00:00:00"/>
    <x v="5"/>
    <s v="CUST1115"/>
    <s v="PROD16"/>
    <s v="STORE11"/>
    <n v="2"/>
    <n v="2"/>
    <n v="851.77"/>
    <n v="0.13"/>
    <x v="1"/>
    <n v="1482.0798"/>
    <s v="High"/>
    <s v="Tyler Conrad"/>
    <x v="3"/>
    <x v="63"/>
    <x v="1"/>
    <x v="2"/>
    <s v="Normal order"/>
  </r>
  <r>
    <s v="SALE1179"/>
    <d v="2024-10-04T00:00:00"/>
    <x v="6"/>
    <s v="CUST1168"/>
    <s v="PROD45"/>
    <s v="STORE1"/>
    <n v="3"/>
    <n v="3"/>
    <n v="876.01"/>
    <n v="0.2"/>
    <x v="0"/>
    <n v="2102.424"/>
    <s v="High"/>
    <s v="Daniel Contreras"/>
    <x v="0"/>
    <x v="23"/>
    <x v="0"/>
    <x v="2"/>
    <s v="Normal order"/>
  </r>
  <r>
    <s v="SALE118"/>
    <d v="2024-04-23T00:00:00"/>
    <x v="5"/>
    <s v="CUST1105"/>
    <s v="PROD39"/>
    <s v="STORE11"/>
    <n v="1"/>
    <n v="1"/>
    <n v="165"/>
    <n v="0.3"/>
    <x v="2"/>
    <n v="115.5"/>
    <s v="Low"/>
    <s v="Lance Baker"/>
    <x v="1"/>
    <x v="65"/>
    <x v="1"/>
    <x v="0"/>
    <s v="Normal order"/>
  </r>
  <r>
    <s v="SALE1180"/>
    <d v="2024-03-02T00:00:00"/>
    <x v="9"/>
    <s v="CUST1276"/>
    <s v="PROD27"/>
    <s v="STORE9"/>
    <n v="2"/>
    <n v="2"/>
    <n v="717.21"/>
    <n v="0.15"/>
    <x v="2"/>
    <n v="1219.2570000000001"/>
    <s v="High"/>
    <s v="Arthur Warren"/>
    <x v="2"/>
    <x v="77"/>
    <x v="1"/>
    <x v="0"/>
    <s v="Normal order"/>
  </r>
  <r>
    <s v="SALE1181"/>
    <d v="2024-02-21T00:00:00"/>
    <x v="2"/>
    <s v="CUST1056"/>
    <s v="PROD41"/>
    <s v="STORE8"/>
    <n v="2"/>
    <n v="2"/>
    <n v="871.43"/>
    <n v="0.05"/>
    <x v="0"/>
    <n v="1655.7170000000001"/>
    <s v="High"/>
    <s v="Christopher Sutton"/>
    <x v="0"/>
    <x v="82"/>
    <x v="3"/>
    <x v="0"/>
    <s v="Normal order"/>
  </r>
  <r>
    <s v="SALE1182"/>
    <d v="2024-01-30T00:00:00"/>
    <x v="3"/>
    <s v="CUST1453"/>
    <s v="PROD36"/>
    <s v="STORE7"/>
    <n v="1"/>
    <n v="1"/>
    <n v="514.65"/>
    <n v="0.18"/>
    <x v="0"/>
    <n v="422.01299999999998"/>
    <s v="Low"/>
    <s v="April Phillips"/>
    <x v="4"/>
    <x v="88"/>
    <x v="1"/>
    <x v="2"/>
    <s v="Normal order"/>
  </r>
  <r>
    <s v="SALE1183"/>
    <d v="2024-12-24T00:00:00"/>
    <x v="1"/>
    <s v="CUST1459"/>
    <s v="PROD62"/>
    <s v="STORE16"/>
    <n v="3"/>
    <n v="3"/>
    <n v="198.76"/>
    <n v="0.28000000000000003"/>
    <x v="2"/>
    <n v="429.32159999999999"/>
    <s v="Low"/>
    <s v="John Perez"/>
    <x v="1"/>
    <x v="19"/>
    <x v="3"/>
    <x v="0"/>
    <s v="Normal order"/>
  </r>
  <r>
    <s v="SALE1184"/>
    <d v="2025-06-03T00:00:00"/>
    <x v="4"/>
    <s v="CUST1225"/>
    <s v="PROD63"/>
    <s v="STORE3"/>
    <n v="2"/>
    <n v="2"/>
    <n v="975.72"/>
    <n v="0.16"/>
    <x v="2"/>
    <n v="1639.2095999999999"/>
    <s v="High"/>
    <s v="Elizabeth Stanley"/>
    <x v="3"/>
    <x v="11"/>
    <x v="0"/>
    <x v="2"/>
    <s v="Normal order"/>
  </r>
  <r>
    <s v="SALE1185"/>
    <d v="2024-08-01T00:00:00"/>
    <x v="10"/>
    <s v="CUST1420"/>
    <s v="PROD15"/>
    <s v="STORE1"/>
    <n v="1"/>
    <n v="1"/>
    <n v="86.03"/>
    <n v="0.01"/>
    <x v="0"/>
    <n v="85.169700000000006"/>
    <s v="Low"/>
    <s v="Dr. Tamara White Md"/>
    <x v="1"/>
    <x v="42"/>
    <x v="0"/>
    <x v="3"/>
    <s v="Normal order"/>
  </r>
  <r>
    <s v="SALE1186"/>
    <d v="2025-08-28T00:00:00"/>
    <x v="10"/>
    <s v="CUST1087"/>
    <s v="PROD54"/>
    <s v="STORE12"/>
    <n v="4"/>
    <n v="4"/>
    <n v="705.12"/>
    <n v="0.15"/>
    <x v="1"/>
    <n v="2397.4079999999999"/>
    <s v="High"/>
    <s v="Melissa Duffy Md"/>
    <x v="0"/>
    <x v="8"/>
    <x v="0"/>
    <x v="3"/>
    <s v="Bulk order"/>
  </r>
  <r>
    <s v="SALE1187"/>
    <d v="2024-11-06T00:00:00"/>
    <x v="8"/>
    <s v="CUST1371"/>
    <s v="PROD18"/>
    <s v="STORE12"/>
    <n v="3"/>
    <n v="3"/>
    <n v="99.77"/>
    <n v="0.01"/>
    <x v="1"/>
    <n v="296.31689999999998"/>
    <s v="Low"/>
    <s v="Michael Garner"/>
    <x v="4"/>
    <x v="83"/>
    <x v="0"/>
    <x v="2"/>
    <s v="Normal order"/>
  </r>
  <r>
    <s v="SALE1188"/>
    <d v="2024-08-26T00:00:00"/>
    <x v="10"/>
    <s v="CUST1209"/>
    <s v="PROD34"/>
    <s v="STORE9"/>
    <n v="2"/>
    <n v="2"/>
    <n v="166.26"/>
    <n v="0.14000000000000001"/>
    <x v="1"/>
    <n v="285.96719999999999"/>
    <s v="Low"/>
    <s v="Joan Johnson"/>
    <x v="1"/>
    <x v="21"/>
    <x v="1"/>
    <x v="2"/>
    <s v="Normal order"/>
  </r>
  <r>
    <s v="SALE1189"/>
    <d v="2025-03-13T00:00:00"/>
    <x v="9"/>
    <s v="CUST1459"/>
    <s v="PROD26"/>
    <s v="STORE5"/>
    <n v="1"/>
    <n v="1"/>
    <n v="429.25"/>
    <n v="0.28999999999999998"/>
    <x v="0"/>
    <n v="304.76749999999998"/>
    <s v="Low"/>
    <s v="John Perez"/>
    <x v="1"/>
    <x v="81"/>
    <x v="0"/>
    <x v="0"/>
    <s v="Normal order"/>
  </r>
  <r>
    <s v="SALE119"/>
    <d v="2024-07-30T00:00:00"/>
    <x v="0"/>
    <s v="CUST1158"/>
    <s v="PROD19"/>
    <s v="STORE8"/>
    <n v="2"/>
    <n v="2"/>
    <n v="151.51"/>
    <n v="0.28999999999999998"/>
    <x v="2"/>
    <n v="215.14420000000001"/>
    <s v="Low"/>
    <s v="Sean Powell"/>
    <x v="0"/>
    <x v="32"/>
    <x v="3"/>
    <x v="3"/>
    <s v="Normal order"/>
  </r>
  <r>
    <s v="SALE1190"/>
    <d v="2024-06-25T00:00:00"/>
    <x v="4"/>
    <s v="CUST1443"/>
    <s v="PROD0"/>
    <s v="STORE9"/>
    <n v="2"/>
    <n v="2"/>
    <n v="540.48"/>
    <n v="0.28999999999999998"/>
    <x v="0"/>
    <n v="767.48159999999996"/>
    <s v="Low"/>
    <s v="Adam Castro"/>
    <x v="1"/>
    <x v="7"/>
    <x v="1"/>
    <x v="1"/>
    <s v="Normal order"/>
  </r>
  <r>
    <s v="SALE1191"/>
    <d v="2025-10-06T00:00:00"/>
    <x v="6"/>
    <s v="CUST1269"/>
    <s v="PROD59"/>
    <s v="STORE14"/>
    <n v="2"/>
    <n v="2"/>
    <n v="579.52"/>
    <n v="0.01"/>
    <x v="1"/>
    <n v="1147.4495999999999"/>
    <s v="High"/>
    <s v="Tyrone Olson"/>
    <x v="3"/>
    <x v="4"/>
    <x v="1"/>
    <x v="1"/>
    <s v="Normal order"/>
  </r>
  <r>
    <s v="SALE1192"/>
    <d v="2024-11-26T00:00:00"/>
    <x v="8"/>
    <s v="CUST1026"/>
    <s v="PROD69"/>
    <s v="STORE17"/>
    <n v="4"/>
    <n v="4"/>
    <n v="477.52"/>
    <n v="7.0000000000000007E-2"/>
    <x v="1"/>
    <n v="1776.3743999999999"/>
    <s v="High"/>
    <s v="Amber Carlson"/>
    <x v="4"/>
    <x v="5"/>
    <x v="0"/>
    <x v="0"/>
    <s v="Bulk order"/>
  </r>
  <r>
    <s v="SALE1193"/>
    <d v="2025-02-17T00:00:00"/>
    <x v="2"/>
    <s v="CUST1259"/>
    <s v="PROD91"/>
    <s v="STORE6"/>
    <n v="3"/>
    <n v="3"/>
    <n v="242.58"/>
    <n v="0.25"/>
    <x v="0"/>
    <n v="545.80500000000006"/>
    <s v="Low"/>
    <s v="Beth Allen"/>
    <x v="4"/>
    <x v="67"/>
    <x v="2"/>
    <x v="1"/>
    <s v="Normal order"/>
  </r>
  <r>
    <s v="SALE1194"/>
    <d v="2023-11-20T00:00:00"/>
    <x v="8"/>
    <s v="CUST1367"/>
    <s v="PROD26"/>
    <s v="STORE17"/>
    <n v="2"/>
    <n v="2"/>
    <n v="519.29999999999995"/>
    <n v="0.09"/>
    <x v="1"/>
    <n v="945.12599999999998"/>
    <s v="Low"/>
    <s v="Melinda Johnson"/>
    <x v="1"/>
    <x v="81"/>
    <x v="0"/>
    <x v="3"/>
    <s v="Normal order"/>
  </r>
  <r>
    <s v="SALE1195"/>
    <d v="2025-01-27T00:00:00"/>
    <x v="3"/>
    <s v="CUST1491"/>
    <s v="PROD94"/>
    <s v="STORE11"/>
    <n v="3"/>
    <n v="3"/>
    <n v="845.67"/>
    <n v="0.12"/>
    <x v="2"/>
    <n v="2232.5688"/>
    <s v="High"/>
    <s v="Kaitlin Brown"/>
    <x v="3"/>
    <x v="89"/>
    <x v="1"/>
    <x v="0"/>
    <s v="Normal order"/>
  </r>
  <r>
    <s v="SALE1196"/>
    <d v="2024-04-13T00:00:00"/>
    <x v="5"/>
    <s v="CUST1305"/>
    <s v="PROD55"/>
    <s v="STORE16"/>
    <n v="4"/>
    <n v="4"/>
    <n v="750.26"/>
    <n v="0.01"/>
    <x v="1"/>
    <n v="2971.0295999999998"/>
    <s v="High"/>
    <s v="Roberta Green"/>
    <x v="2"/>
    <x v="25"/>
    <x v="3"/>
    <x v="2"/>
    <s v="Bulk order"/>
  </r>
  <r>
    <s v="SALE1197"/>
    <d v="2024-03-31T00:00:00"/>
    <x v="9"/>
    <s v="CUST1332"/>
    <s v="PROD92"/>
    <s v="STORE12"/>
    <n v="4"/>
    <n v="4"/>
    <n v="294.38"/>
    <n v="0.2"/>
    <x v="0"/>
    <n v="942.01600000000008"/>
    <s v="Low"/>
    <s v="Dr. Lindsay Hanna"/>
    <x v="2"/>
    <x v="39"/>
    <x v="0"/>
    <x v="3"/>
    <s v="Bulk order"/>
  </r>
  <r>
    <s v="SALE1198"/>
    <d v="2025-09-19T00:00:00"/>
    <x v="7"/>
    <s v="CUST1097"/>
    <s v="PROD96"/>
    <s v="STORE2"/>
    <n v="3"/>
    <n v="3"/>
    <n v="583.52"/>
    <n v="7.0000000000000007E-2"/>
    <x v="1"/>
    <n v="1628.0208"/>
    <s v="High"/>
    <s v="David Cobb"/>
    <x v="4"/>
    <x v="76"/>
    <x v="1"/>
    <x v="1"/>
    <s v="Normal order"/>
  </r>
  <r>
    <s v="SALE1199"/>
    <d v="2024-06-10T00:00:00"/>
    <x v="4"/>
    <s v="CUST1470"/>
    <s v="PROD89"/>
    <s v="STORE16"/>
    <n v="2"/>
    <n v="2"/>
    <n v="635.22"/>
    <n v="0.3"/>
    <x v="2"/>
    <n v="889.30799999999999"/>
    <s v="Low"/>
    <s v="Manuel Fisher"/>
    <x v="3"/>
    <x v="53"/>
    <x v="3"/>
    <x v="0"/>
    <s v="Normal order"/>
  </r>
  <r>
    <s v="SALE12"/>
    <d v="2024-08-24T00:00:00"/>
    <x v="10"/>
    <s v="CUST1237"/>
    <s v="PROD88"/>
    <s v="STORE4"/>
    <n v="4"/>
    <n v="4"/>
    <n v="644.58000000000004"/>
    <n v="0.01"/>
    <x v="0"/>
    <n v="2552.5367999999999"/>
    <s v="High"/>
    <s v="Wesley Short"/>
    <x v="0"/>
    <x v="90"/>
    <x v="1"/>
    <x v="0"/>
    <s v="Bulk order"/>
  </r>
  <r>
    <s v="SALE120"/>
    <d v="2023-12-14T00:00:00"/>
    <x v="1"/>
    <s v="CUST1231"/>
    <s v="PROD31"/>
    <s v="STORE17"/>
    <n v="2"/>
    <n v="2"/>
    <n v="872.93"/>
    <n v="0.28999999999999998"/>
    <x v="2"/>
    <n v="1239.5606"/>
    <s v="High"/>
    <s v="Timothy Juarez"/>
    <x v="0"/>
    <x v="72"/>
    <x v="0"/>
    <x v="3"/>
    <s v="Normal order"/>
  </r>
  <r>
    <s v="SALE1200"/>
    <d v="2024-01-22T00:00:00"/>
    <x v="3"/>
    <s v="CUST1428"/>
    <s v="PROD66"/>
    <s v="STORE2"/>
    <n v="1"/>
    <n v="1"/>
    <n v="743.55"/>
    <n v="0.11"/>
    <x v="2"/>
    <n v="661.7595"/>
    <s v="Low"/>
    <s v="Samuel Mullins"/>
    <x v="3"/>
    <x v="46"/>
    <x v="1"/>
    <x v="3"/>
    <s v="Normal order"/>
  </r>
  <r>
    <s v="SALE1201"/>
    <d v="2024-03-26T00:00:00"/>
    <x v="9"/>
    <s v="CUST1101"/>
    <s v="PROD44"/>
    <s v="STORE3"/>
    <n v="4"/>
    <n v="4"/>
    <n v="530.45000000000005"/>
    <n v="0.13"/>
    <x v="0"/>
    <n v="1845.9659999999999"/>
    <s v="High"/>
    <s v="Colleen Maynard"/>
    <x v="0"/>
    <x v="31"/>
    <x v="0"/>
    <x v="0"/>
    <s v="Bulk order"/>
  </r>
  <r>
    <s v="SALE1202"/>
    <d v="2024-03-20T00:00:00"/>
    <x v="9"/>
    <s v="CUST1264"/>
    <s v="PROD66"/>
    <s v="STORE9"/>
    <n v="2"/>
    <n v="2"/>
    <n v="972.4"/>
    <n v="0.06"/>
    <x v="2"/>
    <n v="1828.1120000000001"/>
    <s v="High"/>
    <s v="Matthew Payne"/>
    <x v="3"/>
    <x v="46"/>
    <x v="1"/>
    <x v="0"/>
    <s v="Normal order"/>
  </r>
  <r>
    <s v="SALE1203"/>
    <d v="2025-05-20T00:00:00"/>
    <x v="11"/>
    <s v="CUST1378"/>
    <s v="PROD15"/>
    <s v="STORE18"/>
    <n v="3"/>
    <n v="3"/>
    <n v="197.93"/>
    <n v="0"/>
    <x v="2"/>
    <n v="593.79"/>
    <s v="Low"/>
    <s v="Frank Stewart"/>
    <x v="1"/>
    <x v="42"/>
    <x v="2"/>
    <x v="3"/>
    <s v="Normal order"/>
  </r>
  <r>
    <s v="SALE1204"/>
    <d v="2024-10-10T00:00:00"/>
    <x v="6"/>
    <s v="CUST1342"/>
    <s v="PROD87"/>
    <s v="STORE11"/>
    <n v="4"/>
    <n v="4"/>
    <n v="565.51"/>
    <n v="0.16"/>
    <x v="1"/>
    <n v="1900.1135999999999"/>
    <s v="High"/>
    <s v="Michelle Cunningham"/>
    <x v="2"/>
    <x v="48"/>
    <x v="1"/>
    <x v="3"/>
    <s v="Bulk order"/>
  </r>
  <r>
    <s v="SALE1205"/>
    <d v="2024-10-01T00:00:00"/>
    <x v="6"/>
    <s v="CUST1400"/>
    <s v="PROD39"/>
    <s v="STORE4"/>
    <n v="4"/>
    <n v="4"/>
    <n v="983.38"/>
    <n v="0.25"/>
    <x v="2"/>
    <n v="2950.14"/>
    <s v="High"/>
    <s v="Mark Rogers"/>
    <x v="1"/>
    <x v="65"/>
    <x v="1"/>
    <x v="2"/>
    <s v="Bulk order"/>
  </r>
  <r>
    <s v="SALE1206"/>
    <d v="2023-11-22T00:00:00"/>
    <x v="8"/>
    <s v="CUST1234"/>
    <s v="PROD99"/>
    <s v="STORE9"/>
    <n v="1"/>
    <n v="1"/>
    <n v="955.06"/>
    <n v="0.14000000000000001"/>
    <x v="0"/>
    <n v="821.35159999999996"/>
    <s v="Low"/>
    <s v="Nathaniel Hill"/>
    <x v="2"/>
    <x v="86"/>
    <x v="1"/>
    <x v="0"/>
    <s v="Normal order"/>
  </r>
  <r>
    <s v="SALE1207"/>
    <d v="2025-02-05T00:00:00"/>
    <x v="2"/>
    <s v="CUST1352"/>
    <s v="PROD59"/>
    <s v="STORE15"/>
    <n v="3"/>
    <n v="3"/>
    <n v="597.46"/>
    <n v="0.02"/>
    <x v="1"/>
    <n v="1756.5324000000001"/>
    <s v="High"/>
    <s v="Michael Greene"/>
    <x v="3"/>
    <x v="4"/>
    <x v="0"/>
    <x v="1"/>
    <s v="Normal order"/>
  </r>
  <r>
    <s v="SALE1208"/>
    <d v="2024-06-03T00:00:00"/>
    <x v="4"/>
    <s v="CUST1317"/>
    <s v="PROD8"/>
    <s v="STORE16"/>
    <n v="3"/>
    <n v="3"/>
    <n v="581.09"/>
    <n v="0.1"/>
    <x v="2"/>
    <n v="1568.943"/>
    <s v="High"/>
    <s v="Tiffany Williams"/>
    <x v="1"/>
    <x v="12"/>
    <x v="3"/>
    <x v="0"/>
    <s v="Normal order"/>
  </r>
  <r>
    <s v="SALE1209"/>
    <d v="2025-07-24T00:00:00"/>
    <x v="0"/>
    <s v="CUST1054"/>
    <s v="PROD30"/>
    <s v="STORE4"/>
    <n v="4"/>
    <n v="4"/>
    <n v="153.94999999999999"/>
    <n v="0.11"/>
    <x v="1"/>
    <n v="548.06200000000001"/>
    <s v="Low"/>
    <s v="Katherine Dorsey"/>
    <x v="2"/>
    <x v="38"/>
    <x v="1"/>
    <x v="2"/>
    <s v="Bulk order"/>
  </r>
  <r>
    <s v="SALE121"/>
    <d v="2024-09-23T00:00:00"/>
    <x v="7"/>
    <s v="CUST1264"/>
    <s v="PROD22"/>
    <s v="STORE10"/>
    <n v="3"/>
    <n v="3"/>
    <n v="432.4"/>
    <n v="0.04"/>
    <x v="0"/>
    <n v="1245.3119999999999"/>
    <s v="High"/>
    <s v="Matthew Payne"/>
    <x v="0"/>
    <x v="59"/>
    <x v="2"/>
    <x v="0"/>
    <s v="Normal order"/>
  </r>
  <r>
    <s v="SALE1210"/>
    <d v="2024-08-26T00:00:00"/>
    <x v="10"/>
    <s v="CUST1081"/>
    <s v="PROD36"/>
    <s v="STORE8"/>
    <n v="4"/>
    <n v="4"/>
    <n v="271.04000000000002"/>
    <n v="0.12"/>
    <x v="2"/>
    <n v="954.06080000000009"/>
    <s v="Low"/>
    <s v="Krystal Ford"/>
    <x v="4"/>
    <x v="88"/>
    <x v="3"/>
    <x v="2"/>
    <s v="Bulk order"/>
  </r>
  <r>
    <s v="SALE1211"/>
    <d v="2024-09-23T00:00:00"/>
    <x v="7"/>
    <s v="CUST1015"/>
    <s v="PROD35"/>
    <s v="STORE6"/>
    <n v="4"/>
    <n v="4"/>
    <n v="328.27"/>
    <n v="0.09"/>
    <x v="1"/>
    <n v="1194.9028000000001"/>
    <s v="High"/>
    <s v="Laura Alvarez"/>
    <x v="2"/>
    <x v="44"/>
    <x v="2"/>
    <x v="2"/>
    <s v="Bulk order"/>
  </r>
  <r>
    <s v="SALE1212"/>
    <d v="2024-06-29T00:00:00"/>
    <x v="4"/>
    <s v="CUST1494"/>
    <s v="PROD17"/>
    <s v="STORE14"/>
    <n v="4"/>
    <n v="4"/>
    <n v="884.71"/>
    <n v="0.09"/>
    <x v="1"/>
    <n v="3220.3444"/>
    <s v="High"/>
    <s v="Justin Lopez"/>
    <x v="0"/>
    <x v="29"/>
    <x v="1"/>
    <x v="0"/>
    <s v="Bulk order"/>
  </r>
  <r>
    <s v="SALE1213"/>
    <d v="2025-06-01T00:00:00"/>
    <x v="4"/>
    <s v="CUST1249"/>
    <s v="PROD72"/>
    <s v="STORE4"/>
    <n v="1"/>
    <n v="1"/>
    <n v="41.39"/>
    <n v="0.01"/>
    <x v="0"/>
    <n v="40.976100000000002"/>
    <s v="Low"/>
    <s v="Lauren George"/>
    <x v="0"/>
    <x v="35"/>
    <x v="1"/>
    <x v="0"/>
    <s v="Normal order"/>
  </r>
  <r>
    <s v="SALE1214"/>
    <d v="2025-05-06T00:00:00"/>
    <x v="11"/>
    <s v="CUST1165"/>
    <s v="PROD57"/>
    <s v="STORE9"/>
    <n v="4"/>
    <n v="4"/>
    <n v="64.06"/>
    <n v="0.26"/>
    <x v="0"/>
    <n v="189.61760000000001"/>
    <s v="Low"/>
    <s v="Jason Wheeler"/>
    <x v="0"/>
    <x v="64"/>
    <x v="1"/>
    <x v="2"/>
    <s v="Bulk order"/>
  </r>
  <r>
    <s v="SALE1215"/>
    <d v="2025-07-11T00:00:00"/>
    <x v="0"/>
    <s v="CUST1346"/>
    <s v="PROD46"/>
    <s v="STORE9"/>
    <n v="2"/>
    <n v="2"/>
    <n v="152.25"/>
    <n v="0.13"/>
    <x v="0"/>
    <n v="264.91500000000002"/>
    <s v="Low"/>
    <s v="John Jordan"/>
    <x v="4"/>
    <x v="41"/>
    <x v="1"/>
    <x v="2"/>
    <s v="Normal order"/>
  </r>
  <r>
    <s v="SALE1216"/>
    <d v="2023-12-21T00:00:00"/>
    <x v="1"/>
    <s v="CUST1100"/>
    <s v="PROD13"/>
    <s v="STORE19"/>
    <n v="2"/>
    <n v="2"/>
    <n v="889.04"/>
    <n v="0.23"/>
    <x v="0"/>
    <n v="1369.1215999999999"/>
    <s v="High"/>
    <s v="Diane Watson"/>
    <x v="1"/>
    <x v="75"/>
    <x v="2"/>
    <x v="2"/>
    <s v="Normal order"/>
  </r>
  <r>
    <s v="SALE1217"/>
    <d v="2024-01-31T00:00:00"/>
    <x v="3"/>
    <s v="CUST1161"/>
    <s v="PROD37"/>
    <s v="STORE10"/>
    <n v="3"/>
    <n v="3"/>
    <n v="145.25"/>
    <n v="0.24"/>
    <x v="1"/>
    <n v="331.17"/>
    <s v="Low"/>
    <s v="Cynthia Morris"/>
    <x v="4"/>
    <x v="16"/>
    <x v="2"/>
    <x v="1"/>
    <s v="Normal order"/>
  </r>
  <r>
    <s v="SALE1218"/>
    <d v="2024-09-25T00:00:00"/>
    <x v="7"/>
    <s v="CUST1056"/>
    <s v="PROD88"/>
    <s v="STORE2"/>
    <n v="2"/>
    <n v="2"/>
    <n v="898.45"/>
    <n v="0.28999999999999998"/>
    <x v="2"/>
    <n v="1275.799"/>
    <s v="High"/>
    <s v="Christopher Sutton"/>
    <x v="0"/>
    <x v="90"/>
    <x v="1"/>
    <x v="0"/>
    <s v="Normal order"/>
  </r>
  <r>
    <s v="SALE1219"/>
    <d v="2025-09-05T00:00:00"/>
    <x v="7"/>
    <s v="CUST1030"/>
    <s v="PROD35"/>
    <s v="STORE15"/>
    <n v="4"/>
    <n v="4"/>
    <n v="642.04999999999995"/>
    <n v="0.25"/>
    <x v="0"/>
    <n v="1926.15"/>
    <s v="High"/>
    <s v="Jessica Acevedo"/>
    <x v="2"/>
    <x v="44"/>
    <x v="0"/>
    <x v="3"/>
    <s v="Bulk order"/>
  </r>
  <r>
    <s v="SALE122"/>
    <d v="2025-08-17T00:00:00"/>
    <x v="10"/>
    <s v="CUST1338"/>
    <s v="PROD50"/>
    <s v="STORE7"/>
    <n v="2"/>
    <n v="2"/>
    <n v="197.76"/>
    <n v="0.04"/>
    <x v="0"/>
    <n v="379.69920000000002"/>
    <s v="Low"/>
    <s v="Jasmine Snyder"/>
    <x v="0"/>
    <x v="52"/>
    <x v="1"/>
    <x v="1"/>
    <s v="Normal order"/>
  </r>
  <r>
    <s v="SALE1220"/>
    <d v="2024-08-27T00:00:00"/>
    <x v="10"/>
    <s v="CUST1313"/>
    <s v="PROD84"/>
    <s v="STORE7"/>
    <n v="4"/>
    <n v="4"/>
    <n v="450.83"/>
    <n v="0.24"/>
    <x v="0"/>
    <n v="1370.5232000000001"/>
    <s v="High"/>
    <s v="Elizabeth Jones"/>
    <x v="2"/>
    <x v="56"/>
    <x v="1"/>
    <x v="2"/>
    <s v="Bulk order"/>
  </r>
  <r>
    <s v="SALE1221"/>
    <d v="2023-10-17T00:00:00"/>
    <x v="6"/>
    <s v="CUST1010"/>
    <s v="PROD52"/>
    <s v="STORE19"/>
    <n v="2"/>
    <n v="2"/>
    <n v="441.03"/>
    <n v="0.23"/>
    <x v="2"/>
    <n v="679.18619999999999"/>
    <s v="Low"/>
    <s v="Dominic Page"/>
    <x v="0"/>
    <x v="22"/>
    <x v="2"/>
    <x v="3"/>
    <s v="Normal order"/>
  </r>
  <r>
    <s v="SALE1222"/>
    <d v="2024-04-02T00:00:00"/>
    <x v="5"/>
    <s v="CUST1082"/>
    <s v="PROD25"/>
    <s v="STORE2"/>
    <n v="3"/>
    <n v="3"/>
    <n v="377.69"/>
    <n v="7.0000000000000007E-2"/>
    <x v="1"/>
    <n v="1053.7551000000001"/>
    <s v="High"/>
    <s v="George Rosario"/>
    <x v="4"/>
    <x v="13"/>
    <x v="1"/>
    <x v="3"/>
    <s v="Normal order"/>
  </r>
  <r>
    <s v="SALE1223"/>
    <d v="2024-05-04T00:00:00"/>
    <x v="11"/>
    <s v="CUST1160"/>
    <s v="PROD10"/>
    <s v="STORE7"/>
    <n v="1"/>
    <n v="1"/>
    <n v="457.33"/>
    <n v="0.27"/>
    <x v="0"/>
    <n v="333.85090000000002"/>
    <s v="Low"/>
    <s v="John Lawson"/>
    <x v="2"/>
    <x v="47"/>
    <x v="1"/>
    <x v="2"/>
    <s v="Normal order"/>
  </r>
  <r>
    <s v="SALE1224"/>
    <d v="2025-08-11T00:00:00"/>
    <x v="10"/>
    <s v="CUST1244"/>
    <s v="PROD76"/>
    <s v="STORE6"/>
    <n v="4"/>
    <n v="4"/>
    <n v="218.01"/>
    <n v="0.06"/>
    <x v="0"/>
    <n v="819.71759999999995"/>
    <s v="Low"/>
    <s v="Nancy Page"/>
    <x v="1"/>
    <x v="45"/>
    <x v="2"/>
    <x v="3"/>
    <s v="Bulk order"/>
  </r>
  <r>
    <s v="SALE1225"/>
    <d v="2025-10-03T00:00:00"/>
    <x v="6"/>
    <s v="CUST1218"/>
    <s v="PROD92"/>
    <s v="STORE18"/>
    <n v="2"/>
    <n v="2"/>
    <n v="682.7"/>
    <n v="0.13"/>
    <x v="0"/>
    <n v="1187.8979999999999"/>
    <s v="High"/>
    <s v="Julia Jackson"/>
    <x v="2"/>
    <x v="39"/>
    <x v="2"/>
    <x v="2"/>
    <s v="Normal order"/>
  </r>
  <r>
    <s v="SALE1226"/>
    <d v="2024-02-23T00:00:00"/>
    <x v="2"/>
    <s v="CUST1323"/>
    <s v="PROD19"/>
    <s v="STORE18"/>
    <n v="3"/>
    <n v="3"/>
    <n v="726.97"/>
    <n v="0.04"/>
    <x v="1"/>
    <n v="2093.6736000000001"/>
    <s v="High"/>
    <s v="Kristy Dunlap"/>
    <x v="0"/>
    <x v="32"/>
    <x v="2"/>
    <x v="2"/>
    <s v="Normal order"/>
  </r>
  <r>
    <s v="SALE1227"/>
    <d v="2025-01-24T00:00:00"/>
    <x v="3"/>
    <s v="CUST1408"/>
    <s v="PROD59"/>
    <s v="STORE9"/>
    <n v="2"/>
    <n v="2"/>
    <n v="107.97"/>
    <n v="0.06"/>
    <x v="0"/>
    <n v="202.9836"/>
    <s v="Low"/>
    <s v="Isabel Foster"/>
    <x v="3"/>
    <x v="4"/>
    <x v="1"/>
    <x v="0"/>
    <s v="Normal order"/>
  </r>
  <r>
    <s v="SALE1228"/>
    <d v="2025-05-08T00:00:00"/>
    <x v="11"/>
    <s v="CUST1007"/>
    <s v="PROD5"/>
    <s v="STORE14"/>
    <n v="1"/>
    <n v="1"/>
    <n v="38.880000000000003"/>
    <n v="0.16"/>
    <x v="2"/>
    <n v="32.659199999999998"/>
    <s v="Low"/>
    <s v="Daniel Boyd"/>
    <x v="4"/>
    <x v="91"/>
    <x v="1"/>
    <x v="3"/>
    <s v="Normal order"/>
  </r>
  <r>
    <s v="SALE1229"/>
    <d v="2025-06-15T00:00:00"/>
    <x v="4"/>
    <s v="CUST1078"/>
    <s v="PROD16"/>
    <s v="STORE17"/>
    <n v="3"/>
    <n v="3"/>
    <n v="484.39"/>
    <n v="0.28999999999999998"/>
    <x v="2"/>
    <n v="1031.7507000000001"/>
    <s v="High"/>
    <s v="Cody Blake"/>
    <x v="3"/>
    <x v="63"/>
    <x v="0"/>
    <x v="0"/>
    <s v="Normal order"/>
  </r>
  <r>
    <s v="SALE123"/>
    <d v="2025-01-17T00:00:00"/>
    <x v="3"/>
    <s v="CUST1476"/>
    <s v="PROD40"/>
    <s v="STORE2"/>
    <n v="3"/>
    <n v="3"/>
    <n v="334.6"/>
    <n v="0.11"/>
    <x v="1"/>
    <n v="893.38200000000006"/>
    <s v="Low"/>
    <s v="Elizabeth Foster"/>
    <x v="1"/>
    <x v="50"/>
    <x v="1"/>
    <x v="0"/>
    <s v="Normal order"/>
  </r>
  <r>
    <s v="SALE1230"/>
    <d v="2024-10-07T00:00:00"/>
    <x v="6"/>
    <s v="CUST1018"/>
    <s v="PROD80"/>
    <s v="STORE15"/>
    <n v="2"/>
    <n v="2"/>
    <n v="949.3"/>
    <n v="0.08"/>
    <x v="2"/>
    <n v="1746.712"/>
    <s v="High"/>
    <s v="Rhonda Moss"/>
    <x v="2"/>
    <x v="24"/>
    <x v="0"/>
    <x v="4"/>
    <s v="Normal order"/>
  </r>
  <r>
    <s v="SALE1231"/>
    <d v="2023-11-29T00:00:00"/>
    <x v="8"/>
    <s v="CUST1433"/>
    <s v="PROD71"/>
    <s v="STORE6"/>
    <n v="3"/>
    <n v="3"/>
    <n v="664.75"/>
    <n v="0.12"/>
    <x v="0"/>
    <n v="1754.94"/>
    <s v="High"/>
    <s v="Thomas Moore"/>
    <x v="3"/>
    <x v="57"/>
    <x v="2"/>
    <x v="1"/>
    <s v="Normal order"/>
  </r>
  <r>
    <s v="SALE1232"/>
    <d v="2025-03-24T00:00:00"/>
    <x v="9"/>
    <s v="CUST1282"/>
    <s v="PROD70"/>
    <s v="STORE17"/>
    <n v="3"/>
    <n v="3"/>
    <n v="190.04"/>
    <n v="7.0000000000000007E-2"/>
    <x v="1"/>
    <n v="530.21159999999998"/>
    <s v="Low"/>
    <s v="Kristi Lopez"/>
    <x v="2"/>
    <x v="92"/>
    <x v="0"/>
    <x v="0"/>
    <s v="Normal order"/>
  </r>
  <r>
    <s v="SALE1233"/>
    <d v="2025-07-31T00:00:00"/>
    <x v="0"/>
    <s v="CUST1277"/>
    <s v="PROD7"/>
    <s v="STORE15"/>
    <n v="3"/>
    <n v="3"/>
    <n v="754.02"/>
    <n v="0.1"/>
    <x v="2"/>
    <n v="2035.854"/>
    <s v="High"/>
    <s v="Jeffrey Gomez"/>
    <x v="2"/>
    <x v="17"/>
    <x v="0"/>
    <x v="2"/>
    <s v="Normal order"/>
  </r>
  <r>
    <s v="SALE1234"/>
    <d v="2024-08-22T00:00:00"/>
    <x v="10"/>
    <s v="CUST1384"/>
    <s v="PROD34"/>
    <s v="STORE12"/>
    <n v="4"/>
    <n v="4"/>
    <n v="94.13"/>
    <n v="0.04"/>
    <x v="2"/>
    <n v="361.45920000000001"/>
    <s v="Low"/>
    <s v="Andrew Mason"/>
    <x v="1"/>
    <x v="21"/>
    <x v="0"/>
    <x v="3"/>
    <s v="Bulk order"/>
  </r>
  <r>
    <s v="SALE1235"/>
    <d v="2024-07-16T00:00:00"/>
    <x v="0"/>
    <s v="CUST1468"/>
    <s v="PROD1"/>
    <s v="STORE15"/>
    <n v="3"/>
    <n v="3"/>
    <n v="402.3"/>
    <n v="0.21"/>
    <x v="1"/>
    <n v="953.45100000000014"/>
    <s v="Low"/>
    <s v="Gregory Curtis"/>
    <x v="4"/>
    <x v="93"/>
    <x v="0"/>
    <x v="3"/>
    <s v="Normal order"/>
  </r>
  <r>
    <s v="SALE1236"/>
    <d v="2025-09-08T00:00:00"/>
    <x v="7"/>
    <s v="CUST1239"/>
    <s v="PROD86"/>
    <s v="STORE7"/>
    <n v="1"/>
    <n v="1"/>
    <n v="729.05"/>
    <n v="0.06"/>
    <x v="2"/>
    <n v="685.3069999999999"/>
    <s v="Low"/>
    <s v="Maria Hill"/>
    <x v="2"/>
    <x v="30"/>
    <x v="1"/>
    <x v="2"/>
    <s v="Normal order"/>
  </r>
  <r>
    <s v="SALE1237"/>
    <d v="2025-09-12T00:00:00"/>
    <x v="7"/>
    <s v="CUST1134"/>
    <s v="PROD90"/>
    <s v="STORE13"/>
    <n v="1"/>
    <n v="1"/>
    <n v="822.6"/>
    <n v="0.28999999999999998"/>
    <x v="1"/>
    <n v="584.04599999999994"/>
    <s v="Low"/>
    <s v="Morgan Bowen"/>
    <x v="1"/>
    <x v="73"/>
    <x v="2"/>
    <x v="0"/>
    <s v="Normal order"/>
  </r>
  <r>
    <s v="SALE1238"/>
    <d v="2025-04-24T00:00:00"/>
    <x v="5"/>
    <s v="CUST1193"/>
    <s v="PROD83"/>
    <s v="STORE8"/>
    <n v="2"/>
    <n v="2"/>
    <n v="327.25"/>
    <n v="0.19"/>
    <x v="1"/>
    <n v="530.14499999999998"/>
    <s v="Low"/>
    <s v="David Roberts"/>
    <x v="3"/>
    <x v="61"/>
    <x v="3"/>
    <x v="0"/>
    <s v="Normal order"/>
  </r>
  <r>
    <s v="SALE1239"/>
    <d v="2024-11-23T00:00:00"/>
    <x v="8"/>
    <s v="CUST1084"/>
    <s v="PROD70"/>
    <s v="STORE9"/>
    <n v="4"/>
    <n v="4"/>
    <n v="930.38"/>
    <n v="0"/>
    <x v="2"/>
    <n v="3721.52"/>
    <s v="High"/>
    <s v="Christy Hoffman"/>
    <x v="2"/>
    <x v="92"/>
    <x v="1"/>
    <x v="2"/>
    <s v="Bulk order"/>
  </r>
  <r>
    <s v="SALE124"/>
    <d v="2025-04-30T00:00:00"/>
    <x v="5"/>
    <s v="CUST1087"/>
    <s v="PROD14"/>
    <s v="STORE3"/>
    <n v="2"/>
    <n v="2"/>
    <n v="44.35"/>
    <n v="0.2"/>
    <x v="2"/>
    <n v="70.960000000000008"/>
    <s v="Low"/>
    <s v="Melissa Duffy Md"/>
    <x v="2"/>
    <x v="94"/>
    <x v="0"/>
    <x v="3"/>
    <s v="Normal order"/>
  </r>
  <r>
    <s v="SALE1240"/>
    <d v="2024-04-12T00:00:00"/>
    <x v="5"/>
    <s v="CUST1144"/>
    <s v="PROD27"/>
    <s v="STORE5"/>
    <n v="2"/>
    <n v="2"/>
    <n v="437.84"/>
    <n v="0.24"/>
    <x v="0"/>
    <n v="665.51679999999999"/>
    <s v="Low"/>
    <s v="Justin Cross"/>
    <x v="2"/>
    <x v="77"/>
    <x v="0"/>
    <x v="3"/>
    <s v="Normal order"/>
  </r>
  <r>
    <s v="SALE1241"/>
    <d v="2025-05-09T00:00:00"/>
    <x v="11"/>
    <s v="CUST1070"/>
    <s v="PROD16"/>
    <s v="STORE16"/>
    <n v="2"/>
    <n v="2"/>
    <n v="126.02"/>
    <n v="0.09"/>
    <x v="2"/>
    <n v="229.35640000000001"/>
    <s v="Low"/>
    <s v="Eric Singh"/>
    <x v="3"/>
    <x v="63"/>
    <x v="3"/>
    <x v="0"/>
    <s v="Normal order"/>
  </r>
  <r>
    <s v="SALE1242"/>
    <d v="2025-02-04T00:00:00"/>
    <x v="2"/>
    <s v="CUST1437"/>
    <s v="PROD83"/>
    <s v="STORE15"/>
    <n v="1"/>
    <n v="1"/>
    <n v="860.84"/>
    <n v="7.0000000000000007E-2"/>
    <x v="1"/>
    <n v="800.58119999999997"/>
    <s v="Low"/>
    <s v="Melinda Rivera"/>
    <x v="3"/>
    <x v="61"/>
    <x v="0"/>
    <x v="2"/>
    <s v="Normal order"/>
  </r>
  <r>
    <s v="SALE1243"/>
    <d v="2025-01-20T00:00:00"/>
    <x v="3"/>
    <s v="CUST1093"/>
    <s v="PROD48"/>
    <s v="STORE13"/>
    <n v="1"/>
    <n v="1"/>
    <n v="161.80000000000001"/>
    <n v="0.24"/>
    <x v="1"/>
    <n v="122.968"/>
    <s v="Low"/>
    <s v="Christy Vasquez"/>
    <x v="1"/>
    <x v="66"/>
    <x v="2"/>
    <x v="0"/>
    <s v="Normal order"/>
  </r>
  <r>
    <s v="SALE1244"/>
    <d v="2025-01-12T00:00:00"/>
    <x v="3"/>
    <s v="CUST1385"/>
    <s v="PROD38"/>
    <s v="STORE17"/>
    <n v="4"/>
    <n v="4"/>
    <n v="347.82"/>
    <n v="0.02"/>
    <x v="2"/>
    <n v="1363.4544000000001"/>
    <s v="High"/>
    <s v="Tammy Brennan"/>
    <x v="0"/>
    <x v="43"/>
    <x v="0"/>
    <x v="0"/>
    <s v="Bulk order"/>
  </r>
  <r>
    <s v="SALE1245"/>
    <d v="2024-01-08T00:00:00"/>
    <x v="3"/>
    <s v="CUST1453"/>
    <s v="PROD85"/>
    <s v="STORE16"/>
    <n v="3"/>
    <n v="3"/>
    <n v="416.44"/>
    <n v="0.27"/>
    <x v="0"/>
    <n v="912.00359999999989"/>
    <s v="Low"/>
    <s v="April Phillips"/>
    <x v="4"/>
    <x v="70"/>
    <x v="3"/>
    <x v="2"/>
    <s v="Normal order"/>
  </r>
  <r>
    <s v="SALE1246"/>
    <d v="2025-08-24T00:00:00"/>
    <x v="10"/>
    <s v="CUST1005"/>
    <s v="PROD62"/>
    <s v="STORE0"/>
    <n v="1"/>
    <n v="1"/>
    <n v="147.96"/>
    <n v="0.24"/>
    <x v="2"/>
    <n v="112.4496"/>
    <s v="Low"/>
    <s v="Christine Vaughn"/>
    <x v="1"/>
    <x v="19"/>
    <x v="2"/>
    <x v="3"/>
    <s v="Normal order"/>
  </r>
  <r>
    <s v="SALE1247"/>
    <d v="2024-09-25T00:00:00"/>
    <x v="7"/>
    <s v="CUST1445"/>
    <s v="PROD18"/>
    <s v="STORE8"/>
    <n v="3"/>
    <n v="3"/>
    <n v="550.26"/>
    <n v="0.22"/>
    <x v="0"/>
    <n v="1287.6084000000001"/>
    <s v="High"/>
    <s v="Gene Lee"/>
    <x v="4"/>
    <x v="83"/>
    <x v="3"/>
    <x v="2"/>
    <s v="Normal order"/>
  </r>
  <r>
    <s v="SALE1248"/>
    <d v="2023-12-07T00:00:00"/>
    <x v="1"/>
    <s v="CUST1371"/>
    <s v="PROD97"/>
    <s v="STORE7"/>
    <n v="4"/>
    <n v="4"/>
    <n v="938.21"/>
    <n v="0.04"/>
    <x v="1"/>
    <n v="3602.7264"/>
    <s v="High"/>
    <s v="Michael Garner"/>
    <x v="0"/>
    <x v="0"/>
    <x v="1"/>
    <x v="2"/>
    <s v="Bulk order"/>
  </r>
  <r>
    <s v="SALE1249"/>
    <d v="2024-06-24T00:00:00"/>
    <x v="4"/>
    <s v="CUST1134"/>
    <s v="PROD94"/>
    <s v="STORE16"/>
    <n v="3"/>
    <n v="3"/>
    <n v="517.98"/>
    <n v="0.01"/>
    <x v="1"/>
    <n v="1538.4005999999999"/>
    <s v="High"/>
    <s v="Morgan Bowen"/>
    <x v="3"/>
    <x v="89"/>
    <x v="3"/>
    <x v="0"/>
    <s v="Normal order"/>
  </r>
  <r>
    <s v="SALE125"/>
    <d v="2024-11-02T00:00:00"/>
    <x v="8"/>
    <s v="CUST1498"/>
    <s v="PROD8"/>
    <s v="STORE6"/>
    <n v="1"/>
    <n v="1"/>
    <n v="846.31"/>
    <n v="0.05"/>
    <x v="1"/>
    <n v="803.9944999999999"/>
    <s v="Low"/>
    <s v="Traci Gonzalez"/>
    <x v="1"/>
    <x v="12"/>
    <x v="2"/>
    <x v="1"/>
    <s v="Normal order"/>
  </r>
  <r>
    <s v="SALE1250"/>
    <d v="2025-07-09T00:00:00"/>
    <x v="0"/>
    <s v="CUST1036"/>
    <s v="PROD6"/>
    <s v="STORE8"/>
    <n v="1"/>
    <n v="1"/>
    <n v="98.27"/>
    <n v="0.16"/>
    <x v="1"/>
    <n v="82.54679999999999"/>
    <s v="Low"/>
    <s v="Thomas Phillips"/>
    <x v="3"/>
    <x v="95"/>
    <x v="3"/>
    <x v="0"/>
    <s v="Normal order"/>
  </r>
  <r>
    <s v="SALE1251"/>
    <d v="2024-07-07T00:00:00"/>
    <x v="0"/>
    <s v="CUST1251"/>
    <s v="PROD48"/>
    <s v="STORE11"/>
    <n v="2"/>
    <n v="2"/>
    <n v="875.2"/>
    <n v="0.19"/>
    <x v="0"/>
    <n v="1417.8240000000001"/>
    <s v="High"/>
    <s v="Tyler Garner"/>
    <x v="1"/>
    <x v="66"/>
    <x v="1"/>
    <x v="1"/>
    <s v="Normal order"/>
  </r>
  <r>
    <s v="SALE1252"/>
    <d v="2024-02-23T00:00:00"/>
    <x v="2"/>
    <s v="CUST1305"/>
    <s v="PROD86"/>
    <s v="STORE0"/>
    <n v="1"/>
    <n v="1"/>
    <n v="227.35"/>
    <n v="0.06"/>
    <x v="2"/>
    <n v="213.709"/>
    <s v="Low"/>
    <s v="Roberta Green"/>
    <x v="2"/>
    <x v="30"/>
    <x v="2"/>
    <x v="2"/>
    <s v="Normal order"/>
  </r>
  <r>
    <s v="SALE1253"/>
    <d v="2023-11-05T00:00:00"/>
    <x v="8"/>
    <s v="CUST1210"/>
    <s v="PROD74"/>
    <s v="STORE1"/>
    <n v="1"/>
    <n v="1"/>
    <n v="842.46"/>
    <n v="0.05"/>
    <x v="2"/>
    <n v="800.33699999999999"/>
    <s v="Low"/>
    <s v="Antonio Jones"/>
    <x v="1"/>
    <x v="1"/>
    <x v="0"/>
    <x v="1"/>
    <s v="Normal order"/>
  </r>
  <r>
    <s v="SALE1254"/>
    <d v="2024-09-08T00:00:00"/>
    <x v="7"/>
    <s v="CUST1212"/>
    <s v="PROD36"/>
    <s v="STORE11"/>
    <n v="3"/>
    <n v="3"/>
    <n v="120.67"/>
    <n v="0.08"/>
    <x v="2"/>
    <n v="333.04919999999998"/>
    <s v="Low"/>
    <s v="Blake Harrison"/>
    <x v="4"/>
    <x v="88"/>
    <x v="1"/>
    <x v="2"/>
    <s v="Normal order"/>
  </r>
  <r>
    <s v="SALE1255"/>
    <d v="2024-04-20T00:00:00"/>
    <x v="5"/>
    <s v="CUST1497"/>
    <s v="PROD20"/>
    <s v="STORE3"/>
    <n v="4"/>
    <n v="4"/>
    <n v="176.13"/>
    <n v="0.27"/>
    <x v="1"/>
    <n v="514.29959999999994"/>
    <s v="Low"/>
    <s v="Sarah Marsh"/>
    <x v="0"/>
    <x v="69"/>
    <x v="0"/>
    <x v="0"/>
    <s v="Bulk order"/>
  </r>
  <r>
    <s v="SALE1256"/>
    <d v="2025-01-14T00:00:00"/>
    <x v="3"/>
    <s v="CUST1450"/>
    <s v="PROD63"/>
    <s v="STORE11"/>
    <n v="4"/>
    <n v="4"/>
    <n v="592.67999999999995"/>
    <n v="0.03"/>
    <x v="0"/>
    <n v="2299.5983999999999"/>
    <s v="High"/>
    <s v="Shane Mills"/>
    <x v="3"/>
    <x v="11"/>
    <x v="1"/>
    <x v="3"/>
    <s v="Bulk order"/>
  </r>
  <r>
    <s v="SALE1257"/>
    <d v="2024-03-16T00:00:00"/>
    <x v="9"/>
    <s v="CUST1176"/>
    <s v="PROD70"/>
    <s v="STORE4"/>
    <n v="4"/>
    <n v="4"/>
    <n v="662.43"/>
    <n v="0.24"/>
    <x v="1"/>
    <n v="2013.7872"/>
    <s v="High"/>
    <s v="John Bradford"/>
    <x v="2"/>
    <x v="92"/>
    <x v="1"/>
    <x v="1"/>
    <s v="Bulk order"/>
  </r>
  <r>
    <s v="SALE1258"/>
    <d v="2024-07-15T00:00:00"/>
    <x v="0"/>
    <s v="CUST1128"/>
    <s v="PROD43"/>
    <s v="STORE8"/>
    <n v="3"/>
    <n v="3"/>
    <n v="518.35"/>
    <n v="0.21"/>
    <x v="2"/>
    <n v="1228.4894999999999"/>
    <s v="High"/>
    <s v="Susan Mcdonald"/>
    <x v="1"/>
    <x v="34"/>
    <x v="3"/>
    <x v="1"/>
    <s v="Normal order"/>
  </r>
  <r>
    <s v="SALE1259"/>
    <d v="2024-08-05T00:00:00"/>
    <x v="10"/>
    <s v="CUST1310"/>
    <s v="PROD61"/>
    <s v="STORE5"/>
    <n v="1"/>
    <n v="1"/>
    <n v="85.58"/>
    <n v="0.1"/>
    <x v="2"/>
    <n v="77.022000000000006"/>
    <s v="Low"/>
    <s v="Kara Dodson"/>
    <x v="0"/>
    <x v="49"/>
    <x v="0"/>
    <x v="1"/>
    <s v="Normal order"/>
  </r>
  <r>
    <s v="SALE126"/>
    <d v="2025-08-15T00:00:00"/>
    <x v="10"/>
    <s v="CUST1131"/>
    <s v="PROD35"/>
    <s v="STORE12"/>
    <n v="1"/>
    <n v="1"/>
    <n v="996.48"/>
    <n v="7.0000000000000007E-2"/>
    <x v="2"/>
    <n v="926.7263999999999"/>
    <s v="Low"/>
    <s v="Joseph Richards"/>
    <x v="2"/>
    <x v="44"/>
    <x v="0"/>
    <x v="3"/>
    <s v="Normal order"/>
  </r>
  <r>
    <s v="SALE1260"/>
    <d v="2024-02-01T00:00:00"/>
    <x v="2"/>
    <s v="CUST1363"/>
    <s v="PROD87"/>
    <s v="STORE1"/>
    <n v="4"/>
    <n v="4"/>
    <n v="800"/>
    <n v="0.2"/>
    <x v="0"/>
    <n v="2560"/>
    <s v="High"/>
    <s v="Elizabeth Smith"/>
    <x v="2"/>
    <x v="48"/>
    <x v="0"/>
    <x v="3"/>
    <s v="Bulk order"/>
  </r>
  <r>
    <s v="SALE1261"/>
    <d v="2025-08-20T00:00:00"/>
    <x v="10"/>
    <s v="CUST1155"/>
    <s v="PROD60"/>
    <s v="STORE10"/>
    <n v="3"/>
    <n v="3"/>
    <n v="118.25"/>
    <n v="0.26"/>
    <x v="1"/>
    <n v="262.51499999999999"/>
    <s v="Low"/>
    <s v="Curtis Haynes"/>
    <x v="3"/>
    <x v="18"/>
    <x v="2"/>
    <x v="0"/>
    <s v="Normal order"/>
  </r>
  <r>
    <s v="SALE1262"/>
    <d v="2023-11-23T00:00:00"/>
    <x v="8"/>
    <s v="CUST1421"/>
    <s v="PROD32"/>
    <s v="STORE15"/>
    <n v="1"/>
    <n v="1"/>
    <n v="223.25"/>
    <n v="0.28999999999999998"/>
    <x v="0"/>
    <n v="158.50749999999999"/>
    <s v="Low"/>
    <s v="Holly Robinson"/>
    <x v="3"/>
    <x v="96"/>
    <x v="0"/>
    <x v="2"/>
    <s v="Normal order"/>
  </r>
  <r>
    <s v="SALE1263"/>
    <d v="2024-08-26T00:00:00"/>
    <x v="10"/>
    <s v="CUST1427"/>
    <s v="PROD32"/>
    <s v="STORE4"/>
    <n v="3"/>
    <n v="3"/>
    <n v="918.76"/>
    <n v="0.2"/>
    <x v="1"/>
    <n v="2205.0239999999999"/>
    <s v="High"/>
    <s v="Jose Stewart"/>
    <x v="3"/>
    <x v="96"/>
    <x v="1"/>
    <x v="0"/>
    <s v="Normal order"/>
  </r>
  <r>
    <s v="SALE1264"/>
    <d v="2024-07-18T00:00:00"/>
    <x v="0"/>
    <s v="CUST1280"/>
    <s v="PROD84"/>
    <s v="STORE13"/>
    <n v="2"/>
    <n v="2"/>
    <n v="905.26"/>
    <n v="0.15"/>
    <x v="2"/>
    <n v="1538.942"/>
    <s v="High"/>
    <s v="Antonio Leon"/>
    <x v="2"/>
    <x v="56"/>
    <x v="2"/>
    <x v="3"/>
    <s v="Normal order"/>
  </r>
  <r>
    <s v="SALE1265"/>
    <d v="2024-12-02T00:00:00"/>
    <x v="1"/>
    <s v="CUST1312"/>
    <s v="PROD16"/>
    <s v="STORE19"/>
    <n v="4"/>
    <n v="4"/>
    <n v="295.39999999999998"/>
    <n v="0.23"/>
    <x v="1"/>
    <n v="909.83199999999999"/>
    <s v="Low"/>
    <s v="Jason Mullins"/>
    <x v="3"/>
    <x v="63"/>
    <x v="2"/>
    <x v="1"/>
    <s v="Bulk order"/>
  </r>
  <r>
    <s v="SALE1266"/>
    <d v="2025-07-23T00:00:00"/>
    <x v="0"/>
    <s v="CUST1087"/>
    <s v="PROD94"/>
    <s v="STORE5"/>
    <n v="1"/>
    <n v="1"/>
    <n v="252.18"/>
    <n v="0.23"/>
    <x v="1"/>
    <n v="194.17859999999999"/>
    <s v="Low"/>
    <s v="Melissa Duffy Md"/>
    <x v="3"/>
    <x v="89"/>
    <x v="0"/>
    <x v="3"/>
    <s v="Normal order"/>
  </r>
  <r>
    <s v="SALE1267"/>
    <d v="2025-08-09T00:00:00"/>
    <x v="10"/>
    <s v="CUST1152"/>
    <s v="PROD97"/>
    <s v="STORE12"/>
    <n v="4"/>
    <n v="4"/>
    <n v="792.1"/>
    <n v="0.19"/>
    <x v="2"/>
    <n v="2566.404"/>
    <s v="High"/>
    <s v="Patrick Roberts"/>
    <x v="0"/>
    <x v="0"/>
    <x v="0"/>
    <x v="2"/>
    <s v="Bulk order"/>
  </r>
  <r>
    <s v="SALE1268"/>
    <d v="2024-05-14T00:00:00"/>
    <x v="11"/>
    <s v="CUST1076"/>
    <s v="PROD88"/>
    <s v="STORE14"/>
    <n v="1"/>
    <n v="1"/>
    <n v="883.36"/>
    <n v="0.11"/>
    <x v="1"/>
    <n v="786.19040000000007"/>
    <s v="Low"/>
    <s v="Nathan Campbell"/>
    <x v="0"/>
    <x v="90"/>
    <x v="1"/>
    <x v="0"/>
    <s v="Normal order"/>
  </r>
  <r>
    <s v="SALE1269"/>
    <d v="2023-11-01T00:00:00"/>
    <x v="8"/>
    <s v="CUST1276"/>
    <s v="PROD69"/>
    <s v="STORE0"/>
    <n v="4"/>
    <n v="4"/>
    <n v="305.95"/>
    <n v="0.08"/>
    <x v="1"/>
    <n v="1125.896"/>
    <s v="High"/>
    <s v="Arthur Warren"/>
    <x v="4"/>
    <x v="5"/>
    <x v="2"/>
    <x v="0"/>
    <s v="Bulk order"/>
  </r>
  <r>
    <s v="SALE127"/>
    <d v="2025-09-16T00:00:00"/>
    <x v="7"/>
    <s v="CUST1277"/>
    <s v="PROD93"/>
    <s v="STORE6"/>
    <n v="3"/>
    <n v="3"/>
    <n v="949.19"/>
    <n v="0.03"/>
    <x v="2"/>
    <n v="2762.1428999999998"/>
    <s v="High"/>
    <s v="Jeffrey Gomez"/>
    <x v="1"/>
    <x v="27"/>
    <x v="2"/>
    <x v="2"/>
    <s v="Normal order"/>
  </r>
  <r>
    <s v="SALE1270"/>
    <d v="2024-11-13T00:00:00"/>
    <x v="8"/>
    <s v="CUST1401"/>
    <s v="PROD58"/>
    <s v="STORE7"/>
    <n v="3"/>
    <n v="3"/>
    <n v="742.45"/>
    <n v="0.23"/>
    <x v="2"/>
    <n v="1715.0595000000001"/>
    <s v="High"/>
    <s v="Terry Moses"/>
    <x v="4"/>
    <x v="36"/>
    <x v="1"/>
    <x v="2"/>
    <s v="Normal order"/>
  </r>
  <r>
    <s v="SALE1271"/>
    <d v="2024-04-10T00:00:00"/>
    <x v="5"/>
    <s v="CUST1355"/>
    <s v="PROD25"/>
    <s v="STORE18"/>
    <n v="3"/>
    <n v="3"/>
    <n v="336.1"/>
    <n v="0.12"/>
    <x v="2"/>
    <n v="887.30400000000009"/>
    <s v="Low"/>
    <s v="Carlos Flores"/>
    <x v="4"/>
    <x v="13"/>
    <x v="2"/>
    <x v="0"/>
    <s v="Normal order"/>
  </r>
  <r>
    <s v="SALE1272"/>
    <d v="2025-08-07T00:00:00"/>
    <x v="10"/>
    <s v="CUST1412"/>
    <s v="PROD29"/>
    <s v="STORE7"/>
    <n v="3"/>
    <n v="3"/>
    <n v="310.36"/>
    <n v="0.14000000000000001"/>
    <x v="2"/>
    <n v="800.72879999999998"/>
    <s v="Low"/>
    <s v="Shane Brown"/>
    <x v="2"/>
    <x v="62"/>
    <x v="1"/>
    <x v="0"/>
    <s v="Normal order"/>
  </r>
  <r>
    <s v="SALE1273"/>
    <d v="2025-04-25T00:00:00"/>
    <x v="5"/>
    <s v="CUST1279"/>
    <s v="PROD98"/>
    <s v="STORE8"/>
    <n v="3"/>
    <n v="3"/>
    <n v="992.81"/>
    <n v="0.04"/>
    <x v="1"/>
    <n v="2859.2928000000002"/>
    <s v="High"/>
    <s v="Aaron Luna"/>
    <x v="1"/>
    <x v="51"/>
    <x v="3"/>
    <x v="3"/>
    <s v="Normal order"/>
  </r>
  <r>
    <s v="SALE1274"/>
    <d v="2023-10-18T00:00:00"/>
    <x v="6"/>
    <s v="CUST1198"/>
    <s v="PROD60"/>
    <s v="STORE11"/>
    <n v="3"/>
    <n v="3"/>
    <n v="257.11"/>
    <n v="0.26"/>
    <x v="2"/>
    <n v="570.78420000000006"/>
    <s v="Low"/>
    <s v="Wanda Snyder"/>
    <x v="3"/>
    <x v="18"/>
    <x v="1"/>
    <x v="3"/>
    <s v="Normal order"/>
  </r>
  <r>
    <s v="SALE1275"/>
    <d v="2025-03-23T00:00:00"/>
    <x v="9"/>
    <s v="CUST1220"/>
    <s v="PROD95"/>
    <s v="STORE12"/>
    <n v="4"/>
    <n v="4"/>
    <n v="816.29"/>
    <n v="0.24"/>
    <x v="1"/>
    <n v="2481.5216"/>
    <s v="High"/>
    <s v="George Davis"/>
    <x v="0"/>
    <x v="28"/>
    <x v="0"/>
    <x v="3"/>
    <s v="Bulk order"/>
  </r>
  <r>
    <s v="SALE1276"/>
    <d v="2023-12-12T00:00:00"/>
    <x v="1"/>
    <s v="CUST1122"/>
    <s v="PROD60"/>
    <s v="STORE12"/>
    <n v="4"/>
    <n v="4"/>
    <n v="755.82"/>
    <n v="0.22"/>
    <x v="2"/>
    <n v="2358.1583999999998"/>
    <s v="High"/>
    <s v="Michael Chang"/>
    <x v="3"/>
    <x v="18"/>
    <x v="0"/>
    <x v="2"/>
    <s v="Bulk order"/>
  </r>
  <r>
    <s v="SALE1277"/>
    <d v="2024-08-20T00:00:00"/>
    <x v="10"/>
    <s v="CUST1003"/>
    <s v="PROD0"/>
    <s v="STORE14"/>
    <n v="1"/>
    <n v="1"/>
    <n v="449.6"/>
    <n v="0.01"/>
    <x v="1"/>
    <n v="445.10399999999998"/>
    <s v="Low"/>
    <s v="Jeremy Harris"/>
    <x v="1"/>
    <x v="7"/>
    <x v="1"/>
    <x v="3"/>
    <s v="Normal order"/>
  </r>
  <r>
    <s v="SALE1278"/>
    <d v="2024-07-08T00:00:00"/>
    <x v="0"/>
    <s v="CUST1351"/>
    <s v="PROD14"/>
    <s v="STORE0"/>
    <n v="2"/>
    <n v="2"/>
    <n v="779.29"/>
    <n v="0.12"/>
    <x v="2"/>
    <n v="1371.5504000000001"/>
    <s v="High"/>
    <s v="Jeffrey Mccarthy"/>
    <x v="2"/>
    <x v="94"/>
    <x v="2"/>
    <x v="3"/>
    <s v="Normal order"/>
  </r>
  <r>
    <s v="SALE1279"/>
    <d v="2023-12-07T00:00:00"/>
    <x v="1"/>
    <s v="CUST1464"/>
    <s v="PROD77"/>
    <s v="STORE17"/>
    <n v="1"/>
    <n v="1"/>
    <n v="748.75"/>
    <n v="0.1"/>
    <x v="2"/>
    <n v="673.875"/>
    <s v="Low"/>
    <s v="David Pierce"/>
    <x v="1"/>
    <x v="79"/>
    <x v="0"/>
    <x v="2"/>
    <s v="Normal order"/>
  </r>
  <r>
    <s v="SALE128"/>
    <d v="2024-02-25T00:00:00"/>
    <x v="2"/>
    <s v="CUST1397"/>
    <s v="PROD94"/>
    <s v="STORE9"/>
    <n v="2"/>
    <n v="2"/>
    <n v="724.97"/>
    <n v="0.1"/>
    <x v="0"/>
    <n v="1304.9459999999999"/>
    <s v="High"/>
    <s v="Charles Norman Phd"/>
    <x v="3"/>
    <x v="89"/>
    <x v="1"/>
    <x v="2"/>
    <s v="Normal order"/>
  </r>
  <r>
    <s v="SALE1280"/>
    <d v="2024-02-06T00:00:00"/>
    <x v="2"/>
    <s v="CUST1181"/>
    <s v="PROD89"/>
    <s v="STORE0"/>
    <n v="2"/>
    <n v="2"/>
    <n v="121.67"/>
    <n v="0.08"/>
    <x v="2"/>
    <n v="223.87280000000001"/>
    <s v="Low"/>
    <s v="Erin Ward"/>
    <x v="3"/>
    <x v="53"/>
    <x v="2"/>
    <x v="3"/>
    <s v="Normal order"/>
  </r>
  <r>
    <s v="SALE1281"/>
    <d v="2025-05-10T00:00:00"/>
    <x v="11"/>
    <s v="CUST1492"/>
    <s v="PROD49"/>
    <s v="STORE15"/>
    <n v="3"/>
    <n v="3"/>
    <n v="225.14"/>
    <n v="0.15"/>
    <x v="2"/>
    <n v="574.10699999999997"/>
    <s v="Low"/>
    <s v="Darrell Miller"/>
    <x v="3"/>
    <x v="80"/>
    <x v="0"/>
    <x v="2"/>
    <s v="Normal order"/>
  </r>
  <r>
    <s v="SALE1282"/>
    <d v="2025-08-07T00:00:00"/>
    <x v="10"/>
    <s v="CUST1321"/>
    <s v="PROD29"/>
    <s v="STORE19"/>
    <n v="1"/>
    <n v="1"/>
    <n v="654.17999999999995"/>
    <n v="0.19"/>
    <x v="1"/>
    <n v="529.88580000000002"/>
    <s v="Low"/>
    <s v="Darren Burton"/>
    <x v="2"/>
    <x v="62"/>
    <x v="2"/>
    <x v="3"/>
    <s v="Normal order"/>
  </r>
  <r>
    <s v="SALE1283"/>
    <d v="2024-09-17T00:00:00"/>
    <x v="7"/>
    <s v="CUST1058"/>
    <s v="PROD71"/>
    <s v="STORE5"/>
    <n v="2"/>
    <n v="2"/>
    <n v="504.98"/>
    <n v="0.08"/>
    <x v="2"/>
    <n v="929.16320000000007"/>
    <s v="Low"/>
    <s v="Cheryl Copeland"/>
    <x v="3"/>
    <x v="57"/>
    <x v="0"/>
    <x v="2"/>
    <s v="Normal order"/>
  </r>
  <r>
    <s v="SALE1284"/>
    <d v="2025-06-15T00:00:00"/>
    <x v="4"/>
    <s v="CUST1378"/>
    <s v="PROD54"/>
    <s v="STORE8"/>
    <n v="2"/>
    <n v="2"/>
    <n v="623.20000000000005"/>
    <n v="0.14000000000000001"/>
    <x v="2"/>
    <n v="1071.904"/>
    <s v="High"/>
    <s v="Frank Stewart"/>
    <x v="0"/>
    <x v="8"/>
    <x v="3"/>
    <x v="3"/>
    <s v="Normal order"/>
  </r>
  <r>
    <s v="SALE1285"/>
    <d v="2024-11-26T00:00:00"/>
    <x v="8"/>
    <s v="CUST1325"/>
    <s v="PROD5"/>
    <s v="STORE16"/>
    <n v="2"/>
    <n v="2"/>
    <n v="530.54"/>
    <n v="0.28000000000000003"/>
    <x v="2"/>
    <n v="763.97759999999994"/>
    <s v="Low"/>
    <s v="Andrew Smith"/>
    <x v="4"/>
    <x v="91"/>
    <x v="3"/>
    <x v="3"/>
    <s v="Normal order"/>
  </r>
  <r>
    <s v="SALE1286"/>
    <d v="2025-06-02T00:00:00"/>
    <x v="4"/>
    <s v="CUST1365"/>
    <s v="PROD0"/>
    <s v="STORE16"/>
    <n v="3"/>
    <n v="3"/>
    <n v="279.45"/>
    <n v="0.15"/>
    <x v="2"/>
    <n v="712.59749999999985"/>
    <s v="Low"/>
    <s v="Brandon Mcbride"/>
    <x v="1"/>
    <x v="7"/>
    <x v="3"/>
    <x v="2"/>
    <s v="Normal order"/>
  </r>
  <r>
    <s v="SALE1287"/>
    <d v="2024-12-19T00:00:00"/>
    <x v="1"/>
    <s v="CUST1266"/>
    <s v="PROD12"/>
    <s v="STORE8"/>
    <n v="3"/>
    <n v="3"/>
    <n v="906.99"/>
    <n v="0.26"/>
    <x v="2"/>
    <n v="2013.5178000000001"/>
    <s v="High"/>
    <s v="Cynthia Payne"/>
    <x v="3"/>
    <x v="85"/>
    <x v="3"/>
    <x v="3"/>
    <s v="Normal order"/>
  </r>
  <r>
    <s v="SALE1288"/>
    <d v="2025-04-02T00:00:00"/>
    <x v="5"/>
    <s v="CUST1070"/>
    <s v="PROD80"/>
    <s v="STORE17"/>
    <n v="4"/>
    <n v="4"/>
    <n v="408.76"/>
    <n v="0.12"/>
    <x v="2"/>
    <n v="1438.8352"/>
    <s v="High"/>
    <s v="Eric Singh"/>
    <x v="2"/>
    <x v="24"/>
    <x v="0"/>
    <x v="0"/>
    <s v="Bulk order"/>
  </r>
  <r>
    <s v="SALE1289"/>
    <d v="2024-09-02T00:00:00"/>
    <x v="7"/>
    <s v="CUST1177"/>
    <s v="PROD36"/>
    <s v="STORE9"/>
    <n v="2"/>
    <n v="2"/>
    <n v="117.34"/>
    <n v="0.09"/>
    <x v="1"/>
    <n v="213.55879999999999"/>
    <s v="Low"/>
    <s v="Curtis Lam"/>
    <x v="4"/>
    <x v="88"/>
    <x v="1"/>
    <x v="2"/>
    <s v="Normal order"/>
  </r>
  <r>
    <s v="SALE129"/>
    <d v="2025-03-07T00:00:00"/>
    <x v="9"/>
    <s v="CUST1315"/>
    <s v="PROD1"/>
    <s v="STORE16"/>
    <n v="1"/>
    <n v="1"/>
    <n v="783.25"/>
    <n v="0.3"/>
    <x v="0"/>
    <n v="548.27499999999998"/>
    <s v="Low"/>
    <s v="William Rodriguez"/>
    <x v="4"/>
    <x v="93"/>
    <x v="3"/>
    <x v="1"/>
    <s v="Normal order"/>
  </r>
  <r>
    <s v="SALE1290"/>
    <d v="2024-03-25T00:00:00"/>
    <x v="9"/>
    <s v="CUST1168"/>
    <s v="PROD91"/>
    <s v="STORE14"/>
    <n v="3"/>
    <n v="3"/>
    <n v="690.27"/>
    <n v="7.0000000000000007E-2"/>
    <x v="1"/>
    <n v="1925.8533"/>
    <s v="High"/>
    <s v="Daniel Contreras"/>
    <x v="4"/>
    <x v="67"/>
    <x v="1"/>
    <x v="2"/>
    <s v="Normal order"/>
  </r>
  <r>
    <s v="SALE1291"/>
    <d v="2025-02-21T00:00:00"/>
    <x v="2"/>
    <s v="CUST1108"/>
    <s v="PROD28"/>
    <s v="STORE17"/>
    <n v="4"/>
    <n v="4"/>
    <n v="377.18"/>
    <n v="0.24"/>
    <x v="1"/>
    <n v="1146.6271999999999"/>
    <s v="High"/>
    <s v="Travis Holland"/>
    <x v="0"/>
    <x v="40"/>
    <x v="0"/>
    <x v="3"/>
    <s v="Bulk order"/>
  </r>
  <r>
    <s v="SALE1292"/>
    <d v="2024-06-03T00:00:00"/>
    <x v="4"/>
    <s v="CUST1112"/>
    <s v="PROD40"/>
    <s v="STORE0"/>
    <n v="1"/>
    <n v="1"/>
    <n v="70.52"/>
    <n v="0.08"/>
    <x v="2"/>
    <n v="64.878399999999999"/>
    <s v="Low"/>
    <s v="David Cole"/>
    <x v="1"/>
    <x v="50"/>
    <x v="2"/>
    <x v="1"/>
    <s v="Normal order"/>
  </r>
  <r>
    <s v="SALE1293"/>
    <d v="2024-02-08T00:00:00"/>
    <x v="2"/>
    <s v="CUST1275"/>
    <s v="PROD38"/>
    <s v="STORE9"/>
    <n v="1"/>
    <n v="1"/>
    <n v="40.25"/>
    <n v="0.1"/>
    <x v="1"/>
    <n v="36.225000000000001"/>
    <s v="Low"/>
    <s v="Shannon Miller"/>
    <x v="0"/>
    <x v="43"/>
    <x v="1"/>
    <x v="0"/>
    <s v="Normal order"/>
  </r>
  <r>
    <s v="SALE1294"/>
    <d v="2024-04-06T00:00:00"/>
    <x v="5"/>
    <s v="CUST1232"/>
    <s v="PROD89"/>
    <s v="STORE11"/>
    <n v="3"/>
    <n v="3"/>
    <n v="539.44000000000005"/>
    <n v="0.05"/>
    <x v="2"/>
    <n v="1537.404"/>
    <s v="High"/>
    <s v="Christy Hill"/>
    <x v="3"/>
    <x v="53"/>
    <x v="1"/>
    <x v="2"/>
    <s v="Normal order"/>
  </r>
  <r>
    <s v="SALE1295"/>
    <d v="2024-01-22T00:00:00"/>
    <x v="3"/>
    <s v="CUST1247"/>
    <s v="PROD60"/>
    <s v="STORE4"/>
    <n v="3"/>
    <n v="3"/>
    <n v="543.49"/>
    <n v="0.05"/>
    <x v="1"/>
    <n v="1548.9465"/>
    <s v="High"/>
    <s v="Douglas Rhodes"/>
    <x v="3"/>
    <x v="18"/>
    <x v="1"/>
    <x v="2"/>
    <s v="Normal order"/>
  </r>
  <r>
    <s v="SALE1296"/>
    <d v="2023-10-22T00:00:00"/>
    <x v="6"/>
    <s v="CUST1324"/>
    <s v="PROD7"/>
    <s v="STORE6"/>
    <n v="4"/>
    <n v="4"/>
    <n v="547.21"/>
    <n v="0.1"/>
    <x v="2"/>
    <n v="1969.9559999999999"/>
    <s v="High"/>
    <s v="Alex Mann Ii"/>
    <x v="2"/>
    <x v="17"/>
    <x v="2"/>
    <x v="3"/>
    <s v="Bulk order"/>
  </r>
  <r>
    <s v="SALE1297"/>
    <d v="2024-11-23T00:00:00"/>
    <x v="8"/>
    <s v="CUST1241"/>
    <s v="PROD65"/>
    <s v="STORE1"/>
    <n v="2"/>
    <n v="2"/>
    <n v="892.46"/>
    <n v="7.0000000000000007E-2"/>
    <x v="1"/>
    <n v="1659.9756"/>
    <s v="High"/>
    <s v="Mr. William Horton"/>
    <x v="0"/>
    <x v="74"/>
    <x v="0"/>
    <x v="2"/>
    <s v="Normal order"/>
  </r>
  <r>
    <s v="SALE1298"/>
    <d v="2023-12-26T00:00:00"/>
    <x v="1"/>
    <s v="CUST1387"/>
    <s v="PROD26"/>
    <s v="STORE8"/>
    <n v="2"/>
    <n v="2"/>
    <n v="853.41"/>
    <n v="0.25"/>
    <x v="0"/>
    <n v="1280.115"/>
    <s v="High"/>
    <s v="Timothy Gardner"/>
    <x v="1"/>
    <x v="81"/>
    <x v="3"/>
    <x v="1"/>
    <s v="Normal order"/>
  </r>
  <r>
    <s v="SALE1299"/>
    <d v="2024-06-08T00:00:00"/>
    <x v="4"/>
    <s v="CUST1110"/>
    <s v="PROD82"/>
    <s v="STORE7"/>
    <n v="1"/>
    <n v="1"/>
    <n v="162.13999999999999"/>
    <n v="7.0000000000000007E-2"/>
    <x v="1"/>
    <n v="150.7902"/>
    <s v="Low"/>
    <s v="Ashley Griffin"/>
    <x v="0"/>
    <x v="26"/>
    <x v="1"/>
    <x v="0"/>
    <s v="Normal order"/>
  </r>
  <r>
    <s v="SALE13"/>
    <d v="2025-08-06T00:00:00"/>
    <x v="10"/>
    <s v="CUST1443"/>
    <s v="PROD34"/>
    <s v="STORE16"/>
    <n v="2"/>
    <n v="2"/>
    <n v="316.89999999999998"/>
    <n v="0.3"/>
    <x v="1"/>
    <n v="443.66"/>
    <s v="Low"/>
    <s v="Adam Castro"/>
    <x v="1"/>
    <x v="21"/>
    <x v="3"/>
    <x v="1"/>
    <s v="Normal order"/>
  </r>
  <r>
    <s v="SALE130"/>
    <d v="2024-07-22T00:00:00"/>
    <x v="0"/>
    <s v="CUST1343"/>
    <s v="PROD17"/>
    <s v="STORE3"/>
    <n v="1"/>
    <n v="1"/>
    <n v="942.38"/>
    <n v="0.17"/>
    <x v="0"/>
    <n v="782.17539999999997"/>
    <s v="Low"/>
    <s v="Ryan Moore"/>
    <x v="0"/>
    <x v="29"/>
    <x v="0"/>
    <x v="3"/>
    <s v="Normal order"/>
  </r>
  <r>
    <s v="SALE1300"/>
    <d v="2024-07-05T00:00:00"/>
    <x v="0"/>
    <s v="CUST1147"/>
    <s v="PROD96"/>
    <s v="STORE16"/>
    <n v="1"/>
    <n v="1"/>
    <n v="893.14"/>
    <n v="0.09"/>
    <x v="0"/>
    <n v="812.75739999999996"/>
    <s v="Low"/>
    <s v="Rhonda Young"/>
    <x v="4"/>
    <x v="76"/>
    <x v="3"/>
    <x v="2"/>
    <s v="Normal order"/>
  </r>
  <r>
    <s v="SALE1301"/>
    <d v="2024-08-24T00:00:00"/>
    <x v="10"/>
    <s v="CUST1103"/>
    <s v="PROD34"/>
    <s v="STORE8"/>
    <n v="4"/>
    <n v="4"/>
    <n v="349.07"/>
    <n v="0.28000000000000003"/>
    <x v="0"/>
    <n v="1005.3216"/>
    <s v="High"/>
    <s v="Steven Stein"/>
    <x v="1"/>
    <x v="21"/>
    <x v="3"/>
    <x v="3"/>
    <s v="Bulk order"/>
  </r>
  <r>
    <s v="SALE1302"/>
    <d v="2024-05-06T00:00:00"/>
    <x v="11"/>
    <s v="CUST1283"/>
    <s v="PROD81"/>
    <s v="STORE13"/>
    <n v="1"/>
    <n v="1"/>
    <n v="747.9"/>
    <n v="0.21"/>
    <x v="2"/>
    <n v="590.84100000000001"/>
    <s v="Low"/>
    <s v="Bryan Garcia"/>
    <x v="0"/>
    <x v="15"/>
    <x v="2"/>
    <x v="1"/>
    <s v="Normal order"/>
  </r>
  <r>
    <s v="SALE1303"/>
    <d v="2024-07-05T00:00:00"/>
    <x v="0"/>
    <s v="CUST1031"/>
    <s v="PROD81"/>
    <s v="STORE6"/>
    <n v="3"/>
    <n v="3"/>
    <n v="438.92"/>
    <n v="0.21"/>
    <x v="0"/>
    <n v="1040.2403999999999"/>
    <s v="High"/>
    <s v="Sarah Vance"/>
    <x v="0"/>
    <x v="15"/>
    <x v="2"/>
    <x v="1"/>
    <s v="Normal order"/>
  </r>
  <r>
    <s v="SALE1304"/>
    <d v="2023-11-02T00:00:00"/>
    <x v="8"/>
    <s v="CUST1123"/>
    <s v="PROD77"/>
    <s v="STORE4"/>
    <n v="4"/>
    <n v="4"/>
    <n v="665.38"/>
    <n v="0.18"/>
    <x v="0"/>
    <n v="2182.4463999999998"/>
    <s v="High"/>
    <s v="Erin Hopkins"/>
    <x v="1"/>
    <x v="79"/>
    <x v="1"/>
    <x v="1"/>
    <s v="Bulk order"/>
  </r>
  <r>
    <s v="SALE1305"/>
    <d v="2024-11-20T00:00:00"/>
    <x v="8"/>
    <s v="CUST1003"/>
    <s v="PROD60"/>
    <s v="STORE18"/>
    <n v="1"/>
    <n v="1"/>
    <n v="146.49"/>
    <n v="0.28000000000000003"/>
    <x v="0"/>
    <n v="105.47280000000001"/>
    <s v="Low"/>
    <s v="Jeremy Harris"/>
    <x v="3"/>
    <x v="18"/>
    <x v="2"/>
    <x v="3"/>
    <s v="Normal order"/>
  </r>
  <r>
    <s v="SALE1306"/>
    <d v="2025-04-27T00:00:00"/>
    <x v="5"/>
    <s v="CUST1139"/>
    <s v="PROD38"/>
    <s v="STORE15"/>
    <n v="2"/>
    <n v="2"/>
    <n v="235.39"/>
    <n v="0.27"/>
    <x v="2"/>
    <n v="343.6694"/>
    <s v="Low"/>
    <s v="Brian Holder"/>
    <x v="0"/>
    <x v="43"/>
    <x v="0"/>
    <x v="3"/>
    <s v="Normal order"/>
  </r>
  <r>
    <s v="SALE1307"/>
    <d v="2024-12-25T00:00:00"/>
    <x v="1"/>
    <s v="CUST1028"/>
    <s v="PROD61"/>
    <s v="STORE5"/>
    <n v="3"/>
    <n v="3"/>
    <n v="38.07"/>
    <n v="0.09"/>
    <x v="1"/>
    <n v="103.9311"/>
    <s v="Low"/>
    <s v="Joshua Ryan"/>
    <x v="0"/>
    <x v="49"/>
    <x v="0"/>
    <x v="2"/>
    <s v="Normal order"/>
  </r>
  <r>
    <s v="SALE1308"/>
    <d v="2025-09-02T00:00:00"/>
    <x v="7"/>
    <s v="CUST1403"/>
    <s v="PROD34"/>
    <s v="STORE4"/>
    <n v="2"/>
    <n v="2"/>
    <n v="511.7"/>
    <n v="0.12"/>
    <x v="2"/>
    <n v="900.59199999999998"/>
    <s v="Low"/>
    <s v="Justin Ingram"/>
    <x v="1"/>
    <x v="21"/>
    <x v="1"/>
    <x v="3"/>
    <s v="Normal order"/>
  </r>
  <r>
    <s v="SALE1309"/>
    <d v="2024-04-19T00:00:00"/>
    <x v="5"/>
    <s v="CUST1092"/>
    <s v="PROD75"/>
    <s v="STORE8"/>
    <n v="4"/>
    <n v="4"/>
    <n v="488.72"/>
    <n v="0.23"/>
    <x v="1"/>
    <n v="1505.2575999999999"/>
    <s v="High"/>
    <s v="Robert Jackson"/>
    <x v="4"/>
    <x v="10"/>
    <x v="3"/>
    <x v="2"/>
    <s v="Bulk order"/>
  </r>
  <r>
    <s v="SALE131"/>
    <d v="2024-06-01T00:00:00"/>
    <x v="4"/>
    <s v="CUST1496"/>
    <s v="PROD51"/>
    <s v="STORE11"/>
    <n v="3"/>
    <n v="3"/>
    <n v="298.35000000000002"/>
    <n v="0.05"/>
    <x v="2"/>
    <n v="850.29750000000001"/>
    <s v="Low"/>
    <s v="Christopher Ford"/>
    <x v="1"/>
    <x v="78"/>
    <x v="1"/>
    <x v="3"/>
    <s v="Normal order"/>
  </r>
  <r>
    <s v="SALE1310"/>
    <d v="2025-03-01T00:00:00"/>
    <x v="9"/>
    <s v="CUST1391"/>
    <s v="PROD50"/>
    <s v="STORE12"/>
    <n v="2"/>
    <n v="2"/>
    <n v="520.45000000000005"/>
    <n v="0.11"/>
    <x v="2"/>
    <n v="926.40100000000007"/>
    <s v="Low"/>
    <s v="Heidi Tyler"/>
    <x v="0"/>
    <x v="52"/>
    <x v="0"/>
    <x v="3"/>
    <s v="Normal order"/>
  </r>
  <r>
    <s v="SALE1311"/>
    <d v="2024-03-25T00:00:00"/>
    <x v="9"/>
    <s v="CUST1432"/>
    <s v="PROD48"/>
    <s v="STORE5"/>
    <n v="1"/>
    <n v="1"/>
    <n v="340.9"/>
    <n v="0.28999999999999998"/>
    <x v="0"/>
    <n v="242.03899999999999"/>
    <s v="Low"/>
    <s v="Summer Weiss"/>
    <x v="1"/>
    <x v="66"/>
    <x v="0"/>
    <x v="3"/>
    <s v="Normal order"/>
  </r>
  <r>
    <s v="SALE1312"/>
    <d v="2024-10-11T00:00:00"/>
    <x v="6"/>
    <s v="CUST1346"/>
    <s v="PROD31"/>
    <s v="STORE8"/>
    <n v="3"/>
    <n v="3"/>
    <n v="653.59"/>
    <n v="0.17"/>
    <x v="2"/>
    <n v="1627.4391000000001"/>
    <s v="High"/>
    <s v="John Jordan"/>
    <x v="0"/>
    <x v="72"/>
    <x v="3"/>
    <x v="2"/>
    <s v="Normal order"/>
  </r>
  <r>
    <s v="SALE1313"/>
    <d v="2025-09-06T00:00:00"/>
    <x v="7"/>
    <s v="CUST1021"/>
    <s v="PROD26"/>
    <s v="STORE18"/>
    <n v="1"/>
    <n v="1"/>
    <n v="179.77"/>
    <n v="0.23"/>
    <x v="2"/>
    <n v="138.4229"/>
    <s v="Low"/>
    <s v="Jeff Martinez"/>
    <x v="1"/>
    <x v="81"/>
    <x v="2"/>
    <x v="0"/>
    <s v="Normal order"/>
  </r>
  <r>
    <s v="SALE1314"/>
    <d v="2024-08-19T00:00:00"/>
    <x v="10"/>
    <s v="CUST1008"/>
    <s v="PROD0"/>
    <s v="STORE9"/>
    <n v="2"/>
    <n v="2"/>
    <n v="943.8"/>
    <n v="0.06"/>
    <x v="0"/>
    <n v="1774.3440000000001"/>
    <s v="High"/>
    <s v="Melissa Howard"/>
    <x v="1"/>
    <x v="7"/>
    <x v="1"/>
    <x v="0"/>
    <s v="Normal order"/>
  </r>
  <r>
    <s v="SALE1315"/>
    <d v="2023-11-04T00:00:00"/>
    <x v="8"/>
    <s v="CUST1409"/>
    <s v="PROD71"/>
    <s v="STORE15"/>
    <n v="2"/>
    <n v="2"/>
    <n v="985"/>
    <n v="0.25"/>
    <x v="0"/>
    <n v="1477.5"/>
    <s v="High"/>
    <s v="Sarah Smith"/>
    <x v="3"/>
    <x v="57"/>
    <x v="0"/>
    <x v="0"/>
    <s v="Normal order"/>
  </r>
  <r>
    <s v="SALE1316"/>
    <d v="2024-04-23T00:00:00"/>
    <x v="5"/>
    <s v="CUST1485"/>
    <s v="PROD88"/>
    <s v="STORE10"/>
    <n v="4"/>
    <n v="4"/>
    <n v="216.81"/>
    <n v="0.28999999999999998"/>
    <x v="0"/>
    <n v="615.74040000000002"/>
    <s v="Low"/>
    <s v="Sara Ingram"/>
    <x v="0"/>
    <x v="90"/>
    <x v="2"/>
    <x v="3"/>
    <s v="Bulk order"/>
  </r>
  <r>
    <s v="SALE1317"/>
    <d v="2023-10-24T00:00:00"/>
    <x v="6"/>
    <s v="CUST1117"/>
    <s v="PROD64"/>
    <s v="STORE2"/>
    <n v="4"/>
    <n v="4"/>
    <n v="950.21"/>
    <n v="0.27"/>
    <x v="2"/>
    <n v="2774.6131999999998"/>
    <s v="High"/>
    <s v="Colleen Mccarthy"/>
    <x v="3"/>
    <x v="55"/>
    <x v="1"/>
    <x v="2"/>
    <s v="Bulk order"/>
  </r>
  <r>
    <s v="SALE1318"/>
    <d v="2025-06-30T00:00:00"/>
    <x v="4"/>
    <s v="CUST1256"/>
    <s v="PROD48"/>
    <s v="STORE7"/>
    <n v="2"/>
    <n v="2"/>
    <n v="271.39999999999998"/>
    <n v="0.17"/>
    <x v="1"/>
    <n v="450.52399999999989"/>
    <s v="Low"/>
    <s v="Kristen Fischer"/>
    <x v="1"/>
    <x v="66"/>
    <x v="1"/>
    <x v="2"/>
    <s v="Normal order"/>
  </r>
  <r>
    <s v="SALE1319"/>
    <d v="2025-08-14T00:00:00"/>
    <x v="10"/>
    <s v="CUST1168"/>
    <s v="PROD39"/>
    <s v="STORE8"/>
    <n v="4"/>
    <n v="4"/>
    <n v="708.19"/>
    <n v="0.1"/>
    <x v="1"/>
    <n v="2549.4839999999999"/>
    <s v="High"/>
    <s v="Daniel Contreras"/>
    <x v="1"/>
    <x v="65"/>
    <x v="3"/>
    <x v="2"/>
    <s v="Bulk order"/>
  </r>
  <r>
    <s v="SALE132"/>
    <d v="2025-01-05T00:00:00"/>
    <x v="3"/>
    <s v="CUST1164"/>
    <s v="PROD48"/>
    <s v="STORE12"/>
    <n v="4"/>
    <n v="4"/>
    <n v="950.04"/>
    <n v="0.13"/>
    <x v="1"/>
    <n v="3306.1392000000001"/>
    <s v="High"/>
    <s v="Daniel Rivas"/>
    <x v="1"/>
    <x v="66"/>
    <x v="0"/>
    <x v="1"/>
    <s v="Bulk order"/>
  </r>
  <r>
    <s v="SALE1320"/>
    <d v="2025-05-11T00:00:00"/>
    <x v="11"/>
    <s v="CUST1444"/>
    <s v="PROD54"/>
    <s v="STORE3"/>
    <n v="3"/>
    <n v="3"/>
    <n v="477.05"/>
    <n v="0.05"/>
    <x v="1"/>
    <n v="1359.5925"/>
    <s v="High"/>
    <s v="Cheryl Carr"/>
    <x v="0"/>
    <x v="8"/>
    <x v="0"/>
    <x v="0"/>
    <s v="Normal order"/>
  </r>
  <r>
    <s v="SALE1321"/>
    <d v="2024-04-01T00:00:00"/>
    <x v="5"/>
    <s v="CUST1307"/>
    <s v="PROD74"/>
    <s v="STORE9"/>
    <n v="3"/>
    <n v="3"/>
    <n v="627.29"/>
    <n v="0.27"/>
    <x v="2"/>
    <n v="1373.7651000000001"/>
    <s v="High"/>
    <s v="Brandy Thompson"/>
    <x v="1"/>
    <x v="1"/>
    <x v="1"/>
    <x v="3"/>
    <s v="Normal order"/>
  </r>
  <r>
    <s v="SALE1322"/>
    <d v="2024-02-13T00:00:00"/>
    <x v="2"/>
    <s v="CUST1304"/>
    <s v="PROD94"/>
    <s v="STORE11"/>
    <n v="3"/>
    <n v="3"/>
    <n v="206.84"/>
    <n v="0.19"/>
    <x v="1"/>
    <n v="502.62119999999999"/>
    <s v="Low"/>
    <s v="Miss Alexandria Li Dvm"/>
    <x v="3"/>
    <x v="89"/>
    <x v="1"/>
    <x v="1"/>
    <s v="Normal order"/>
  </r>
  <r>
    <s v="SALE1323"/>
    <d v="2024-01-13T00:00:00"/>
    <x v="3"/>
    <s v="CUST1251"/>
    <s v="PROD30"/>
    <s v="STORE1"/>
    <n v="4"/>
    <n v="4"/>
    <n v="629.04999999999995"/>
    <n v="0.26"/>
    <x v="0"/>
    <n v="1861.9880000000001"/>
    <s v="High"/>
    <s v="Tyler Garner"/>
    <x v="2"/>
    <x v="38"/>
    <x v="0"/>
    <x v="1"/>
    <s v="Bulk order"/>
  </r>
  <r>
    <s v="SALE1324"/>
    <d v="2024-09-08T00:00:00"/>
    <x v="7"/>
    <s v="CUST1438"/>
    <s v="PROD74"/>
    <s v="STORE17"/>
    <n v="4"/>
    <n v="4"/>
    <n v="529.04"/>
    <n v="0.1"/>
    <x v="1"/>
    <n v="1904.5440000000001"/>
    <s v="High"/>
    <s v="Monica Flynn"/>
    <x v="1"/>
    <x v="1"/>
    <x v="0"/>
    <x v="2"/>
    <s v="Bulk order"/>
  </r>
  <r>
    <s v="SALE1325"/>
    <d v="2024-02-04T00:00:00"/>
    <x v="2"/>
    <s v="CUST1349"/>
    <s v="PROD30"/>
    <s v="STORE17"/>
    <n v="1"/>
    <n v="1"/>
    <n v="350.67"/>
    <n v="0.22"/>
    <x v="1"/>
    <n v="273.52260000000001"/>
    <s v="Low"/>
    <s v="Heather Valenzuela"/>
    <x v="2"/>
    <x v="38"/>
    <x v="0"/>
    <x v="3"/>
    <s v="Normal order"/>
  </r>
  <r>
    <s v="SALE1326"/>
    <d v="2024-07-25T00:00:00"/>
    <x v="0"/>
    <s v="CUST1371"/>
    <s v="PROD95"/>
    <s v="STORE1"/>
    <n v="1"/>
    <n v="1"/>
    <n v="128.93"/>
    <n v="0.26"/>
    <x v="0"/>
    <n v="95.408200000000008"/>
    <s v="Low"/>
    <s v="Michael Garner"/>
    <x v="0"/>
    <x v="28"/>
    <x v="0"/>
    <x v="2"/>
    <s v="Normal order"/>
  </r>
  <r>
    <s v="SALE1327"/>
    <d v="2024-09-09T00:00:00"/>
    <x v="7"/>
    <s v="CUST1145"/>
    <s v="PROD86"/>
    <s v="STORE15"/>
    <n v="2"/>
    <n v="2"/>
    <n v="384.92"/>
    <n v="0.09"/>
    <x v="0"/>
    <n v="700.5544000000001"/>
    <s v="Low"/>
    <s v="Cameron Simpson"/>
    <x v="2"/>
    <x v="30"/>
    <x v="0"/>
    <x v="2"/>
    <s v="Normal order"/>
  </r>
  <r>
    <s v="SALE1328"/>
    <d v="2023-12-08T00:00:00"/>
    <x v="1"/>
    <s v="CUST1334"/>
    <s v="PROD5"/>
    <s v="STORE8"/>
    <n v="3"/>
    <n v="3"/>
    <n v="120.77"/>
    <n v="0.28999999999999998"/>
    <x v="1"/>
    <n v="257.24009999999998"/>
    <s v="Low"/>
    <s v="Mr. Christopher Sims"/>
    <x v="4"/>
    <x v="91"/>
    <x v="3"/>
    <x v="1"/>
    <s v="Normal order"/>
  </r>
  <r>
    <s v="SALE1329"/>
    <d v="2025-06-16T00:00:00"/>
    <x v="4"/>
    <s v="CUST1222"/>
    <s v="PROD76"/>
    <s v="STORE17"/>
    <n v="4"/>
    <n v="4"/>
    <n v="661.39"/>
    <n v="7.0000000000000007E-2"/>
    <x v="0"/>
    <n v="2460.3708000000001"/>
    <s v="High"/>
    <s v="Alejandro Doyle"/>
    <x v="1"/>
    <x v="45"/>
    <x v="0"/>
    <x v="2"/>
    <s v="Bulk order"/>
  </r>
  <r>
    <s v="SALE133"/>
    <d v="2025-09-10T00:00:00"/>
    <x v="7"/>
    <s v="CUST1329"/>
    <s v="PROD57"/>
    <s v="STORE4"/>
    <n v="2"/>
    <n v="2"/>
    <n v="267.19"/>
    <n v="7.0000000000000007E-2"/>
    <x v="0"/>
    <n v="496.97340000000003"/>
    <s v="Low"/>
    <s v="Victor Mcintosh"/>
    <x v="0"/>
    <x v="64"/>
    <x v="1"/>
    <x v="3"/>
    <s v="Normal order"/>
  </r>
  <r>
    <s v="SALE1330"/>
    <d v="2023-12-01T00:00:00"/>
    <x v="1"/>
    <s v="CUST1449"/>
    <s v="PROD62"/>
    <s v="STORE2"/>
    <n v="1"/>
    <n v="1"/>
    <n v="195.24"/>
    <n v="0.27"/>
    <x v="1"/>
    <n v="142.52520000000001"/>
    <s v="Low"/>
    <s v="William Cortez"/>
    <x v="1"/>
    <x v="19"/>
    <x v="1"/>
    <x v="3"/>
    <s v="Normal order"/>
  </r>
  <r>
    <s v="SALE1331"/>
    <d v="2023-11-03T00:00:00"/>
    <x v="8"/>
    <s v="CUST1004"/>
    <s v="PROD92"/>
    <s v="STORE18"/>
    <n v="2"/>
    <n v="2"/>
    <n v="177.4"/>
    <n v="0.19"/>
    <x v="1"/>
    <n v="287.38799999999998"/>
    <s v="Low"/>
    <s v="Caroline Collins"/>
    <x v="2"/>
    <x v="39"/>
    <x v="2"/>
    <x v="1"/>
    <s v="Normal order"/>
  </r>
  <r>
    <s v="SALE1332"/>
    <d v="2025-01-16T00:00:00"/>
    <x v="3"/>
    <s v="CUST1057"/>
    <s v="PROD98"/>
    <s v="STORE11"/>
    <n v="4"/>
    <n v="4"/>
    <n v="862.67"/>
    <n v="0.2"/>
    <x v="1"/>
    <n v="2760.5439999999999"/>
    <s v="High"/>
    <s v="Jay Patel"/>
    <x v="1"/>
    <x v="51"/>
    <x v="1"/>
    <x v="2"/>
    <s v="Bulk order"/>
  </r>
  <r>
    <s v="SALE1333"/>
    <d v="2024-09-30T00:00:00"/>
    <x v="7"/>
    <s v="CUST1444"/>
    <s v="PROD17"/>
    <s v="STORE6"/>
    <n v="1"/>
    <n v="1"/>
    <n v="55.04"/>
    <n v="0.01"/>
    <x v="2"/>
    <n v="54.489600000000003"/>
    <s v="Low"/>
    <s v="Cheryl Carr"/>
    <x v="0"/>
    <x v="29"/>
    <x v="2"/>
    <x v="0"/>
    <s v="Normal order"/>
  </r>
  <r>
    <s v="SALE1334"/>
    <d v="2024-12-20T00:00:00"/>
    <x v="1"/>
    <s v="CUST1049"/>
    <s v="PROD45"/>
    <s v="STORE0"/>
    <n v="2"/>
    <n v="2"/>
    <n v="905.47"/>
    <n v="0.2"/>
    <x v="2"/>
    <n v="1448.752"/>
    <s v="High"/>
    <s v="Timothy Weaver"/>
    <x v="0"/>
    <x v="23"/>
    <x v="2"/>
    <x v="0"/>
    <s v="Normal order"/>
  </r>
  <r>
    <s v="SALE1335"/>
    <d v="2024-09-04T00:00:00"/>
    <x v="7"/>
    <s v="CUST1461"/>
    <s v="PROD63"/>
    <s v="STORE13"/>
    <n v="3"/>
    <n v="3"/>
    <n v="217.13"/>
    <n v="0.28000000000000003"/>
    <x v="0"/>
    <n v="469.00080000000003"/>
    <s v="Low"/>
    <s v="Paul Cox"/>
    <x v="3"/>
    <x v="11"/>
    <x v="2"/>
    <x v="1"/>
    <s v="Normal order"/>
  </r>
  <r>
    <s v="SALE1336"/>
    <d v="2025-10-06T00:00:00"/>
    <x v="6"/>
    <s v="CUST1389"/>
    <s v="PROD75"/>
    <s v="STORE0"/>
    <n v="3"/>
    <n v="3"/>
    <n v="580.45000000000005"/>
    <n v="0"/>
    <x v="1"/>
    <n v="1741.35"/>
    <s v="High"/>
    <s v="Cynthia Lopez"/>
    <x v="4"/>
    <x v="10"/>
    <x v="2"/>
    <x v="2"/>
    <s v="Normal order"/>
  </r>
  <r>
    <s v="SALE1337"/>
    <d v="2025-07-16T00:00:00"/>
    <x v="0"/>
    <s v="CUST1103"/>
    <s v="PROD4"/>
    <s v="STORE17"/>
    <n v="2"/>
    <n v="2"/>
    <n v="892.88"/>
    <n v="0.17"/>
    <x v="1"/>
    <n v="1482.1808000000001"/>
    <s v="High"/>
    <s v="Steven Stein"/>
    <x v="4"/>
    <x v="58"/>
    <x v="0"/>
    <x v="3"/>
    <s v="Normal order"/>
  </r>
  <r>
    <s v="SALE1338"/>
    <d v="2025-10-06T00:00:00"/>
    <x v="6"/>
    <s v="CUST1091"/>
    <s v="PROD40"/>
    <s v="STORE18"/>
    <n v="2"/>
    <n v="2"/>
    <n v="356.28"/>
    <n v="0.11"/>
    <x v="2"/>
    <n v="634.17840000000001"/>
    <s v="Low"/>
    <s v="Donna Gregory"/>
    <x v="1"/>
    <x v="50"/>
    <x v="2"/>
    <x v="1"/>
    <s v="Normal order"/>
  </r>
  <r>
    <s v="SALE1339"/>
    <d v="2025-09-21T00:00:00"/>
    <x v="7"/>
    <s v="CUST1384"/>
    <s v="PROD80"/>
    <s v="STORE2"/>
    <n v="4"/>
    <n v="4"/>
    <n v="806.99"/>
    <n v="0.06"/>
    <x v="0"/>
    <n v="3034.2824000000001"/>
    <s v="High"/>
    <s v="Andrew Mason"/>
    <x v="2"/>
    <x v="24"/>
    <x v="1"/>
    <x v="3"/>
    <s v="Bulk order"/>
  </r>
  <r>
    <s v="SALE134"/>
    <d v="2025-06-19T00:00:00"/>
    <x v="4"/>
    <s v="CUST1201"/>
    <s v="PROD87"/>
    <s v="STORE15"/>
    <n v="4"/>
    <n v="4"/>
    <n v="72.63"/>
    <n v="0.06"/>
    <x v="1"/>
    <n v="273.08879999999999"/>
    <s v="Low"/>
    <s v="Mary Boyd"/>
    <x v="2"/>
    <x v="48"/>
    <x v="0"/>
    <x v="3"/>
    <s v="Bulk order"/>
  </r>
  <r>
    <s v="SALE1340"/>
    <d v="2025-07-17T00:00:00"/>
    <x v="0"/>
    <s v="CUST1439"/>
    <s v="PROD20"/>
    <s v="STORE1"/>
    <n v="3"/>
    <n v="3"/>
    <n v="684.22"/>
    <n v="0.09"/>
    <x v="0"/>
    <n v="1867.9205999999999"/>
    <s v="High"/>
    <s v="John Compton"/>
    <x v="0"/>
    <x v="69"/>
    <x v="0"/>
    <x v="1"/>
    <s v="Normal order"/>
  </r>
  <r>
    <s v="SALE1341"/>
    <d v="2025-06-29T00:00:00"/>
    <x v="4"/>
    <s v="CUST1443"/>
    <s v="PROD93"/>
    <s v="STORE7"/>
    <n v="4"/>
    <n v="4"/>
    <n v="763.34"/>
    <n v="7.0000000000000007E-2"/>
    <x v="1"/>
    <n v="2839.6248000000001"/>
    <s v="High"/>
    <s v="Adam Castro"/>
    <x v="1"/>
    <x v="27"/>
    <x v="1"/>
    <x v="1"/>
    <s v="Bulk order"/>
  </r>
  <r>
    <s v="SALE1342"/>
    <d v="2025-03-22T00:00:00"/>
    <x v="9"/>
    <s v="CUST1361"/>
    <s v="PROD50"/>
    <s v="STORE3"/>
    <n v="3"/>
    <n v="3"/>
    <n v="721.94"/>
    <n v="0.26"/>
    <x v="0"/>
    <n v="1602.7067999999999"/>
    <s v="High"/>
    <s v="Natalie Johnson"/>
    <x v="0"/>
    <x v="52"/>
    <x v="0"/>
    <x v="2"/>
    <s v="Normal order"/>
  </r>
  <r>
    <s v="SALE1343"/>
    <d v="2024-02-01T00:00:00"/>
    <x v="2"/>
    <s v="CUST1406"/>
    <s v="PROD97"/>
    <s v="STORE1"/>
    <n v="3"/>
    <n v="3"/>
    <n v="760.38"/>
    <n v="0"/>
    <x v="2"/>
    <n v="2281.14"/>
    <s v="High"/>
    <s v="David Lozano"/>
    <x v="0"/>
    <x v="0"/>
    <x v="0"/>
    <x v="0"/>
    <s v="Normal order"/>
  </r>
  <r>
    <s v="SALE1344"/>
    <d v="2024-03-11T00:00:00"/>
    <x v="9"/>
    <s v="CUST1298"/>
    <s v="PROD97"/>
    <s v="STORE6"/>
    <n v="3"/>
    <n v="3"/>
    <n v="612.53"/>
    <n v="0.21"/>
    <x v="2"/>
    <n v="1451.6960999999999"/>
    <s v="High"/>
    <s v="Tracy Stephens"/>
    <x v="0"/>
    <x v="0"/>
    <x v="2"/>
    <x v="2"/>
    <s v="Normal order"/>
  </r>
  <r>
    <s v="SALE1345"/>
    <d v="2024-09-09T00:00:00"/>
    <x v="7"/>
    <s v="CUST1041"/>
    <s v="PROD63"/>
    <s v="STORE16"/>
    <n v="3"/>
    <n v="3"/>
    <n v="841.37"/>
    <n v="0.28999999999999998"/>
    <x v="1"/>
    <n v="1792.1180999999999"/>
    <s v="High"/>
    <s v="James Gibbs"/>
    <x v="3"/>
    <x v="11"/>
    <x v="3"/>
    <x v="2"/>
    <s v="Normal order"/>
  </r>
  <r>
    <s v="SALE1346"/>
    <d v="2023-11-19T00:00:00"/>
    <x v="8"/>
    <s v="CUST1261"/>
    <s v="PROD48"/>
    <s v="STORE9"/>
    <n v="2"/>
    <n v="2"/>
    <n v="636.51"/>
    <n v="0.25"/>
    <x v="0"/>
    <n v="954.76499999999999"/>
    <s v="Low"/>
    <s v="Carol Bishop"/>
    <x v="1"/>
    <x v="66"/>
    <x v="1"/>
    <x v="1"/>
    <s v="Normal order"/>
  </r>
  <r>
    <s v="SALE1347"/>
    <d v="2025-01-02T00:00:00"/>
    <x v="3"/>
    <s v="CUST1091"/>
    <s v="PROD45"/>
    <s v="STORE8"/>
    <n v="2"/>
    <n v="2"/>
    <n v="732.37"/>
    <n v="0.22"/>
    <x v="2"/>
    <n v="1142.4972"/>
    <s v="High"/>
    <s v="Donna Gregory"/>
    <x v="0"/>
    <x v="23"/>
    <x v="3"/>
    <x v="1"/>
    <s v="Normal order"/>
  </r>
  <r>
    <s v="SALE1348"/>
    <d v="2025-09-27T00:00:00"/>
    <x v="7"/>
    <s v="CUST1164"/>
    <s v="PROD54"/>
    <s v="STORE16"/>
    <n v="3"/>
    <n v="3"/>
    <n v="183.44"/>
    <n v="0.28000000000000003"/>
    <x v="2"/>
    <n v="396.23039999999992"/>
    <s v="Low"/>
    <s v="Daniel Rivas"/>
    <x v="0"/>
    <x v="8"/>
    <x v="3"/>
    <x v="1"/>
    <s v="Normal order"/>
  </r>
  <r>
    <s v="SALE1349"/>
    <d v="2024-03-22T00:00:00"/>
    <x v="9"/>
    <s v="CUST1065"/>
    <s v="PROD11"/>
    <s v="STORE13"/>
    <n v="4"/>
    <n v="4"/>
    <n v="898.58"/>
    <n v="0.16"/>
    <x v="1"/>
    <n v="3019.2287999999999"/>
    <s v="High"/>
    <s v="Michael Thomas"/>
    <x v="1"/>
    <x v="68"/>
    <x v="2"/>
    <x v="1"/>
    <s v="Bulk order"/>
  </r>
  <r>
    <s v="SALE135"/>
    <d v="2024-09-09T00:00:00"/>
    <x v="7"/>
    <s v="CUST1427"/>
    <s v="PROD53"/>
    <s v="STORE5"/>
    <n v="3"/>
    <n v="3"/>
    <n v="576.52"/>
    <n v="0.22"/>
    <x v="2"/>
    <n v="1349.0568000000001"/>
    <s v="High"/>
    <s v="Jose Stewart"/>
    <x v="4"/>
    <x v="20"/>
    <x v="0"/>
    <x v="0"/>
    <s v="Normal order"/>
  </r>
  <r>
    <s v="SALE1350"/>
    <d v="2024-08-25T00:00:00"/>
    <x v="10"/>
    <s v="CUST1390"/>
    <s v="PROD23"/>
    <s v="STORE2"/>
    <n v="3"/>
    <n v="3"/>
    <n v="152.41"/>
    <n v="0.25"/>
    <x v="0"/>
    <n v="342.92250000000001"/>
    <s v="Low"/>
    <s v="Daniel Bell"/>
    <x v="4"/>
    <x v="9"/>
    <x v="1"/>
    <x v="1"/>
    <s v="Normal order"/>
  </r>
  <r>
    <s v="SALE1351"/>
    <d v="2025-08-03T00:00:00"/>
    <x v="10"/>
    <s v="CUST1223"/>
    <s v="PROD92"/>
    <s v="STORE14"/>
    <n v="3"/>
    <n v="3"/>
    <n v="972.58"/>
    <n v="0.28000000000000003"/>
    <x v="2"/>
    <n v="2100.7728000000002"/>
    <s v="High"/>
    <s v="Robert Harris"/>
    <x v="2"/>
    <x v="39"/>
    <x v="1"/>
    <x v="2"/>
    <s v="Normal order"/>
  </r>
  <r>
    <s v="SALE1352"/>
    <d v="2023-12-07T00:00:00"/>
    <x v="1"/>
    <s v="CUST1466"/>
    <s v="PROD69"/>
    <s v="STORE11"/>
    <n v="4"/>
    <n v="4"/>
    <n v="136.4"/>
    <n v="0.04"/>
    <x v="2"/>
    <n v="523.77599999999995"/>
    <s v="Low"/>
    <s v="Cynthia Parrish"/>
    <x v="4"/>
    <x v="5"/>
    <x v="1"/>
    <x v="1"/>
    <s v="Bulk order"/>
  </r>
  <r>
    <s v="SALE1353"/>
    <d v="2025-08-25T00:00:00"/>
    <x v="10"/>
    <s v="CUST1400"/>
    <s v="PROD94"/>
    <s v="STORE15"/>
    <n v="1"/>
    <n v="1"/>
    <n v="509.63"/>
    <n v="0.27"/>
    <x v="2"/>
    <n v="372.0299"/>
    <s v="Low"/>
    <s v="Mark Rogers"/>
    <x v="3"/>
    <x v="89"/>
    <x v="0"/>
    <x v="2"/>
    <s v="Normal order"/>
  </r>
  <r>
    <s v="SALE1354"/>
    <d v="2024-02-09T00:00:00"/>
    <x v="2"/>
    <s v="CUST1003"/>
    <s v="PROD97"/>
    <s v="STORE3"/>
    <n v="4"/>
    <n v="4"/>
    <n v="360.28"/>
    <n v="0.09"/>
    <x v="2"/>
    <n v="1311.4192"/>
    <s v="High"/>
    <s v="Jeremy Harris"/>
    <x v="0"/>
    <x v="0"/>
    <x v="0"/>
    <x v="3"/>
    <s v="Bulk order"/>
  </r>
  <r>
    <s v="SALE1355"/>
    <d v="2025-09-10T00:00:00"/>
    <x v="7"/>
    <s v="CUST1080"/>
    <s v="PROD89"/>
    <s v="STORE15"/>
    <n v="3"/>
    <n v="3"/>
    <n v="882.05"/>
    <n v="0.06"/>
    <x v="1"/>
    <n v="2487.3809999999989"/>
    <s v="High"/>
    <s v="Jennifer Garcia"/>
    <x v="3"/>
    <x v="53"/>
    <x v="0"/>
    <x v="3"/>
    <s v="Normal order"/>
  </r>
  <r>
    <s v="SALE1356"/>
    <d v="2024-09-29T00:00:00"/>
    <x v="7"/>
    <s v="CUST1195"/>
    <s v="PROD79"/>
    <s v="STORE8"/>
    <n v="3"/>
    <n v="3"/>
    <n v="141.54"/>
    <n v="0.12"/>
    <x v="1"/>
    <n v="373.66559999999998"/>
    <s v="Low"/>
    <s v="Anthony Garcia"/>
    <x v="2"/>
    <x v="14"/>
    <x v="3"/>
    <x v="1"/>
    <s v="Normal order"/>
  </r>
  <r>
    <s v="SALE1357"/>
    <d v="2024-06-18T00:00:00"/>
    <x v="4"/>
    <s v="CUST1043"/>
    <s v="PROD15"/>
    <s v="STORE4"/>
    <n v="3"/>
    <n v="3"/>
    <n v="83.5"/>
    <n v="0.23"/>
    <x v="2"/>
    <n v="192.88499999999999"/>
    <s v="Low"/>
    <s v="Joseph Snow"/>
    <x v="1"/>
    <x v="42"/>
    <x v="1"/>
    <x v="0"/>
    <s v="Normal order"/>
  </r>
  <r>
    <s v="SALE1358"/>
    <d v="2023-11-28T00:00:00"/>
    <x v="8"/>
    <s v="CUST1123"/>
    <s v="PROD14"/>
    <s v="STORE6"/>
    <n v="2"/>
    <n v="2"/>
    <n v="629.73"/>
    <n v="7.0000000000000007E-2"/>
    <x v="1"/>
    <n v="1171.2978000000001"/>
    <s v="High"/>
    <s v="Erin Hopkins"/>
    <x v="2"/>
    <x v="94"/>
    <x v="2"/>
    <x v="1"/>
    <s v="Normal order"/>
  </r>
  <r>
    <s v="SALE1359"/>
    <d v="2023-10-29T00:00:00"/>
    <x v="6"/>
    <s v="CUST1012"/>
    <s v="PROD33"/>
    <s v="STORE6"/>
    <n v="2"/>
    <n v="2"/>
    <n v="159.93"/>
    <n v="0.2"/>
    <x v="2"/>
    <n v="255.88800000000001"/>
    <s v="Low"/>
    <s v="Kenneth Lambert"/>
    <x v="2"/>
    <x v="3"/>
    <x v="2"/>
    <x v="2"/>
    <s v="Normal order"/>
  </r>
  <r>
    <s v="SALE136"/>
    <d v="2025-04-04T00:00:00"/>
    <x v="5"/>
    <s v="CUST1349"/>
    <s v="PROD71"/>
    <s v="STORE9"/>
    <n v="3"/>
    <n v="3"/>
    <n v="849.36"/>
    <n v="0.03"/>
    <x v="0"/>
    <n v="2471.6376"/>
    <s v="High"/>
    <s v="Heather Valenzuela"/>
    <x v="3"/>
    <x v="57"/>
    <x v="1"/>
    <x v="3"/>
    <s v="Normal order"/>
  </r>
  <r>
    <s v="SALE1360"/>
    <d v="2025-07-20T00:00:00"/>
    <x v="0"/>
    <s v="CUST1012"/>
    <s v="PROD45"/>
    <s v="STORE18"/>
    <n v="1"/>
    <n v="1"/>
    <n v="459.89"/>
    <n v="0.18"/>
    <x v="2"/>
    <n v="377.10980000000001"/>
    <s v="Low"/>
    <s v="Kenneth Lambert"/>
    <x v="0"/>
    <x v="23"/>
    <x v="2"/>
    <x v="2"/>
    <s v="Normal order"/>
  </r>
  <r>
    <s v="SALE1361"/>
    <d v="2024-08-28T00:00:00"/>
    <x v="10"/>
    <s v="CUST1188"/>
    <s v="PROD33"/>
    <s v="STORE19"/>
    <n v="4"/>
    <n v="4"/>
    <n v="885.57"/>
    <n v="0.27"/>
    <x v="0"/>
    <n v="2585.8643999999999"/>
    <s v="High"/>
    <s v="Kimberly Brooks"/>
    <x v="2"/>
    <x v="3"/>
    <x v="2"/>
    <x v="1"/>
    <s v="Bulk order"/>
  </r>
  <r>
    <s v="SALE1362"/>
    <d v="2024-06-11T00:00:00"/>
    <x v="4"/>
    <s v="CUST1402"/>
    <s v="PROD54"/>
    <s v="STORE15"/>
    <n v="3"/>
    <n v="3"/>
    <n v="789.05"/>
    <n v="0"/>
    <x v="1"/>
    <n v="2367.15"/>
    <s v="High"/>
    <s v="Cassandra Perez"/>
    <x v="0"/>
    <x v="8"/>
    <x v="0"/>
    <x v="3"/>
    <s v="Normal order"/>
  </r>
  <r>
    <s v="SALE1363"/>
    <d v="2023-11-14T00:00:00"/>
    <x v="8"/>
    <s v="CUST1154"/>
    <s v="PROD66"/>
    <s v="STORE0"/>
    <n v="1"/>
    <n v="1"/>
    <n v="570.52"/>
    <n v="0"/>
    <x v="1"/>
    <n v="570.52"/>
    <s v="Low"/>
    <s v="Julie Hale"/>
    <x v="3"/>
    <x v="46"/>
    <x v="2"/>
    <x v="0"/>
    <s v="Normal order"/>
  </r>
  <r>
    <s v="SALE1364"/>
    <d v="2024-01-31T00:00:00"/>
    <x v="3"/>
    <s v="CUST1179"/>
    <s v="PROD27"/>
    <s v="STORE16"/>
    <n v="4"/>
    <n v="4"/>
    <n v="310.79000000000002"/>
    <n v="0.22"/>
    <x v="2"/>
    <n v="969.66480000000013"/>
    <s v="Low"/>
    <s v="Nicholas Bradshaw"/>
    <x v="2"/>
    <x v="77"/>
    <x v="3"/>
    <x v="1"/>
    <s v="Bulk order"/>
  </r>
  <r>
    <s v="SALE1365"/>
    <d v="2025-04-10T00:00:00"/>
    <x v="5"/>
    <s v="CUST1057"/>
    <s v="PROD68"/>
    <s v="STORE17"/>
    <n v="4"/>
    <n v="4"/>
    <n v="255.67"/>
    <n v="0.17"/>
    <x v="0"/>
    <n v="848.82439999999997"/>
    <s v="Low"/>
    <s v="Jay Patel"/>
    <x v="2"/>
    <x v="97"/>
    <x v="0"/>
    <x v="2"/>
    <s v="Bulk order"/>
  </r>
  <r>
    <s v="SALE1366"/>
    <d v="2024-04-15T00:00:00"/>
    <x v="5"/>
    <s v="CUST1129"/>
    <s v="PROD27"/>
    <s v="STORE16"/>
    <n v="2"/>
    <n v="2"/>
    <n v="270.66000000000003"/>
    <n v="0.1"/>
    <x v="2"/>
    <n v="487.18799999999999"/>
    <s v="Low"/>
    <s v="Jessica Mitchell"/>
    <x v="2"/>
    <x v="77"/>
    <x v="3"/>
    <x v="1"/>
    <s v="Normal order"/>
  </r>
  <r>
    <s v="SALE1367"/>
    <d v="2025-09-14T00:00:00"/>
    <x v="7"/>
    <s v="CUST1299"/>
    <s v="PROD23"/>
    <s v="STORE17"/>
    <n v="3"/>
    <n v="3"/>
    <n v="373.35"/>
    <n v="0.2"/>
    <x v="2"/>
    <n v="896.04000000000019"/>
    <s v="Low"/>
    <s v="Stephanie Jacobs"/>
    <x v="4"/>
    <x v="9"/>
    <x v="0"/>
    <x v="2"/>
    <s v="Normal order"/>
  </r>
  <r>
    <s v="SALE1368"/>
    <d v="2024-05-20T00:00:00"/>
    <x v="11"/>
    <s v="CUST1036"/>
    <s v="PROD59"/>
    <s v="STORE11"/>
    <n v="2"/>
    <n v="2"/>
    <n v="23.58"/>
    <n v="0.02"/>
    <x v="1"/>
    <n v="46.216799999999999"/>
    <s v="Low"/>
    <s v="Thomas Phillips"/>
    <x v="3"/>
    <x v="4"/>
    <x v="1"/>
    <x v="0"/>
    <s v="Normal order"/>
  </r>
  <r>
    <s v="SALE1369"/>
    <d v="2025-05-21T00:00:00"/>
    <x v="11"/>
    <s v="CUST1005"/>
    <s v="PROD35"/>
    <s v="STORE7"/>
    <n v="4"/>
    <n v="4"/>
    <n v="185.67"/>
    <n v="0.21"/>
    <x v="1"/>
    <n v="586.71719999999993"/>
    <s v="Low"/>
    <s v="Christine Vaughn"/>
    <x v="2"/>
    <x v="44"/>
    <x v="1"/>
    <x v="3"/>
    <s v="Bulk order"/>
  </r>
  <r>
    <s v="SALE137"/>
    <d v="2024-04-10T00:00:00"/>
    <x v="5"/>
    <s v="CUST1473"/>
    <s v="PROD50"/>
    <s v="STORE6"/>
    <n v="1"/>
    <n v="1"/>
    <n v="245.85"/>
    <n v="0.18"/>
    <x v="2"/>
    <n v="201.59700000000001"/>
    <s v="Low"/>
    <s v="Laura Mathews"/>
    <x v="0"/>
    <x v="52"/>
    <x v="2"/>
    <x v="3"/>
    <s v="Normal order"/>
  </r>
  <r>
    <s v="SALE1370"/>
    <d v="2024-04-14T00:00:00"/>
    <x v="5"/>
    <s v="CUST1120"/>
    <s v="PROD18"/>
    <s v="STORE13"/>
    <n v="3"/>
    <n v="3"/>
    <n v="928.74"/>
    <n v="0.27"/>
    <x v="1"/>
    <n v="2033.9405999999999"/>
    <s v="High"/>
    <s v="Jacob Hopkins"/>
    <x v="4"/>
    <x v="83"/>
    <x v="2"/>
    <x v="2"/>
    <s v="Normal order"/>
  </r>
  <r>
    <s v="SALE1371"/>
    <d v="2023-11-05T00:00:00"/>
    <x v="8"/>
    <s v="CUST1029"/>
    <s v="PROD84"/>
    <s v="STORE5"/>
    <n v="3"/>
    <n v="3"/>
    <n v="923.38"/>
    <n v="7.0000000000000007E-2"/>
    <x v="2"/>
    <n v="2576.2302"/>
    <s v="High"/>
    <s v="David Arnold"/>
    <x v="2"/>
    <x v="56"/>
    <x v="0"/>
    <x v="1"/>
    <s v="Normal order"/>
  </r>
  <r>
    <s v="SALE1372"/>
    <d v="2024-07-26T00:00:00"/>
    <x v="0"/>
    <s v="CUST1462"/>
    <s v="PROD4"/>
    <s v="STORE9"/>
    <n v="2"/>
    <n v="2"/>
    <n v="409.26"/>
    <n v="0.1"/>
    <x v="1"/>
    <n v="736.66800000000001"/>
    <s v="Low"/>
    <s v="Beth Martin"/>
    <x v="4"/>
    <x v="58"/>
    <x v="1"/>
    <x v="1"/>
    <s v="Normal order"/>
  </r>
  <r>
    <s v="SALE1373"/>
    <d v="2023-12-12T00:00:00"/>
    <x v="1"/>
    <s v="CUST1254"/>
    <s v="PROD23"/>
    <s v="STORE7"/>
    <n v="2"/>
    <n v="2"/>
    <n v="608.46"/>
    <n v="0.16"/>
    <x v="0"/>
    <n v="1022.2128"/>
    <s v="High"/>
    <s v="Linda Kline"/>
    <x v="4"/>
    <x v="9"/>
    <x v="1"/>
    <x v="1"/>
    <s v="Normal order"/>
  </r>
  <r>
    <s v="SALE1374"/>
    <d v="2025-05-08T00:00:00"/>
    <x v="11"/>
    <s v="CUST1212"/>
    <s v="PROD42"/>
    <s v="STORE19"/>
    <n v="4"/>
    <n v="4"/>
    <n v="150.47999999999999"/>
    <n v="0.09"/>
    <x v="0"/>
    <n v="547.74720000000002"/>
    <s v="Low"/>
    <s v="Blake Harrison"/>
    <x v="1"/>
    <x v="71"/>
    <x v="2"/>
    <x v="2"/>
    <s v="Bulk order"/>
  </r>
  <r>
    <s v="SALE1375"/>
    <d v="2024-08-30T00:00:00"/>
    <x v="10"/>
    <s v="CUST1245"/>
    <s v="PROD68"/>
    <s v="STORE14"/>
    <n v="4"/>
    <n v="4"/>
    <n v="207.41"/>
    <n v="0.02"/>
    <x v="0"/>
    <n v="813.04719999999998"/>
    <s v="Low"/>
    <s v="Laura Soto"/>
    <x v="2"/>
    <x v="97"/>
    <x v="1"/>
    <x v="2"/>
    <s v="Bulk order"/>
  </r>
  <r>
    <s v="SALE1376"/>
    <d v="2025-05-26T00:00:00"/>
    <x v="11"/>
    <s v="CUST1172"/>
    <s v="PROD11"/>
    <s v="STORE6"/>
    <n v="1"/>
    <n v="1"/>
    <n v="56.59"/>
    <n v="0.15"/>
    <x v="1"/>
    <n v="48.101500000000001"/>
    <s v="Low"/>
    <s v="Thomas Rhodes"/>
    <x v="1"/>
    <x v="68"/>
    <x v="2"/>
    <x v="3"/>
    <s v="Normal order"/>
  </r>
  <r>
    <s v="SALE1377"/>
    <d v="2025-01-10T00:00:00"/>
    <x v="3"/>
    <s v="CUST1405"/>
    <s v="PROD39"/>
    <s v="STORE4"/>
    <n v="4"/>
    <n v="4"/>
    <n v="995.4"/>
    <n v="0.27"/>
    <x v="0"/>
    <n v="2906.5680000000002"/>
    <s v="High"/>
    <s v="Eric Wolfe"/>
    <x v="1"/>
    <x v="65"/>
    <x v="1"/>
    <x v="0"/>
    <s v="Bulk order"/>
  </r>
  <r>
    <s v="SALE1378"/>
    <d v="2024-12-30T00:00:00"/>
    <x v="1"/>
    <s v="CUST1064"/>
    <s v="PROD47"/>
    <s v="STORE12"/>
    <n v="2"/>
    <n v="2"/>
    <n v="591.33000000000004"/>
    <n v="0.24"/>
    <x v="0"/>
    <n v="898.8216000000001"/>
    <s v="Low"/>
    <s v="Mr. Mason Butler"/>
    <x v="3"/>
    <x v="37"/>
    <x v="0"/>
    <x v="0"/>
    <s v="Normal order"/>
  </r>
  <r>
    <s v="SALE1379"/>
    <d v="2025-07-31T00:00:00"/>
    <x v="0"/>
    <s v="CUST1378"/>
    <s v="PROD48"/>
    <s v="STORE17"/>
    <n v="2"/>
    <n v="2"/>
    <n v="204.89"/>
    <n v="0.24"/>
    <x v="0"/>
    <n v="311.43279999999999"/>
    <s v="Low"/>
    <s v="Frank Stewart"/>
    <x v="1"/>
    <x v="66"/>
    <x v="0"/>
    <x v="3"/>
    <s v="Normal order"/>
  </r>
  <r>
    <s v="SALE138"/>
    <d v="2024-10-24T00:00:00"/>
    <x v="6"/>
    <s v="CUST1178"/>
    <s v="PROD97"/>
    <s v="STORE10"/>
    <n v="3"/>
    <n v="3"/>
    <n v="237.68"/>
    <n v="0.1"/>
    <x v="2"/>
    <n v="641.73599999999999"/>
    <s v="Low"/>
    <s v="Michelle Myers"/>
    <x v="0"/>
    <x v="0"/>
    <x v="2"/>
    <x v="3"/>
    <s v="Normal order"/>
  </r>
  <r>
    <s v="SALE1380"/>
    <d v="2024-09-14T00:00:00"/>
    <x v="7"/>
    <s v="CUST1090"/>
    <s v="PROD65"/>
    <s v="STORE14"/>
    <n v="2"/>
    <n v="2"/>
    <n v="546.41"/>
    <n v="0.08"/>
    <x v="2"/>
    <n v="1005.3944"/>
    <s v="High"/>
    <s v="Oscar Moon"/>
    <x v="0"/>
    <x v="74"/>
    <x v="1"/>
    <x v="2"/>
    <s v="Normal order"/>
  </r>
  <r>
    <s v="SALE1381"/>
    <d v="2024-04-27T00:00:00"/>
    <x v="5"/>
    <s v="CUST1056"/>
    <s v="PROD18"/>
    <s v="STORE12"/>
    <n v="4"/>
    <n v="4"/>
    <n v="455.49"/>
    <n v="0.17"/>
    <x v="0"/>
    <n v="1512.2267999999999"/>
    <s v="High"/>
    <s v="Christopher Sutton"/>
    <x v="4"/>
    <x v="83"/>
    <x v="0"/>
    <x v="0"/>
    <s v="Bulk order"/>
  </r>
  <r>
    <s v="SALE1382"/>
    <d v="2024-03-23T00:00:00"/>
    <x v="9"/>
    <s v="CUST1422"/>
    <s v="PROD10"/>
    <s v="STORE16"/>
    <n v="2"/>
    <n v="2"/>
    <n v="700.27"/>
    <n v="0.16"/>
    <x v="0"/>
    <n v="1176.4536000000001"/>
    <s v="High"/>
    <s v="Brittany Edwards Dds"/>
    <x v="2"/>
    <x v="47"/>
    <x v="3"/>
    <x v="2"/>
    <s v="Normal order"/>
  </r>
  <r>
    <s v="SALE1383"/>
    <d v="2023-12-22T00:00:00"/>
    <x v="1"/>
    <s v="CUST1345"/>
    <s v="PROD82"/>
    <s v="STORE17"/>
    <n v="2"/>
    <n v="2"/>
    <n v="160.21"/>
    <n v="0.09"/>
    <x v="0"/>
    <n v="291.5822"/>
    <s v="Low"/>
    <s v="Daniel Nelson"/>
    <x v="0"/>
    <x v="26"/>
    <x v="0"/>
    <x v="3"/>
    <s v="Normal order"/>
  </r>
  <r>
    <s v="SALE1384"/>
    <d v="2025-03-26T00:00:00"/>
    <x v="9"/>
    <s v="CUST1031"/>
    <s v="PROD47"/>
    <s v="STORE11"/>
    <n v="1"/>
    <n v="1"/>
    <n v="713.63"/>
    <n v="0.28000000000000003"/>
    <x v="2"/>
    <n v="513.81359999999995"/>
    <s v="Low"/>
    <s v="Sarah Vance"/>
    <x v="3"/>
    <x v="37"/>
    <x v="1"/>
    <x v="1"/>
    <s v="Normal order"/>
  </r>
  <r>
    <s v="SALE1385"/>
    <d v="2024-06-04T00:00:00"/>
    <x v="4"/>
    <s v="CUST1227"/>
    <s v="PROD93"/>
    <s v="STORE7"/>
    <n v="2"/>
    <n v="2"/>
    <n v="224.69"/>
    <n v="0.2"/>
    <x v="2"/>
    <n v="359.50400000000002"/>
    <s v="Low"/>
    <s v="Gregory Pham"/>
    <x v="1"/>
    <x v="27"/>
    <x v="1"/>
    <x v="0"/>
    <s v="Normal order"/>
  </r>
  <r>
    <s v="SALE1386"/>
    <d v="2025-03-17T00:00:00"/>
    <x v="9"/>
    <s v="CUST1453"/>
    <s v="PROD20"/>
    <s v="STORE14"/>
    <n v="2"/>
    <n v="2"/>
    <n v="740.57"/>
    <n v="0.06"/>
    <x v="0"/>
    <n v="1392.2716"/>
    <s v="High"/>
    <s v="April Phillips"/>
    <x v="0"/>
    <x v="69"/>
    <x v="1"/>
    <x v="2"/>
    <s v="Normal order"/>
  </r>
  <r>
    <s v="SALE1387"/>
    <d v="2024-03-22T00:00:00"/>
    <x v="9"/>
    <s v="CUST1142"/>
    <s v="PROD11"/>
    <s v="STORE3"/>
    <n v="3"/>
    <n v="3"/>
    <n v="250.14"/>
    <n v="0.23"/>
    <x v="1"/>
    <n v="577.82339999999999"/>
    <s v="Low"/>
    <s v="Maria Ramirez"/>
    <x v="1"/>
    <x v="68"/>
    <x v="0"/>
    <x v="3"/>
    <s v="Normal order"/>
  </r>
  <r>
    <s v="SALE1388"/>
    <d v="2024-12-29T00:00:00"/>
    <x v="1"/>
    <s v="CUST1020"/>
    <s v="PROD98"/>
    <s v="STORE19"/>
    <n v="3"/>
    <n v="3"/>
    <n v="34.97"/>
    <n v="0.01"/>
    <x v="0"/>
    <n v="103.8609"/>
    <s v="Low"/>
    <s v="Bridget Allen"/>
    <x v="1"/>
    <x v="51"/>
    <x v="2"/>
    <x v="1"/>
    <s v="Normal order"/>
  </r>
  <r>
    <s v="SALE1389"/>
    <d v="2025-07-30T00:00:00"/>
    <x v="0"/>
    <s v="CUST1304"/>
    <s v="PROD42"/>
    <s v="STORE16"/>
    <n v="1"/>
    <n v="1"/>
    <n v="653.91"/>
    <n v="0.3"/>
    <x v="1"/>
    <n v="457.73700000000002"/>
    <s v="Low"/>
    <s v="Miss Alexandria Li Dvm"/>
    <x v="1"/>
    <x v="71"/>
    <x v="3"/>
    <x v="1"/>
    <s v="Normal order"/>
  </r>
  <r>
    <s v="SALE139"/>
    <d v="2025-04-09T00:00:00"/>
    <x v="5"/>
    <s v="CUST1337"/>
    <s v="PROD71"/>
    <s v="STORE14"/>
    <n v="4"/>
    <n v="4"/>
    <n v="715.85"/>
    <n v="0.25"/>
    <x v="1"/>
    <n v="2147.5500000000002"/>
    <s v="High"/>
    <s v="Carol Lewis"/>
    <x v="3"/>
    <x v="57"/>
    <x v="1"/>
    <x v="3"/>
    <s v="Bulk order"/>
  </r>
  <r>
    <s v="SALE1390"/>
    <d v="2024-02-16T00:00:00"/>
    <x v="2"/>
    <s v="CUST1363"/>
    <s v="PROD66"/>
    <s v="STORE3"/>
    <n v="1"/>
    <n v="1"/>
    <n v="997.87"/>
    <n v="0.24"/>
    <x v="0"/>
    <n v="758.38120000000004"/>
    <s v="Low"/>
    <s v="Elizabeth Smith"/>
    <x v="3"/>
    <x v="46"/>
    <x v="0"/>
    <x v="3"/>
    <s v="Normal order"/>
  </r>
  <r>
    <s v="SALE1391"/>
    <d v="2024-02-27T00:00:00"/>
    <x v="2"/>
    <s v="CUST1208"/>
    <s v="PROD89"/>
    <s v="STORE14"/>
    <n v="1"/>
    <n v="1"/>
    <n v="174.27"/>
    <n v="0.27"/>
    <x v="2"/>
    <n v="127.2171"/>
    <s v="Low"/>
    <s v="John Perez"/>
    <x v="3"/>
    <x v="53"/>
    <x v="1"/>
    <x v="2"/>
    <s v="Normal order"/>
  </r>
  <r>
    <s v="SALE1392"/>
    <d v="2024-03-17T00:00:00"/>
    <x v="9"/>
    <s v="CUST1115"/>
    <s v="PROD49"/>
    <s v="STORE7"/>
    <n v="3"/>
    <n v="3"/>
    <n v="847.44"/>
    <n v="0.17"/>
    <x v="0"/>
    <n v="2110.1255999999998"/>
    <s v="High"/>
    <s v="Tyler Conrad"/>
    <x v="3"/>
    <x v="80"/>
    <x v="1"/>
    <x v="2"/>
    <s v="Normal order"/>
  </r>
  <r>
    <s v="SALE1393"/>
    <d v="2023-11-13T00:00:00"/>
    <x v="8"/>
    <s v="CUST1428"/>
    <s v="PROD2"/>
    <s v="STORE2"/>
    <n v="1"/>
    <n v="1"/>
    <n v="493.45"/>
    <n v="0.09"/>
    <x v="0"/>
    <n v="449.03949999999998"/>
    <s v="Low"/>
    <s v="Samuel Mullins"/>
    <x v="4"/>
    <x v="60"/>
    <x v="1"/>
    <x v="3"/>
    <s v="Normal order"/>
  </r>
  <r>
    <s v="SALE1394"/>
    <d v="2024-10-12T00:00:00"/>
    <x v="6"/>
    <s v="CUST1232"/>
    <s v="PROD62"/>
    <s v="STORE2"/>
    <n v="4"/>
    <n v="4"/>
    <n v="111.66"/>
    <n v="0.14000000000000001"/>
    <x v="0"/>
    <n v="384.11040000000003"/>
    <s v="Low"/>
    <s v="Christy Hill"/>
    <x v="1"/>
    <x v="19"/>
    <x v="1"/>
    <x v="2"/>
    <s v="Bulk order"/>
  </r>
  <r>
    <s v="SALE1395"/>
    <d v="2024-02-21T00:00:00"/>
    <x v="2"/>
    <s v="CUST1278"/>
    <s v="PROD90"/>
    <s v="STORE11"/>
    <n v="1"/>
    <n v="1"/>
    <n v="413.65"/>
    <n v="0.1"/>
    <x v="2"/>
    <n v="372.28500000000003"/>
    <s v="Low"/>
    <s v="Stephen Fowler"/>
    <x v="1"/>
    <x v="73"/>
    <x v="1"/>
    <x v="2"/>
    <s v="Normal order"/>
  </r>
  <r>
    <s v="SALE1396"/>
    <d v="2025-03-28T00:00:00"/>
    <x v="9"/>
    <s v="CUST1475"/>
    <s v="PROD89"/>
    <s v="STORE9"/>
    <n v="1"/>
    <n v="1"/>
    <n v="317.14999999999998"/>
    <n v="0.24"/>
    <x v="2"/>
    <n v="241.03399999999999"/>
    <s v="Low"/>
    <s v="Barbara Berry"/>
    <x v="3"/>
    <x v="53"/>
    <x v="1"/>
    <x v="2"/>
    <s v="Normal order"/>
  </r>
  <r>
    <s v="SALE1397"/>
    <d v="2025-08-04T00:00:00"/>
    <x v="10"/>
    <s v="CUST1359"/>
    <s v="PROD88"/>
    <s v="STORE1"/>
    <n v="3"/>
    <n v="3"/>
    <n v="642.94000000000005"/>
    <n v="0.05"/>
    <x v="2"/>
    <n v="1832.3789999999999"/>
    <s v="High"/>
    <s v="Melanie Lam"/>
    <x v="0"/>
    <x v="90"/>
    <x v="0"/>
    <x v="1"/>
    <s v="Normal order"/>
  </r>
  <r>
    <s v="SALE1398"/>
    <d v="2024-11-05T00:00:00"/>
    <x v="8"/>
    <s v="CUST1133"/>
    <s v="PROD57"/>
    <s v="STORE10"/>
    <n v="4"/>
    <n v="4"/>
    <n v="559.59"/>
    <n v="0.19"/>
    <x v="2"/>
    <n v="1813.0716"/>
    <s v="High"/>
    <s v="Hayley Pope"/>
    <x v="0"/>
    <x v="64"/>
    <x v="2"/>
    <x v="3"/>
    <s v="Bulk order"/>
  </r>
  <r>
    <s v="SALE1399"/>
    <d v="2024-06-15T00:00:00"/>
    <x v="4"/>
    <s v="CUST1114"/>
    <s v="PROD29"/>
    <s v="STORE18"/>
    <n v="1"/>
    <n v="1"/>
    <n v="758.54"/>
    <n v="0.28999999999999998"/>
    <x v="1"/>
    <n v="538.5634"/>
    <s v="Low"/>
    <s v="Ryan Hernandez"/>
    <x v="2"/>
    <x v="62"/>
    <x v="2"/>
    <x v="3"/>
    <s v="Normal order"/>
  </r>
  <r>
    <s v="SALE14"/>
    <d v="2025-06-21T00:00:00"/>
    <x v="4"/>
    <s v="CUST1348"/>
    <s v="PROD24"/>
    <s v="STORE15"/>
    <n v="4"/>
    <n v="4"/>
    <n v="403.47"/>
    <n v="0.28999999999999998"/>
    <x v="1"/>
    <n v="1145.8548000000001"/>
    <s v="High"/>
    <s v="Sherry Cabrera"/>
    <x v="0"/>
    <x v="2"/>
    <x v="0"/>
    <x v="1"/>
    <s v="Bulk order"/>
  </r>
  <r>
    <s v="SALE140"/>
    <d v="2023-11-25T00:00:00"/>
    <x v="8"/>
    <s v="CUST1171"/>
    <s v="PROD90"/>
    <s v="STORE5"/>
    <n v="2"/>
    <n v="2"/>
    <n v="478.85"/>
    <n v="0.01"/>
    <x v="2"/>
    <n v="948.12300000000005"/>
    <s v="Low"/>
    <s v="Amy Wilson"/>
    <x v="1"/>
    <x v="73"/>
    <x v="0"/>
    <x v="2"/>
    <s v="Normal order"/>
  </r>
  <r>
    <s v="SALE1400"/>
    <d v="2024-12-23T00:00:00"/>
    <x v="1"/>
    <s v="CUST1462"/>
    <s v="PROD80"/>
    <s v="STORE15"/>
    <n v="4"/>
    <n v="4"/>
    <n v="643.96"/>
    <n v="0.16"/>
    <x v="1"/>
    <n v="2163.7055999999998"/>
    <s v="High"/>
    <s v="Beth Martin"/>
    <x v="2"/>
    <x v="24"/>
    <x v="0"/>
    <x v="1"/>
    <s v="Bulk order"/>
  </r>
  <r>
    <s v="SALE1401"/>
    <d v="2024-12-27T00:00:00"/>
    <x v="1"/>
    <s v="CUST1243"/>
    <s v="PROD24"/>
    <s v="STORE9"/>
    <n v="1"/>
    <n v="1"/>
    <n v="882.73"/>
    <n v="0.1"/>
    <x v="0"/>
    <n v="794.45699999999999"/>
    <s v="Low"/>
    <s v="Brian Hammond"/>
    <x v="0"/>
    <x v="2"/>
    <x v="1"/>
    <x v="0"/>
    <s v="Normal order"/>
  </r>
  <r>
    <s v="SALE1402"/>
    <d v="2024-03-27T00:00:00"/>
    <x v="9"/>
    <s v="CUST1325"/>
    <s v="PROD91"/>
    <s v="STORE19"/>
    <n v="2"/>
    <n v="2"/>
    <n v="600.03"/>
    <n v="0.26"/>
    <x v="1"/>
    <n v="888.0444"/>
    <s v="Low"/>
    <s v="Andrew Smith"/>
    <x v="4"/>
    <x v="67"/>
    <x v="2"/>
    <x v="3"/>
    <s v="Normal order"/>
  </r>
  <r>
    <s v="SALE1403"/>
    <d v="2024-12-12T00:00:00"/>
    <x v="1"/>
    <s v="CUST1157"/>
    <s v="PROD54"/>
    <s v="STORE5"/>
    <n v="2"/>
    <n v="2"/>
    <n v="628.83000000000004"/>
    <n v="7.0000000000000007E-2"/>
    <x v="1"/>
    <n v="1169.6238000000001"/>
    <s v="High"/>
    <s v="Paul Zamora"/>
    <x v="0"/>
    <x v="8"/>
    <x v="0"/>
    <x v="2"/>
    <s v="Normal order"/>
  </r>
  <r>
    <s v="SALE1404"/>
    <d v="2023-12-17T00:00:00"/>
    <x v="1"/>
    <s v="CUST1175"/>
    <s v="PROD81"/>
    <s v="STORE9"/>
    <n v="3"/>
    <n v="3"/>
    <n v="113.87"/>
    <n v="0.21"/>
    <x v="2"/>
    <n v="269.87189999999998"/>
    <s v="Low"/>
    <s v="Michelle Rogers"/>
    <x v="0"/>
    <x v="15"/>
    <x v="1"/>
    <x v="2"/>
    <s v="Normal order"/>
  </r>
  <r>
    <s v="SALE1405"/>
    <d v="2024-02-29T00:00:00"/>
    <x v="2"/>
    <s v="CUST1418"/>
    <s v="PROD72"/>
    <s v="STORE7"/>
    <n v="4"/>
    <n v="4"/>
    <n v="282.07"/>
    <n v="0.18"/>
    <x v="1"/>
    <n v="925.18960000000004"/>
    <s v="Low"/>
    <s v="Luke Parks"/>
    <x v="0"/>
    <x v="35"/>
    <x v="1"/>
    <x v="1"/>
    <s v="Bulk order"/>
  </r>
  <r>
    <s v="SALE1406"/>
    <d v="2023-12-30T00:00:00"/>
    <x v="1"/>
    <s v="CUST1156"/>
    <s v="PROD54"/>
    <s v="STORE6"/>
    <n v="3"/>
    <n v="3"/>
    <n v="676.77"/>
    <n v="0.17"/>
    <x v="1"/>
    <n v="1685.1573000000001"/>
    <s v="High"/>
    <s v="Maria Sanchez"/>
    <x v="0"/>
    <x v="8"/>
    <x v="2"/>
    <x v="3"/>
    <s v="Normal order"/>
  </r>
  <r>
    <s v="SALE1407"/>
    <d v="2024-12-12T00:00:00"/>
    <x v="1"/>
    <s v="CUST1220"/>
    <s v="PROD7"/>
    <s v="STORE16"/>
    <n v="2"/>
    <n v="2"/>
    <n v="362.7"/>
    <n v="0.09"/>
    <x v="0"/>
    <n v="660.11400000000003"/>
    <s v="Low"/>
    <s v="George Davis"/>
    <x v="2"/>
    <x v="17"/>
    <x v="3"/>
    <x v="3"/>
    <s v="Normal order"/>
  </r>
  <r>
    <s v="SALE1408"/>
    <d v="2025-01-22T00:00:00"/>
    <x v="3"/>
    <s v="CUST1135"/>
    <s v="PROD13"/>
    <s v="STORE2"/>
    <n v="1"/>
    <n v="1"/>
    <n v="908.5"/>
    <n v="0.2"/>
    <x v="2"/>
    <n v="726.80000000000007"/>
    <s v="Low"/>
    <s v="Matthew Hanna"/>
    <x v="1"/>
    <x v="75"/>
    <x v="1"/>
    <x v="2"/>
    <s v="Normal order"/>
  </r>
  <r>
    <s v="SALE1409"/>
    <d v="2024-01-05T00:00:00"/>
    <x v="3"/>
    <s v="CUST1067"/>
    <s v="PROD25"/>
    <s v="STORE15"/>
    <n v="2"/>
    <n v="2"/>
    <n v="795.37"/>
    <n v="0.2"/>
    <x v="2"/>
    <n v="1272.5920000000001"/>
    <s v="High"/>
    <s v="Amber Mcclain"/>
    <x v="4"/>
    <x v="13"/>
    <x v="0"/>
    <x v="1"/>
    <s v="Normal order"/>
  </r>
  <r>
    <s v="SALE141"/>
    <d v="2025-03-02T00:00:00"/>
    <x v="9"/>
    <s v="CUST1113"/>
    <s v="PROD47"/>
    <s v="STORE0"/>
    <n v="1"/>
    <n v="1"/>
    <n v="503.95"/>
    <n v="0.26"/>
    <x v="2"/>
    <n v="372.923"/>
    <s v="Low"/>
    <s v="Edward Hall"/>
    <x v="3"/>
    <x v="37"/>
    <x v="2"/>
    <x v="0"/>
    <s v="Normal order"/>
  </r>
  <r>
    <s v="SALE1410"/>
    <d v="2025-04-13T00:00:00"/>
    <x v="5"/>
    <s v="CUST1144"/>
    <s v="PROD35"/>
    <s v="STORE4"/>
    <n v="2"/>
    <n v="2"/>
    <n v="326.85000000000002"/>
    <n v="0.17"/>
    <x v="2"/>
    <n v="542.57100000000003"/>
    <s v="Low"/>
    <s v="Justin Cross"/>
    <x v="2"/>
    <x v="44"/>
    <x v="1"/>
    <x v="3"/>
    <s v="Normal order"/>
  </r>
  <r>
    <s v="SALE1411"/>
    <d v="2024-11-07T00:00:00"/>
    <x v="8"/>
    <s v="CUST1350"/>
    <s v="PROD56"/>
    <s v="STORE14"/>
    <n v="3"/>
    <n v="3"/>
    <n v="169.43"/>
    <n v="0.19"/>
    <x v="0"/>
    <n v="411.71490000000011"/>
    <s v="Low"/>
    <s v="Charles Miller"/>
    <x v="2"/>
    <x v="87"/>
    <x v="1"/>
    <x v="1"/>
    <s v="Normal order"/>
  </r>
  <r>
    <s v="SALE1412"/>
    <d v="2024-05-01T00:00:00"/>
    <x v="11"/>
    <s v="CUST1163"/>
    <s v="PROD83"/>
    <s v="STORE6"/>
    <n v="1"/>
    <n v="1"/>
    <n v="254.47"/>
    <n v="0.1"/>
    <x v="0"/>
    <n v="229.023"/>
    <s v="Low"/>
    <s v="Joseph Jones"/>
    <x v="3"/>
    <x v="61"/>
    <x v="2"/>
    <x v="3"/>
    <s v="Normal order"/>
  </r>
  <r>
    <s v="SALE1413"/>
    <d v="2024-08-02T00:00:00"/>
    <x v="10"/>
    <s v="CUST1418"/>
    <s v="PROD25"/>
    <s v="STORE16"/>
    <n v="4"/>
    <n v="4"/>
    <n v="627.73"/>
    <n v="0.11"/>
    <x v="2"/>
    <n v="2234.7188000000001"/>
    <s v="High"/>
    <s v="Luke Parks"/>
    <x v="4"/>
    <x v="13"/>
    <x v="3"/>
    <x v="1"/>
    <s v="Bulk order"/>
  </r>
  <r>
    <s v="SALE1414"/>
    <d v="2024-04-12T00:00:00"/>
    <x v="5"/>
    <s v="CUST1371"/>
    <s v="PROD31"/>
    <s v="STORE19"/>
    <n v="4"/>
    <n v="4"/>
    <n v="327.25"/>
    <n v="0.13"/>
    <x v="2"/>
    <n v="1138.83"/>
    <s v="High"/>
    <s v="Michael Garner"/>
    <x v="0"/>
    <x v="72"/>
    <x v="2"/>
    <x v="2"/>
    <s v="Bulk order"/>
  </r>
  <r>
    <s v="SALE1415"/>
    <d v="2025-04-08T00:00:00"/>
    <x v="5"/>
    <s v="CUST1145"/>
    <s v="PROD59"/>
    <s v="STORE11"/>
    <n v="4"/>
    <n v="4"/>
    <n v="511.43"/>
    <n v="0.18"/>
    <x v="2"/>
    <n v="1677.4903999999999"/>
    <s v="High"/>
    <s v="Cameron Simpson"/>
    <x v="3"/>
    <x v="4"/>
    <x v="1"/>
    <x v="2"/>
    <s v="Bulk order"/>
  </r>
  <r>
    <s v="SALE1416"/>
    <d v="2024-06-30T00:00:00"/>
    <x v="4"/>
    <s v="CUST1165"/>
    <s v="PROD63"/>
    <s v="STORE17"/>
    <n v="4"/>
    <n v="4"/>
    <n v="194.67"/>
    <n v="0.23"/>
    <x v="1"/>
    <n v="599.58359999999993"/>
    <s v="Low"/>
    <s v="Jason Wheeler"/>
    <x v="3"/>
    <x v="11"/>
    <x v="0"/>
    <x v="2"/>
    <s v="Bulk order"/>
  </r>
  <r>
    <s v="SALE1417"/>
    <d v="2024-01-13T00:00:00"/>
    <x v="3"/>
    <s v="CUST1059"/>
    <s v="PROD23"/>
    <s v="STORE1"/>
    <n v="2"/>
    <n v="2"/>
    <n v="54.51"/>
    <n v="7.0000000000000007E-2"/>
    <x v="0"/>
    <n v="101.3886"/>
    <s v="Low"/>
    <s v="Alyssa Vargas"/>
    <x v="4"/>
    <x v="9"/>
    <x v="0"/>
    <x v="2"/>
    <s v="Normal order"/>
  </r>
  <r>
    <s v="SALE1418"/>
    <d v="2024-09-22T00:00:00"/>
    <x v="7"/>
    <s v="CUST1076"/>
    <s v="PROD62"/>
    <s v="STORE11"/>
    <n v="4"/>
    <n v="4"/>
    <n v="964"/>
    <n v="0.14000000000000001"/>
    <x v="1"/>
    <n v="3316.16"/>
    <s v="High"/>
    <s v="Nathan Campbell"/>
    <x v="1"/>
    <x v="19"/>
    <x v="1"/>
    <x v="0"/>
    <s v="Bulk order"/>
  </r>
  <r>
    <s v="SALE1419"/>
    <d v="2024-08-23T00:00:00"/>
    <x v="10"/>
    <s v="CUST1040"/>
    <s v="PROD89"/>
    <s v="STORE4"/>
    <n v="1"/>
    <n v="1"/>
    <n v="170.12"/>
    <n v="0.26"/>
    <x v="1"/>
    <n v="125.8888"/>
    <s v="Low"/>
    <s v="Eric Vega"/>
    <x v="3"/>
    <x v="53"/>
    <x v="1"/>
    <x v="0"/>
    <s v="Normal order"/>
  </r>
  <r>
    <s v="SALE142"/>
    <d v="2024-10-08T00:00:00"/>
    <x v="6"/>
    <s v="CUST1399"/>
    <s v="PROD66"/>
    <s v="STORE12"/>
    <n v="2"/>
    <n v="2"/>
    <n v="975.48"/>
    <n v="0.26"/>
    <x v="2"/>
    <n v="1443.7103999999999"/>
    <s v="High"/>
    <s v="John Donaldson"/>
    <x v="3"/>
    <x v="46"/>
    <x v="0"/>
    <x v="3"/>
    <s v="Normal order"/>
  </r>
  <r>
    <s v="SALE1420"/>
    <d v="2025-08-06T00:00:00"/>
    <x v="10"/>
    <s v="CUST1152"/>
    <s v="PROD53"/>
    <s v="STORE19"/>
    <n v="2"/>
    <n v="2"/>
    <n v="664.5"/>
    <n v="0.23"/>
    <x v="0"/>
    <n v="1023.33"/>
    <s v="High"/>
    <s v="Patrick Roberts"/>
    <x v="4"/>
    <x v="20"/>
    <x v="2"/>
    <x v="2"/>
    <s v="Normal order"/>
  </r>
  <r>
    <s v="SALE1421"/>
    <d v="2025-10-06T00:00:00"/>
    <x v="6"/>
    <s v="CUST1371"/>
    <s v="PROD45"/>
    <s v="STORE10"/>
    <n v="4"/>
    <n v="4"/>
    <n v="557.51"/>
    <n v="0.11"/>
    <x v="0"/>
    <n v="1984.7356"/>
    <s v="High"/>
    <s v="Michael Garner"/>
    <x v="0"/>
    <x v="23"/>
    <x v="2"/>
    <x v="2"/>
    <s v="Bulk order"/>
  </r>
  <r>
    <s v="SALE1422"/>
    <d v="2025-05-30T00:00:00"/>
    <x v="11"/>
    <s v="CUST1397"/>
    <s v="PROD90"/>
    <s v="STORE1"/>
    <n v="2"/>
    <n v="2"/>
    <n v="410"/>
    <n v="0.13"/>
    <x v="2"/>
    <n v="713.4"/>
    <s v="Low"/>
    <s v="Charles Norman Phd"/>
    <x v="1"/>
    <x v="73"/>
    <x v="0"/>
    <x v="2"/>
    <s v="Normal order"/>
  </r>
  <r>
    <s v="SALE1423"/>
    <d v="2024-06-30T00:00:00"/>
    <x v="4"/>
    <s v="CUST1306"/>
    <s v="PROD83"/>
    <s v="STORE5"/>
    <n v="2"/>
    <n v="2"/>
    <n v="879.93"/>
    <n v="0.28999999999999998"/>
    <x v="2"/>
    <n v="1249.5006000000001"/>
    <s v="High"/>
    <s v="Angela Robinson"/>
    <x v="3"/>
    <x v="61"/>
    <x v="0"/>
    <x v="2"/>
    <s v="Normal order"/>
  </r>
  <r>
    <s v="SALE1424"/>
    <d v="2025-01-07T00:00:00"/>
    <x v="3"/>
    <s v="CUST1007"/>
    <s v="PROD13"/>
    <s v="STORE18"/>
    <n v="1"/>
    <n v="1"/>
    <n v="350.58"/>
    <n v="0.03"/>
    <x v="2"/>
    <n v="340.06259999999997"/>
    <s v="Low"/>
    <s v="Daniel Boyd"/>
    <x v="1"/>
    <x v="75"/>
    <x v="2"/>
    <x v="3"/>
    <s v="Normal order"/>
  </r>
  <r>
    <s v="SALE1425"/>
    <d v="2024-12-07T00:00:00"/>
    <x v="1"/>
    <s v="CUST1350"/>
    <s v="PROD58"/>
    <s v="STORE3"/>
    <n v="4"/>
    <n v="4"/>
    <n v="348.58"/>
    <n v="0.16"/>
    <x v="0"/>
    <n v="1171.2288000000001"/>
    <s v="High"/>
    <s v="Charles Miller"/>
    <x v="4"/>
    <x v="36"/>
    <x v="0"/>
    <x v="1"/>
    <s v="Bulk order"/>
  </r>
  <r>
    <s v="SALE1426"/>
    <d v="2024-09-13T00:00:00"/>
    <x v="7"/>
    <s v="CUST1459"/>
    <s v="PROD25"/>
    <s v="STORE3"/>
    <n v="3"/>
    <n v="3"/>
    <n v="247.66"/>
    <n v="0.02"/>
    <x v="2"/>
    <n v="728.12040000000002"/>
    <s v="Low"/>
    <s v="John Perez"/>
    <x v="4"/>
    <x v="13"/>
    <x v="0"/>
    <x v="0"/>
    <s v="Normal order"/>
  </r>
  <r>
    <s v="SALE1427"/>
    <d v="2023-11-14T00:00:00"/>
    <x v="8"/>
    <s v="CUST1388"/>
    <s v="PROD39"/>
    <s v="STORE15"/>
    <n v="3"/>
    <n v="3"/>
    <n v="836.27"/>
    <n v="0.16"/>
    <x v="0"/>
    <n v="2107.4004"/>
    <s v="High"/>
    <s v="Timothy Valenzuela"/>
    <x v="1"/>
    <x v="65"/>
    <x v="0"/>
    <x v="2"/>
    <s v="Normal order"/>
  </r>
  <r>
    <s v="SALE1428"/>
    <d v="2025-04-06T00:00:00"/>
    <x v="5"/>
    <s v="CUST1195"/>
    <s v="PROD14"/>
    <s v="STORE10"/>
    <n v="3"/>
    <n v="3"/>
    <n v="696.74"/>
    <n v="0.13"/>
    <x v="2"/>
    <n v="1818.4914000000001"/>
    <s v="High"/>
    <s v="Anthony Garcia"/>
    <x v="2"/>
    <x v="94"/>
    <x v="2"/>
    <x v="1"/>
    <s v="Normal order"/>
  </r>
  <r>
    <s v="SALE1429"/>
    <d v="2025-05-27T00:00:00"/>
    <x v="11"/>
    <s v="CUST1245"/>
    <s v="PROD94"/>
    <s v="STORE13"/>
    <n v="2"/>
    <n v="2"/>
    <n v="822.59"/>
    <n v="0.22"/>
    <x v="1"/>
    <n v="1283.2403999999999"/>
    <s v="High"/>
    <s v="Laura Soto"/>
    <x v="3"/>
    <x v="89"/>
    <x v="2"/>
    <x v="2"/>
    <s v="Normal order"/>
  </r>
  <r>
    <s v="SALE143"/>
    <d v="2025-08-15T00:00:00"/>
    <x v="10"/>
    <s v="CUST1401"/>
    <s v="PROD34"/>
    <s v="STORE16"/>
    <n v="4"/>
    <n v="4"/>
    <n v="450.12"/>
    <n v="0.28999999999999998"/>
    <x v="2"/>
    <n v="1278.3407999999999"/>
    <s v="High"/>
    <s v="Terry Moses"/>
    <x v="1"/>
    <x v="21"/>
    <x v="3"/>
    <x v="2"/>
    <s v="Bulk order"/>
  </r>
  <r>
    <s v="SALE1430"/>
    <d v="2023-12-03T00:00:00"/>
    <x v="1"/>
    <s v="CUST1222"/>
    <s v="PROD79"/>
    <s v="STORE2"/>
    <n v="1"/>
    <n v="1"/>
    <n v="462.23"/>
    <n v="0.3"/>
    <x v="1"/>
    <n v="323.56099999999998"/>
    <s v="Low"/>
    <s v="Alejandro Doyle"/>
    <x v="2"/>
    <x v="14"/>
    <x v="1"/>
    <x v="2"/>
    <s v="Normal order"/>
  </r>
  <r>
    <s v="SALE1431"/>
    <d v="2025-09-06T00:00:00"/>
    <x v="7"/>
    <s v="CUST1447"/>
    <s v="PROD42"/>
    <s v="STORE17"/>
    <n v="1"/>
    <n v="1"/>
    <n v="361.09"/>
    <n v="0.06"/>
    <x v="1"/>
    <n v="339.42459999999988"/>
    <s v="Low"/>
    <s v="Monica Wright"/>
    <x v="1"/>
    <x v="71"/>
    <x v="0"/>
    <x v="0"/>
    <s v="Normal order"/>
  </r>
  <r>
    <s v="SALE1432"/>
    <d v="2023-11-13T00:00:00"/>
    <x v="8"/>
    <s v="CUST1383"/>
    <s v="PROD73"/>
    <s v="STORE19"/>
    <n v="3"/>
    <n v="3"/>
    <n v="59.37"/>
    <n v="0.03"/>
    <x v="1"/>
    <n v="172.76669999999999"/>
    <s v="Low"/>
    <s v="Kristine Higgins"/>
    <x v="0"/>
    <x v="6"/>
    <x v="2"/>
    <x v="1"/>
    <s v="Normal order"/>
  </r>
  <r>
    <s v="SALE1433"/>
    <d v="2025-01-29T00:00:00"/>
    <x v="3"/>
    <s v="CUST1036"/>
    <s v="PROD40"/>
    <s v="STORE1"/>
    <n v="3"/>
    <n v="3"/>
    <n v="765.21"/>
    <n v="0.14000000000000001"/>
    <x v="2"/>
    <n v="1974.2418"/>
    <s v="High"/>
    <s v="Thomas Phillips"/>
    <x v="1"/>
    <x v="50"/>
    <x v="0"/>
    <x v="0"/>
    <s v="Normal order"/>
  </r>
  <r>
    <s v="SALE1434"/>
    <d v="2024-06-29T00:00:00"/>
    <x v="4"/>
    <s v="CUST1243"/>
    <s v="PROD32"/>
    <s v="STORE12"/>
    <n v="4"/>
    <n v="4"/>
    <n v="303.56"/>
    <n v="0.2"/>
    <x v="2"/>
    <n v="971.39200000000005"/>
    <s v="Low"/>
    <s v="Brian Hammond"/>
    <x v="3"/>
    <x v="96"/>
    <x v="0"/>
    <x v="0"/>
    <s v="Bulk order"/>
  </r>
  <r>
    <s v="SALE1435"/>
    <d v="2025-05-02T00:00:00"/>
    <x v="11"/>
    <s v="CUST1443"/>
    <s v="PROD27"/>
    <s v="STORE0"/>
    <n v="1"/>
    <n v="1"/>
    <n v="640.92999999999995"/>
    <n v="0.19"/>
    <x v="1"/>
    <n v="519.15329999999994"/>
    <s v="Low"/>
    <s v="Adam Castro"/>
    <x v="2"/>
    <x v="77"/>
    <x v="2"/>
    <x v="1"/>
    <s v="Normal order"/>
  </r>
  <r>
    <s v="SALE1436"/>
    <d v="2025-06-22T00:00:00"/>
    <x v="4"/>
    <s v="CUST1174"/>
    <s v="PROD86"/>
    <s v="STORE10"/>
    <n v="2"/>
    <n v="2"/>
    <n v="611.25"/>
    <n v="0.22"/>
    <x v="0"/>
    <n v="953.55000000000007"/>
    <s v="Low"/>
    <s v="Maria Davis"/>
    <x v="2"/>
    <x v="30"/>
    <x v="2"/>
    <x v="0"/>
    <s v="Normal order"/>
  </r>
  <r>
    <s v="SALE1437"/>
    <d v="2025-04-09T00:00:00"/>
    <x v="5"/>
    <s v="CUST1461"/>
    <s v="PROD66"/>
    <s v="STORE1"/>
    <n v="1"/>
    <n v="1"/>
    <n v="209.93"/>
    <n v="0.21"/>
    <x v="0"/>
    <n v="165.84469999999999"/>
    <s v="Low"/>
    <s v="Paul Cox"/>
    <x v="3"/>
    <x v="46"/>
    <x v="0"/>
    <x v="1"/>
    <s v="Normal order"/>
  </r>
  <r>
    <s v="SALE1438"/>
    <d v="2025-07-09T00:00:00"/>
    <x v="0"/>
    <s v="CUST1110"/>
    <s v="PROD99"/>
    <s v="STORE10"/>
    <n v="3"/>
    <n v="3"/>
    <n v="130.38999999999999"/>
    <n v="0.24"/>
    <x v="1"/>
    <n v="297.28919999999999"/>
    <s v="Low"/>
    <s v="Ashley Griffin"/>
    <x v="2"/>
    <x v="86"/>
    <x v="2"/>
    <x v="0"/>
    <s v="Normal order"/>
  </r>
  <r>
    <s v="SALE1439"/>
    <d v="2024-01-31T00:00:00"/>
    <x v="3"/>
    <s v="CUST1291"/>
    <s v="PROD93"/>
    <s v="STORE7"/>
    <n v="2"/>
    <n v="2"/>
    <n v="846.18"/>
    <n v="0.1"/>
    <x v="2"/>
    <n v="1523.124"/>
    <s v="High"/>
    <s v="James Powell"/>
    <x v="1"/>
    <x v="27"/>
    <x v="1"/>
    <x v="3"/>
    <s v="Normal order"/>
  </r>
  <r>
    <s v="SALE144"/>
    <d v="2024-06-05T00:00:00"/>
    <x v="4"/>
    <s v="CUST1435"/>
    <s v="PROD36"/>
    <s v="STORE8"/>
    <n v="3"/>
    <n v="3"/>
    <n v="237.24"/>
    <n v="0.24"/>
    <x v="1"/>
    <n v="540.90719999999999"/>
    <s v="Low"/>
    <s v="Lindsay Beasley"/>
    <x v="4"/>
    <x v="88"/>
    <x v="3"/>
    <x v="1"/>
    <s v="Normal order"/>
  </r>
  <r>
    <s v="SALE1440"/>
    <d v="2025-06-21T00:00:00"/>
    <x v="4"/>
    <s v="CUST1354"/>
    <s v="PROD70"/>
    <s v="STORE14"/>
    <n v="2"/>
    <n v="2"/>
    <n v="424.53"/>
    <n v="0.14000000000000001"/>
    <x v="2"/>
    <n v="730.19159999999999"/>
    <s v="Low"/>
    <s v="Ryan Torres"/>
    <x v="2"/>
    <x v="92"/>
    <x v="1"/>
    <x v="1"/>
    <s v="Normal order"/>
  </r>
  <r>
    <s v="SALE1441"/>
    <d v="2024-09-04T00:00:00"/>
    <x v="7"/>
    <s v="CUST1258"/>
    <s v="PROD88"/>
    <s v="STORE14"/>
    <n v="4"/>
    <n v="4"/>
    <n v="450.42"/>
    <n v="0.08"/>
    <x v="2"/>
    <n v="1657.5455999999999"/>
    <s v="High"/>
    <s v="Sarah Stewart"/>
    <x v="0"/>
    <x v="90"/>
    <x v="1"/>
    <x v="2"/>
    <s v="Bulk order"/>
  </r>
  <r>
    <s v="SALE1442"/>
    <d v="2025-08-24T00:00:00"/>
    <x v="10"/>
    <s v="CUST1156"/>
    <s v="PROD26"/>
    <s v="STORE9"/>
    <n v="4"/>
    <n v="4"/>
    <n v="896.91"/>
    <n v="0.1"/>
    <x v="0"/>
    <n v="3228.8760000000002"/>
    <s v="High"/>
    <s v="Maria Sanchez"/>
    <x v="1"/>
    <x v="81"/>
    <x v="1"/>
    <x v="3"/>
    <s v="Bulk order"/>
  </r>
  <r>
    <s v="SALE1443"/>
    <d v="2025-06-06T00:00:00"/>
    <x v="4"/>
    <s v="CUST1485"/>
    <s v="PROD97"/>
    <s v="STORE10"/>
    <n v="3"/>
    <n v="3"/>
    <n v="679.38"/>
    <n v="0.3"/>
    <x v="2"/>
    <n v="1426.6980000000001"/>
    <s v="High"/>
    <s v="Sara Ingram"/>
    <x v="0"/>
    <x v="0"/>
    <x v="2"/>
    <x v="3"/>
    <s v="Normal order"/>
  </r>
  <r>
    <s v="SALE1444"/>
    <d v="2024-10-06T00:00:00"/>
    <x v="6"/>
    <s v="CUST1016"/>
    <s v="PROD80"/>
    <s v="STORE16"/>
    <n v="3"/>
    <n v="3"/>
    <n v="483.63"/>
    <n v="0"/>
    <x v="0"/>
    <n v="1450.89"/>
    <s v="High"/>
    <s v="John Scott"/>
    <x v="2"/>
    <x v="24"/>
    <x v="3"/>
    <x v="3"/>
    <s v="Normal order"/>
  </r>
  <r>
    <s v="SALE1445"/>
    <d v="2024-09-07T00:00:00"/>
    <x v="7"/>
    <s v="CUST1030"/>
    <s v="PROD39"/>
    <s v="STORE0"/>
    <n v="3"/>
    <n v="3"/>
    <n v="158.27000000000001"/>
    <n v="0.24"/>
    <x v="2"/>
    <n v="360.85559999999998"/>
    <s v="Low"/>
    <s v="Jessica Acevedo"/>
    <x v="1"/>
    <x v="65"/>
    <x v="2"/>
    <x v="3"/>
    <s v="Normal order"/>
  </r>
  <r>
    <s v="SALE1446"/>
    <d v="2025-04-11T00:00:00"/>
    <x v="5"/>
    <s v="CUST1115"/>
    <s v="PROD2"/>
    <s v="STORE15"/>
    <n v="4"/>
    <n v="4"/>
    <n v="601.5"/>
    <n v="0.18"/>
    <x v="0"/>
    <n v="1972.92"/>
    <s v="High"/>
    <s v="Tyler Conrad"/>
    <x v="4"/>
    <x v="60"/>
    <x v="0"/>
    <x v="2"/>
    <s v="Bulk order"/>
  </r>
  <r>
    <s v="SALE1447"/>
    <d v="2025-02-21T00:00:00"/>
    <x v="2"/>
    <s v="CUST1069"/>
    <s v="PROD31"/>
    <s v="STORE18"/>
    <n v="2"/>
    <n v="2"/>
    <n v="46.39"/>
    <n v="7.0000000000000007E-2"/>
    <x v="0"/>
    <n v="86.285399999999996"/>
    <s v="Low"/>
    <s v="Roy Cole"/>
    <x v="0"/>
    <x v="72"/>
    <x v="2"/>
    <x v="2"/>
    <s v="Normal order"/>
  </r>
  <r>
    <s v="SALE1448"/>
    <d v="2024-10-22T00:00:00"/>
    <x v="6"/>
    <s v="CUST1119"/>
    <s v="PROD82"/>
    <s v="STORE8"/>
    <n v="4"/>
    <n v="4"/>
    <n v="892.28"/>
    <n v="0.23"/>
    <x v="0"/>
    <n v="2748.2224000000001"/>
    <s v="High"/>
    <s v="Michael Jones"/>
    <x v="0"/>
    <x v="26"/>
    <x v="3"/>
    <x v="3"/>
    <s v="Bulk order"/>
  </r>
  <r>
    <s v="SALE1449"/>
    <d v="2024-07-21T00:00:00"/>
    <x v="0"/>
    <s v="CUST1221"/>
    <s v="PROD10"/>
    <s v="STORE7"/>
    <n v="2"/>
    <n v="2"/>
    <n v="164.23"/>
    <n v="0.17"/>
    <x v="0"/>
    <n v="272.62180000000001"/>
    <s v="Low"/>
    <s v="Lisa Young"/>
    <x v="2"/>
    <x v="47"/>
    <x v="1"/>
    <x v="2"/>
    <s v="Normal order"/>
  </r>
  <r>
    <s v="SALE145"/>
    <d v="2024-08-18T00:00:00"/>
    <x v="10"/>
    <s v="CUST1459"/>
    <s v="PROD54"/>
    <s v="STORE15"/>
    <n v="2"/>
    <n v="2"/>
    <n v="536.84"/>
    <n v="0.09"/>
    <x v="2"/>
    <n v="977.04880000000014"/>
    <s v="Low"/>
    <s v="John Perez"/>
    <x v="0"/>
    <x v="8"/>
    <x v="0"/>
    <x v="0"/>
    <s v="Normal order"/>
  </r>
  <r>
    <s v="SALE1450"/>
    <d v="2024-01-14T00:00:00"/>
    <x v="3"/>
    <s v="CUST1452"/>
    <s v="PROD9"/>
    <s v="STORE7"/>
    <n v="1"/>
    <n v="1"/>
    <n v="484.23"/>
    <n v="0.12"/>
    <x v="2"/>
    <n v="426.12240000000003"/>
    <s v="Low"/>
    <s v="Jeffery Wolf"/>
    <x v="0"/>
    <x v="98"/>
    <x v="1"/>
    <x v="3"/>
    <s v="Normal order"/>
  </r>
  <r>
    <s v="SALE1451"/>
    <d v="2024-04-01T00:00:00"/>
    <x v="5"/>
    <s v="CUST1005"/>
    <s v="PROD35"/>
    <s v="STORE18"/>
    <n v="3"/>
    <n v="3"/>
    <n v="341.51"/>
    <n v="0.22"/>
    <x v="2"/>
    <n v="799.13340000000005"/>
    <s v="Low"/>
    <s v="Christine Vaughn"/>
    <x v="2"/>
    <x v="44"/>
    <x v="2"/>
    <x v="3"/>
    <s v="Normal order"/>
  </r>
  <r>
    <s v="SALE1452"/>
    <d v="2025-05-11T00:00:00"/>
    <x v="11"/>
    <s v="CUST1109"/>
    <s v="PROD98"/>
    <s v="STORE13"/>
    <n v="3"/>
    <n v="3"/>
    <n v="758.87"/>
    <n v="0.11"/>
    <x v="1"/>
    <n v="2026.1829"/>
    <s v="High"/>
    <s v="Amy Walker"/>
    <x v="1"/>
    <x v="51"/>
    <x v="2"/>
    <x v="1"/>
    <s v="Normal order"/>
  </r>
  <r>
    <s v="SALE1453"/>
    <d v="2025-07-17T00:00:00"/>
    <x v="0"/>
    <s v="CUST1470"/>
    <s v="PROD56"/>
    <s v="STORE12"/>
    <n v="3"/>
    <n v="3"/>
    <n v="560.52"/>
    <n v="0.17"/>
    <x v="0"/>
    <n v="1395.6948"/>
    <s v="High"/>
    <s v="Manuel Fisher"/>
    <x v="2"/>
    <x v="87"/>
    <x v="0"/>
    <x v="0"/>
    <s v="Normal order"/>
  </r>
  <r>
    <s v="SALE1454"/>
    <d v="2024-08-29T00:00:00"/>
    <x v="10"/>
    <s v="CUST1351"/>
    <s v="PROD96"/>
    <s v="STORE17"/>
    <n v="2"/>
    <n v="2"/>
    <n v="977.18"/>
    <n v="0.19"/>
    <x v="0"/>
    <n v="1583.0316"/>
    <s v="High"/>
    <s v="Jeffrey Mccarthy"/>
    <x v="4"/>
    <x v="76"/>
    <x v="0"/>
    <x v="3"/>
    <s v="Normal order"/>
  </r>
  <r>
    <s v="SALE1455"/>
    <d v="2025-04-16T00:00:00"/>
    <x v="5"/>
    <s v="CUST1236"/>
    <s v="PROD16"/>
    <s v="STORE14"/>
    <n v="4"/>
    <n v="4"/>
    <n v="761.35"/>
    <n v="0.08"/>
    <x v="0"/>
    <n v="2801.768"/>
    <s v="High"/>
    <s v="Joshua Wilson"/>
    <x v="3"/>
    <x v="63"/>
    <x v="1"/>
    <x v="3"/>
    <s v="Bulk order"/>
  </r>
  <r>
    <s v="SALE1456"/>
    <d v="2025-08-31T00:00:00"/>
    <x v="10"/>
    <s v="CUST1179"/>
    <s v="PROD67"/>
    <s v="STORE18"/>
    <n v="2"/>
    <n v="2"/>
    <n v="947.56"/>
    <n v="0.02"/>
    <x v="2"/>
    <n v="1857.2175999999999"/>
    <s v="High"/>
    <s v="Nicholas Bradshaw"/>
    <x v="1"/>
    <x v="99"/>
    <x v="2"/>
    <x v="1"/>
    <s v="Normal order"/>
  </r>
  <r>
    <s v="SALE1457"/>
    <d v="2025-10-13T00:00:00"/>
    <x v="6"/>
    <s v="CUST1238"/>
    <s v="PROD43"/>
    <s v="STORE18"/>
    <n v="4"/>
    <n v="4"/>
    <n v="975.47"/>
    <n v="0.04"/>
    <x v="0"/>
    <n v="3745.8047999999999"/>
    <s v="High"/>
    <s v="Steven Smith"/>
    <x v="1"/>
    <x v="34"/>
    <x v="2"/>
    <x v="2"/>
    <s v="Bulk order"/>
  </r>
  <r>
    <s v="SALE1458"/>
    <d v="2024-06-05T00:00:00"/>
    <x v="4"/>
    <s v="CUST1477"/>
    <s v="PROD13"/>
    <s v="STORE9"/>
    <n v="3"/>
    <n v="3"/>
    <n v="769.06"/>
    <n v="0.23"/>
    <x v="2"/>
    <n v="1776.5286000000001"/>
    <s v="High"/>
    <s v="Andrea Harris"/>
    <x v="1"/>
    <x v="75"/>
    <x v="1"/>
    <x v="2"/>
    <s v="Normal order"/>
  </r>
  <r>
    <s v="SALE1459"/>
    <d v="2025-09-29T00:00:00"/>
    <x v="7"/>
    <s v="CUST1486"/>
    <s v="PROD39"/>
    <s v="STORE2"/>
    <n v="3"/>
    <n v="3"/>
    <n v="824.75"/>
    <n v="0.23"/>
    <x v="0"/>
    <n v="1905.1724999999999"/>
    <s v="High"/>
    <s v="Eric Lee"/>
    <x v="1"/>
    <x v="65"/>
    <x v="1"/>
    <x v="3"/>
    <s v="Normal order"/>
  </r>
  <r>
    <s v="SALE146"/>
    <d v="2024-11-30T00:00:00"/>
    <x v="8"/>
    <s v="CUST1443"/>
    <s v="PROD36"/>
    <s v="STORE19"/>
    <n v="3"/>
    <n v="3"/>
    <n v="584.41"/>
    <n v="0"/>
    <x v="2"/>
    <n v="1753.23"/>
    <s v="High"/>
    <s v="Adam Castro"/>
    <x v="4"/>
    <x v="88"/>
    <x v="2"/>
    <x v="1"/>
    <s v="Normal order"/>
  </r>
  <r>
    <s v="SALE1460"/>
    <d v="2024-07-05T00:00:00"/>
    <x v="0"/>
    <s v="CUST1401"/>
    <s v="PROD68"/>
    <s v="STORE4"/>
    <n v="2"/>
    <n v="2"/>
    <n v="821.35"/>
    <n v="0.11"/>
    <x v="1"/>
    <n v="1462.0029999999999"/>
    <s v="High"/>
    <s v="Terry Moses"/>
    <x v="2"/>
    <x v="97"/>
    <x v="1"/>
    <x v="2"/>
    <s v="Normal order"/>
  </r>
  <r>
    <s v="SALE1461"/>
    <d v="2025-03-07T00:00:00"/>
    <x v="9"/>
    <s v="CUST1405"/>
    <s v="PROD13"/>
    <s v="STORE10"/>
    <n v="1"/>
    <n v="1"/>
    <n v="120.57"/>
    <n v="0.06"/>
    <x v="1"/>
    <n v="113.33580000000001"/>
    <s v="Low"/>
    <s v="Eric Wolfe"/>
    <x v="1"/>
    <x v="75"/>
    <x v="2"/>
    <x v="0"/>
    <s v="Normal order"/>
  </r>
  <r>
    <s v="SALE1462"/>
    <d v="2023-11-10T00:00:00"/>
    <x v="8"/>
    <s v="CUST1335"/>
    <s v="PROD89"/>
    <s v="STORE1"/>
    <n v="1"/>
    <n v="1"/>
    <n v="122.27"/>
    <n v="0.26"/>
    <x v="1"/>
    <n v="90.479799999999997"/>
    <s v="Low"/>
    <s v="Jennifer Woods"/>
    <x v="3"/>
    <x v="53"/>
    <x v="0"/>
    <x v="2"/>
    <s v="Normal order"/>
  </r>
  <r>
    <s v="SALE1463"/>
    <d v="2025-08-21T00:00:00"/>
    <x v="10"/>
    <s v="CUST1170"/>
    <s v="PROD26"/>
    <s v="STORE2"/>
    <n v="2"/>
    <n v="2"/>
    <n v="182.89"/>
    <n v="0.11"/>
    <x v="0"/>
    <n v="325.54419999999999"/>
    <s v="Low"/>
    <s v="Christopher Garcia Dds"/>
    <x v="1"/>
    <x v="81"/>
    <x v="1"/>
    <x v="0"/>
    <s v="Normal order"/>
  </r>
  <r>
    <s v="SALE1464"/>
    <d v="2025-05-19T00:00:00"/>
    <x v="11"/>
    <s v="CUST1371"/>
    <s v="PROD46"/>
    <s v="STORE4"/>
    <n v="1"/>
    <n v="1"/>
    <n v="695.26"/>
    <n v="0.23"/>
    <x v="1"/>
    <n v="535.35019999999997"/>
    <s v="Low"/>
    <s v="Michael Garner"/>
    <x v="4"/>
    <x v="41"/>
    <x v="1"/>
    <x v="2"/>
    <s v="Normal order"/>
  </r>
  <r>
    <s v="SALE1465"/>
    <d v="2025-08-26T00:00:00"/>
    <x v="10"/>
    <s v="CUST1027"/>
    <s v="PROD29"/>
    <s v="STORE6"/>
    <n v="2"/>
    <n v="2"/>
    <n v="408.8"/>
    <n v="0.17"/>
    <x v="2"/>
    <n v="678.60799999999995"/>
    <s v="Low"/>
    <s v="Leslie Johnson"/>
    <x v="2"/>
    <x v="62"/>
    <x v="2"/>
    <x v="4"/>
    <s v="Normal order"/>
  </r>
  <r>
    <s v="SALE1466"/>
    <d v="2025-01-19T00:00:00"/>
    <x v="3"/>
    <s v="CUST1226"/>
    <s v="PROD49"/>
    <s v="STORE8"/>
    <n v="3"/>
    <n v="3"/>
    <n v="512.15"/>
    <n v="0.12"/>
    <x v="0"/>
    <n v="1352.076"/>
    <s v="High"/>
    <s v="Alexis Castaneda"/>
    <x v="3"/>
    <x v="80"/>
    <x v="3"/>
    <x v="0"/>
    <s v="Normal order"/>
  </r>
  <r>
    <s v="SALE1467"/>
    <d v="2024-10-03T00:00:00"/>
    <x v="6"/>
    <s v="CUST1409"/>
    <s v="PROD9"/>
    <s v="STORE8"/>
    <n v="3"/>
    <n v="3"/>
    <n v="136.4"/>
    <n v="0.15"/>
    <x v="1"/>
    <n v="347.82000000000011"/>
    <s v="Low"/>
    <s v="Sarah Smith"/>
    <x v="0"/>
    <x v="98"/>
    <x v="3"/>
    <x v="0"/>
    <s v="Normal order"/>
  </r>
  <r>
    <s v="SALE1468"/>
    <d v="2023-12-12T00:00:00"/>
    <x v="1"/>
    <s v="CUST1175"/>
    <s v="PROD6"/>
    <s v="STORE3"/>
    <n v="2"/>
    <n v="2"/>
    <n v="42.51"/>
    <n v="0.04"/>
    <x v="2"/>
    <n v="81.619199999999992"/>
    <s v="Low"/>
    <s v="Michelle Rogers"/>
    <x v="3"/>
    <x v="95"/>
    <x v="0"/>
    <x v="2"/>
    <s v="Normal order"/>
  </r>
  <r>
    <s v="SALE1469"/>
    <d v="2025-03-02T00:00:00"/>
    <x v="9"/>
    <s v="CUST1359"/>
    <s v="PROD75"/>
    <s v="STORE7"/>
    <n v="3"/>
    <n v="3"/>
    <n v="582.1"/>
    <n v="0.12"/>
    <x v="1"/>
    <n v="1536.7439999999999"/>
    <s v="High"/>
    <s v="Melanie Lam"/>
    <x v="4"/>
    <x v="10"/>
    <x v="1"/>
    <x v="1"/>
    <s v="Normal order"/>
  </r>
  <r>
    <s v="SALE147"/>
    <d v="2024-11-21T00:00:00"/>
    <x v="8"/>
    <s v="CUST1294"/>
    <s v="PROD82"/>
    <s v="STORE19"/>
    <n v="1"/>
    <n v="1"/>
    <n v="653.87"/>
    <n v="0.14000000000000001"/>
    <x v="1"/>
    <n v="562.32820000000004"/>
    <s v="Low"/>
    <s v="Lisa Chandler"/>
    <x v="0"/>
    <x v="26"/>
    <x v="2"/>
    <x v="2"/>
    <s v="Normal order"/>
  </r>
  <r>
    <s v="SALE1470"/>
    <d v="2024-03-05T00:00:00"/>
    <x v="9"/>
    <s v="CUST1219"/>
    <s v="PROD82"/>
    <s v="STORE17"/>
    <n v="4"/>
    <n v="4"/>
    <n v="461.52"/>
    <n v="0"/>
    <x v="2"/>
    <n v="1846.08"/>
    <s v="High"/>
    <s v="Jordan Wells"/>
    <x v="0"/>
    <x v="26"/>
    <x v="0"/>
    <x v="0"/>
    <s v="Bulk order"/>
  </r>
  <r>
    <s v="SALE1471"/>
    <d v="2024-09-17T00:00:00"/>
    <x v="7"/>
    <s v="CUST1496"/>
    <s v="PROD16"/>
    <s v="STORE11"/>
    <n v="1"/>
    <n v="1"/>
    <n v="558.41999999999996"/>
    <n v="0.03"/>
    <x v="0"/>
    <n v="541.66739999999993"/>
    <s v="Low"/>
    <s v="Christopher Ford"/>
    <x v="3"/>
    <x v="63"/>
    <x v="1"/>
    <x v="3"/>
    <s v="Normal order"/>
  </r>
  <r>
    <s v="SALE1472"/>
    <d v="2023-12-28T00:00:00"/>
    <x v="1"/>
    <s v="CUST1263"/>
    <s v="PROD12"/>
    <s v="STORE18"/>
    <n v="4"/>
    <n v="4"/>
    <n v="700.98"/>
    <n v="0.12"/>
    <x v="1"/>
    <n v="2467.4495999999999"/>
    <s v="High"/>
    <s v="Crystal Davis"/>
    <x v="3"/>
    <x v="85"/>
    <x v="2"/>
    <x v="3"/>
    <s v="Bulk order"/>
  </r>
  <r>
    <s v="SALE1473"/>
    <d v="2024-11-09T00:00:00"/>
    <x v="8"/>
    <s v="CUST1405"/>
    <s v="PROD85"/>
    <s v="STORE18"/>
    <n v="2"/>
    <n v="2"/>
    <n v="227.97"/>
    <n v="0.08"/>
    <x v="2"/>
    <n v="419.46480000000003"/>
    <s v="Low"/>
    <s v="Eric Wolfe"/>
    <x v="4"/>
    <x v="70"/>
    <x v="2"/>
    <x v="0"/>
    <s v="Normal order"/>
  </r>
  <r>
    <s v="SALE1474"/>
    <d v="2024-08-12T00:00:00"/>
    <x v="10"/>
    <s v="CUST1474"/>
    <s v="PROD39"/>
    <s v="STORE11"/>
    <n v="4"/>
    <n v="4"/>
    <n v="278.70999999999998"/>
    <n v="0.2"/>
    <x v="1"/>
    <n v="891.87199999999996"/>
    <s v="Low"/>
    <s v="Joshua Howard"/>
    <x v="1"/>
    <x v="65"/>
    <x v="1"/>
    <x v="2"/>
    <s v="Bulk order"/>
  </r>
  <r>
    <s v="SALE1475"/>
    <d v="2024-03-28T00:00:00"/>
    <x v="9"/>
    <s v="CUST1259"/>
    <s v="PROD99"/>
    <s v="STORE8"/>
    <n v="2"/>
    <n v="2"/>
    <n v="916.12"/>
    <n v="0.05"/>
    <x v="1"/>
    <n v="1740.6279999999999"/>
    <s v="High"/>
    <s v="Beth Allen"/>
    <x v="2"/>
    <x v="86"/>
    <x v="3"/>
    <x v="1"/>
    <s v="Normal order"/>
  </r>
  <r>
    <s v="SALE1476"/>
    <d v="2024-10-02T00:00:00"/>
    <x v="6"/>
    <s v="CUST1133"/>
    <s v="PROD10"/>
    <s v="STORE12"/>
    <n v="4"/>
    <n v="4"/>
    <n v="228.98"/>
    <n v="0.22"/>
    <x v="1"/>
    <n v="714.41759999999999"/>
    <s v="Low"/>
    <s v="Hayley Pope"/>
    <x v="2"/>
    <x v="47"/>
    <x v="0"/>
    <x v="3"/>
    <s v="Bulk order"/>
  </r>
  <r>
    <s v="SALE1477"/>
    <d v="2024-08-06T00:00:00"/>
    <x v="10"/>
    <s v="CUST1234"/>
    <s v="PROD89"/>
    <s v="STORE15"/>
    <n v="4"/>
    <n v="4"/>
    <n v="904.82"/>
    <n v="0.09"/>
    <x v="1"/>
    <n v="3293.5448000000001"/>
    <s v="High"/>
    <s v="Nathaniel Hill"/>
    <x v="3"/>
    <x v="53"/>
    <x v="0"/>
    <x v="0"/>
    <s v="Bulk order"/>
  </r>
  <r>
    <s v="SALE1478"/>
    <d v="2025-05-29T00:00:00"/>
    <x v="11"/>
    <s v="CUST1081"/>
    <s v="PROD23"/>
    <s v="STORE11"/>
    <n v="1"/>
    <n v="1"/>
    <n v="588.61"/>
    <n v="0.1"/>
    <x v="1"/>
    <n v="529.74900000000002"/>
    <s v="Low"/>
    <s v="Krystal Ford"/>
    <x v="4"/>
    <x v="9"/>
    <x v="1"/>
    <x v="2"/>
    <s v="Normal order"/>
  </r>
  <r>
    <s v="SALE1479"/>
    <d v="2023-11-10T00:00:00"/>
    <x v="8"/>
    <s v="CUST1113"/>
    <s v="PROD33"/>
    <s v="STORE3"/>
    <n v="4"/>
    <n v="4"/>
    <n v="695.97"/>
    <n v="0.02"/>
    <x v="0"/>
    <n v="2728.2024000000001"/>
    <s v="High"/>
    <s v="Edward Hall"/>
    <x v="2"/>
    <x v="3"/>
    <x v="0"/>
    <x v="0"/>
    <s v="Bulk order"/>
  </r>
  <r>
    <s v="SALE148"/>
    <d v="2025-08-09T00:00:00"/>
    <x v="10"/>
    <s v="CUST1493"/>
    <s v="PROD87"/>
    <s v="STORE0"/>
    <n v="1"/>
    <n v="1"/>
    <n v="652.03"/>
    <n v="0.27"/>
    <x v="0"/>
    <n v="475.9819"/>
    <s v="Low"/>
    <s v="Amanda Powell"/>
    <x v="2"/>
    <x v="48"/>
    <x v="2"/>
    <x v="1"/>
    <s v="Normal order"/>
  </r>
  <r>
    <s v="SALE1480"/>
    <d v="2024-01-18T00:00:00"/>
    <x v="3"/>
    <s v="CUST1301"/>
    <s v="PROD97"/>
    <s v="STORE11"/>
    <n v="2"/>
    <n v="2"/>
    <n v="181.42"/>
    <n v="0.08"/>
    <x v="1"/>
    <n v="333.81279999999998"/>
    <s v="Low"/>
    <s v="Ryan Kane"/>
    <x v="0"/>
    <x v="0"/>
    <x v="1"/>
    <x v="0"/>
    <s v="Normal order"/>
  </r>
  <r>
    <s v="SALE1481"/>
    <d v="2024-03-24T00:00:00"/>
    <x v="9"/>
    <s v="CUST1023"/>
    <s v="PROD97"/>
    <s v="STORE13"/>
    <n v="1"/>
    <n v="1"/>
    <n v="439.55"/>
    <n v="0.28999999999999998"/>
    <x v="2"/>
    <n v="312.08049999999997"/>
    <s v="Low"/>
    <s v="Jonathan Steele"/>
    <x v="0"/>
    <x v="0"/>
    <x v="2"/>
    <x v="1"/>
    <s v="Normal order"/>
  </r>
  <r>
    <s v="SALE1482"/>
    <d v="2025-03-17T00:00:00"/>
    <x v="9"/>
    <s v="CUST1114"/>
    <s v="PROD55"/>
    <s v="STORE18"/>
    <n v="3"/>
    <n v="3"/>
    <n v="471.27"/>
    <n v="0.27"/>
    <x v="2"/>
    <n v="1032.0813000000001"/>
    <s v="High"/>
    <s v="Ryan Hernandez"/>
    <x v="2"/>
    <x v="25"/>
    <x v="2"/>
    <x v="3"/>
    <s v="Normal order"/>
  </r>
  <r>
    <s v="SALE1483"/>
    <d v="2024-05-23T00:00:00"/>
    <x v="11"/>
    <s v="CUST1044"/>
    <s v="PROD59"/>
    <s v="STORE12"/>
    <n v="1"/>
    <n v="1"/>
    <n v="758.89"/>
    <n v="0.1"/>
    <x v="0"/>
    <n v="683.00099999999998"/>
    <s v="Low"/>
    <s v="Denise Williams"/>
    <x v="3"/>
    <x v="4"/>
    <x v="0"/>
    <x v="3"/>
    <s v="Normal order"/>
  </r>
  <r>
    <s v="SALE1484"/>
    <d v="2025-07-26T00:00:00"/>
    <x v="0"/>
    <s v="CUST1485"/>
    <s v="PROD95"/>
    <s v="STORE15"/>
    <n v="4"/>
    <n v="4"/>
    <n v="918.1"/>
    <n v="0.19"/>
    <x v="2"/>
    <n v="2974.6439999999998"/>
    <s v="High"/>
    <s v="Sara Ingram"/>
    <x v="0"/>
    <x v="28"/>
    <x v="0"/>
    <x v="3"/>
    <s v="Bulk order"/>
  </r>
  <r>
    <s v="SALE1485"/>
    <d v="2024-10-04T00:00:00"/>
    <x v="6"/>
    <s v="CUST1259"/>
    <s v="PROD94"/>
    <s v="STORE11"/>
    <n v="1"/>
    <n v="1"/>
    <n v="861.5"/>
    <n v="0.05"/>
    <x v="2"/>
    <n v="818.42499999999995"/>
    <s v="Low"/>
    <s v="Beth Allen"/>
    <x v="3"/>
    <x v="89"/>
    <x v="1"/>
    <x v="1"/>
    <s v="Normal order"/>
  </r>
  <r>
    <s v="SALE1486"/>
    <d v="2025-01-07T00:00:00"/>
    <x v="3"/>
    <s v="CUST1462"/>
    <s v="PROD22"/>
    <s v="STORE14"/>
    <n v="1"/>
    <n v="1"/>
    <n v="588.29999999999995"/>
    <n v="0.26"/>
    <x v="2"/>
    <n v="435.34199999999998"/>
    <s v="Low"/>
    <s v="Beth Martin"/>
    <x v="0"/>
    <x v="59"/>
    <x v="1"/>
    <x v="1"/>
    <s v="Normal order"/>
  </r>
  <r>
    <s v="SALE1487"/>
    <d v="2024-12-19T00:00:00"/>
    <x v="1"/>
    <s v="CUST1462"/>
    <s v="PROD55"/>
    <s v="STORE7"/>
    <n v="1"/>
    <n v="1"/>
    <n v="917.26"/>
    <n v="0.05"/>
    <x v="1"/>
    <n v="871.39699999999993"/>
    <s v="Low"/>
    <s v="Beth Martin"/>
    <x v="2"/>
    <x v="25"/>
    <x v="1"/>
    <x v="1"/>
    <s v="Normal order"/>
  </r>
  <r>
    <s v="SALE1488"/>
    <d v="2024-06-06T00:00:00"/>
    <x v="4"/>
    <s v="CUST1233"/>
    <s v="PROD6"/>
    <s v="STORE18"/>
    <n v="4"/>
    <n v="4"/>
    <n v="96.78"/>
    <n v="0.11"/>
    <x v="1"/>
    <n v="344.53680000000003"/>
    <s v="Low"/>
    <s v="Michelle Gonzalez"/>
    <x v="3"/>
    <x v="95"/>
    <x v="2"/>
    <x v="1"/>
    <s v="Bulk order"/>
  </r>
  <r>
    <s v="SALE1489"/>
    <d v="2024-12-03T00:00:00"/>
    <x v="1"/>
    <s v="CUST1478"/>
    <s v="PROD28"/>
    <s v="STORE4"/>
    <n v="3"/>
    <n v="3"/>
    <n v="199.41"/>
    <n v="0.16"/>
    <x v="2"/>
    <n v="502.51319999999998"/>
    <s v="Low"/>
    <s v="Earl Smith Dds"/>
    <x v="0"/>
    <x v="40"/>
    <x v="1"/>
    <x v="0"/>
    <s v="Normal order"/>
  </r>
  <r>
    <s v="SALE149"/>
    <d v="2024-07-29T00:00:00"/>
    <x v="0"/>
    <s v="CUST1093"/>
    <s v="PROD5"/>
    <s v="STORE12"/>
    <n v="3"/>
    <n v="3"/>
    <n v="513.36"/>
    <n v="7.0000000000000007E-2"/>
    <x v="2"/>
    <n v="1432.2744"/>
    <s v="High"/>
    <s v="Christy Vasquez"/>
    <x v="4"/>
    <x v="91"/>
    <x v="0"/>
    <x v="0"/>
    <s v="Normal order"/>
  </r>
  <r>
    <s v="SALE1490"/>
    <d v="2025-03-23T00:00:00"/>
    <x v="9"/>
    <s v="CUST1019"/>
    <s v="PROD54"/>
    <s v="STORE9"/>
    <n v="1"/>
    <n v="1"/>
    <n v="687.91"/>
    <n v="0.25"/>
    <x v="0"/>
    <n v="515.9325"/>
    <s v="Low"/>
    <s v="Michael Torres"/>
    <x v="0"/>
    <x v="8"/>
    <x v="1"/>
    <x v="2"/>
    <s v="Normal order"/>
  </r>
  <r>
    <s v="SALE1491"/>
    <d v="2025-07-11T00:00:00"/>
    <x v="0"/>
    <s v="CUST1039"/>
    <s v="PROD71"/>
    <s v="STORE2"/>
    <n v="3"/>
    <n v="3"/>
    <n v="769.62"/>
    <n v="0.09"/>
    <x v="1"/>
    <n v="2101.0626000000002"/>
    <s v="High"/>
    <s v="Tonya Reynolds"/>
    <x v="3"/>
    <x v="57"/>
    <x v="1"/>
    <x v="0"/>
    <s v="Normal order"/>
  </r>
  <r>
    <s v="SALE1492"/>
    <d v="2023-10-31T00:00:00"/>
    <x v="6"/>
    <s v="CUST1220"/>
    <s v="PROD4"/>
    <s v="STORE3"/>
    <n v="1"/>
    <n v="1"/>
    <n v="492.05"/>
    <n v="0.27"/>
    <x v="0"/>
    <n v="359.19650000000001"/>
    <s v="Low"/>
    <s v="George Davis"/>
    <x v="4"/>
    <x v="58"/>
    <x v="0"/>
    <x v="3"/>
    <s v="Normal order"/>
  </r>
  <r>
    <s v="SALE1493"/>
    <d v="2024-01-01T00:00:00"/>
    <x v="3"/>
    <s v="CUST1104"/>
    <s v="PROD17"/>
    <s v="STORE12"/>
    <n v="2"/>
    <n v="2"/>
    <n v="428.55"/>
    <n v="0"/>
    <x v="1"/>
    <n v="857.1"/>
    <s v="Low"/>
    <s v="Christopher Lester"/>
    <x v="0"/>
    <x v="29"/>
    <x v="0"/>
    <x v="1"/>
    <s v="Normal order"/>
  </r>
  <r>
    <s v="SALE1494"/>
    <d v="2023-11-21T00:00:00"/>
    <x v="8"/>
    <s v="CUST1229"/>
    <s v="PROD10"/>
    <s v="STORE15"/>
    <n v="4"/>
    <n v="4"/>
    <n v="316.18"/>
    <n v="0.12"/>
    <x v="0"/>
    <n v="1112.9536000000001"/>
    <s v="High"/>
    <s v="Tanner Thompson"/>
    <x v="2"/>
    <x v="47"/>
    <x v="0"/>
    <x v="3"/>
    <s v="Bulk order"/>
  </r>
  <r>
    <s v="SALE1495"/>
    <d v="2024-09-20T00:00:00"/>
    <x v="7"/>
    <s v="CUST1007"/>
    <s v="PROD13"/>
    <s v="STORE3"/>
    <n v="3"/>
    <n v="3"/>
    <n v="162.16999999999999"/>
    <n v="0.15"/>
    <x v="1"/>
    <n v="413.5335"/>
    <s v="Low"/>
    <s v="Daniel Boyd"/>
    <x v="1"/>
    <x v="75"/>
    <x v="0"/>
    <x v="3"/>
    <s v="Normal order"/>
  </r>
  <r>
    <s v="SALE1496"/>
    <d v="2024-04-03T00:00:00"/>
    <x v="5"/>
    <s v="CUST1331"/>
    <s v="PROD4"/>
    <s v="STORE3"/>
    <n v="3"/>
    <n v="3"/>
    <n v="698.14"/>
    <n v="0.04"/>
    <x v="1"/>
    <n v="2010.6432"/>
    <s v="High"/>
    <s v="Maria Phillips"/>
    <x v="4"/>
    <x v="58"/>
    <x v="0"/>
    <x v="3"/>
    <s v="Normal order"/>
  </r>
  <r>
    <s v="SALE1497"/>
    <d v="2025-05-10T00:00:00"/>
    <x v="11"/>
    <s v="CUST1310"/>
    <s v="PROD74"/>
    <s v="STORE18"/>
    <n v="1"/>
    <n v="1"/>
    <n v="478.08"/>
    <n v="7.0000000000000007E-2"/>
    <x v="2"/>
    <n v="444.61439999999988"/>
    <s v="Low"/>
    <s v="Kara Dodson"/>
    <x v="1"/>
    <x v="1"/>
    <x v="2"/>
    <x v="1"/>
    <s v="Normal order"/>
  </r>
  <r>
    <s v="SALE1498"/>
    <d v="2025-06-14T00:00:00"/>
    <x v="4"/>
    <s v="CUST1208"/>
    <s v="PROD59"/>
    <s v="STORE7"/>
    <n v="2"/>
    <n v="2"/>
    <n v="958.64"/>
    <n v="0.2"/>
    <x v="1"/>
    <n v="1533.8240000000001"/>
    <s v="High"/>
    <s v="John Perez"/>
    <x v="3"/>
    <x v="4"/>
    <x v="1"/>
    <x v="2"/>
    <s v="Normal order"/>
  </r>
  <r>
    <s v="SALE1499"/>
    <d v="2024-10-25T00:00:00"/>
    <x v="6"/>
    <s v="CUST1464"/>
    <s v="PROD41"/>
    <s v="STORE12"/>
    <n v="2"/>
    <n v="2"/>
    <n v="581.19000000000005"/>
    <n v="7.0000000000000007E-2"/>
    <x v="2"/>
    <n v="1081.0134"/>
    <s v="High"/>
    <s v="David Pierce"/>
    <x v="0"/>
    <x v="82"/>
    <x v="0"/>
    <x v="2"/>
    <s v="Normal order"/>
  </r>
  <r>
    <s v="SALE15"/>
    <d v="2024-12-10T00:00:00"/>
    <x v="1"/>
    <s v="CUST1435"/>
    <s v="PROD36"/>
    <s v="STORE9"/>
    <m/>
    <n v="2.125"/>
    <n v="871.34"/>
    <n v="0.04"/>
    <x v="2"/>
    <n v="2509.4591999999998"/>
    <s v="High"/>
    <s v="Lindsay Beasley"/>
    <x v="4"/>
    <x v="88"/>
    <x v="1"/>
    <x v="1"/>
    <s v="Normal order"/>
  </r>
  <r>
    <s v="SALE150"/>
    <d v="2024-05-21T00:00:00"/>
    <x v="11"/>
    <s v="CUST1068"/>
    <s v="PROD52"/>
    <s v="STORE5"/>
    <n v="4"/>
    <n v="4"/>
    <n v="355.64"/>
    <n v="0.16"/>
    <x v="2"/>
    <n v="1194.9503999999999"/>
    <s v="High"/>
    <s v="Mr. Mark Beasley"/>
    <x v="0"/>
    <x v="22"/>
    <x v="0"/>
    <x v="1"/>
    <s v="Bulk order"/>
  </r>
  <r>
    <s v="SALE1500"/>
    <d v="2024-11-22T00:00:00"/>
    <x v="8"/>
    <s v="CUST1112"/>
    <s v="PROD99"/>
    <s v="STORE11"/>
    <n v="1"/>
    <n v="1"/>
    <n v="736.54"/>
    <n v="0.16"/>
    <x v="1"/>
    <n v="618.69359999999995"/>
    <s v="Low"/>
    <s v="David Cole"/>
    <x v="2"/>
    <x v="86"/>
    <x v="1"/>
    <x v="1"/>
    <s v="Normal order"/>
  </r>
  <r>
    <s v="SALE1501"/>
    <d v="2024-10-21T00:00:00"/>
    <x v="6"/>
    <s v="CUST1401"/>
    <s v="PROD65"/>
    <s v="STORE15"/>
    <n v="1"/>
    <n v="1"/>
    <n v="524"/>
    <n v="0.28000000000000003"/>
    <x v="0"/>
    <n v="377.28"/>
    <s v="Low"/>
    <s v="Terry Moses"/>
    <x v="0"/>
    <x v="74"/>
    <x v="0"/>
    <x v="2"/>
    <s v="Normal order"/>
  </r>
  <r>
    <s v="SALE1502"/>
    <d v="2024-09-13T00:00:00"/>
    <x v="7"/>
    <s v="CUST1046"/>
    <s v="PROD28"/>
    <s v="STORE3"/>
    <n v="4"/>
    <n v="4"/>
    <n v="566.09"/>
    <n v="0.28000000000000003"/>
    <x v="2"/>
    <n v="1630.3391999999999"/>
    <s v="High"/>
    <s v="Michelle Garcia Dds"/>
    <x v="0"/>
    <x v="40"/>
    <x v="0"/>
    <x v="2"/>
    <s v="Bulk order"/>
  </r>
  <r>
    <s v="SALE1503"/>
    <d v="2025-04-25T00:00:00"/>
    <x v="5"/>
    <s v="CUST1259"/>
    <s v="PROD21"/>
    <s v="STORE10"/>
    <n v="1"/>
    <n v="1"/>
    <n v="251.99"/>
    <n v="0.09"/>
    <x v="0"/>
    <n v="229.3109"/>
    <s v="Low"/>
    <s v="Beth Allen"/>
    <x v="2"/>
    <x v="54"/>
    <x v="2"/>
    <x v="1"/>
    <s v="Normal order"/>
  </r>
  <r>
    <s v="SALE1504"/>
    <d v="2024-03-10T00:00:00"/>
    <x v="9"/>
    <s v="CUST1221"/>
    <s v="PROD17"/>
    <s v="STORE19"/>
    <n v="1"/>
    <n v="1"/>
    <n v="259.2"/>
    <n v="0.27"/>
    <x v="2"/>
    <n v="189.21600000000001"/>
    <s v="Low"/>
    <s v="Lisa Young"/>
    <x v="0"/>
    <x v="29"/>
    <x v="2"/>
    <x v="2"/>
    <s v="Normal order"/>
  </r>
  <r>
    <s v="SALE1505"/>
    <d v="2023-11-05T00:00:00"/>
    <x v="8"/>
    <s v="CUST1446"/>
    <s v="PROD59"/>
    <s v="STORE15"/>
    <n v="1"/>
    <n v="1"/>
    <n v="935.66"/>
    <n v="0.26"/>
    <x v="1"/>
    <n v="692.38839999999993"/>
    <s v="Low"/>
    <s v="Shannon Turner"/>
    <x v="3"/>
    <x v="4"/>
    <x v="0"/>
    <x v="1"/>
    <s v="Normal order"/>
  </r>
  <r>
    <s v="SALE1506"/>
    <d v="2025-07-26T00:00:00"/>
    <x v="0"/>
    <s v="CUST1469"/>
    <s v="PROD35"/>
    <s v="STORE8"/>
    <n v="4"/>
    <n v="4"/>
    <n v="480.75"/>
    <n v="0.02"/>
    <x v="0"/>
    <n v="1884.54"/>
    <s v="High"/>
    <s v="James Foster"/>
    <x v="2"/>
    <x v="44"/>
    <x v="3"/>
    <x v="0"/>
    <s v="Bulk order"/>
  </r>
  <r>
    <s v="SALE1507"/>
    <d v="2025-01-24T00:00:00"/>
    <x v="3"/>
    <s v="CUST1369"/>
    <s v="PROD81"/>
    <s v="STORE15"/>
    <n v="2"/>
    <n v="2"/>
    <n v="457.83"/>
    <n v="0.01"/>
    <x v="2"/>
    <n v="906.50339999999994"/>
    <s v="Low"/>
    <s v="Gregory Allen"/>
    <x v="0"/>
    <x v="15"/>
    <x v="0"/>
    <x v="2"/>
    <s v="Normal order"/>
  </r>
  <r>
    <s v="SALE1508"/>
    <d v="2025-09-05T00:00:00"/>
    <x v="7"/>
    <s v="CUST1164"/>
    <s v="PROD48"/>
    <s v="STORE14"/>
    <n v="1"/>
    <n v="1"/>
    <n v="994.63"/>
    <n v="0.28000000000000003"/>
    <x v="0"/>
    <n v="716.1336"/>
    <s v="Low"/>
    <s v="Daniel Rivas"/>
    <x v="1"/>
    <x v="66"/>
    <x v="1"/>
    <x v="1"/>
    <s v="Normal order"/>
  </r>
  <r>
    <s v="SALE1509"/>
    <d v="2025-04-18T00:00:00"/>
    <x v="5"/>
    <s v="CUST1245"/>
    <s v="PROD90"/>
    <s v="STORE0"/>
    <n v="3"/>
    <n v="3"/>
    <n v="65.569999999999993"/>
    <n v="0.3"/>
    <x v="2"/>
    <n v="137.697"/>
    <s v="Low"/>
    <s v="Laura Soto"/>
    <x v="1"/>
    <x v="73"/>
    <x v="2"/>
    <x v="2"/>
    <s v="Normal order"/>
  </r>
  <r>
    <s v="SALE151"/>
    <d v="2024-10-29T00:00:00"/>
    <x v="6"/>
    <s v="CUST1022"/>
    <s v="PROD13"/>
    <s v="STORE8"/>
    <n v="4"/>
    <n v="4"/>
    <n v="535.4"/>
    <n v="0.26"/>
    <x v="1"/>
    <n v="1584.7840000000001"/>
    <s v="High"/>
    <s v="Paul Fox"/>
    <x v="1"/>
    <x v="75"/>
    <x v="3"/>
    <x v="1"/>
    <s v="Bulk order"/>
  </r>
  <r>
    <s v="SALE1510"/>
    <d v="2025-06-13T00:00:00"/>
    <x v="4"/>
    <s v="CUST1160"/>
    <s v="PROD58"/>
    <s v="STORE17"/>
    <n v="3"/>
    <n v="3"/>
    <n v="622.98"/>
    <n v="0.28000000000000003"/>
    <x v="1"/>
    <n v="1345.6368"/>
    <s v="High"/>
    <s v="John Lawson"/>
    <x v="4"/>
    <x v="36"/>
    <x v="0"/>
    <x v="2"/>
    <s v="Normal order"/>
  </r>
  <r>
    <s v="SALE1511"/>
    <d v="2025-02-03T00:00:00"/>
    <x v="2"/>
    <s v="CUST1250"/>
    <s v="PROD55"/>
    <s v="STORE13"/>
    <n v="1"/>
    <n v="1"/>
    <n v="170.68"/>
    <n v="0.13"/>
    <x v="1"/>
    <n v="148.49160000000001"/>
    <s v="Low"/>
    <s v="Veronica Newman"/>
    <x v="2"/>
    <x v="25"/>
    <x v="2"/>
    <x v="2"/>
    <s v="Normal order"/>
  </r>
  <r>
    <s v="SALE1512"/>
    <d v="2025-07-22T00:00:00"/>
    <x v="0"/>
    <s v="CUST1096"/>
    <s v="PROD7"/>
    <s v="STORE8"/>
    <n v="4"/>
    <n v="4"/>
    <n v="797.83"/>
    <n v="0.08"/>
    <x v="0"/>
    <n v="2936.0144"/>
    <s v="High"/>
    <s v="Samantha Walker"/>
    <x v="2"/>
    <x v="17"/>
    <x v="3"/>
    <x v="2"/>
    <s v="Bulk order"/>
  </r>
  <r>
    <s v="SALE1513"/>
    <d v="2025-09-22T00:00:00"/>
    <x v="7"/>
    <s v="CUST1098"/>
    <s v="PROD2"/>
    <s v="STORE16"/>
    <n v="1"/>
    <n v="1"/>
    <n v="372.75"/>
    <n v="0.12"/>
    <x v="0"/>
    <n v="328.02"/>
    <s v="Low"/>
    <s v="Brittney Morgan"/>
    <x v="4"/>
    <x v="60"/>
    <x v="3"/>
    <x v="0"/>
    <s v="Normal order"/>
  </r>
  <r>
    <s v="SALE1514"/>
    <d v="2024-07-04T00:00:00"/>
    <x v="0"/>
    <s v="CUST1396"/>
    <s v="PROD61"/>
    <s v="STORE4"/>
    <n v="1"/>
    <n v="1"/>
    <n v="994.18"/>
    <n v="0.05"/>
    <x v="1"/>
    <n v="944.47099999999989"/>
    <s v="Low"/>
    <s v="Alexander Byrd"/>
    <x v="0"/>
    <x v="49"/>
    <x v="1"/>
    <x v="1"/>
    <s v="Normal order"/>
  </r>
  <r>
    <s v="SALE1515"/>
    <d v="2024-07-31T00:00:00"/>
    <x v="0"/>
    <s v="CUST1422"/>
    <s v="PROD20"/>
    <s v="STORE13"/>
    <n v="1"/>
    <n v="1"/>
    <n v="136.12"/>
    <n v="7.0000000000000007E-2"/>
    <x v="0"/>
    <n v="126.5916"/>
    <s v="Low"/>
    <s v="Brittany Edwards Dds"/>
    <x v="0"/>
    <x v="69"/>
    <x v="2"/>
    <x v="2"/>
    <s v="Normal order"/>
  </r>
  <r>
    <s v="SALE1516"/>
    <d v="2025-07-24T00:00:00"/>
    <x v="0"/>
    <s v="CUST1030"/>
    <s v="PROD52"/>
    <s v="STORE18"/>
    <n v="3"/>
    <n v="3"/>
    <n v="634.45000000000005"/>
    <n v="0.17"/>
    <x v="1"/>
    <n v="1579.7805000000001"/>
    <s v="High"/>
    <s v="Jessica Acevedo"/>
    <x v="0"/>
    <x v="22"/>
    <x v="2"/>
    <x v="3"/>
    <s v="Normal order"/>
  </r>
  <r>
    <s v="SALE1517"/>
    <d v="2024-10-14T00:00:00"/>
    <x v="6"/>
    <s v="CUST1329"/>
    <s v="PROD64"/>
    <s v="STORE0"/>
    <n v="4"/>
    <n v="4"/>
    <n v="179.62"/>
    <n v="0.05"/>
    <x v="0"/>
    <n v="682.55600000000004"/>
    <s v="Low"/>
    <s v="Victor Mcintosh"/>
    <x v="3"/>
    <x v="55"/>
    <x v="2"/>
    <x v="3"/>
    <s v="Bulk order"/>
  </r>
  <r>
    <s v="SALE1518"/>
    <d v="2025-01-01T00:00:00"/>
    <x v="3"/>
    <s v="CUST1294"/>
    <s v="PROD20"/>
    <s v="STORE18"/>
    <n v="4"/>
    <n v="4"/>
    <n v="558.83000000000004"/>
    <n v="0.16"/>
    <x v="1"/>
    <n v="1877.6687999999999"/>
    <s v="High"/>
    <s v="Lisa Chandler"/>
    <x v="0"/>
    <x v="69"/>
    <x v="2"/>
    <x v="2"/>
    <s v="Bulk order"/>
  </r>
  <r>
    <s v="SALE1519"/>
    <d v="2025-01-07T00:00:00"/>
    <x v="3"/>
    <s v="CUST1171"/>
    <s v="PROD94"/>
    <s v="STORE6"/>
    <n v="2"/>
    <n v="2"/>
    <n v="859.74"/>
    <n v="0.25"/>
    <x v="2"/>
    <n v="1289.6099999999999"/>
    <s v="High"/>
    <s v="Amy Wilson"/>
    <x v="3"/>
    <x v="89"/>
    <x v="2"/>
    <x v="2"/>
    <s v="Normal order"/>
  </r>
  <r>
    <s v="SALE152"/>
    <d v="2025-05-21T00:00:00"/>
    <x v="11"/>
    <s v="CUST1243"/>
    <s v="PROD69"/>
    <s v="STORE19"/>
    <n v="2"/>
    <n v="2"/>
    <n v="108.74"/>
    <n v="0.11"/>
    <x v="1"/>
    <n v="193.55719999999999"/>
    <s v="Low"/>
    <s v="Brian Hammond"/>
    <x v="4"/>
    <x v="5"/>
    <x v="2"/>
    <x v="0"/>
    <s v="Normal order"/>
  </r>
  <r>
    <s v="SALE1520"/>
    <d v="2025-10-06T00:00:00"/>
    <x v="6"/>
    <s v="CUST1106"/>
    <s v="PROD65"/>
    <s v="STORE16"/>
    <n v="3"/>
    <n v="3"/>
    <n v="578.47"/>
    <n v="0.06"/>
    <x v="2"/>
    <n v="1631.2854"/>
    <s v="High"/>
    <s v="Howard Summers"/>
    <x v="0"/>
    <x v="74"/>
    <x v="3"/>
    <x v="3"/>
    <s v="Normal order"/>
  </r>
  <r>
    <s v="SALE1521"/>
    <d v="2024-02-22T00:00:00"/>
    <x v="2"/>
    <s v="CUST1055"/>
    <s v="PROD21"/>
    <s v="STORE12"/>
    <n v="1"/>
    <n v="1"/>
    <n v="440.48"/>
    <n v="0.11"/>
    <x v="2"/>
    <n v="392.02720000000011"/>
    <s v="Low"/>
    <s v="Wayne Mcpherson"/>
    <x v="2"/>
    <x v="54"/>
    <x v="0"/>
    <x v="3"/>
    <s v="Normal order"/>
  </r>
  <r>
    <s v="SALE1522"/>
    <d v="2024-02-07T00:00:00"/>
    <x v="2"/>
    <s v="CUST1016"/>
    <s v="PROD16"/>
    <s v="STORE19"/>
    <n v="2"/>
    <n v="2"/>
    <n v="303.67"/>
    <n v="0.05"/>
    <x v="1"/>
    <n v="576.97299999999996"/>
    <s v="Low"/>
    <s v="John Scott"/>
    <x v="3"/>
    <x v="63"/>
    <x v="2"/>
    <x v="3"/>
    <s v="Normal order"/>
  </r>
  <r>
    <s v="SALE1523"/>
    <d v="2025-08-26T00:00:00"/>
    <x v="10"/>
    <s v="CUST1336"/>
    <s v="PROD74"/>
    <s v="STORE14"/>
    <n v="2"/>
    <n v="2"/>
    <n v="611.21"/>
    <n v="0.22"/>
    <x v="2"/>
    <n v="953.48760000000004"/>
    <s v="Low"/>
    <s v="John Jones"/>
    <x v="1"/>
    <x v="1"/>
    <x v="1"/>
    <x v="1"/>
    <s v="Normal order"/>
  </r>
  <r>
    <s v="SALE1524"/>
    <d v="2023-11-09T00:00:00"/>
    <x v="8"/>
    <s v="CUST1202"/>
    <s v="PROD39"/>
    <s v="STORE15"/>
    <n v="2"/>
    <n v="2"/>
    <n v="768.08"/>
    <n v="0.26"/>
    <x v="1"/>
    <n v="1136.7583999999999"/>
    <s v="High"/>
    <s v="Christina Garcia"/>
    <x v="1"/>
    <x v="65"/>
    <x v="0"/>
    <x v="2"/>
    <s v="Normal order"/>
  </r>
  <r>
    <s v="SALE1525"/>
    <d v="2024-01-05T00:00:00"/>
    <x v="3"/>
    <s v="CUST1296"/>
    <s v="PROD23"/>
    <s v="STORE18"/>
    <n v="1"/>
    <n v="1"/>
    <n v="616.82000000000005"/>
    <n v="0.24"/>
    <x v="0"/>
    <n v="468.78320000000002"/>
    <s v="Low"/>
    <s v="Jared Moran"/>
    <x v="4"/>
    <x v="9"/>
    <x v="2"/>
    <x v="3"/>
    <s v="Normal order"/>
  </r>
  <r>
    <s v="SALE1526"/>
    <d v="2025-01-15T00:00:00"/>
    <x v="3"/>
    <s v="CUST1183"/>
    <s v="PROD40"/>
    <s v="STORE18"/>
    <n v="1"/>
    <n v="1"/>
    <n v="470.34"/>
    <n v="0.18"/>
    <x v="2"/>
    <n v="385.67880000000002"/>
    <s v="Low"/>
    <s v="Mario Jacobs"/>
    <x v="1"/>
    <x v="50"/>
    <x v="2"/>
    <x v="2"/>
    <s v="Normal order"/>
  </r>
  <r>
    <s v="SALE1527"/>
    <d v="2024-07-26T00:00:00"/>
    <x v="0"/>
    <s v="CUST1219"/>
    <s v="PROD53"/>
    <s v="STORE8"/>
    <n v="2"/>
    <n v="2"/>
    <n v="616.36"/>
    <n v="0.12"/>
    <x v="1"/>
    <n v="1084.7936"/>
    <s v="High"/>
    <s v="Jordan Wells"/>
    <x v="4"/>
    <x v="20"/>
    <x v="3"/>
    <x v="0"/>
    <s v="Normal order"/>
  </r>
  <r>
    <s v="SALE1528"/>
    <d v="2024-05-22T00:00:00"/>
    <x v="11"/>
    <s v="CUST1082"/>
    <s v="PROD3"/>
    <s v="STORE9"/>
    <n v="3"/>
    <n v="3"/>
    <n v="657.24"/>
    <n v="0.18"/>
    <x v="1"/>
    <n v="1616.8104000000001"/>
    <s v="High"/>
    <s v="George Rosario"/>
    <x v="4"/>
    <x v="84"/>
    <x v="1"/>
    <x v="3"/>
    <s v="Normal order"/>
  </r>
  <r>
    <s v="SALE1529"/>
    <d v="2025-08-24T00:00:00"/>
    <x v="10"/>
    <s v="CUST1034"/>
    <s v="PROD41"/>
    <s v="STORE19"/>
    <n v="2"/>
    <n v="2"/>
    <n v="392.45"/>
    <n v="0.04"/>
    <x v="1"/>
    <n v="753.50399999999991"/>
    <s v="Low"/>
    <s v="Christopher Olson"/>
    <x v="0"/>
    <x v="82"/>
    <x v="2"/>
    <x v="2"/>
    <s v="Normal order"/>
  </r>
  <r>
    <s v="SALE153"/>
    <d v="2024-10-14T00:00:00"/>
    <x v="6"/>
    <s v="CUST1314"/>
    <s v="PROD11"/>
    <s v="STORE19"/>
    <n v="3"/>
    <n v="3"/>
    <n v="591.98"/>
    <n v="0.16"/>
    <x v="0"/>
    <n v="1491.7896000000001"/>
    <s v="High"/>
    <s v="Elizabeth Johnson"/>
    <x v="1"/>
    <x v="68"/>
    <x v="2"/>
    <x v="1"/>
    <s v="Normal order"/>
  </r>
  <r>
    <s v="SALE1530"/>
    <d v="2024-02-24T00:00:00"/>
    <x v="2"/>
    <s v="CUST1245"/>
    <s v="PROD40"/>
    <s v="STORE14"/>
    <n v="3"/>
    <n v="3"/>
    <n v="62.03"/>
    <n v="0.01"/>
    <x v="2"/>
    <n v="184.22909999999999"/>
    <s v="Low"/>
    <s v="Laura Soto"/>
    <x v="1"/>
    <x v="50"/>
    <x v="1"/>
    <x v="2"/>
    <s v="Normal order"/>
  </r>
  <r>
    <s v="SALE1531"/>
    <d v="2024-11-17T00:00:00"/>
    <x v="8"/>
    <s v="CUST1092"/>
    <s v="PROD96"/>
    <s v="STORE3"/>
    <n v="4"/>
    <n v="4"/>
    <n v="933.73"/>
    <n v="0.25"/>
    <x v="1"/>
    <n v="2801.19"/>
    <s v="High"/>
    <s v="Robert Jackson"/>
    <x v="4"/>
    <x v="76"/>
    <x v="0"/>
    <x v="2"/>
    <s v="Bulk order"/>
  </r>
  <r>
    <s v="SALE1532"/>
    <d v="2025-09-28T00:00:00"/>
    <x v="7"/>
    <s v="CUST1155"/>
    <s v="PROD85"/>
    <s v="STORE16"/>
    <n v="3"/>
    <n v="3"/>
    <n v="615.30999999999995"/>
    <n v="0.14000000000000001"/>
    <x v="1"/>
    <n v="1587.4998000000001"/>
    <s v="High"/>
    <s v="Curtis Haynes"/>
    <x v="4"/>
    <x v="70"/>
    <x v="3"/>
    <x v="0"/>
    <s v="Normal order"/>
  </r>
  <r>
    <s v="SALE1533"/>
    <d v="2024-11-23T00:00:00"/>
    <x v="8"/>
    <s v="CUST1373"/>
    <s v="PROD59"/>
    <s v="STORE18"/>
    <n v="4"/>
    <n v="4"/>
    <n v="790.38"/>
    <n v="0.22"/>
    <x v="2"/>
    <n v="2465.9856"/>
    <s v="High"/>
    <s v="James Orozco"/>
    <x v="3"/>
    <x v="4"/>
    <x v="2"/>
    <x v="0"/>
    <s v="Bulk order"/>
  </r>
  <r>
    <s v="SALE1534"/>
    <d v="2024-08-29T00:00:00"/>
    <x v="10"/>
    <s v="CUST1269"/>
    <s v="PROD59"/>
    <s v="STORE17"/>
    <n v="2"/>
    <n v="2"/>
    <n v="102.85"/>
    <n v="0.08"/>
    <x v="1"/>
    <n v="189.244"/>
    <s v="Low"/>
    <s v="Tyrone Olson"/>
    <x v="3"/>
    <x v="4"/>
    <x v="0"/>
    <x v="1"/>
    <s v="Normal order"/>
  </r>
  <r>
    <s v="SALE1535"/>
    <d v="2025-05-04T00:00:00"/>
    <x v="11"/>
    <s v="CUST1039"/>
    <s v="PROD11"/>
    <s v="STORE16"/>
    <n v="3"/>
    <n v="3"/>
    <n v="866.78"/>
    <n v="0.27"/>
    <x v="1"/>
    <n v="1898.2482"/>
    <s v="High"/>
    <s v="Tonya Reynolds"/>
    <x v="1"/>
    <x v="68"/>
    <x v="3"/>
    <x v="0"/>
    <s v="Normal order"/>
  </r>
  <r>
    <s v="SALE1536"/>
    <d v="2024-03-27T00:00:00"/>
    <x v="9"/>
    <s v="CUST1208"/>
    <s v="PROD78"/>
    <s v="STORE16"/>
    <n v="3"/>
    <n v="3"/>
    <n v="392.84"/>
    <n v="0.27"/>
    <x v="1"/>
    <n v="860.31959999999992"/>
    <s v="Low"/>
    <s v="John Perez"/>
    <x v="2"/>
    <x v="33"/>
    <x v="3"/>
    <x v="2"/>
    <s v="Normal order"/>
  </r>
  <r>
    <s v="SALE1537"/>
    <d v="2025-01-31T00:00:00"/>
    <x v="3"/>
    <s v="CUST1323"/>
    <s v="PROD9"/>
    <s v="STORE5"/>
    <n v="2"/>
    <n v="2"/>
    <n v="753.1"/>
    <n v="0.19"/>
    <x v="1"/>
    <n v="1220.0219999999999"/>
    <s v="High"/>
    <s v="Kristy Dunlap"/>
    <x v="0"/>
    <x v="98"/>
    <x v="0"/>
    <x v="2"/>
    <s v="Normal order"/>
  </r>
  <r>
    <s v="SALE1538"/>
    <d v="2025-09-27T00:00:00"/>
    <x v="7"/>
    <s v="CUST1007"/>
    <s v="PROD54"/>
    <s v="STORE17"/>
    <n v="2"/>
    <n v="2"/>
    <n v="700.91"/>
    <n v="0.1"/>
    <x v="1"/>
    <n v="1261.6379999999999"/>
    <s v="High"/>
    <s v="Daniel Boyd"/>
    <x v="0"/>
    <x v="8"/>
    <x v="0"/>
    <x v="3"/>
    <s v="Normal order"/>
  </r>
  <r>
    <s v="SALE1539"/>
    <d v="2025-04-28T00:00:00"/>
    <x v="5"/>
    <s v="CUST1072"/>
    <s v="PROD15"/>
    <s v="STORE12"/>
    <n v="4"/>
    <n v="4"/>
    <n v="935.98"/>
    <n v="0.11"/>
    <x v="1"/>
    <n v="3332.0888"/>
    <s v="High"/>
    <s v="Tonya Burch"/>
    <x v="1"/>
    <x v="42"/>
    <x v="0"/>
    <x v="0"/>
    <s v="Bulk order"/>
  </r>
  <r>
    <s v="SALE154"/>
    <d v="2024-11-17T00:00:00"/>
    <x v="8"/>
    <s v="CUST1405"/>
    <s v="PROD48"/>
    <s v="STORE2"/>
    <n v="1"/>
    <n v="1"/>
    <n v="345.06"/>
    <n v="0.13"/>
    <x v="2"/>
    <n v="300.2022"/>
    <s v="Low"/>
    <s v="Eric Wolfe"/>
    <x v="1"/>
    <x v="66"/>
    <x v="1"/>
    <x v="0"/>
    <s v="Normal order"/>
  </r>
  <r>
    <s v="SALE1540"/>
    <d v="2025-07-11T00:00:00"/>
    <x v="0"/>
    <s v="CUST1485"/>
    <s v="PROD76"/>
    <s v="STORE16"/>
    <n v="1"/>
    <n v="1"/>
    <n v="539.9"/>
    <n v="7.0000000000000007E-2"/>
    <x v="0"/>
    <n v="502.10700000000003"/>
    <s v="Low"/>
    <s v="Sara Ingram"/>
    <x v="1"/>
    <x v="45"/>
    <x v="3"/>
    <x v="3"/>
    <s v="Normal order"/>
  </r>
  <r>
    <s v="SALE1541"/>
    <d v="2024-10-08T00:00:00"/>
    <x v="6"/>
    <s v="CUST1171"/>
    <s v="PROD40"/>
    <s v="STORE6"/>
    <n v="1"/>
    <n v="1"/>
    <n v="312.81"/>
    <n v="0.14000000000000001"/>
    <x v="1"/>
    <n v="269.01659999999998"/>
    <s v="Low"/>
    <s v="Amy Wilson"/>
    <x v="1"/>
    <x v="50"/>
    <x v="2"/>
    <x v="2"/>
    <s v="Normal order"/>
  </r>
  <r>
    <s v="SALE1542"/>
    <d v="2024-03-05T00:00:00"/>
    <x v="9"/>
    <s v="CUST1249"/>
    <s v="PROD48"/>
    <s v="STORE7"/>
    <n v="3"/>
    <n v="3"/>
    <n v="855.96"/>
    <n v="0.28999999999999998"/>
    <x v="2"/>
    <n v="1823.1948"/>
    <s v="High"/>
    <s v="Lauren George"/>
    <x v="1"/>
    <x v="66"/>
    <x v="1"/>
    <x v="0"/>
    <s v="Normal order"/>
  </r>
  <r>
    <s v="SALE1543"/>
    <d v="2024-02-04T00:00:00"/>
    <x v="2"/>
    <s v="CUST1355"/>
    <s v="PROD1"/>
    <s v="STORE11"/>
    <n v="3"/>
    <n v="3"/>
    <n v="305"/>
    <n v="0.01"/>
    <x v="2"/>
    <n v="905.85"/>
    <s v="Low"/>
    <s v="Carlos Flores"/>
    <x v="4"/>
    <x v="93"/>
    <x v="1"/>
    <x v="0"/>
    <s v="Normal order"/>
  </r>
  <r>
    <s v="SALE1544"/>
    <d v="2024-03-10T00:00:00"/>
    <x v="9"/>
    <s v="CUST1468"/>
    <s v="PROD99"/>
    <s v="STORE12"/>
    <n v="3"/>
    <n v="3"/>
    <n v="831.15"/>
    <n v="0.19"/>
    <x v="0"/>
    <n v="2019.6945000000001"/>
    <s v="High"/>
    <s v="Gregory Curtis"/>
    <x v="2"/>
    <x v="86"/>
    <x v="0"/>
    <x v="3"/>
    <s v="Normal order"/>
  </r>
  <r>
    <s v="SALE1545"/>
    <d v="2025-09-26T00:00:00"/>
    <x v="7"/>
    <s v="CUST1207"/>
    <s v="PROD96"/>
    <s v="STORE3"/>
    <n v="2"/>
    <n v="2"/>
    <n v="644.97"/>
    <n v="0.24"/>
    <x v="2"/>
    <n v="980.35440000000006"/>
    <s v="Low"/>
    <s v="Jacqueline Pacheco"/>
    <x v="4"/>
    <x v="76"/>
    <x v="0"/>
    <x v="3"/>
    <s v="Normal order"/>
  </r>
  <r>
    <s v="SALE1546"/>
    <d v="2025-07-01T00:00:00"/>
    <x v="0"/>
    <s v="CUST1095"/>
    <s v="PROD88"/>
    <s v="STORE1"/>
    <n v="1"/>
    <n v="1"/>
    <n v="149.56"/>
    <n v="0.09"/>
    <x v="0"/>
    <n v="136.09960000000001"/>
    <s v="Low"/>
    <s v="Amy Fowler"/>
    <x v="0"/>
    <x v="90"/>
    <x v="0"/>
    <x v="2"/>
    <s v="Normal order"/>
  </r>
  <r>
    <s v="SALE1547"/>
    <d v="2024-05-22T00:00:00"/>
    <x v="11"/>
    <s v="CUST1217"/>
    <s v="PROD43"/>
    <s v="STORE19"/>
    <n v="1"/>
    <n v="1"/>
    <n v="661.77"/>
    <n v="0.03"/>
    <x v="1"/>
    <n v="641.91689999999994"/>
    <s v="Low"/>
    <s v="Kathy Copeland"/>
    <x v="1"/>
    <x v="34"/>
    <x v="2"/>
    <x v="1"/>
    <s v="Normal order"/>
  </r>
  <r>
    <s v="SALE1548"/>
    <d v="2025-06-11T00:00:00"/>
    <x v="4"/>
    <s v="CUST1108"/>
    <s v="PROD94"/>
    <s v="STORE7"/>
    <n v="3"/>
    <n v="3"/>
    <n v="99.67"/>
    <n v="0.17"/>
    <x v="0"/>
    <n v="248.17830000000001"/>
    <s v="Low"/>
    <s v="Travis Holland"/>
    <x v="3"/>
    <x v="89"/>
    <x v="1"/>
    <x v="3"/>
    <s v="Normal order"/>
  </r>
  <r>
    <s v="SALE1549"/>
    <d v="2024-09-18T00:00:00"/>
    <x v="7"/>
    <s v="CUST1221"/>
    <s v="PROD62"/>
    <s v="STORE1"/>
    <n v="3"/>
    <n v="3"/>
    <n v="103.66"/>
    <n v="0.26"/>
    <x v="2"/>
    <n v="230.12520000000001"/>
    <s v="Low"/>
    <s v="Lisa Young"/>
    <x v="1"/>
    <x v="19"/>
    <x v="0"/>
    <x v="2"/>
    <s v="Normal order"/>
  </r>
  <r>
    <s v="SALE155"/>
    <d v="2025-03-29T00:00:00"/>
    <x v="9"/>
    <s v="CUST1307"/>
    <s v="PROD93"/>
    <s v="STORE12"/>
    <n v="4"/>
    <n v="4"/>
    <n v="986.41"/>
    <n v="0.22"/>
    <x v="0"/>
    <n v="3077.5992000000001"/>
    <s v="High"/>
    <s v="Brandy Thompson"/>
    <x v="1"/>
    <x v="27"/>
    <x v="0"/>
    <x v="3"/>
    <s v="Bulk order"/>
  </r>
  <r>
    <s v="SALE1550"/>
    <d v="2023-11-28T00:00:00"/>
    <x v="8"/>
    <s v="CUST1436"/>
    <s v="PROD40"/>
    <s v="STORE2"/>
    <n v="4"/>
    <n v="4"/>
    <n v="54.4"/>
    <n v="0.22"/>
    <x v="0"/>
    <n v="169.72800000000001"/>
    <s v="Low"/>
    <s v="Sharon Simpson"/>
    <x v="1"/>
    <x v="50"/>
    <x v="1"/>
    <x v="0"/>
    <s v="Bulk order"/>
  </r>
  <r>
    <s v="SALE1551"/>
    <d v="2024-05-23T00:00:00"/>
    <x v="11"/>
    <s v="CUST1490"/>
    <s v="PROD84"/>
    <s v="STORE14"/>
    <n v="1"/>
    <n v="1"/>
    <n v="46.66"/>
    <n v="0.2"/>
    <x v="0"/>
    <n v="37.328000000000003"/>
    <s v="Low"/>
    <s v="Scott Harris"/>
    <x v="2"/>
    <x v="56"/>
    <x v="1"/>
    <x v="2"/>
    <s v="Normal order"/>
  </r>
  <r>
    <s v="SALE1552"/>
    <d v="2024-06-04T00:00:00"/>
    <x v="4"/>
    <s v="CUST1007"/>
    <s v="PROD73"/>
    <s v="STORE11"/>
    <n v="4"/>
    <n v="4"/>
    <n v="871.2"/>
    <n v="0.28999999999999998"/>
    <x v="0"/>
    <n v="2474.2080000000001"/>
    <s v="High"/>
    <s v="Daniel Boyd"/>
    <x v="0"/>
    <x v="6"/>
    <x v="1"/>
    <x v="3"/>
    <s v="Bulk order"/>
  </r>
  <r>
    <s v="SALE1553"/>
    <d v="2025-03-08T00:00:00"/>
    <x v="9"/>
    <s v="CUST1379"/>
    <s v="PROD18"/>
    <s v="STORE14"/>
    <n v="4"/>
    <n v="4"/>
    <n v="317.11"/>
    <n v="0.16"/>
    <x v="1"/>
    <n v="1065.4896000000001"/>
    <s v="High"/>
    <s v="Tanya Lopez"/>
    <x v="4"/>
    <x v="83"/>
    <x v="1"/>
    <x v="0"/>
    <s v="Bulk order"/>
  </r>
  <r>
    <s v="SALE1554"/>
    <d v="2024-02-16T00:00:00"/>
    <x v="2"/>
    <s v="CUST1258"/>
    <s v="PROD25"/>
    <s v="STORE13"/>
    <n v="2"/>
    <n v="2"/>
    <n v="388.34"/>
    <n v="0.09"/>
    <x v="1"/>
    <n v="706.77879999999993"/>
    <s v="Low"/>
    <s v="Sarah Stewart"/>
    <x v="4"/>
    <x v="13"/>
    <x v="2"/>
    <x v="2"/>
    <s v="Normal order"/>
  </r>
  <r>
    <s v="SALE1555"/>
    <d v="2023-11-22T00:00:00"/>
    <x v="8"/>
    <s v="CUST1319"/>
    <s v="PROD30"/>
    <s v="STORE6"/>
    <n v="4"/>
    <n v="4"/>
    <n v="998.2"/>
    <n v="0.15"/>
    <x v="0"/>
    <n v="3393.88"/>
    <s v="High"/>
    <s v="Casey Simpson"/>
    <x v="2"/>
    <x v="38"/>
    <x v="2"/>
    <x v="2"/>
    <s v="Bulk order"/>
  </r>
  <r>
    <s v="SALE1556"/>
    <d v="2024-11-10T00:00:00"/>
    <x v="8"/>
    <s v="CUST1493"/>
    <s v="PROD36"/>
    <s v="STORE0"/>
    <n v="1"/>
    <n v="1"/>
    <n v="887.38"/>
    <n v="0.01"/>
    <x v="2"/>
    <n v="878.50620000000004"/>
    <s v="Low"/>
    <s v="Amanda Powell"/>
    <x v="4"/>
    <x v="88"/>
    <x v="2"/>
    <x v="1"/>
    <s v="Normal order"/>
  </r>
  <r>
    <s v="SALE1557"/>
    <d v="2024-08-20T00:00:00"/>
    <x v="10"/>
    <s v="CUST1312"/>
    <s v="PROD37"/>
    <s v="STORE12"/>
    <n v="4"/>
    <n v="4"/>
    <n v="332.97"/>
    <n v="0.28000000000000003"/>
    <x v="0"/>
    <n v="958.95360000000005"/>
    <s v="Low"/>
    <s v="Jason Mullins"/>
    <x v="4"/>
    <x v="16"/>
    <x v="0"/>
    <x v="1"/>
    <s v="Bulk order"/>
  </r>
  <r>
    <s v="SALE1558"/>
    <d v="2025-10-04T00:00:00"/>
    <x v="6"/>
    <s v="CUST1021"/>
    <s v="PROD46"/>
    <s v="STORE0"/>
    <n v="2"/>
    <n v="2"/>
    <n v="157.91"/>
    <n v="0.09"/>
    <x v="2"/>
    <n v="287.39620000000002"/>
    <s v="Low"/>
    <s v="Jeff Martinez"/>
    <x v="4"/>
    <x v="41"/>
    <x v="2"/>
    <x v="0"/>
    <s v="Normal order"/>
  </r>
  <r>
    <s v="SALE1559"/>
    <d v="2024-09-04T00:00:00"/>
    <x v="7"/>
    <s v="CUST1356"/>
    <s v="PROD12"/>
    <s v="STORE18"/>
    <n v="1"/>
    <n v="1"/>
    <n v="548.15"/>
    <n v="0.11"/>
    <x v="0"/>
    <n v="487.8535"/>
    <s v="Low"/>
    <s v="Steve Hunt"/>
    <x v="3"/>
    <x v="85"/>
    <x v="2"/>
    <x v="3"/>
    <s v="Normal order"/>
  </r>
  <r>
    <s v="SALE156"/>
    <d v="2024-07-21T00:00:00"/>
    <x v="0"/>
    <s v="CUST1319"/>
    <s v="PROD49"/>
    <s v="STORE0"/>
    <n v="2"/>
    <n v="2"/>
    <n v="921.52"/>
    <n v="0"/>
    <x v="1"/>
    <n v="1843.04"/>
    <s v="High"/>
    <s v="Casey Simpson"/>
    <x v="3"/>
    <x v="80"/>
    <x v="2"/>
    <x v="2"/>
    <s v="Normal order"/>
  </r>
  <r>
    <s v="SALE1560"/>
    <d v="2024-09-20T00:00:00"/>
    <x v="7"/>
    <s v="CUST1209"/>
    <s v="PROD48"/>
    <s v="STORE15"/>
    <n v="1"/>
    <n v="1"/>
    <n v="135.13"/>
    <n v="0.04"/>
    <x v="0"/>
    <n v="129.72479999999999"/>
    <s v="Low"/>
    <s v="Joan Johnson"/>
    <x v="1"/>
    <x v="66"/>
    <x v="0"/>
    <x v="2"/>
    <s v="Normal order"/>
  </r>
  <r>
    <s v="SALE1561"/>
    <d v="2023-12-21T00:00:00"/>
    <x v="1"/>
    <s v="CUST1219"/>
    <s v="PROD56"/>
    <s v="STORE3"/>
    <n v="3"/>
    <n v="3"/>
    <n v="579.26"/>
    <n v="0.19"/>
    <x v="0"/>
    <n v="1407.6017999999999"/>
    <s v="High"/>
    <s v="Jordan Wells"/>
    <x v="2"/>
    <x v="87"/>
    <x v="0"/>
    <x v="0"/>
    <s v="Normal order"/>
  </r>
  <r>
    <s v="SALE1562"/>
    <d v="2024-10-17T00:00:00"/>
    <x v="6"/>
    <s v="CUST1389"/>
    <s v="PROD17"/>
    <s v="STORE0"/>
    <n v="1"/>
    <n v="1"/>
    <n v="465.63"/>
    <n v="0.25"/>
    <x v="0"/>
    <n v="349.22250000000003"/>
    <s v="Low"/>
    <s v="Cynthia Lopez"/>
    <x v="0"/>
    <x v="29"/>
    <x v="2"/>
    <x v="2"/>
    <s v="Normal order"/>
  </r>
  <r>
    <s v="SALE1563"/>
    <d v="2024-03-21T00:00:00"/>
    <x v="9"/>
    <s v="CUST1047"/>
    <s v="PROD76"/>
    <s v="STORE16"/>
    <n v="2"/>
    <n v="2"/>
    <n v="675.61"/>
    <n v="0.08"/>
    <x v="2"/>
    <n v="1243.1224"/>
    <s v="High"/>
    <s v="Gina Knight"/>
    <x v="1"/>
    <x v="45"/>
    <x v="3"/>
    <x v="1"/>
    <s v="Normal order"/>
  </r>
  <r>
    <s v="SALE1564"/>
    <d v="2024-06-15T00:00:00"/>
    <x v="4"/>
    <s v="CUST1416"/>
    <s v="PROD33"/>
    <s v="STORE6"/>
    <n v="1"/>
    <n v="1"/>
    <n v="718.99"/>
    <n v="0.08"/>
    <x v="1"/>
    <n v="661.47080000000005"/>
    <s v="Low"/>
    <s v="Jennifer Myers"/>
    <x v="2"/>
    <x v="3"/>
    <x v="2"/>
    <x v="2"/>
    <s v="Normal order"/>
  </r>
  <r>
    <s v="SALE1565"/>
    <d v="2025-10-13T00:00:00"/>
    <x v="6"/>
    <s v="CUST1376"/>
    <s v="PROD14"/>
    <s v="STORE10"/>
    <n v="2"/>
    <n v="2"/>
    <n v="675.65"/>
    <n v="0.2"/>
    <x v="2"/>
    <n v="1081.04"/>
    <s v="High"/>
    <s v="Michele Burke"/>
    <x v="2"/>
    <x v="94"/>
    <x v="2"/>
    <x v="3"/>
    <s v="Normal order"/>
  </r>
  <r>
    <s v="SALE1566"/>
    <d v="2024-03-23T00:00:00"/>
    <x v="9"/>
    <s v="CUST1336"/>
    <s v="PROD95"/>
    <s v="STORE15"/>
    <n v="4"/>
    <n v="4"/>
    <n v="284.24"/>
    <n v="0.1"/>
    <x v="0"/>
    <n v="1023.264"/>
    <s v="High"/>
    <s v="John Jones"/>
    <x v="0"/>
    <x v="28"/>
    <x v="0"/>
    <x v="1"/>
    <s v="Bulk order"/>
  </r>
  <r>
    <s v="SALE1567"/>
    <d v="2024-03-23T00:00:00"/>
    <x v="9"/>
    <s v="CUST1213"/>
    <s v="PROD1"/>
    <s v="STORE3"/>
    <n v="1"/>
    <n v="1"/>
    <n v="94.26"/>
    <n v="0.18"/>
    <x v="1"/>
    <n v="77.293200000000013"/>
    <s v="Low"/>
    <s v="Stuart Johnson"/>
    <x v="4"/>
    <x v="93"/>
    <x v="0"/>
    <x v="2"/>
    <s v="Normal order"/>
  </r>
  <r>
    <s v="SALE1568"/>
    <d v="2025-05-12T00:00:00"/>
    <x v="11"/>
    <s v="CUST1416"/>
    <s v="PROD6"/>
    <s v="STORE10"/>
    <n v="4"/>
    <n v="4"/>
    <n v="458.58"/>
    <n v="0.28999999999999998"/>
    <x v="2"/>
    <n v="1302.3671999999999"/>
    <s v="High"/>
    <s v="Jennifer Myers"/>
    <x v="3"/>
    <x v="95"/>
    <x v="2"/>
    <x v="2"/>
    <s v="Bulk order"/>
  </r>
  <r>
    <s v="SALE1569"/>
    <d v="2024-06-09T00:00:00"/>
    <x v="4"/>
    <s v="CUST1113"/>
    <s v="PROD65"/>
    <s v="STORE10"/>
    <n v="4"/>
    <n v="4"/>
    <n v="704.49"/>
    <n v="0.05"/>
    <x v="2"/>
    <n v="2677.0619999999999"/>
    <s v="High"/>
    <s v="Edward Hall"/>
    <x v="0"/>
    <x v="74"/>
    <x v="2"/>
    <x v="0"/>
    <s v="Bulk order"/>
  </r>
  <r>
    <s v="SALE157"/>
    <d v="2025-08-14T00:00:00"/>
    <x v="10"/>
    <s v="CUST1097"/>
    <s v="PROD55"/>
    <s v="STORE5"/>
    <n v="1"/>
    <n v="1"/>
    <n v="83.1"/>
    <n v="0.04"/>
    <x v="1"/>
    <n v="79.775999999999996"/>
    <s v="Low"/>
    <s v="David Cobb"/>
    <x v="2"/>
    <x v="25"/>
    <x v="0"/>
    <x v="1"/>
    <s v="Normal order"/>
  </r>
  <r>
    <s v="SALE1570"/>
    <d v="2023-12-24T00:00:00"/>
    <x v="1"/>
    <s v="CUST1032"/>
    <s v="PROD27"/>
    <s v="STORE19"/>
    <n v="4"/>
    <n v="4"/>
    <n v="822.32"/>
    <n v="0.26"/>
    <x v="1"/>
    <n v="2434.0672"/>
    <s v="High"/>
    <s v="Mike Jennings"/>
    <x v="2"/>
    <x v="77"/>
    <x v="2"/>
    <x v="0"/>
    <s v="Bulk order"/>
  </r>
  <r>
    <s v="SALE1571"/>
    <d v="2024-02-03T00:00:00"/>
    <x v="2"/>
    <s v="CUST1245"/>
    <s v="PROD3"/>
    <s v="STORE13"/>
    <n v="4"/>
    <n v="4"/>
    <n v="785.41"/>
    <n v="0.13"/>
    <x v="2"/>
    <n v="2733.2267999999999"/>
    <s v="High"/>
    <s v="Laura Soto"/>
    <x v="4"/>
    <x v="84"/>
    <x v="2"/>
    <x v="2"/>
    <s v="Bulk order"/>
  </r>
  <r>
    <s v="SALE1572"/>
    <d v="2024-06-22T00:00:00"/>
    <x v="4"/>
    <s v="CUST1031"/>
    <s v="PROD39"/>
    <s v="STORE14"/>
    <n v="1"/>
    <n v="1"/>
    <n v="405.8"/>
    <n v="0.11"/>
    <x v="1"/>
    <n v="361.16199999999998"/>
    <s v="Low"/>
    <s v="Sarah Vance"/>
    <x v="1"/>
    <x v="65"/>
    <x v="1"/>
    <x v="1"/>
    <s v="Normal order"/>
  </r>
  <r>
    <s v="SALE1573"/>
    <d v="2024-11-16T00:00:00"/>
    <x v="8"/>
    <s v="CUST1433"/>
    <s v="PROD91"/>
    <s v="STORE9"/>
    <n v="2"/>
    <n v="2"/>
    <n v="976.83"/>
    <n v="0.1"/>
    <x v="1"/>
    <n v="1758.2940000000001"/>
    <s v="High"/>
    <s v="Thomas Moore"/>
    <x v="4"/>
    <x v="67"/>
    <x v="1"/>
    <x v="1"/>
    <s v="Normal order"/>
  </r>
  <r>
    <s v="SALE1574"/>
    <d v="2024-06-29T00:00:00"/>
    <x v="4"/>
    <s v="CUST1273"/>
    <s v="PROD64"/>
    <s v="STORE2"/>
    <n v="1"/>
    <n v="1"/>
    <n v="644.15"/>
    <n v="0.06"/>
    <x v="0"/>
    <n v="605.50099999999998"/>
    <s v="Low"/>
    <s v="Samantha Robinson"/>
    <x v="3"/>
    <x v="55"/>
    <x v="1"/>
    <x v="3"/>
    <s v="Normal order"/>
  </r>
  <r>
    <s v="SALE1575"/>
    <d v="2025-08-28T00:00:00"/>
    <x v="10"/>
    <s v="CUST1337"/>
    <s v="PROD67"/>
    <s v="STORE13"/>
    <n v="1"/>
    <n v="1"/>
    <n v="470.55"/>
    <n v="0.23"/>
    <x v="1"/>
    <n v="362.32350000000002"/>
    <s v="Low"/>
    <s v="Carol Lewis"/>
    <x v="1"/>
    <x v="99"/>
    <x v="2"/>
    <x v="3"/>
    <s v="Normal order"/>
  </r>
  <r>
    <s v="SALE1576"/>
    <d v="2023-11-11T00:00:00"/>
    <x v="8"/>
    <s v="CUST1478"/>
    <s v="PROD7"/>
    <s v="STORE6"/>
    <n v="3"/>
    <n v="3"/>
    <n v="598.82000000000005"/>
    <n v="0.19"/>
    <x v="2"/>
    <n v="1455.1325999999999"/>
    <s v="High"/>
    <s v="Earl Smith Dds"/>
    <x v="2"/>
    <x v="17"/>
    <x v="2"/>
    <x v="0"/>
    <s v="Normal order"/>
  </r>
  <r>
    <s v="SALE1577"/>
    <d v="2025-07-13T00:00:00"/>
    <x v="0"/>
    <s v="CUST1101"/>
    <s v="PROD20"/>
    <s v="STORE12"/>
    <n v="4"/>
    <n v="4"/>
    <n v="659.17"/>
    <n v="0.12"/>
    <x v="0"/>
    <n v="2320.2784000000001"/>
    <s v="High"/>
    <s v="Colleen Maynard"/>
    <x v="0"/>
    <x v="69"/>
    <x v="0"/>
    <x v="0"/>
    <s v="Bulk order"/>
  </r>
  <r>
    <s v="SALE1578"/>
    <d v="2024-10-07T00:00:00"/>
    <x v="6"/>
    <s v="CUST1104"/>
    <s v="PROD46"/>
    <s v="STORE1"/>
    <n v="2"/>
    <n v="2"/>
    <n v="216.02"/>
    <n v="0.25"/>
    <x v="0"/>
    <n v="324.02999999999997"/>
    <s v="Low"/>
    <s v="Christopher Lester"/>
    <x v="4"/>
    <x v="41"/>
    <x v="0"/>
    <x v="1"/>
    <s v="Normal order"/>
  </r>
  <r>
    <s v="SALE1579"/>
    <d v="2025-04-27T00:00:00"/>
    <x v="5"/>
    <s v="CUST1030"/>
    <s v="PROD31"/>
    <s v="STORE10"/>
    <n v="2"/>
    <n v="2"/>
    <n v="613.47"/>
    <n v="0.02"/>
    <x v="1"/>
    <n v="1202.4012"/>
    <s v="High"/>
    <s v="Jessica Acevedo"/>
    <x v="0"/>
    <x v="72"/>
    <x v="2"/>
    <x v="3"/>
    <s v="Normal order"/>
  </r>
  <r>
    <s v="SALE158"/>
    <d v="2024-11-05T00:00:00"/>
    <x v="8"/>
    <s v="CUST1369"/>
    <s v="PROD28"/>
    <s v="STORE11"/>
    <n v="2"/>
    <n v="2"/>
    <n v="60.98"/>
    <n v="0.23"/>
    <x v="1"/>
    <n v="93.909199999999998"/>
    <s v="Low"/>
    <s v="Gregory Allen"/>
    <x v="0"/>
    <x v="40"/>
    <x v="1"/>
    <x v="2"/>
    <s v="Normal order"/>
  </r>
  <r>
    <s v="SALE1580"/>
    <d v="2025-09-21T00:00:00"/>
    <x v="7"/>
    <s v="CUST1098"/>
    <s v="PROD58"/>
    <s v="STORE12"/>
    <n v="2"/>
    <n v="2"/>
    <n v="485.17"/>
    <n v="0.11"/>
    <x v="1"/>
    <n v="863.60260000000005"/>
    <s v="Low"/>
    <s v="Brittney Morgan"/>
    <x v="4"/>
    <x v="36"/>
    <x v="0"/>
    <x v="0"/>
    <s v="Normal order"/>
  </r>
  <r>
    <s v="SALE1581"/>
    <d v="2023-12-08T00:00:00"/>
    <x v="1"/>
    <s v="CUST1307"/>
    <s v="PROD46"/>
    <s v="STORE10"/>
    <n v="1"/>
    <n v="1"/>
    <n v="209.7"/>
    <n v="0.2"/>
    <x v="1"/>
    <n v="167.76"/>
    <s v="Low"/>
    <s v="Brandy Thompson"/>
    <x v="4"/>
    <x v="41"/>
    <x v="2"/>
    <x v="3"/>
    <s v="Normal order"/>
  </r>
  <r>
    <s v="SALE1582"/>
    <d v="2024-04-20T00:00:00"/>
    <x v="5"/>
    <s v="CUST1326"/>
    <s v="PROD92"/>
    <s v="STORE0"/>
    <n v="1"/>
    <n v="1"/>
    <n v="681.47"/>
    <n v="0.15"/>
    <x v="0"/>
    <n v="579.24950000000001"/>
    <s v="Low"/>
    <s v="Robert King"/>
    <x v="2"/>
    <x v="39"/>
    <x v="2"/>
    <x v="0"/>
    <s v="Normal order"/>
  </r>
  <r>
    <s v="SALE1583"/>
    <d v="2025-01-10T00:00:00"/>
    <x v="3"/>
    <s v="CUST1440"/>
    <s v="PROD76"/>
    <s v="STORE17"/>
    <n v="2"/>
    <n v="2"/>
    <n v="877.21"/>
    <n v="0.1"/>
    <x v="0"/>
    <n v="1578.9780000000001"/>
    <s v="High"/>
    <s v="Tammy Trevino"/>
    <x v="1"/>
    <x v="45"/>
    <x v="0"/>
    <x v="1"/>
    <s v="Normal order"/>
  </r>
  <r>
    <s v="SALE1584"/>
    <d v="2025-09-02T00:00:00"/>
    <x v="7"/>
    <s v="CUST1318"/>
    <s v="PROD78"/>
    <s v="STORE5"/>
    <n v="2"/>
    <n v="2"/>
    <n v="479.77"/>
    <n v="0.21"/>
    <x v="1"/>
    <n v="758.03660000000002"/>
    <s v="Low"/>
    <s v="Madison Wright"/>
    <x v="2"/>
    <x v="33"/>
    <x v="0"/>
    <x v="2"/>
    <s v="Normal order"/>
  </r>
  <r>
    <s v="SALE1585"/>
    <d v="2024-10-24T00:00:00"/>
    <x v="6"/>
    <s v="CUST1322"/>
    <s v="PROD83"/>
    <s v="STORE15"/>
    <n v="1"/>
    <n v="1"/>
    <n v="140.72"/>
    <n v="0"/>
    <x v="2"/>
    <n v="140.72"/>
    <s v="Low"/>
    <s v="Samuel Arias"/>
    <x v="3"/>
    <x v="61"/>
    <x v="0"/>
    <x v="3"/>
    <s v="Normal order"/>
  </r>
  <r>
    <s v="SALE1586"/>
    <d v="2025-01-11T00:00:00"/>
    <x v="3"/>
    <s v="CUST1027"/>
    <s v="PROD19"/>
    <s v="STORE6"/>
    <n v="2"/>
    <n v="2"/>
    <n v="764.25"/>
    <n v="0.23"/>
    <x v="1"/>
    <n v="1176.9449999999999"/>
    <s v="High"/>
    <s v="Leslie Johnson"/>
    <x v="0"/>
    <x v="32"/>
    <x v="2"/>
    <x v="4"/>
    <s v="Normal order"/>
  </r>
  <r>
    <s v="SALE1587"/>
    <d v="2024-01-09T00:00:00"/>
    <x v="3"/>
    <s v="CUST1222"/>
    <s v="PROD83"/>
    <s v="STORE5"/>
    <n v="3"/>
    <n v="3"/>
    <n v="107.8"/>
    <n v="0.28999999999999998"/>
    <x v="1"/>
    <n v="229.614"/>
    <s v="Low"/>
    <s v="Alejandro Doyle"/>
    <x v="3"/>
    <x v="61"/>
    <x v="0"/>
    <x v="2"/>
    <s v="Normal order"/>
  </r>
  <r>
    <s v="SALE1588"/>
    <d v="2025-04-10T00:00:00"/>
    <x v="5"/>
    <s v="CUST1147"/>
    <s v="PROD22"/>
    <s v="STORE8"/>
    <n v="4"/>
    <n v="4"/>
    <n v="565.37"/>
    <n v="7.0000000000000007E-2"/>
    <x v="1"/>
    <n v="2103.1763999999998"/>
    <s v="High"/>
    <s v="Rhonda Young"/>
    <x v="0"/>
    <x v="59"/>
    <x v="3"/>
    <x v="2"/>
    <s v="Bulk order"/>
  </r>
  <r>
    <s v="SALE1589"/>
    <d v="2023-11-05T00:00:00"/>
    <x v="8"/>
    <s v="CUST1034"/>
    <s v="PROD36"/>
    <s v="STORE4"/>
    <n v="3"/>
    <n v="3"/>
    <n v="811.45"/>
    <n v="0.26"/>
    <x v="0"/>
    <n v="1801.4190000000001"/>
    <s v="High"/>
    <s v="Christopher Olson"/>
    <x v="4"/>
    <x v="88"/>
    <x v="1"/>
    <x v="2"/>
    <s v="Normal order"/>
  </r>
  <r>
    <s v="SALE159"/>
    <d v="2024-06-11T00:00:00"/>
    <x v="4"/>
    <s v="CUST1394"/>
    <s v="PROD89"/>
    <s v="STORE16"/>
    <n v="2"/>
    <n v="2"/>
    <n v="122.23"/>
    <n v="0.21"/>
    <x v="2"/>
    <n v="193.1234"/>
    <s v="Low"/>
    <s v="Alejandro Evans"/>
    <x v="3"/>
    <x v="53"/>
    <x v="3"/>
    <x v="3"/>
    <s v="Normal order"/>
  </r>
  <r>
    <s v="SALE1590"/>
    <d v="2025-04-02T00:00:00"/>
    <x v="5"/>
    <s v="CUST1410"/>
    <s v="PROD33"/>
    <s v="STORE19"/>
    <n v="4"/>
    <n v="4"/>
    <n v="62.25"/>
    <n v="0.11"/>
    <x v="1"/>
    <n v="221.61"/>
    <s v="Low"/>
    <s v="Jackie Thompson"/>
    <x v="2"/>
    <x v="3"/>
    <x v="2"/>
    <x v="3"/>
    <s v="Bulk order"/>
  </r>
  <r>
    <s v="SALE1591"/>
    <d v="2025-05-30T00:00:00"/>
    <x v="11"/>
    <s v="CUST1025"/>
    <s v="PROD95"/>
    <s v="STORE10"/>
    <n v="1"/>
    <n v="1"/>
    <n v="749.78"/>
    <n v="0.03"/>
    <x v="0"/>
    <n v="727.28659999999991"/>
    <s v="Low"/>
    <s v="Diana Taylor"/>
    <x v="0"/>
    <x v="28"/>
    <x v="2"/>
    <x v="3"/>
    <s v="Normal order"/>
  </r>
  <r>
    <s v="SALE1592"/>
    <d v="2024-07-23T00:00:00"/>
    <x v="0"/>
    <s v="CUST1350"/>
    <s v="PROD59"/>
    <s v="STORE5"/>
    <n v="3"/>
    <n v="3"/>
    <n v="630.28"/>
    <n v="7.0000000000000007E-2"/>
    <x v="2"/>
    <n v="1758.4811999999999"/>
    <s v="High"/>
    <s v="Charles Miller"/>
    <x v="3"/>
    <x v="4"/>
    <x v="0"/>
    <x v="1"/>
    <s v="Normal order"/>
  </r>
  <r>
    <s v="SALE1593"/>
    <d v="2024-03-04T00:00:00"/>
    <x v="9"/>
    <s v="CUST1143"/>
    <s v="PROD30"/>
    <s v="STORE16"/>
    <n v="1"/>
    <n v="1"/>
    <n v="101.84"/>
    <n v="0.17"/>
    <x v="0"/>
    <n v="84.527199999999993"/>
    <s v="Low"/>
    <s v="Carlos Skinner"/>
    <x v="2"/>
    <x v="38"/>
    <x v="3"/>
    <x v="3"/>
    <s v="Normal order"/>
  </r>
  <r>
    <s v="SALE1594"/>
    <d v="2023-11-26T00:00:00"/>
    <x v="8"/>
    <s v="CUST1055"/>
    <s v="PROD24"/>
    <s v="STORE18"/>
    <n v="4"/>
    <n v="4"/>
    <n v="641.45000000000005"/>
    <n v="0.16"/>
    <x v="2"/>
    <n v="2155.2719999999999"/>
    <s v="High"/>
    <s v="Wayne Mcpherson"/>
    <x v="0"/>
    <x v="2"/>
    <x v="2"/>
    <x v="3"/>
    <s v="Bulk order"/>
  </r>
  <r>
    <s v="SALE1595"/>
    <d v="2025-07-11T00:00:00"/>
    <x v="0"/>
    <s v="CUST1471"/>
    <s v="PROD43"/>
    <s v="STORE1"/>
    <n v="1"/>
    <n v="1"/>
    <n v="135.87"/>
    <n v="0.23"/>
    <x v="1"/>
    <n v="104.6199"/>
    <s v="Low"/>
    <s v="Debra Mccullough"/>
    <x v="1"/>
    <x v="34"/>
    <x v="0"/>
    <x v="2"/>
    <s v="Normal order"/>
  </r>
  <r>
    <s v="SALE1596"/>
    <d v="2024-02-22T00:00:00"/>
    <x v="2"/>
    <s v="CUST1095"/>
    <s v="PROD21"/>
    <s v="STORE6"/>
    <n v="1"/>
    <n v="1"/>
    <n v="388.35"/>
    <n v="0.01"/>
    <x v="1"/>
    <n v="384.4665"/>
    <s v="Low"/>
    <s v="Amy Fowler"/>
    <x v="2"/>
    <x v="54"/>
    <x v="2"/>
    <x v="2"/>
    <s v="Normal order"/>
  </r>
  <r>
    <s v="SALE1597"/>
    <d v="2024-03-16T00:00:00"/>
    <x v="9"/>
    <s v="CUST1486"/>
    <s v="PROD38"/>
    <s v="STORE9"/>
    <n v="2"/>
    <n v="2"/>
    <n v="999.08"/>
    <n v="0.3"/>
    <x v="1"/>
    <n v="1398.712"/>
    <s v="High"/>
    <s v="Eric Lee"/>
    <x v="0"/>
    <x v="43"/>
    <x v="1"/>
    <x v="3"/>
    <s v="Normal order"/>
  </r>
  <r>
    <s v="SALE1598"/>
    <d v="2025-08-18T00:00:00"/>
    <x v="10"/>
    <s v="CUST1170"/>
    <s v="PROD38"/>
    <s v="STORE17"/>
    <n v="3"/>
    <n v="3"/>
    <n v="453.19"/>
    <n v="0.08"/>
    <x v="2"/>
    <n v="1250.8044"/>
    <s v="High"/>
    <s v="Christopher Garcia Dds"/>
    <x v="0"/>
    <x v="43"/>
    <x v="0"/>
    <x v="0"/>
    <s v="Normal order"/>
  </r>
  <r>
    <s v="SALE1599"/>
    <d v="2024-10-02T00:00:00"/>
    <x v="6"/>
    <s v="CUST1235"/>
    <s v="PROD80"/>
    <s v="STORE10"/>
    <n v="2"/>
    <n v="2"/>
    <n v="61.31"/>
    <n v="0.15"/>
    <x v="2"/>
    <n v="104.227"/>
    <s v="Low"/>
    <s v="Jon Ortiz"/>
    <x v="2"/>
    <x v="24"/>
    <x v="2"/>
    <x v="3"/>
    <s v="Normal order"/>
  </r>
  <r>
    <s v="SALE16"/>
    <d v="2025-09-13T00:00:00"/>
    <x v="7"/>
    <s v="CUST1276"/>
    <s v="PROD65"/>
    <s v="STORE19"/>
    <n v="2"/>
    <n v="2"/>
    <n v="451.98"/>
    <n v="0.25"/>
    <x v="0"/>
    <n v="677.97"/>
    <s v="Low"/>
    <s v="Arthur Warren"/>
    <x v="0"/>
    <x v="74"/>
    <x v="2"/>
    <x v="0"/>
    <s v="Normal order"/>
  </r>
  <r>
    <s v="SALE160"/>
    <d v="2025-09-18T00:00:00"/>
    <x v="7"/>
    <s v="CUST1020"/>
    <s v="PROD70"/>
    <s v="STORE18"/>
    <n v="2"/>
    <n v="2"/>
    <n v="623.38"/>
    <n v="0.13"/>
    <x v="0"/>
    <n v="1084.6812"/>
    <s v="High"/>
    <s v="Bridget Allen"/>
    <x v="2"/>
    <x v="92"/>
    <x v="2"/>
    <x v="1"/>
    <s v="Normal order"/>
  </r>
  <r>
    <s v="SALE1600"/>
    <d v="2023-10-24T00:00:00"/>
    <x v="6"/>
    <s v="CUST1342"/>
    <s v="PROD81"/>
    <s v="STORE10"/>
    <n v="2"/>
    <n v="2"/>
    <n v="870.13"/>
    <n v="0.23"/>
    <x v="0"/>
    <n v="1340.0001999999999"/>
    <s v="High"/>
    <s v="Michelle Cunningham"/>
    <x v="0"/>
    <x v="15"/>
    <x v="2"/>
    <x v="3"/>
    <s v="Normal order"/>
  </r>
  <r>
    <s v="SALE1601"/>
    <d v="2025-01-07T00:00:00"/>
    <x v="3"/>
    <s v="CUST1067"/>
    <s v="PROD15"/>
    <s v="STORE19"/>
    <n v="1"/>
    <n v="1"/>
    <n v="336.51"/>
    <n v="0.11"/>
    <x v="1"/>
    <n v="299.4939"/>
    <s v="Low"/>
    <s v="Amber Mcclain"/>
    <x v="1"/>
    <x v="42"/>
    <x v="2"/>
    <x v="1"/>
    <s v="Normal order"/>
  </r>
  <r>
    <s v="SALE1602"/>
    <d v="2024-01-22T00:00:00"/>
    <x v="3"/>
    <s v="CUST1181"/>
    <s v="PROD67"/>
    <s v="STORE0"/>
    <n v="1"/>
    <n v="1"/>
    <n v="305.70999999999998"/>
    <n v="0.26"/>
    <x v="2"/>
    <n v="226.22540000000001"/>
    <s v="Low"/>
    <s v="Erin Ward"/>
    <x v="1"/>
    <x v="99"/>
    <x v="2"/>
    <x v="3"/>
    <s v="Normal order"/>
  </r>
  <r>
    <s v="SALE1603"/>
    <d v="2023-10-25T00:00:00"/>
    <x v="6"/>
    <s v="CUST1121"/>
    <s v="PROD10"/>
    <s v="STORE18"/>
    <n v="2"/>
    <n v="2"/>
    <n v="635.39"/>
    <n v="0.28999999999999998"/>
    <x v="2"/>
    <n v="902.25379999999996"/>
    <s v="Low"/>
    <s v="Joel Robinson"/>
    <x v="2"/>
    <x v="47"/>
    <x v="2"/>
    <x v="2"/>
    <s v="Normal order"/>
  </r>
  <r>
    <s v="SALE1604"/>
    <d v="2024-07-18T00:00:00"/>
    <x v="0"/>
    <s v="CUST1116"/>
    <s v="PROD92"/>
    <s v="STORE19"/>
    <n v="2"/>
    <n v="2"/>
    <n v="253.87"/>
    <n v="0.23"/>
    <x v="2"/>
    <n v="390.95979999999997"/>
    <s v="Low"/>
    <s v="Anthony Phillips"/>
    <x v="2"/>
    <x v="39"/>
    <x v="2"/>
    <x v="2"/>
    <s v="Normal order"/>
  </r>
  <r>
    <s v="SALE1605"/>
    <d v="2024-06-29T00:00:00"/>
    <x v="4"/>
    <s v="CUST1484"/>
    <s v="PROD76"/>
    <s v="STORE17"/>
    <n v="3"/>
    <n v="3"/>
    <n v="915.81"/>
    <n v="0.17"/>
    <x v="2"/>
    <n v="2280.3669"/>
    <s v="High"/>
    <s v="Jessica Castro"/>
    <x v="1"/>
    <x v="45"/>
    <x v="0"/>
    <x v="3"/>
    <s v="Normal order"/>
  </r>
  <r>
    <s v="SALE1606"/>
    <d v="2025-05-18T00:00:00"/>
    <x v="11"/>
    <s v="CUST1209"/>
    <s v="PROD42"/>
    <s v="STORE8"/>
    <n v="3"/>
    <n v="3"/>
    <n v="779.5"/>
    <n v="0.02"/>
    <x v="0"/>
    <n v="2291.73"/>
    <s v="High"/>
    <s v="Joan Johnson"/>
    <x v="1"/>
    <x v="71"/>
    <x v="3"/>
    <x v="2"/>
    <s v="Normal order"/>
  </r>
  <r>
    <s v="SALE1607"/>
    <d v="2024-06-27T00:00:00"/>
    <x v="4"/>
    <s v="CUST1469"/>
    <s v="PROD61"/>
    <s v="STORE16"/>
    <n v="2"/>
    <n v="2"/>
    <n v="780.57"/>
    <n v="0.26"/>
    <x v="0"/>
    <n v="1155.2436"/>
    <s v="High"/>
    <s v="James Foster"/>
    <x v="0"/>
    <x v="49"/>
    <x v="3"/>
    <x v="0"/>
    <s v="Normal order"/>
  </r>
  <r>
    <s v="SALE1608"/>
    <d v="2024-04-08T00:00:00"/>
    <x v="5"/>
    <s v="CUST1383"/>
    <s v="PROD95"/>
    <s v="STORE19"/>
    <n v="1"/>
    <n v="1"/>
    <n v="511.35"/>
    <n v="0"/>
    <x v="0"/>
    <n v="511.35"/>
    <s v="Low"/>
    <s v="Kristine Higgins"/>
    <x v="0"/>
    <x v="28"/>
    <x v="2"/>
    <x v="1"/>
    <s v="Normal order"/>
  </r>
  <r>
    <s v="SALE1609"/>
    <d v="2025-05-26T00:00:00"/>
    <x v="11"/>
    <s v="CUST1016"/>
    <s v="PROD97"/>
    <s v="STORE3"/>
    <n v="4"/>
    <n v="4"/>
    <n v="44.07"/>
    <n v="0.28999999999999998"/>
    <x v="2"/>
    <n v="125.1588"/>
    <s v="Low"/>
    <s v="John Scott"/>
    <x v="0"/>
    <x v="0"/>
    <x v="0"/>
    <x v="3"/>
    <s v="Bulk order"/>
  </r>
  <r>
    <s v="SALE161"/>
    <d v="2025-03-13T00:00:00"/>
    <x v="9"/>
    <s v="CUST1058"/>
    <s v="PROD70"/>
    <s v="STORE0"/>
    <n v="1"/>
    <n v="1"/>
    <n v="479.58"/>
    <n v="0.05"/>
    <x v="1"/>
    <n v="455.60099999999989"/>
    <s v="Low"/>
    <s v="Cheryl Copeland"/>
    <x v="2"/>
    <x v="92"/>
    <x v="2"/>
    <x v="2"/>
    <s v="Normal order"/>
  </r>
  <r>
    <s v="SALE1610"/>
    <d v="2024-01-29T00:00:00"/>
    <x v="3"/>
    <s v="CUST1197"/>
    <s v="PROD69"/>
    <s v="STORE11"/>
    <n v="2"/>
    <n v="2"/>
    <n v="895.92"/>
    <n v="0.15"/>
    <x v="0"/>
    <n v="1523.0640000000001"/>
    <s v="High"/>
    <s v="Andrea Jacobs"/>
    <x v="4"/>
    <x v="5"/>
    <x v="1"/>
    <x v="2"/>
    <s v="Normal order"/>
  </r>
  <r>
    <s v="SALE1611"/>
    <d v="2024-11-23T00:00:00"/>
    <x v="8"/>
    <s v="CUST1305"/>
    <s v="PROD53"/>
    <s v="STORE2"/>
    <n v="4"/>
    <n v="4"/>
    <n v="456.32"/>
    <n v="0.22"/>
    <x v="2"/>
    <n v="1423.7184"/>
    <s v="High"/>
    <s v="Roberta Green"/>
    <x v="4"/>
    <x v="20"/>
    <x v="1"/>
    <x v="2"/>
    <s v="Bulk order"/>
  </r>
  <r>
    <s v="SALE1612"/>
    <d v="2025-04-30T00:00:00"/>
    <x v="5"/>
    <s v="CUST1420"/>
    <s v="PROD34"/>
    <s v="STORE0"/>
    <n v="1"/>
    <n v="1"/>
    <n v="905.5"/>
    <n v="0.28999999999999998"/>
    <x v="2"/>
    <n v="642.90499999999997"/>
    <s v="Low"/>
    <s v="Dr. Tamara White Md"/>
    <x v="1"/>
    <x v="21"/>
    <x v="2"/>
    <x v="3"/>
    <s v="Normal order"/>
  </r>
  <r>
    <s v="SALE1613"/>
    <d v="2024-08-19T00:00:00"/>
    <x v="10"/>
    <s v="CUST1204"/>
    <s v="PROD16"/>
    <s v="STORE13"/>
    <n v="3"/>
    <n v="3"/>
    <n v="63.19"/>
    <n v="0.08"/>
    <x v="0"/>
    <n v="174.40440000000001"/>
    <s v="Low"/>
    <s v="Tiffany Herrera"/>
    <x v="3"/>
    <x v="63"/>
    <x v="2"/>
    <x v="2"/>
    <s v="Normal order"/>
  </r>
  <r>
    <s v="SALE1614"/>
    <d v="2024-12-02T00:00:00"/>
    <x v="1"/>
    <s v="CUST1050"/>
    <s v="PROD70"/>
    <s v="STORE7"/>
    <n v="3"/>
    <n v="3"/>
    <n v="687.66"/>
    <n v="0.06"/>
    <x v="1"/>
    <n v="1939.2012"/>
    <s v="High"/>
    <s v="Matthew Hunter Jr."/>
    <x v="2"/>
    <x v="92"/>
    <x v="1"/>
    <x v="0"/>
    <s v="Normal order"/>
  </r>
  <r>
    <s v="SALE1615"/>
    <d v="2025-03-26T00:00:00"/>
    <x v="9"/>
    <s v="CUST1219"/>
    <s v="PROD43"/>
    <s v="STORE9"/>
    <n v="4"/>
    <n v="4"/>
    <n v="639.05999999999995"/>
    <n v="0.12"/>
    <x v="1"/>
    <n v="2249.4911999999999"/>
    <s v="High"/>
    <s v="Jordan Wells"/>
    <x v="1"/>
    <x v="34"/>
    <x v="1"/>
    <x v="0"/>
    <s v="Bulk order"/>
  </r>
  <r>
    <s v="SALE1616"/>
    <d v="2024-06-13T00:00:00"/>
    <x v="4"/>
    <s v="CUST1067"/>
    <s v="PROD71"/>
    <s v="STORE7"/>
    <n v="1"/>
    <n v="1"/>
    <n v="475.15"/>
    <n v="0.04"/>
    <x v="2"/>
    <n v="456.14399999999989"/>
    <s v="Low"/>
    <s v="Amber Mcclain"/>
    <x v="3"/>
    <x v="57"/>
    <x v="1"/>
    <x v="1"/>
    <s v="Normal order"/>
  </r>
  <r>
    <s v="SALE1617"/>
    <d v="2024-08-30T00:00:00"/>
    <x v="10"/>
    <s v="CUST1190"/>
    <s v="PROD44"/>
    <s v="STORE6"/>
    <n v="1"/>
    <n v="1"/>
    <n v="62.38"/>
    <n v="0.08"/>
    <x v="2"/>
    <n v="57.389600000000002"/>
    <s v="Low"/>
    <s v="Christopher Stewart"/>
    <x v="0"/>
    <x v="31"/>
    <x v="2"/>
    <x v="3"/>
    <s v="Normal order"/>
  </r>
  <r>
    <s v="SALE1618"/>
    <d v="2024-03-24T00:00:00"/>
    <x v="9"/>
    <s v="CUST1354"/>
    <s v="PROD15"/>
    <s v="STORE7"/>
    <n v="1"/>
    <n v="1"/>
    <n v="977.02"/>
    <n v="0.2"/>
    <x v="2"/>
    <n v="781.61599999999999"/>
    <s v="Low"/>
    <s v="Ryan Torres"/>
    <x v="1"/>
    <x v="42"/>
    <x v="1"/>
    <x v="1"/>
    <s v="Normal order"/>
  </r>
  <r>
    <s v="SALE1619"/>
    <d v="2024-09-11T00:00:00"/>
    <x v="7"/>
    <s v="CUST1074"/>
    <s v="PROD83"/>
    <s v="STORE4"/>
    <n v="2"/>
    <n v="2"/>
    <n v="898.81"/>
    <n v="0.25"/>
    <x v="0"/>
    <n v="1348.2149999999999"/>
    <s v="High"/>
    <s v="John Mayer"/>
    <x v="3"/>
    <x v="61"/>
    <x v="1"/>
    <x v="3"/>
    <s v="Normal order"/>
  </r>
  <r>
    <s v="SALE162"/>
    <d v="2023-12-16T00:00:00"/>
    <x v="1"/>
    <s v="CUST1298"/>
    <s v="PROD73"/>
    <s v="STORE6"/>
    <n v="3"/>
    <n v="3"/>
    <n v="369.32"/>
    <n v="0.14000000000000001"/>
    <x v="1"/>
    <n v="952.84559999999999"/>
    <s v="Low"/>
    <s v="Tracy Stephens"/>
    <x v="0"/>
    <x v="6"/>
    <x v="2"/>
    <x v="2"/>
    <s v="Normal order"/>
  </r>
  <r>
    <s v="SALE1620"/>
    <d v="2025-04-22T00:00:00"/>
    <x v="5"/>
    <s v="CUST1351"/>
    <s v="PROD57"/>
    <s v="STORE3"/>
    <n v="2"/>
    <n v="2"/>
    <n v="422.13"/>
    <n v="0.28000000000000003"/>
    <x v="0"/>
    <n v="607.86720000000003"/>
    <s v="Low"/>
    <s v="Jeffrey Mccarthy"/>
    <x v="0"/>
    <x v="64"/>
    <x v="0"/>
    <x v="3"/>
    <s v="Normal order"/>
  </r>
  <r>
    <s v="SALE1621"/>
    <d v="2024-08-20T00:00:00"/>
    <x v="10"/>
    <s v="CUST1050"/>
    <s v="PROD34"/>
    <s v="STORE11"/>
    <n v="1"/>
    <n v="1"/>
    <n v="324.56"/>
    <n v="0.03"/>
    <x v="2"/>
    <n v="314.82319999999999"/>
    <s v="Low"/>
    <s v="Matthew Hunter Jr."/>
    <x v="1"/>
    <x v="21"/>
    <x v="1"/>
    <x v="0"/>
    <s v="Normal order"/>
  </r>
  <r>
    <s v="SALE1622"/>
    <d v="2024-08-27T00:00:00"/>
    <x v="10"/>
    <s v="CUST1468"/>
    <s v="PROD55"/>
    <s v="STORE16"/>
    <n v="4"/>
    <n v="4"/>
    <n v="570.38"/>
    <n v="0.26"/>
    <x v="1"/>
    <n v="1688.3248000000001"/>
    <s v="High"/>
    <s v="Gregory Curtis"/>
    <x v="2"/>
    <x v="25"/>
    <x v="3"/>
    <x v="3"/>
    <s v="Bulk order"/>
  </r>
  <r>
    <s v="SALE1623"/>
    <d v="2024-07-06T00:00:00"/>
    <x v="0"/>
    <s v="CUST1394"/>
    <s v="PROD34"/>
    <s v="STORE15"/>
    <n v="2"/>
    <n v="2"/>
    <n v="223.73"/>
    <n v="0.11"/>
    <x v="1"/>
    <n v="398.23939999999999"/>
    <s v="Low"/>
    <s v="Alejandro Evans"/>
    <x v="1"/>
    <x v="21"/>
    <x v="0"/>
    <x v="3"/>
    <s v="Normal order"/>
  </r>
  <r>
    <s v="SALE1624"/>
    <d v="2025-07-30T00:00:00"/>
    <x v="0"/>
    <s v="CUST1351"/>
    <s v="PROD86"/>
    <s v="STORE16"/>
    <n v="4"/>
    <n v="4"/>
    <n v="164.93"/>
    <n v="0.11"/>
    <x v="0"/>
    <n v="587.1508"/>
    <s v="Low"/>
    <s v="Jeffrey Mccarthy"/>
    <x v="2"/>
    <x v="30"/>
    <x v="3"/>
    <x v="3"/>
    <s v="Bulk order"/>
  </r>
  <r>
    <s v="SALE1625"/>
    <d v="2024-10-04T00:00:00"/>
    <x v="6"/>
    <s v="CUST1249"/>
    <s v="PROD15"/>
    <s v="STORE7"/>
    <n v="3"/>
    <n v="3"/>
    <n v="326.66000000000003"/>
    <n v="0.28000000000000003"/>
    <x v="2"/>
    <n v="705.5856"/>
    <s v="Low"/>
    <s v="Lauren George"/>
    <x v="1"/>
    <x v="42"/>
    <x v="1"/>
    <x v="0"/>
    <s v="Normal order"/>
  </r>
  <r>
    <s v="SALE1626"/>
    <d v="2024-03-31T00:00:00"/>
    <x v="9"/>
    <s v="CUST1182"/>
    <s v="PROD1"/>
    <s v="STORE15"/>
    <n v="2"/>
    <n v="2"/>
    <n v="462.93"/>
    <n v="0.17"/>
    <x v="1"/>
    <n v="768.46379999999999"/>
    <s v="Low"/>
    <s v="Melissa Hamilton"/>
    <x v="4"/>
    <x v="93"/>
    <x v="0"/>
    <x v="1"/>
    <s v="Normal order"/>
  </r>
  <r>
    <s v="SALE1627"/>
    <d v="2025-08-16T00:00:00"/>
    <x v="10"/>
    <s v="CUST1147"/>
    <s v="PROD0"/>
    <s v="STORE16"/>
    <n v="3"/>
    <n v="3"/>
    <n v="60.26"/>
    <n v="0.04"/>
    <x v="0"/>
    <n v="173.5488"/>
    <s v="Low"/>
    <s v="Rhonda Young"/>
    <x v="1"/>
    <x v="7"/>
    <x v="3"/>
    <x v="2"/>
    <s v="Normal order"/>
  </r>
  <r>
    <s v="SALE1628"/>
    <d v="2025-06-21T00:00:00"/>
    <x v="4"/>
    <s v="CUST1071"/>
    <s v="PROD34"/>
    <s v="STORE9"/>
    <n v="3"/>
    <n v="3"/>
    <n v="109.5"/>
    <n v="0.06"/>
    <x v="2"/>
    <n v="308.79000000000002"/>
    <s v="Low"/>
    <s v="Andrea Perez"/>
    <x v="1"/>
    <x v="21"/>
    <x v="1"/>
    <x v="0"/>
    <s v="Normal order"/>
  </r>
  <r>
    <s v="SALE1629"/>
    <d v="2025-03-05T00:00:00"/>
    <x v="9"/>
    <s v="CUST1382"/>
    <s v="PROD70"/>
    <s v="STORE16"/>
    <n v="1"/>
    <n v="1"/>
    <n v="505.83"/>
    <n v="0.14000000000000001"/>
    <x v="2"/>
    <n v="435.0138"/>
    <s v="Low"/>
    <s v="Martha Brown"/>
    <x v="2"/>
    <x v="92"/>
    <x v="3"/>
    <x v="0"/>
    <s v="Normal order"/>
  </r>
  <r>
    <s v="SALE163"/>
    <d v="2025-07-13T00:00:00"/>
    <x v="0"/>
    <s v="CUST1076"/>
    <s v="PROD32"/>
    <s v="STORE1"/>
    <n v="1"/>
    <n v="1"/>
    <n v="488.31"/>
    <n v="0.03"/>
    <x v="1"/>
    <n v="473.66070000000002"/>
    <s v="Low"/>
    <s v="Nathan Campbell"/>
    <x v="3"/>
    <x v="96"/>
    <x v="0"/>
    <x v="0"/>
    <s v="Normal order"/>
  </r>
  <r>
    <s v="SALE1630"/>
    <d v="2024-08-07T00:00:00"/>
    <x v="10"/>
    <s v="CUST1163"/>
    <s v="PROD98"/>
    <s v="STORE10"/>
    <n v="2"/>
    <n v="2"/>
    <n v="443.15"/>
    <n v="0.27"/>
    <x v="1"/>
    <n v="646.99899999999991"/>
    <s v="Low"/>
    <s v="Joseph Jones"/>
    <x v="1"/>
    <x v="51"/>
    <x v="2"/>
    <x v="3"/>
    <s v="Normal order"/>
  </r>
  <r>
    <s v="SALE1631"/>
    <d v="2025-03-23T00:00:00"/>
    <x v="9"/>
    <s v="CUST1497"/>
    <s v="PROD7"/>
    <s v="STORE7"/>
    <n v="2"/>
    <n v="2"/>
    <n v="784.26"/>
    <n v="0.23"/>
    <x v="1"/>
    <n v="1207.7603999999999"/>
    <s v="High"/>
    <s v="Sarah Marsh"/>
    <x v="2"/>
    <x v="17"/>
    <x v="1"/>
    <x v="0"/>
    <s v="Normal order"/>
  </r>
  <r>
    <s v="SALE1632"/>
    <d v="2024-08-29T00:00:00"/>
    <x v="10"/>
    <s v="CUST1455"/>
    <s v="PROD39"/>
    <s v="STORE11"/>
    <n v="3"/>
    <n v="3"/>
    <n v="590.30999999999995"/>
    <n v="0.17"/>
    <x v="1"/>
    <n v="1469.8719000000001"/>
    <s v="High"/>
    <s v="Tyler Weber"/>
    <x v="1"/>
    <x v="65"/>
    <x v="1"/>
    <x v="0"/>
    <s v="Normal order"/>
  </r>
  <r>
    <s v="SALE1633"/>
    <d v="2024-09-18T00:00:00"/>
    <x v="7"/>
    <s v="CUST1120"/>
    <s v="PROD69"/>
    <s v="STORE16"/>
    <n v="1"/>
    <n v="1"/>
    <n v="696.13"/>
    <n v="0.06"/>
    <x v="2"/>
    <n v="654.36219999999992"/>
    <s v="Low"/>
    <s v="Jacob Hopkins"/>
    <x v="4"/>
    <x v="5"/>
    <x v="3"/>
    <x v="2"/>
    <s v="Normal order"/>
  </r>
  <r>
    <s v="SALE1634"/>
    <d v="2024-02-19T00:00:00"/>
    <x v="2"/>
    <s v="CUST1104"/>
    <s v="PROD51"/>
    <s v="STORE6"/>
    <n v="4"/>
    <n v="4"/>
    <n v="194.39"/>
    <n v="0.25"/>
    <x v="0"/>
    <n v="583.16999999999996"/>
    <s v="Low"/>
    <s v="Christopher Lester"/>
    <x v="1"/>
    <x v="78"/>
    <x v="2"/>
    <x v="1"/>
    <s v="Bulk order"/>
  </r>
  <r>
    <s v="SALE1635"/>
    <d v="2024-05-18T00:00:00"/>
    <x v="11"/>
    <s v="CUST1330"/>
    <s v="PROD33"/>
    <s v="STORE1"/>
    <n v="1"/>
    <n v="1"/>
    <n v="339.7"/>
    <n v="0.1"/>
    <x v="0"/>
    <n v="305.73"/>
    <s v="Low"/>
    <s v="Pamela Mcguire"/>
    <x v="2"/>
    <x v="3"/>
    <x v="0"/>
    <x v="2"/>
    <s v="Normal order"/>
  </r>
  <r>
    <s v="SALE1636"/>
    <d v="2025-09-12T00:00:00"/>
    <x v="7"/>
    <s v="CUST1048"/>
    <s v="PROD68"/>
    <s v="STORE13"/>
    <n v="4"/>
    <n v="4"/>
    <n v="463.16"/>
    <n v="0.27"/>
    <x v="1"/>
    <n v="1352.4272000000001"/>
    <s v="High"/>
    <s v="April Mullins"/>
    <x v="2"/>
    <x v="97"/>
    <x v="2"/>
    <x v="2"/>
    <s v="Bulk order"/>
  </r>
  <r>
    <s v="SALE1637"/>
    <d v="2025-02-21T00:00:00"/>
    <x v="2"/>
    <s v="CUST1107"/>
    <s v="PROD5"/>
    <s v="STORE10"/>
    <n v="2"/>
    <n v="2"/>
    <n v="824.91"/>
    <n v="0.09"/>
    <x v="0"/>
    <n v="1501.3362"/>
    <s v="High"/>
    <s v="Erica Carney"/>
    <x v="4"/>
    <x v="91"/>
    <x v="2"/>
    <x v="2"/>
    <s v="Normal order"/>
  </r>
  <r>
    <s v="SALE1638"/>
    <d v="2024-08-16T00:00:00"/>
    <x v="10"/>
    <s v="CUST1070"/>
    <s v="PROD5"/>
    <s v="STORE2"/>
    <n v="4"/>
    <n v="4"/>
    <n v="796.89"/>
    <n v="0.17"/>
    <x v="0"/>
    <n v="2645.6747999999998"/>
    <s v="High"/>
    <s v="Eric Singh"/>
    <x v="4"/>
    <x v="91"/>
    <x v="1"/>
    <x v="0"/>
    <s v="Bulk order"/>
  </r>
  <r>
    <s v="SALE1639"/>
    <d v="2024-07-05T00:00:00"/>
    <x v="0"/>
    <s v="CUST1240"/>
    <s v="PROD26"/>
    <s v="STORE17"/>
    <n v="3"/>
    <n v="3"/>
    <n v="543.92999999999995"/>
    <n v="0.3"/>
    <x v="2"/>
    <n v="1142.2529999999999"/>
    <s v="High"/>
    <s v="William Hull"/>
    <x v="1"/>
    <x v="81"/>
    <x v="0"/>
    <x v="2"/>
    <s v="Normal order"/>
  </r>
  <r>
    <s v="SALE164"/>
    <d v="2024-05-06T00:00:00"/>
    <x v="11"/>
    <s v="CUST1276"/>
    <s v="PROD54"/>
    <s v="STORE12"/>
    <n v="4"/>
    <n v="4"/>
    <n v="164.04"/>
    <n v="0.26"/>
    <x v="0"/>
    <n v="485.55839999999989"/>
    <s v="Low"/>
    <s v="Arthur Warren"/>
    <x v="0"/>
    <x v="8"/>
    <x v="0"/>
    <x v="0"/>
    <s v="Bulk order"/>
  </r>
  <r>
    <s v="SALE1640"/>
    <d v="2024-07-23T00:00:00"/>
    <x v="0"/>
    <s v="CUST1173"/>
    <s v="PROD14"/>
    <s v="STORE7"/>
    <n v="2"/>
    <n v="2"/>
    <n v="44.65"/>
    <n v="0.03"/>
    <x v="1"/>
    <n v="86.620999999999995"/>
    <s v="Low"/>
    <s v="Teresa Stokes"/>
    <x v="2"/>
    <x v="94"/>
    <x v="1"/>
    <x v="2"/>
    <s v="Normal order"/>
  </r>
  <r>
    <s v="SALE1641"/>
    <d v="2025-03-26T00:00:00"/>
    <x v="9"/>
    <s v="CUST1250"/>
    <s v="PROD56"/>
    <s v="STORE0"/>
    <n v="4"/>
    <n v="4"/>
    <n v="827.39"/>
    <n v="0.06"/>
    <x v="2"/>
    <n v="3110.9863999999998"/>
    <s v="High"/>
    <s v="Veronica Newman"/>
    <x v="2"/>
    <x v="87"/>
    <x v="2"/>
    <x v="2"/>
    <s v="Bulk order"/>
  </r>
  <r>
    <s v="SALE1642"/>
    <d v="2024-01-10T00:00:00"/>
    <x v="3"/>
    <s v="CUST1308"/>
    <s v="PROD14"/>
    <s v="STORE12"/>
    <n v="2"/>
    <n v="2"/>
    <n v="403.2"/>
    <n v="0.21"/>
    <x v="1"/>
    <n v="637.05600000000004"/>
    <s v="Low"/>
    <s v="Jennifer Zamora"/>
    <x v="2"/>
    <x v="94"/>
    <x v="0"/>
    <x v="0"/>
    <s v="Normal order"/>
  </r>
  <r>
    <s v="SALE1643"/>
    <d v="2024-09-12T00:00:00"/>
    <x v="7"/>
    <s v="CUST1017"/>
    <s v="PROD86"/>
    <s v="STORE13"/>
    <n v="4"/>
    <n v="4"/>
    <n v="292.31"/>
    <n v="0.27"/>
    <x v="1"/>
    <n v="853.54520000000002"/>
    <s v="Low"/>
    <s v="Adam Cruz"/>
    <x v="2"/>
    <x v="30"/>
    <x v="2"/>
    <x v="2"/>
    <s v="Bulk order"/>
  </r>
  <r>
    <s v="SALE1644"/>
    <d v="2025-05-29T00:00:00"/>
    <x v="11"/>
    <s v="CUST1492"/>
    <s v="PROD2"/>
    <s v="STORE10"/>
    <n v="1"/>
    <n v="1"/>
    <n v="948.33"/>
    <n v="0.11"/>
    <x v="0"/>
    <n v="844.01370000000009"/>
    <s v="Low"/>
    <s v="Darrell Miller"/>
    <x v="4"/>
    <x v="60"/>
    <x v="2"/>
    <x v="2"/>
    <s v="Normal order"/>
  </r>
  <r>
    <s v="SALE1645"/>
    <d v="2024-01-03T00:00:00"/>
    <x v="3"/>
    <s v="CUST1343"/>
    <s v="PROD39"/>
    <s v="STORE5"/>
    <n v="1"/>
    <n v="1"/>
    <n v="702.27"/>
    <n v="0.17"/>
    <x v="2"/>
    <n v="582.88409999999999"/>
    <s v="Low"/>
    <s v="Ryan Moore"/>
    <x v="1"/>
    <x v="65"/>
    <x v="0"/>
    <x v="3"/>
    <s v="Normal order"/>
  </r>
  <r>
    <s v="SALE1646"/>
    <d v="2025-08-06T00:00:00"/>
    <x v="10"/>
    <s v="CUST1041"/>
    <s v="PROD30"/>
    <s v="STORE3"/>
    <n v="2"/>
    <n v="2"/>
    <n v="379.28"/>
    <n v="0.26"/>
    <x v="0"/>
    <n v="561.33439999999996"/>
    <s v="Low"/>
    <s v="James Gibbs"/>
    <x v="2"/>
    <x v="38"/>
    <x v="0"/>
    <x v="2"/>
    <s v="Normal order"/>
  </r>
  <r>
    <s v="SALE1647"/>
    <d v="2025-01-12T00:00:00"/>
    <x v="3"/>
    <s v="CUST1132"/>
    <s v="PROD47"/>
    <s v="STORE0"/>
    <n v="4"/>
    <n v="4"/>
    <n v="92.35"/>
    <n v="0.15"/>
    <x v="0"/>
    <n v="313.99"/>
    <s v="Low"/>
    <s v="Miguel Reynolds"/>
    <x v="3"/>
    <x v="37"/>
    <x v="2"/>
    <x v="0"/>
    <s v="Bulk order"/>
  </r>
  <r>
    <s v="SALE1648"/>
    <d v="2024-11-10T00:00:00"/>
    <x v="8"/>
    <s v="CUST1219"/>
    <s v="PROD39"/>
    <s v="STORE12"/>
    <n v="4"/>
    <n v="4"/>
    <n v="721.54"/>
    <n v="0.21"/>
    <x v="0"/>
    <n v="2280.0664000000002"/>
    <s v="High"/>
    <s v="Jordan Wells"/>
    <x v="1"/>
    <x v="65"/>
    <x v="0"/>
    <x v="0"/>
    <s v="Bulk order"/>
  </r>
  <r>
    <s v="SALE1649"/>
    <d v="2025-05-10T00:00:00"/>
    <x v="11"/>
    <s v="CUST1053"/>
    <s v="PROD38"/>
    <s v="STORE9"/>
    <n v="1"/>
    <n v="1"/>
    <n v="228.69"/>
    <n v="0.14000000000000001"/>
    <x v="0"/>
    <n v="196.67339999999999"/>
    <s v="Low"/>
    <s v="Sharon Brown"/>
    <x v="0"/>
    <x v="43"/>
    <x v="1"/>
    <x v="0"/>
    <s v="Normal order"/>
  </r>
  <r>
    <s v="SALE165"/>
    <d v="2024-08-04T00:00:00"/>
    <x v="10"/>
    <s v="CUST1073"/>
    <s v="PROD10"/>
    <s v="STORE17"/>
    <n v="3"/>
    <n v="3"/>
    <n v="707.95"/>
    <n v="0.18"/>
    <x v="1"/>
    <n v="1741.557"/>
    <s v="High"/>
    <s v="Christopher Brown"/>
    <x v="2"/>
    <x v="47"/>
    <x v="0"/>
    <x v="1"/>
    <s v="Normal order"/>
  </r>
  <r>
    <s v="SALE1650"/>
    <d v="2025-09-29T00:00:00"/>
    <x v="7"/>
    <s v="CUST1355"/>
    <s v="PROD53"/>
    <s v="STORE10"/>
    <n v="1"/>
    <n v="1"/>
    <n v="899.09"/>
    <n v="0.2"/>
    <x v="1"/>
    <n v="719.27200000000005"/>
    <s v="Low"/>
    <s v="Carlos Flores"/>
    <x v="4"/>
    <x v="20"/>
    <x v="2"/>
    <x v="0"/>
    <s v="Normal order"/>
  </r>
  <r>
    <s v="SALE1651"/>
    <d v="2024-03-28T00:00:00"/>
    <x v="9"/>
    <s v="CUST1384"/>
    <s v="PROD8"/>
    <s v="STORE8"/>
    <n v="4"/>
    <n v="4"/>
    <n v="195.75"/>
    <n v="0.17"/>
    <x v="0"/>
    <n v="649.89"/>
    <s v="Low"/>
    <s v="Andrew Mason"/>
    <x v="1"/>
    <x v="12"/>
    <x v="3"/>
    <x v="3"/>
    <s v="Bulk order"/>
  </r>
  <r>
    <s v="SALE1652"/>
    <d v="2024-08-28T00:00:00"/>
    <x v="10"/>
    <s v="CUST1426"/>
    <s v="PROD93"/>
    <s v="STORE15"/>
    <n v="3"/>
    <n v="3"/>
    <n v="199.13"/>
    <n v="0.24"/>
    <x v="0"/>
    <n v="454.01639999999998"/>
    <s v="Low"/>
    <s v="Jeanette Nichols"/>
    <x v="1"/>
    <x v="27"/>
    <x v="0"/>
    <x v="2"/>
    <s v="Normal order"/>
  </r>
  <r>
    <s v="SALE1653"/>
    <d v="2024-06-23T00:00:00"/>
    <x v="4"/>
    <s v="CUST1160"/>
    <s v="PROD22"/>
    <s v="STORE14"/>
    <n v="2"/>
    <n v="2"/>
    <n v="833.62"/>
    <n v="0.18"/>
    <x v="0"/>
    <n v="1367.1368"/>
    <s v="High"/>
    <s v="John Lawson"/>
    <x v="0"/>
    <x v="59"/>
    <x v="1"/>
    <x v="2"/>
    <s v="Normal order"/>
  </r>
  <r>
    <s v="SALE1654"/>
    <d v="2024-04-13T00:00:00"/>
    <x v="5"/>
    <s v="CUST1484"/>
    <s v="PROD75"/>
    <s v="STORE0"/>
    <n v="1"/>
    <n v="1"/>
    <n v="676.26"/>
    <n v="0.14000000000000001"/>
    <x v="0"/>
    <n v="581.58359999999993"/>
    <s v="Low"/>
    <s v="Jessica Castro"/>
    <x v="4"/>
    <x v="10"/>
    <x v="2"/>
    <x v="3"/>
    <s v="Normal order"/>
  </r>
  <r>
    <s v="SALE1655"/>
    <d v="2025-02-20T00:00:00"/>
    <x v="2"/>
    <s v="CUST1032"/>
    <s v="PROD60"/>
    <s v="STORE9"/>
    <n v="2"/>
    <n v="2"/>
    <n v="666.49"/>
    <n v="0.06"/>
    <x v="0"/>
    <n v="1253.0011999999999"/>
    <s v="High"/>
    <s v="Mike Jennings"/>
    <x v="3"/>
    <x v="18"/>
    <x v="1"/>
    <x v="0"/>
    <s v="Normal order"/>
  </r>
  <r>
    <s v="SALE1656"/>
    <d v="2025-03-19T00:00:00"/>
    <x v="9"/>
    <s v="CUST1460"/>
    <s v="PROD15"/>
    <s v="STORE4"/>
    <n v="3"/>
    <n v="3"/>
    <n v="471.19"/>
    <n v="0.28000000000000003"/>
    <x v="2"/>
    <n v="1017.7704"/>
    <s v="High"/>
    <s v="Justin Johnson"/>
    <x v="1"/>
    <x v="42"/>
    <x v="1"/>
    <x v="0"/>
    <s v="Normal order"/>
  </r>
  <r>
    <s v="SALE1657"/>
    <d v="2023-11-07T00:00:00"/>
    <x v="8"/>
    <s v="CUST1119"/>
    <s v="PROD8"/>
    <s v="STORE3"/>
    <n v="4"/>
    <n v="4"/>
    <n v="555.65"/>
    <n v="0.25"/>
    <x v="2"/>
    <n v="1666.95"/>
    <s v="High"/>
    <s v="Michael Jones"/>
    <x v="1"/>
    <x v="12"/>
    <x v="0"/>
    <x v="3"/>
    <s v="Bulk order"/>
  </r>
  <r>
    <s v="SALE1658"/>
    <d v="2023-12-22T00:00:00"/>
    <x v="1"/>
    <s v="CUST1035"/>
    <s v="PROD95"/>
    <s v="STORE14"/>
    <n v="2"/>
    <n v="2"/>
    <n v="100.42"/>
    <n v="0.06"/>
    <x v="0"/>
    <n v="188.78960000000001"/>
    <s v="Low"/>
    <s v="Rachel Myers"/>
    <x v="0"/>
    <x v="28"/>
    <x v="1"/>
    <x v="1"/>
    <s v="Normal order"/>
  </r>
  <r>
    <s v="SALE1659"/>
    <d v="2024-02-15T00:00:00"/>
    <x v="2"/>
    <s v="CUST1050"/>
    <s v="PROD98"/>
    <s v="STORE18"/>
    <n v="3"/>
    <n v="3"/>
    <n v="981.69"/>
    <n v="0.05"/>
    <x v="2"/>
    <n v="2797.8164999999999"/>
    <s v="High"/>
    <s v="Matthew Hunter Jr."/>
    <x v="1"/>
    <x v="51"/>
    <x v="2"/>
    <x v="0"/>
    <s v="Normal order"/>
  </r>
  <r>
    <s v="SALE166"/>
    <d v="2023-12-09T00:00:00"/>
    <x v="1"/>
    <s v="CUST1295"/>
    <s v="PROD69"/>
    <s v="STORE8"/>
    <n v="4"/>
    <n v="4"/>
    <n v="714.47"/>
    <n v="0.18"/>
    <x v="2"/>
    <n v="2343.4616000000001"/>
    <s v="High"/>
    <s v="Crystal Waters"/>
    <x v="4"/>
    <x v="5"/>
    <x v="3"/>
    <x v="3"/>
    <s v="Bulk order"/>
  </r>
  <r>
    <s v="SALE1660"/>
    <d v="2024-01-19T00:00:00"/>
    <x v="3"/>
    <s v="CUST1327"/>
    <s v="PROD10"/>
    <s v="STORE16"/>
    <n v="2"/>
    <n v="2"/>
    <n v="848.87"/>
    <n v="0.09"/>
    <x v="2"/>
    <n v="1544.9434000000001"/>
    <s v="High"/>
    <s v="Reginald Willis"/>
    <x v="2"/>
    <x v="47"/>
    <x v="3"/>
    <x v="3"/>
    <s v="Normal order"/>
  </r>
  <r>
    <s v="SALE1661"/>
    <d v="2023-10-31T00:00:00"/>
    <x v="6"/>
    <s v="CUST1375"/>
    <s v="PROD96"/>
    <s v="STORE10"/>
    <n v="3"/>
    <n v="3"/>
    <n v="582.32000000000005"/>
    <n v="0"/>
    <x v="1"/>
    <n v="1746.96"/>
    <s v="High"/>
    <s v="Joshua Bell"/>
    <x v="4"/>
    <x v="76"/>
    <x v="2"/>
    <x v="2"/>
    <s v="Normal order"/>
  </r>
  <r>
    <s v="SALE1662"/>
    <d v="2024-02-19T00:00:00"/>
    <x v="2"/>
    <s v="CUST1171"/>
    <s v="PROD49"/>
    <s v="STORE17"/>
    <n v="2"/>
    <n v="2"/>
    <n v="869.43"/>
    <n v="0.24"/>
    <x v="2"/>
    <n v="1321.5336"/>
    <s v="High"/>
    <s v="Amy Wilson"/>
    <x v="3"/>
    <x v="80"/>
    <x v="0"/>
    <x v="2"/>
    <s v="Normal order"/>
  </r>
  <r>
    <s v="SALE1663"/>
    <d v="2024-05-28T00:00:00"/>
    <x v="11"/>
    <s v="CUST1021"/>
    <s v="PROD54"/>
    <s v="STORE4"/>
    <n v="1"/>
    <n v="1"/>
    <n v="62.26"/>
    <n v="0.03"/>
    <x v="2"/>
    <n v="60.392200000000003"/>
    <s v="Low"/>
    <s v="Jeff Martinez"/>
    <x v="0"/>
    <x v="8"/>
    <x v="1"/>
    <x v="0"/>
    <s v="Normal order"/>
  </r>
  <r>
    <s v="SALE1664"/>
    <d v="2025-05-21T00:00:00"/>
    <x v="11"/>
    <s v="CUST1152"/>
    <s v="PROD39"/>
    <s v="STORE14"/>
    <n v="3"/>
    <n v="3"/>
    <n v="343.97"/>
    <n v="0.04"/>
    <x v="2"/>
    <n v="990.6336"/>
    <s v="Low"/>
    <s v="Patrick Roberts"/>
    <x v="1"/>
    <x v="65"/>
    <x v="1"/>
    <x v="2"/>
    <s v="Normal order"/>
  </r>
  <r>
    <s v="SALE1665"/>
    <d v="2024-01-02T00:00:00"/>
    <x v="3"/>
    <s v="CUST1303"/>
    <s v="PROD24"/>
    <s v="STORE12"/>
    <n v="3"/>
    <n v="3"/>
    <n v="304.67"/>
    <n v="0.11"/>
    <x v="0"/>
    <n v="813.46889999999996"/>
    <s v="Low"/>
    <s v="John Sloan"/>
    <x v="0"/>
    <x v="2"/>
    <x v="0"/>
    <x v="2"/>
    <s v="Normal order"/>
  </r>
  <r>
    <s v="SALE1666"/>
    <d v="2024-01-05T00:00:00"/>
    <x v="3"/>
    <s v="CUST1365"/>
    <s v="PROD27"/>
    <s v="STORE9"/>
    <n v="4"/>
    <n v="4"/>
    <n v="208.34"/>
    <n v="0.01"/>
    <x v="1"/>
    <n v="825.02639999999997"/>
    <s v="Low"/>
    <s v="Brandon Mcbride"/>
    <x v="2"/>
    <x v="77"/>
    <x v="1"/>
    <x v="2"/>
    <s v="Bulk order"/>
  </r>
  <r>
    <s v="SALE1667"/>
    <d v="2025-07-22T00:00:00"/>
    <x v="0"/>
    <s v="CUST1312"/>
    <s v="PROD86"/>
    <s v="STORE1"/>
    <n v="1"/>
    <n v="1"/>
    <n v="119.04"/>
    <n v="0.13"/>
    <x v="2"/>
    <n v="103.56480000000001"/>
    <s v="Low"/>
    <s v="Jason Mullins"/>
    <x v="2"/>
    <x v="30"/>
    <x v="0"/>
    <x v="1"/>
    <s v="Normal order"/>
  </r>
  <r>
    <s v="SALE1668"/>
    <d v="2025-07-05T00:00:00"/>
    <x v="0"/>
    <s v="CUST1321"/>
    <s v="PROD44"/>
    <s v="STORE9"/>
    <n v="4"/>
    <n v="4"/>
    <n v="791.65"/>
    <n v="0.06"/>
    <x v="2"/>
    <n v="2976.6039999999998"/>
    <s v="High"/>
    <s v="Darren Burton"/>
    <x v="0"/>
    <x v="31"/>
    <x v="1"/>
    <x v="3"/>
    <s v="Bulk order"/>
  </r>
  <r>
    <s v="SALE1669"/>
    <d v="2025-07-24T00:00:00"/>
    <x v="0"/>
    <s v="CUST1052"/>
    <s v="PROD14"/>
    <s v="STORE2"/>
    <n v="2"/>
    <n v="2"/>
    <n v="414.86"/>
    <n v="0.23"/>
    <x v="0"/>
    <n v="638.88440000000003"/>
    <s v="Low"/>
    <s v="Debra Liu"/>
    <x v="2"/>
    <x v="94"/>
    <x v="1"/>
    <x v="3"/>
    <s v="Normal order"/>
  </r>
  <r>
    <s v="SALE167"/>
    <d v="2025-07-28T00:00:00"/>
    <x v="0"/>
    <s v="CUST1415"/>
    <s v="PROD79"/>
    <s v="STORE7"/>
    <n v="4"/>
    <n v="4"/>
    <n v="422.09"/>
    <n v="0.04"/>
    <x v="0"/>
    <n v="1620.8255999999999"/>
    <s v="High"/>
    <s v="Tyler Cook"/>
    <x v="2"/>
    <x v="14"/>
    <x v="1"/>
    <x v="1"/>
    <s v="Bulk order"/>
  </r>
  <r>
    <s v="SALE1670"/>
    <d v="2024-04-03T00:00:00"/>
    <x v="5"/>
    <s v="CUST1478"/>
    <s v="PROD38"/>
    <s v="STORE12"/>
    <n v="2"/>
    <n v="2"/>
    <n v="960.81"/>
    <n v="0.28000000000000003"/>
    <x v="1"/>
    <n v="1383.5663999999999"/>
    <s v="High"/>
    <s v="Earl Smith Dds"/>
    <x v="0"/>
    <x v="43"/>
    <x v="0"/>
    <x v="0"/>
    <s v="Normal order"/>
  </r>
  <r>
    <s v="SALE1671"/>
    <d v="2025-01-11T00:00:00"/>
    <x v="3"/>
    <s v="CUST1212"/>
    <s v="PROD50"/>
    <s v="STORE4"/>
    <n v="4"/>
    <n v="4"/>
    <n v="943.36"/>
    <n v="0.18"/>
    <x v="1"/>
    <n v="3094.2208000000001"/>
    <s v="High"/>
    <s v="Blake Harrison"/>
    <x v="0"/>
    <x v="52"/>
    <x v="1"/>
    <x v="2"/>
    <s v="Bulk order"/>
  </r>
  <r>
    <s v="SALE1672"/>
    <d v="2024-09-26T00:00:00"/>
    <x v="7"/>
    <s v="CUST1213"/>
    <s v="PROD3"/>
    <s v="STORE13"/>
    <n v="1"/>
    <n v="1"/>
    <n v="830.42"/>
    <n v="0.26"/>
    <x v="2"/>
    <n v="614.51080000000002"/>
    <s v="Low"/>
    <s v="Stuart Johnson"/>
    <x v="4"/>
    <x v="84"/>
    <x v="2"/>
    <x v="2"/>
    <s v="Normal order"/>
  </r>
  <r>
    <s v="SALE1673"/>
    <d v="2024-12-11T00:00:00"/>
    <x v="1"/>
    <s v="CUST1353"/>
    <s v="PROD67"/>
    <s v="STORE17"/>
    <n v="1"/>
    <n v="1"/>
    <n v="762.55"/>
    <n v="0.19"/>
    <x v="0"/>
    <n v="617.66549999999995"/>
    <s v="Low"/>
    <s v="Laura Green"/>
    <x v="1"/>
    <x v="99"/>
    <x v="0"/>
    <x v="2"/>
    <s v="Normal order"/>
  </r>
  <r>
    <s v="SALE1674"/>
    <d v="2025-07-01T00:00:00"/>
    <x v="0"/>
    <s v="CUST1343"/>
    <s v="PROD74"/>
    <s v="STORE18"/>
    <n v="2"/>
    <n v="2"/>
    <n v="464.43"/>
    <n v="0.24"/>
    <x v="2"/>
    <n v="705.93360000000007"/>
    <s v="Low"/>
    <s v="Ryan Moore"/>
    <x v="1"/>
    <x v="1"/>
    <x v="2"/>
    <x v="3"/>
    <s v="Normal order"/>
  </r>
  <r>
    <s v="SALE1675"/>
    <d v="2025-07-13T00:00:00"/>
    <x v="0"/>
    <s v="CUST1016"/>
    <s v="PROD64"/>
    <s v="STORE18"/>
    <n v="1"/>
    <n v="1"/>
    <n v="711.08"/>
    <n v="0.24"/>
    <x v="1"/>
    <n v="540.42079999999999"/>
    <s v="Low"/>
    <s v="John Scott"/>
    <x v="3"/>
    <x v="55"/>
    <x v="2"/>
    <x v="3"/>
    <s v="Normal order"/>
  </r>
  <r>
    <s v="SALE1676"/>
    <d v="2024-12-30T00:00:00"/>
    <x v="1"/>
    <s v="CUST1251"/>
    <s v="PROD45"/>
    <s v="STORE14"/>
    <n v="2"/>
    <n v="2"/>
    <n v="984.96"/>
    <n v="0.16"/>
    <x v="1"/>
    <n v="1654.7328"/>
    <s v="High"/>
    <s v="Tyler Garner"/>
    <x v="0"/>
    <x v="23"/>
    <x v="1"/>
    <x v="1"/>
    <s v="Normal order"/>
  </r>
  <r>
    <s v="SALE1677"/>
    <d v="2025-04-12T00:00:00"/>
    <x v="5"/>
    <s v="CUST1343"/>
    <s v="PROD38"/>
    <s v="STORE12"/>
    <n v="1"/>
    <n v="1"/>
    <n v="21.14"/>
    <n v="0.06"/>
    <x v="2"/>
    <n v="19.871600000000001"/>
    <s v="Low"/>
    <s v="Ryan Moore"/>
    <x v="0"/>
    <x v="43"/>
    <x v="0"/>
    <x v="3"/>
    <s v="Normal order"/>
  </r>
  <r>
    <s v="SALE1678"/>
    <d v="2025-01-22T00:00:00"/>
    <x v="3"/>
    <s v="CUST1106"/>
    <s v="PROD98"/>
    <s v="STORE8"/>
    <n v="1"/>
    <n v="1"/>
    <n v="343.03"/>
    <n v="0.16"/>
    <x v="0"/>
    <n v="288.14519999999999"/>
    <s v="Low"/>
    <s v="Howard Summers"/>
    <x v="1"/>
    <x v="51"/>
    <x v="3"/>
    <x v="3"/>
    <s v="Normal order"/>
  </r>
  <r>
    <s v="SALE1679"/>
    <d v="2023-11-07T00:00:00"/>
    <x v="8"/>
    <s v="CUST1247"/>
    <s v="PROD20"/>
    <s v="STORE18"/>
    <n v="3"/>
    <n v="3"/>
    <n v="94.83"/>
    <n v="0.16"/>
    <x v="2"/>
    <n v="238.9716"/>
    <s v="Low"/>
    <s v="Douglas Rhodes"/>
    <x v="0"/>
    <x v="69"/>
    <x v="2"/>
    <x v="2"/>
    <s v="Normal order"/>
  </r>
  <r>
    <s v="SALE168"/>
    <d v="2024-06-19T00:00:00"/>
    <x v="4"/>
    <s v="CUST1108"/>
    <s v="PROD30"/>
    <s v="STORE9"/>
    <n v="1"/>
    <n v="1"/>
    <n v="998.19"/>
    <n v="0.2"/>
    <x v="0"/>
    <n v="798.55200000000013"/>
    <s v="Low"/>
    <s v="Travis Holland"/>
    <x v="2"/>
    <x v="38"/>
    <x v="1"/>
    <x v="3"/>
    <s v="Normal order"/>
  </r>
  <r>
    <s v="SALE1680"/>
    <d v="2025-05-13T00:00:00"/>
    <x v="11"/>
    <s v="CUST1018"/>
    <s v="PROD69"/>
    <s v="STORE19"/>
    <n v="3"/>
    <n v="3"/>
    <n v="74.66"/>
    <n v="0.03"/>
    <x v="1"/>
    <n v="217.26060000000001"/>
    <s v="Low"/>
    <s v="Rhonda Moss"/>
    <x v="4"/>
    <x v="5"/>
    <x v="2"/>
    <x v="4"/>
    <s v="Normal order"/>
  </r>
  <r>
    <s v="SALE1681"/>
    <d v="2023-12-08T00:00:00"/>
    <x v="1"/>
    <s v="CUST1136"/>
    <s v="PROD37"/>
    <s v="STORE15"/>
    <n v="3"/>
    <n v="3"/>
    <n v="281.95999999999998"/>
    <n v="0.01"/>
    <x v="2"/>
    <n v="837.42119999999989"/>
    <s v="Low"/>
    <s v="Patrick Coleman"/>
    <x v="4"/>
    <x v="16"/>
    <x v="0"/>
    <x v="1"/>
    <s v="Normal order"/>
  </r>
  <r>
    <s v="SALE1682"/>
    <d v="2025-01-07T00:00:00"/>
    <x v="3"/>
    <s v="CUST1236"/>
    <s v="PROD71"/>
    <s v="STORE18"/>
    <n v="4"/>
    <n v="4"/>
    <n v="622.27"/>
    <n v="0.02"/>
    <x v="1"/>
    <n v="2439.2984000000001"/>
    <s v="High"/>
    <s v="Joshua Wilson"/>
    <x v="3"/>
    <x v="57"/>
    <x v="2"/>
    <x v="3"/>
    <s v="Bulk order"/>
  </r>
  <r>
    <s v="SALE1683"/>
    <d v="2024-07-02T00:00:00"/>
    <x v="0"/>
    <s v="CUST1102"/>
    <s v="PROD37"/>
    <s v="STORE7"/>
    <n v="2"/>
    <n v="2"/>
    <n v="78.27"/>
    <n v="0.28999999999999998"/>
    <x v="2"/>
    <n v="111.1434"/>
    <s v="Low"/>
    <s v="Sarah Schneider"/>
    <x v="4"/>
    <x v="16"/>
    <x v="1"/>
    <x v="3"/>
    <s v="Normal order"/>
  </r>
  <r>
    <s v="SALE1684"/>
    <d v="2025-07-07T00:00:00"/>
    <x v="0"/>
    <s v="CUST1012"/>
    <s v="PROD62"/>
    <s v="STORE13"/>
    <n v="4"/>
    <n v="4"/>
    <n v="676.58"/>
    <n v="0.23"/>
    <x v="2"/>
    <n v="2083.8663999999999"/>
    <s v="High"/>
    <s v="Kenneth Lambert"/>
    <x v="1"/>
    <x v="19"/>
    <x v="2"/>
    <x v="2"/>
    <s v="Bulk order"/>
  </r>
  <r>
    <s v="SALE1685"/>
    <d v="2024-06-03T00:00:00"/>
    <x v="4"/>
    <s v="CUST1486"/>
    <s v="PROD31"/>
    <s v="STORE1"/>
    <n v="2"/>
    <n v="2"/>
    <n v="938.6"/>
    <n v="0.04"/>
    <x v="1"/>
    <n v="1802.1120000000001"/>
    <s v="High"/>
    <s v="Eric Lee"/>
    <x v="0"/>
    <x v="72"/>
    <x v="0"/>
    <x v="3"/>
    <s v="Normal order"/>
  </r>
  <r>
    <s v="SALE1686"/>
    <d v="2025-04-14T00:00:00"/>
    <x v="5"/>
    <s v="CUST1355"/>
    <s v="PROD13"/>
    <s v="STORE14"/>
    <n v="2"/>
    <n v="2"/>
    <n v="859.47"/>
    <n v="0.01"/>
    <x v="0"/>
    <n v="1701.7506000000001"/>
    <s v="High"/>
    <s v="Carlos Flores"/>
    <x v="1"/>
    <x v="75"/>
    <x v="1"/>
    <x v="0"/>
    <s v="Normal order"/>
  </r>
  <r>
    <s v="SALE1687"/>
    <d v="2024-03-12T00:00:00"/>
    <x v="9"/>
    <s v="CUST1057"/>
    <s v="PROD27"/>
    <s v="STORE14"/>
    <n v="3"/>
    <n v="3"/>
    <n v="672.98"/>
    <n v="0.23"/>
    <x v="1"/>
    <n v="1554.5838000000001"/>
    <s v="High"/>
    <s v="Jay Patel"/>
    <x v="2"/>
    <x v="77"/>
    <x v="1"/>
    <x v="2"/>
    <s v="Normal order"/>
  </r>
  <r>
    <s v="SALE1688"/>
    <d v="2024-05-08T00:00:00"/>
    <x v="11"/>
    <s v="CUST1206"/>
    <s v="PROD56"/>
    <s v="STORE18"/>
    <n v="1"/>
    <n v="1"/>
    <n v="75.8"/>
    <n v="0.28999999999999998"/>
    <x v="1"/>
    <n v="53.817999999999998"/>
    <s v="Low"/>
    <s v="Ronald Jones"/>
    <x v="2"/>
    <x v="87"/>
    <x v="2"/>
    <x v="1"/>
    <s v="Normal order"/>
  </r>
  <r>
    <s v="SALE1689"/>
    <d v="2024-09-01T00:00:00"/>
    <x v="7"/>
    <s v="CUST1034"/>
    <s v="PROD17"/>
    <s v="STORE15"/>
    <n v="4"/>
    <n v="4"/>
    <n v="742.15"/>
    <n v="0.1"/>
    <x v="2"/>
    <n v="2671.74"/>
    <s v="High"/>
    <s v="Christopher Olson"/>
    <x v="0"/>
    <x v="29"/>
    <x v="0"/>
    <x v="2"/>
    <s v="Bulk order"/>
  </r>
  <r>
    <s v="SALE169"/>
    <d v="2024-01-22T00:00:00"/>
    <x v="3"/>
    <s v="CUST1373"/>
    <s v="PROD72"/>
    <s v="STORE7"/>
    <n v="2"/>
    <n v="2"/>
    <n v="343.42"/>
    <n v="0.12"/>
    <x v="2"/>
    <n v="604.41920000000005"/>
    <s v="Low"/>
    <s v="James Orozco"/>
    <x v="0"/>
    <x v="35"/>
    <x v="1"/>
    <x v="0"/>
    <s v="Normal order"/>
  </r>
  <r>
    <s v="SALE1690"/>
    <d v="2024-06-02T00:00:00"/>
    <x v="4"/>
    <s v="CUST1072"/>
    <s v="PROD30"/>
    <s v="STORE7"/>
    <n v="1"/>
    <n v="1"/>
    <n v="637.39"/>
    <n v="0.22"/>
    <x v="1"/>
    <n v="497.16419999999999"/>
    <s v="Low"/>
    <s v="Tonya Burch"/>
    <x v="2"/>
    <x v="38"/>
    <x v="1"/>
    <x v="0"/>
    <s v="Normal order"/>
  </r>
  <r>
    <s v="SALE1691"/>
    <d v="2023-10-31T00:00:00"/>
    <x v="6"/>
    <s v="CUST1391"/>
    <s v="PROD6"/>
    <s v="STORE17"/>
    <n v="1"/>
    <n v="1"/>
    <n v="631"/>
    <n v="0.04"/>
    <x v="0"/>
    <n v="605.76"/>
    <s v="Low"/>
    <s v="Heidi Tyler"/>
    <x v="3"/>
    <x v="95"/>
    <x v="0"/>
    <x v="3"/>
    <s v="Normal order"/>
  </r>
  <r>
    <s v="SALE1692"/>
    <d v="2025-09-16T00:00:00"/>
    <x v="7"/>
    <s v="CUST1393"/>
    <s v="PROD80"/>
    <s v="STORE3"/>
    <n v="4"/>
    <n v="4"/>
    <n v="983.98"/>
    <n v="0.11"/>
    <x v="2"/>
    <n v="3502.9688000000001"/>
    <s v="High"/>
    <s v="Michael Mcneil"/>
    <x v="2"/>
    <x v="24"/>
    <x v="0"/>
    <x v="3"/>
    <s v="Bulk order"/>
  </r>
  <r>
    <s v="SALE1693"/>
    <d v="2024-03-02T00:00:00"/>
    <x v="9"/>
    <s v="CUST1054"/>
    <s v="PROD55"/>
    <s v="STORE11"/>
    <n v="4"/>
    <n v="4"/>
    <n v="73.69"/>
    <n v="0.08"/>
    <x v="0"/>
    <n v="271.17919999999998"/>
    <s v="Low"/>
    <s v="Katherine Dorsey"/>
    <x v="2"/>
    <x v="25"/>
    <x v="1"/>
    <x v="2"/>
    <s v="Bulk order"/>
  </r>
  <r>
    <s v="SALE1694"/>
    <d v="2024-07-17T00:00:00"/>
    <x v="0"/>
    <s v="CUST1433"/>
    <s v="PROD11"/>
    <s v="STORE7"/>
    <n v="3"/>
    <n v="3"/>
    <n v="110.99"/>
    <n v="0.21"/>
    <x v="0"/>
    <n v="263.04629999999997"/>
    <s v="Low"/>
    <s v="Thomas Moore"/>
    <x v="1"/>
    <x v="68"/>
    <x v="1"/>
    <x v="1"/>
    <s v="Normal order"/>
  </r>
  <r>
    <s v="SALE1695"/>
    <d v="2025-07-12T00:00:00"/>
    <x v="0"/>
    <s v="CUST1083"/>
    <s v="PROD10"/>
    <s v="STORE7"/>
    <n v="1"/>
    <n v="1"/>
    <n v="66.86"/>
    <n v="0.22"/>
    <x v="2"/>
    <n v="52.150799999999997"/>
    <s v="Low"/>
    <s v="Thomas Robinson"/>
    <x v="2"/>
    <x v="47"/>
    <x v="1"/>
    <x v="3"/>
    <s v="Normal order"/>
  </r>
  <r>
    <s v="SALE1696"/>
    <d v="2024-08-11T00:00:00"/>
    <x v="10"/>
    <s v="CUST1417"/>
    <s v="PROD67"/>
    <s v="STORE18"/>
    <n v="1"/>
    <n v="1"/>
    <n v="980.26"/>
    <n v="0.14000000000000001"/>
    <x v="1"/>
    <n v="843.02359999999999"/>
    <s v="Low"/>
    <s v="Karen King"/>
    <x v="1"/>
    <x v="99"/>
    <x v="2"/>
    <x v="3"/>
    <s v="Normal order"/>
  </r>
  <r>
    <s v="SALE1697"/>
    <d v="2024-01-31T00:00:00"/>
    <x v="3"/>
    <s v="CUST1037"/>
    <s v="PROD18"/>
    <s v="STORE18"/>
    <n v="1"/>
    <n v="1"/>
    <n v="235.28"/>
    <n v="0.05"/>
    <x v="1"/>
    <n v="223.51599999999999"/>
    <s v="Low"/>
    <s v="Christopher Carter"/>
    <x v="4"/>
    <x v="83"/>
    <x v="2"/>
    <x v="4"/>
    <s v="Normal order"/>
  </r>
  <r>
    <s v="SALE1698"/>
    <d v="2024-09-07T00:00:00"/>
    <x v="7"/>
    <s v="CUST1416"/>
    <s v="PROD0"/>
    <s v="STORE15"/>
    <n v="3"/>
    <n v="3"/>
    <n v="407.39"/>
    <n v="0.08"/>
    <x v="1"/>
    <n v="1124.3964000000001"/>
    <s v="High"/>
    <s v="Jennifer Myers"/>
    <x v="1"/>
    <x v="7"/>
    <x v="0"/>
    <x v="2"/>
    <s v="Normal order"/>
  </r>
  <r>
    <s v="SALE1699"/>
    <d v="2025-01-18T00:00:00"/>
    <x v="3"/>
    <s v="CUST1068"/>
    <s v="PROD27"/>
    <s v="STORE14"/>
    <n v="4"/>
    <n v="4"/>
    <n v="459.83"/>
    <n v="0.12"/>
    <x v="2"/>
    <n v="1618.6016"/>
    <s v="High"/>
    <s v="Mr. Mark Beasley"/>
    <x v="2"/>
    <x v="77"/>
    <x v="1"/>
    <x v="1"/>
    <s v="Bulk order"/>
  </r>
  <r>
    <s v="SALE17"/>
    <d v="2024-12-11T00:00:00"/>
    <x v="1"/>
    <s v="CUST1079"/>
    <s v="PROD27"/>
    <s v="STORE4"/>
    <n v="2"/>
    <n v="2"/>
    <n v="502.69"/>
    <n v="0.23"/>
    <x v="0"/>
    <n v="774.14260000000002"/>
    <s v="Low"/>
    <s v="Molly Gardner"/>
    <x v="2"/>
    <x v="77"/>
    <x v="1"/>
    <x v="2"/>
    <s v="Normal order"/>
  </r>
  <r>
    <s v="SALE170"/>
    <d v="2024-04-08T00:00:00"/>
    <x v="5"/>
    <s v="CUST1256"/>
    <s v="PROD34"/>
    <s v="STORE6"/>
    <n v="1"/>
    <n v="1"/>
    <n v="152.16999999999999"/>
    <n v="0.28000000000000003"/>
    <x v="2"/>
    <n v="109.5624"/>
    <s v="Low"/>
    <s v="Kristen Fischer"/>
    <x v="1"/>
    <x v="21"/>
    <x v="2"/>
    <x v="2"/>
    <s v="Normal order"/>
  </r>
  <r>
    <s v="SALE1700"/>
    <d v="2024-02-11T00:00:00"/>
    <x v="2"/>
    <s v="CUST1147"/>
    <s v="PROD93"/>
    <s v="STORE4"/>
    <n v="3"/>
    <n v="3"/>
    <n v="706.6"/>
    <n v="0.17"/>
    <x v="1"/>
    <n v="1759.434"/>
    <s v="High"/>
    <s v="Rhonda Young"/>
    <x v="1"/>
    <x v="27"/>
    <x v="1"/>
    <x v="2"/>
    <s v="Normal order"/>
  </r>
  <r>
    <s v="SALE1701"/>
    <d v="2025-06-11T00:00:00"/>
    <x v="4"/>
    <s v="CUST1462"/>
    <s v="PROD91"/>
    <s v="STORE19"/>
    <n v="3"/>
    <n v="3"/>
    <n v="811.16"/>
    <n v="0.1"/>
    <x v="2"/>
    <n v="2190.1320000000001"/>
    <s v="High"/>
    <s v="Beth Martin"/>
    <x v="4"/>
    <x v="67"/>
    <x v="2"/>
    <x v="1"/>
    <s v="Normal order"/>
  </r>
  <r>
    <s v="SALE1702"/>
    <d v="2023-12-08T00:00:00"/>
    <x v="1"/>
    <s v="CUST1217"/>
    <s v="PROD37"/>
    <s v="STORE7"/>
    <n v="2"/>
    <n v="2"/>
    <n v="985.79"/>
    <n v="0.04"/>
    <x v="1"/>
    <n v="1892.7167999999999"/>
    <s v="High"/>
    <s v="Kathy Copeland"/>
    <x v="4"/>
    <x v="16"/>
    <x v="1"/>
    <x v="1"/>
    <s v="Normal order"/>
  </r>
  <r>
    <s v="SALE1703"/>
    <d v="2024-08-17T00:00:00"/>
    <x v="10"/>
    <s v="CUST1187"/>
    <s v="PROD33"/>
    <s v="STORE14"/>
    <n v="1"/>
    <n v="1"/>
    <n v="255.02"/>
    <n v="0.3"/>
    <x v="0"/>
    <n v="178.51400000000001"/>
    <s v="Low"/>
    <s v="Dr. Suzanne Bullock"/>
    <x v="2"/>
    <x v="3"/>
    <x v="1"/>
    <x v="2"/>
    <s v="Normal order"/>
  </r>
  <r>
    <s v="SALE1704"/>
    <d v="2025-02-05T00:00:00"/>
    <x v="2"/>
    <s v="CUST1095"/>
    <s v="PROD19"/>
    <s v="STORE8"/>
    <n v="1"/>
    <n v="1"/>
    <n v="153.57"/>
    <n v="0.01"/>
    <x v="1"/>
    <n v="152.0343"/>
    <s v="Low"/>
    <s v="Amy Fowler"/>
    <x v="0"/>
    <x v="32"/>
    <x v="3"/>
    <x v="2"/>
    <s v="Normal order"/>
  </r>
  <r>
    <s v="SALE1705"/>
    <d v="2025-03-18T00:00:00"/>
    <x v="9"/>
    <s v="CUST1253"/>
    <s v="PROD43"/>
    <s v="STORE18"/>
    <n v="3"/>
    <n v="3"/>
    <n v="962.98"/>
    <n v="0.21"/>
    <x v="0"/>
    <n v="2282.2626"/>
    <s v="High"/>
    <s v="Dr. Ashley Yates Md"/>
    <x v="1"/>
    <x v="34"/>
    <x v="2"/>
    <x v="3"/>
    <s v="Normal order"/>
  </r>
  <r>
    <s v="SALE1706"/>
    <d v="2024-03-26T00:00:00"/>
    <x v="9"/>
    <s v="CUST1057"/>
    <s v="PROD44"/>
    <s v="STORE8"/>
    <n v="3"/>
    <n v="3"/>
    <n v="884.46"/>
    <n v="0.25"/>
    <x v="0"/>
    <n v="1990.0350000000001"/>
    <s v="High"/>
    <s v="Jay Patel"/>
    <x v="0"/>
    <x v="31"/>
    <x v="3"/>
    <x v="2"/>
    <s v="Normal order"/>
  </r>
  <r>
    <s v="SALE1707"/>
    <d v="2025-05-01T00:00:00"/>
    <x v="11"/>
    <s v="CUST1437"/>
    <s v="PROD67"/>
    <s v="STORE10"/>
    <n v="4"/>
    <n v="4"/>
    <n v="359.71"/>
    <n v="0.05"/>
    <x v="1"/>
    <n v="1366.8979999999999"/>
    <s v="High"/>
    <s v="Melinda Rivera"/>
    <x v="1"/>
    <x v="99"/>
    <x v="2"/>
    <x v="2"/>
    <s v="Bulk order"/>
  </r>
  <r>
    <s v="SALE1708"/>
    <d v="2025-02-27T00:00:00"/>
    <x v="2"/>
    <s v="CUST1051"/>
    <s v="PROD50"/>
    <s v="STORE4"/>
    <n v="3"/>
    <n v="3"/>
    <n v="766.47"/>
    <n v="0.18"/>
    <x v="0"/>
    <n v="1885.5162"/>
    <s v="High"/>
    <s v="Sarah Rodgers"/>
    <x v="0"/>
    <x v="52"/>
    <x v="1"/>
    <x v="0"/>
    <s v="Normal order"/>
  </r>
  <r>
    <s v="SALE1709"/>
    <d v="2024-07-19T00:00:00"/>
    <x v="0"/>
    <s v="CUST1223"/>
    <s v="PROD56"/>
    <s v="STORE18"/>
    <n v="1"/>
    <n v="1"/>
    <n v="772.07"/>
    <n v="0.26"/>
    <x v="1"/>
    <n v="571.33180000000004"/>
    <s v="Low"/>
    <s v="Robert Harris"/>
    <x v="2"/>
    <x v="87"/>
    <x v="2"/>
    <x v="2"/>
    <s v="Normal order"/>
  </r>
  <r>
    <s v="SALE171"/>
    <d v="2025-05-18T00:00:00"/>
    <x v="11"/>
    <s v="CUST1175"/>
    <s v="PROD49"/>
    <s v="STORE11"/>
    <n v="1"/>
    <n v="1"/>
    <n v="325.08"/>
    <n v="0.26"/>
    <x v="1"/>
    <n v="240.5592"/>
    <s v="Low"/>
    <s v="Michelle Rogers"/>
    <x v="3"/>
    <x v="80"/>
    <x v="1"/>
    <x v="2"/>
    <s v="Normal order"/>
  </r>
  <r>
    <s v="SALE1710"/>
    <d v="2024-01-01T00:00:00"/>
    <x v="3"/>
    <s v="CUST1277"/>
    <s v="PROD19"/>
    <s v="STORE5"/>
    <n v="3"/>
    <n v="3"/>
    <n v="108.31"/>
    <n v="0.26"/>
    <x v="2"/>
    <n v="240.44820000000001"/>
    <s v="Low"/>
    <s v="Jeffrey Gomez"/>
    <x v="0"/>
    <x v="32"/>
    <x v="0"/>
    <x v="2"/>
    <s v="Normal order"/>
  </r>
  <r>
    <s v="SALE1711"/>
    <d v="2024-01-25T00:00:00"/>
    <x v="3"/>
    <s v="CUST1218"/>
    <s v="PROD79"/>
    <s v="STORE6"/>
    <n v="1"/>
    <n v="1"/>
    <n v="502.53"/>
    <n v="0"/>
    <x v="1"/>
    <n v="502.53"/>
    <s v="Low"/>
    <s v="Julia Jackson"/>
    <x v="2"/>
    <x v="14"/>
    <x v="2"/>
    <x v="2"/>
    <s v="Normal order"/>
  </r>
  <r>
    <s v="SALE1712"/>
    <d v="2024-09-13T00:00:00"/>
    <x v="7"/>
    <s v="CUST1076"/>
    <s v="PROD1"/>
    <s v="STORE16"/>
    <n v="2"/>
    <n v="2"/>
    <n v="508.52"/>
    <n v="0.11"/>
    <x v="2"/>
    <n v="905.16559999999993"/>
    <s v="Low"/>
    <s v="Nathan Campbell"/>
    <x v="4"/>
    <x v="93"/>
    <x v="3"/>
    <x v="0"/>
    <s v="Normal order"/>
  </r>
  <r>
    <s v="SALE1713"/>
    <d v="2024-10-07T00:00:00"/>
    <x v="6"/>
    <s v="CUST1468"/>
    <s v="PROD74"/>
    <s v="STORE3"/>
    <n v="1"/>
    <n v="1"/>
    <n v="492"/>
    <n v="0.26"/>
    <x v="1"/>
    <n v="364.08"/>
    <s v="Low"/>
    <s v="Gregory Curtis"/>
    <x v="1"/>
    <x v="1"/>
    <x v="0"/>
    <x v="3"/>
    <s v="Normal order"/>
  </r>
  <r>
    <s v="SALE1714"/>
    <d v="2024-02-25T00:00:00"/>
    <x v="2"/>
    <s v="CUST1485"/>
    <s v="PROD37"/>
    <s v="STORE14"/>
    <n v="4"/>
    <n v="4"/>
    <n v="746.36"/>
    <n v="0.02"/>
    <x v="0"/>
    <n v="2925.7312000000002"/>
    <s v="High"/>
    <s v="Sara Ingram"/>
    <x v="4"/>
    <x v="16"/>
    <x v="1"/>
    <x v="3"/>
    <s v="Bulk order"/>
  </r>
  <r>
    <s v="SALE1715"/>
    <d v="2025-06-15T00:00:00"/>
    <x v="4"/>
    <s v="CUST1433"/>
    <s v="PROD12"/>
    <s v="STORE1"/>
    <n v="1"/>
    <n v="1"/>
    <n v="120.83"/>
    <n v="0.08"/>
    <x v="0"/>
    <n v="111.1636"/>
    <s v="Low"/>
    <s v="Thomas Moore"/>
    <x v="3"/>
    <x v="85"/>
    <x v="0"/>
    <x v="1"/>
    <s v="Normal order"/>
  </r>
  <r>
    <s v="SALE1716"/>
    <d v="2024-04-12T00:00:00"/>
    <x v="5"/>
    <s v="CUST1399"/>
    <s v="PROD77"/>
    <s v="STORE18"/>
    <n v="2"/>
    <n v="2"/>
    <n v="68.31"/>
    <n v="0.28999999999999998"/>
    <x v="2"/>
    <n v="97.000199999999992"/>
    <s v="Low"/>
    <s v="John Donaldson"/>
    <x v="1"/>
    <x v="79"/>
    <x v="2"/>
    <x v="3"/>
    <s v="Normal order"/>
  </r>
  <r>
    <s v="SALE1717"/>
    <d v="2023-12-05T00:00:00"/>
    <x v="1"/>
    <s v="CUST1062"/>
    <s v="PROD22"/>
    <s v="STORE18"/>
    <n v="2"/>
    <n v="2"/>
    <n v="761.71"/>
    <n v="0.02"/>
    <x v="1"/>
    <n v="1492.9516000000001"/>
    <s v="High"/>
    <s v="James Bean"/>
    <x v="0"/>
    <x v="59"/>
    <x v="2"/>
    <x v="3"/>
    <s v="Normal order"/>
  </r>
  <r>
    <s v="SALE1718"/>
    <d v="2023-12-01T00:00:00"/>
    <x v="1"/>
    <s v="CUST1066"/>
    <s v="PROD78"/>
    <s v="STORE3"/>
    <n v="4"/>
    <n v="4"/>
    <n v="346.37"/>
    <n v="0.18"/>
    <x v="2"/>
    <n v="1136.0935999999999"/>
    <s v="High"/>
    <s v="Cody Diaz"/>
    <x v="2"/>
    <x v="33"/>
    <x v="0"/>
    <x v="1"/>
    <s v="Bulk order"/>
  </r>
  <r>
    <s v="SALE1719"/>
    <d v="2025-02-14T00:00:00"/>
    <x v="2"/>
    <s v="CUST1007"/>
    <s v="PROD55"/>
    <s v="STORE12"/>
    <n v="1"/>
    <n v="1"/>
    <n v="846.3"/>
    <n v="0.14000000000000001"/>
    <x v="1"/>
    <n v="727.81799999999998"/>
    <s v="Low"/>
    <s v="Daniel Boyd"/>
    <x v="2"/>
    <x v="25"/>
    <x v="0"/>
    <x v="3"/>
    <s v="Normal order"/>
  </r>
  <r>
    <s v="SALE172"/>
    <d v="2023-12-07T00:00:00"/>
    <x v="1"/>
    <s v="CUST1344"/>
    <s v="PROD89"/>
    <s v="STORE10"/>
    <n v="2"/>
    <n v="2"/>
    <n v="827.92"/>
    <n v="0.25"/>
    <x v="2"/>
    <n v="1241.8800000000001"/>
    <s v="High"/>
    <s v="Evelyn Brown"/>
    <x v="3"/>
    <x v="53"/>
    <x v="2"/>
    <x v="0"/>
    <s v="Normal order"/>
  </r>
  <r>
    <s v="SALE1720"/>
    <d v="2024-11-28T00:00:00"/>
    <x v="8"/>
    <s v="CUST1432"/>
    <s v="PROD0"/>
    <s v="STORE19"/>
    <n v="1"/>
    <n v="1"/>
    <n v="458.97"/>
    <n v="0.1"/>
    <x v="1"/>
    <n v="413.07299999999998"/>
    <s v="Low"/>
    <s v="Summer Weiss"/>
    <x v="1"/>
    <x v="7"/>
    <x v="2"/>
    <x v="3"/>
    <s v="Normal order"/>
  </r>
  <r>
    <s v="SALE1721"/>
    <d v="2025-03-20T00:00:00"/>
    <x v="9"/>
    <s v="CUST1289"/>
    <s v="PROD43"/>
    <s v="STORE7"/>
    <n v="2"/>
    <n v="2"/>
    <n v="536.61"/>
    <n v="0.14000000000000001"/>
    <x v="0"/>
    <n v="922.9692"/>
    <s v="Low"/>
    <s v="Jennifer Figueroa"/>
    <x v="1"/>
    <x v="34"/>
    <x v="1"/>
    <x v="3"/>
    <s v="Normal order"/>
  </r>
  <r>
    <s v="SALE1722"/>
    <d v="2025-02-21T00:00:00"/>
    <x v="2"/>
    <s v="CUST1420"/>
    <s v="PROD58"/>
    <s v="STORE0"/>
    <n v="3"/>
    <n v="3"/>
    <n v="130.41"/>
    <n v="0.14000000000000001"/>
    <x v="1"/>
    <n v="336.45780000000002"/>
    <s v="Low"/>
    <s v="Dr. Tamara White Md"/>
    <x v="4"/>
    <x v="36"/>
    <x v="2"/>
    <x v="3"/>
    <s v="Normal order"/>
  </r>
  <r>
    <s v="SALE1723"/>
    <d v="2025-03-22T00:00:00"/>
    <x v="9"/>
    <s v="CUST1496"/>
    <s v="PROD89"/>
    <s v="STORE12"/>
    <n v="4"/>
    <n v="4"/>
    <n v="706.67"/>
    <n v="0.01"/>
    <x v="0"/>
    <n v="2798.4132"/>
    <s v="High"/>
    <s v="Christopher Ford"/>
    <x v="3"/>
    <x v="53"/>
    <x v="0"/>
    <x v="3"/>
    <s v="Bulk order"/>
  </r>
  <r>
    <s v="SALE1724"/>
    <d v="2025-01-28T00:00:00"/>
    <x v="3"/>
    <s v="CUST1392"/>
    <s v="PROD27"/>
    <s v="STORE3"/>
    <n v="3"/>
    <n v="3"/>
    <n v="523.45000000000005"/>
    <n v="0.17"/>
    <x v="0"/>
    <n v="1303.3905"/>
    <s v="High"/>
    <s v="Jacqueline Payne"/>
    <x v="2"/>
    <x v="77"/>
    <x v="0"/>
    <x v="0"/>
    <s v="Normal order"/>
  </r>
  <r>
    <s v="SALE1725"/>
    <d v="2025-02-13T00:00:00"/>
    <x v="2"/>
    <s v="CUST1009"/>
    <s v="PROD91"/>
    <s v="STORE18"/>
    <n v="3"/>
    <n v="3"/>
    <n v="482.2"/>
    <n v="0.23"/>
    <x v="2"/>
    <n v="1113.8820000000001"/>
    <s v="High"/>
    <s v="Ms. Maria Leach"/>
    <x v="4"/>
    <x v="67"/>
    <x v="2"/>
    <x v="2"/>
    <s v="Normal order"/>
  </r>
  <r>
    <s v="SALE1726"/>
    <d v="2025-03-29T00:00:00"/>
    <x v="9"/>
    <s v="CUST1124"/>
    <s v="PROD63"/>
    <s v="STORE5"/>
    <n v="4"/>
    <n v="4"/>
    <n v="688.86"/>
    <n v="0.02"/>
    <x v="2"/>
    <n v="2700.3312000000001"/>
    <s v="High"/>
    <s v="Donald Lee"/>
    <x v="3"/>
    <x v="11"/>
    <x v="0"/>
    <x v="3"/>
    <s v="Bulk order"/>
  </r>
  <r>
    <s v="SALE1727"/>
    <d v="2023-10-15T00:00:00"/>
    <x v="6"/>
    <s v="CUST1023"/>
    <s v="PROD12"/>
    <s v="STORE0"/>
    <n v="1"/>
    <n v="1"/>
    <n v="145.47999999999999"/>
    <n v="0.1"/>
    <x v="2"/>
    <n v="130.93199999999999"/>
    <s v="Low"/>
    <s v="Jonathan Steele"/>
    <x v="3"/>
    <x v="85"/>
    <x v="2"/>
    <x v="1"/>
    <s v="Normal order"/>
  </r>
  <r>
    <s v="SALE1728"/>
    <d v="2024-09-12T00:00:00"/>
    <x v="7"/>
    <s v="CUST1052"/>
    <s v="PROD31"/>
    <s v="STORE11"/>
    <n v="4"/>
    <n v="4"/>
    <n v="862.25"/>
    <n v="0.28000000000000003"/>
    <x v="1"/>
    <n v="2483.2800000000002"/>
    <s v="High"/>
    <s v="Debra Liu"/>
    <x v="0"/>
    <x v="72"/>
    <x v="1"/>
    <x v="3"/>
    <s v="Bulk order"/>
  </r>
  <r>
    <s v="SALE1729"/>
    <d v="2024-01-05T00:00:00"/>
    <x v="3"/>
    <s v="CUST1292"/>
    <s v="PROD1"/>
    <s v="STORE14"/>
    <n v="4"/>
    <n v="4"/>
    <n v="146.12"/>
    <n v="0.12"/>
    <x v="2"/>
    <n v="514.3424"/>
    <s v="Low"/>
    <s v="Ricardo Jones"/>
    <x v="4"/>
    <x v="93"/>
    <x v="1"/>
    <x v="1"/>
    <s v="Bulk order"/>
  </r>
  <r>
    <s v="SALE173"/>
    <d v="2024-01-23T00:00:00"/>
    <x v="3"/>
    <s v="CUST1485"/>
    <s v="PROD26"/>
    <s v="STORE2"/>
    <n v="2"/>
    <n v="2"/>
    <n v="593.47"/>
    <n v="0.1"/>
    <x v="2"/>
    <n v="1068.2460000000001"/>
    <s v="High"/>
    <s v="Sara Ingram"/>
    <x v="1"/>
    <x v="81"/>
    <x v="1"/>
    <x v="3"/>
    <s v="Normal order"/>
  </r>
  <r>
    <s v="SALE1730"/>
    <d v="2024-09-14T00:00:00"/>
    <x v="7"/>
    <s v="CUST1478"/>
    <s v="PROD31"/>
    <s v="STORE18"/>
    <n v="2"/>
    <n v="2"/>
    <n v="695.02"/>
    <n v="0.3"/>
    <x v="2"/>
    <n v="973.02799999999991"/>
    <s v="Low"/>
    <s v="Earl Smith Dds"/>
    <x v="0"/>
    <x v="72"/>
    <x v="2"/>
    <x v="0"/>
    <s v="Normal order"/>
  </r>
  <r>
    <s v="SALE1731"/>
    <d v="2023-11-01T00:00:00"/>
    <x v="8"/>
    <s v="CUST1219"/>
    <s v="PROD94"/>
    <s v="STORE10"/>
    <n v="2"/>
    <n v="2"/>
    <n v="886.67"/>
    <n v="0.24"/>
    <x v="1"/>
    <n v="1347.7384"/>
    <s v="High"/>
    <s v="Jordan Wells"/>
    <x v="3"/>
    <x v="89"/>
    <x v="2"/>
    <x v="0"/>
    <s v="Normal order"/>
  </r>
  <r>
    <s v="SALE1732"/>
    <d v="2024-12-02T00:00:00"/>
    <x v="1"/>
    <s v="CUST1054"/>
    <s v="PROD66"/>
    <s v="STORE18"/>
    <n v="2"/>
    <n v="2"/>
    <n v="864.09"/>
    <n v="0.06"/>
    <x v="2"/>
    <n v="1624.4892"/>
    <s v="High"/>
    <s v="Katherine Dorsey"/>
    <x v="3"/>
    <x v="46"/>
    <x v="2"/>
    <x v="2"/>
    <s v="Normal order"/>
  </r>
  <r>
    <s v="SALE1733"/>
    <d v="2025-07-24T00:00:00"/>
    <x v="0"/>
    <s v="CUST1003"/>
    <s v="PROD12"/>
    <s v="STORE9"/>
    <n v="1"/>
    <n v="1"/>
    <n v="437.65"/>
    <n v="0.02"/>
    <x v="1"/>
    <n v="428.89699999999999"/>
    <s v="Low"/>
    <s v="Jeremy Harris"/>
    <x v="3"/>
    <x v="85"/>
    <x v="1"/>
    <x v="3"/>
    <s v="Normal order"/>
  </r>
  <r>
    <s v="SALE1734"/>
    <d v="2025-07-05T00:00:00"/>
    <x v="0"/>
    <s v="CUST1202"/>
    <s v="PROD36"/>
    <s v="STORE13"/>
    <n v="2"/>
    <n v="2"/>
    <n v="208.09"/>
    <n v="0.27"/>
    <x v="0"/>
    <n v="303.81139999999999"/>
    <s v="Low"/>
    <s v="Christina Garcia"/>
    <x v="4"/>
    <x v="88"/>
    <x v="2"/>
    <x v="2"/>
    <s v="Normal order"/>
  </r>
  <r>
    <s v="SALE1735"/>
    <d v="2024-07-09T00:00:00"/>
    <x v="0"/>
    <s v="CUST1054"/>
    <s v="PROD93"/>
    <s v="STORE17"/>
    <n v="4"/>
    <n v="4"/>
    <n v="825.78"/>
    <n v="0.02"/>
    <x v="0"/>
    <n v="3237.0576000000001"/>
    <s v="High"/>
    <s v="Katherine Dorsey"/>
    <x v="1"/>
    <x v="27"/>
    <x v="0"/>
    <x v="2"/>
    <s v="Bulk order"/>
  </r>
  <r>
    <s v="SALE1736"/>
    <d v="2024-01-22T00:00:00"/>
    <x v="3"/>
    <s v="CUST1116"/>
    <s v="PROD25"/>
    <s v="STORE17"/>
    <n v="3"/>
    <n v="3"/>
    <n v="849.77"/>
    <n v="0.12"/>
    <x v="1"/>
    <n v="2243.3928000000001"/>
    <s v="High"/>
    <s v="Anthony Phillips"/>
    <x v="4"/>
    <x v="13"/>
    <x v="0"/>
    <x v="2"/>
    <s v="Normal order"/>
  </r>
  <r>
    <s v="SALE1737"/>
    <d v="2024-01-23T00:00:00"/>
    <x v="3"/>
    <s v="CUST1344"/>
    <s v="PROD60"/>
    <s v="STORE4"/>
    <n v="1"/>
    <n v="1"/>
    <n v="88.78"/>
    <n v="0.18"/>
    <x v="0"/>
    <n v="72.799600000000012"/>
    <s v="Low"/>
    <s v="Evelyn Brown"/>
    <x v="3"/>
    <x v="18"/>
    <x v="1"/>
    <x v="0"/>
    <s v="Normal order"/>
  </r>
  <r>
    <s v="SALE1738"/>
    <d v="2024-08-22T00:00:00"/>
    <x v="10"/>
    <s v="CUST1191"/>
    <s v="PROD78"/>
    <s v="STORE4"/>
    <n v="4"/>
    <n v="4"/>
    <n v="507.22"/>
    <n v="0.14000000000000001"/>
    <x v="1"/>
    <n v="1744.8368"/>
    <s v="High"/>
    <s v="Todd Poole"/>
    <x v="2"/>
    <x v="33"/>
    <x v="1"/>
    <x v="3"/>
    <s v="Bulk order"/>
  </r>
  <r>
    <s v="SALE1739"/>
    <d v="2025-08-18T00:00:00"/>
    <x v="10"/>
    <s v="CUST1316"/>
    <s v="PROD96"/>
    <s v="STORE0"/>
    <n v="3"/>
    <n v="3"/>
    <n v="330.98"/>
    <n v="0.11"/>
    <x v="0"/>
    <n v="883.71660000000008"/>
    <s v="Low"/>
    <s v="Robert House"/>
    <x v="4"/>
    <x v="76"/>
    <x v="2"/>
    <x v="0"/>
    <s v="Normal order"/>
  </r>
  <r>
    <s v="SALE174"/>
    <d v="2023-12-07T00:00:00"/>
    <x v="1"/>
    <s v="CUST1293"/>
    <s v="PROD20"/>
    <s v="STORE7"/>
    <n v="4"/>
    <n v="4"/>
    <n v="756.28"/>
    <n v="0.05"/>
    <x v="2"/>
    <n v="2873.864"/>
    <s v="High"/>
    <s v="Gloria Taylor"/>
    <x v="0"/>
    <x v="69"/>
    <x v="1"/>
    <x v="2"/>
    <s v="Bulk order"/>
  </r>
  <r>
    <s v="SALE1740"/>
    <d v="2024-09-27T00:00:00"/>
    <x v="7"/>
    <s v="CUST1051"/>
    <s v="PROD37"/>
    <s v="STORE19"/>
    <n v="4"/>
    <n v="4"/>
    <n v="442.87"/>
    <n v="0.08"/>
    <x v="0"/>
    <n v="1629.7616"/>
    <s v="High"/>
    <s v="Sarah Rodgers"/>
    <x v="4"/>
    <x v="16"/>
    <x v="2"/>
    <x v="0"/>
    <s v="Bulk order"/>
  </r>
  <r>
    <s v="SALE1741"/>
    <d v="2025-08-11T00:00:00"/>
    <x v="10"/>
    <s v="CUST1009"/>
    <s v="PROD96"/>
    <s v="STORE2"/>
    <n v="2"/>
    <n v="2"/>
    <n v="939.66"/>
    <n v="0.14000000000000001"/>
    <x v="1"/>
    <n v="1616.2152000000001"/>
    <s v="High"/>
    <s v="Ms. Maria Leach"/>
    <x v="4"/>
    <x v="76"/>
    <x v="1"/>
    <x v="2"/>
    <s v="Normal order"/>
  </r>
  <r>
    <s v="SALE1742"/>
    <d v="2024-09-21T00:00:00"/>
    <x v="7"/>
    <s v="CUST1293"/>
    <s v="PROD73"/>
    <s v="STORE3"/>
    <n v="1"/>
    <n v="1"/>
    <n v="24.13"/>
    <n v="0"/>
    <x v="0"/>
    <n v="24.13"/>
    <s v="Low"/>
    <s v="Gloria Taylor"/>
    <x v="0"/>
    <x v="6"/>
    <x v="0"/>
    <x v="2"/>
    <s v="Normal order"/>
  </r>
  <r>
    <s v="SALE1743"/>
    <d v="2024-03-04T00:00:00"/>
    <x v="9"/>
    <s v="CUST1364"/>
    <s v="PROD41"/>
    <s v="STORE3"/>
    <n v="3"/>
    <n v="3"/>
    <n v="239.54"/>
    <n v="0.28999999999999998"/>
    <x v="2"/>
    <n v="510.22019999999998"/>
    <s v="Low"/>
    <s v="Chloe Aguilar"/>
    <x v="0"/>
    <x v="82"/>
    <x v="0"/>
    <x v="3"/>
    <s v="Normal order"/>
  </r>
  <r>
    <s v="SALE1744"/>
    <d v="2023-11-14T00:00:00"/>
    <x v="8"/>
    <s v="CUST1482"/>
    <s v="PROD46"/>
    <s v="STORE14"/>
    <n v="1"/>
    <n v="1"/>
    <n v="588.53"/>
    <n v="0.1"/>
    <x v="0"/>
    <n v="529.67700000000002"/>
    <s v="Low"/>
    <s v="Sheri Joyce"/>
    <x v="4"/>
    <x v="41"/>
    <x v="1"/>
    <x v="2"/>
    <s v="Normal order"/>
  </r>
  <r>
    <s v="SALE1745"/>
    <d v="2025-07-25T00:00:00"/>
    <x v="0"/>
    <s v="CUST1288"/>
    <s v="PROD60"/>
    <s v="STORE15"/>
    <n v="1"/>
    <n v="1"/>
    <n v="145.96"/>
    <n v="0.3"/>
    <x v="0"/>
    <n v="102.172"/>
    <s v="Low"/>
    <s v="Misty Ferguson"/>
    <x v="3"/>
    <x v="18"/>
    <x v="0"/>
    <x v="0"/>
    <s v="Normal order"/>
  </r>
  <r>
    <s v="SALE1746"/>
    <d v="2024-10-08T00:00:00"/>
    <x v="6"/>
    <s v="CUST1101"/>
    <s v="PROD70"/>
    <s v="STORE4"/>
    <n v="4"/>
    <n v="4"/>
    <n v="640.91"/>
    <n v="0.06"/>
    <x v="0"/>
    <n v="2409.8216000000002"/>
    <s v="High"/>
    <s v="Colleen Maynard"/>
    <x v="2"/>
    <x v="92"/>
    <x v="1"/>
    <x v="0"/>
    <s v="Bulk order"/>
  </r>
  <r>
    <s v="SALE1747"/>
    <d v="2025-05-15T00:00:00"/>
    <x v="11"/>
    <s v="CUST1042"/>
    <s v="PROD64"/>
    <s v="STORE11"/>
    <n v="3"/>
    <n v="3"/>
    <n v="773.86"/>
    <n v="0.22"/>
    <x v="0"/>
    <n v="1810.8324"/>
    <s v="High"/>
    <s v="William Martin"/>
    <x v="3"/>
    <x v="55"/>
    <x v="1"/>
    <x v="2"/>
    <s v="Normal order"/>
  </r>
  <r>
    <s v="SALE1748"/>
    <d v="2025-03-28T00:00:00"/>
    <x v="9"/>
    <s v="CUST1463"/>
    <s v="PROD31"/>
    <s v="STORE15"/>
    <n v="2"/>
    <n v="2"/>
    <n v="31.28"/>
    <n v="0.2"/>
    <x v="2"/>
    <n v="50.048000000000002"/>
    <s v="Low"/>
    <s v="Samantha Lee"/>
    <x v="0"/>
    <x v="72"/>
    <x v="0"/>
    <x v="3"/>
    <s v="Normal order"/>
  </r>
  <r>
    <s v="SALE1749"/>
    <d v="2025-07-04T00:00:00"/>
    <x v="0"/>
    <s v="CUST1373"/>
    <s v="PROD82"/>
    <s v="STORE6"/>
    <n v="4"/>
    <n v="4"/>
    <n v="389.22"/>
    <n v="0.18"/>
    <x v="0"/>
    <n v="1276.6415999999999"/>
    <s v="High"/>
    <s v="James Orozco"/>
    <x v="0"/>
    <x v="26"/>
    <x v="2"/>
    <x v="0"/>
    <s v="Bulk order"/>
  </r>
  <r>
    <s v="SALE175"/>
    <d v="2024-12-15T00:00:00"/>
    <x v="1"/>
    <s v="CUST1377"/>
    <s v="PROD92"/>
    <s v="STORE1"/>
    <n v="2"/>
    <n v="2"/>
    <n v="707.65"/>
    <n v="0.14000000000000001"/>
    <x v="0"/>
    <n v="1217.1579999999999"/>
    <s v="High"/>
    <s v="Charles Conley"/>
    <x v="2"/>
    <x v="39"/>
    <x v="0"/>
    <x v="0"/>
    <s v="Normal order"/>
  </r>
  <r>
    <s v="SALE1750"/>
    <d v="2024-07-29T00:00:00"/>
    <x v="0"/>
    <s v="CUST1015"/>
    <s v="PROD64"/>
    <s v="STORE15"/>
    <n v="3"/>
    <n v="3"/>
    <n v="543.44000000000005"/>
    <n v="0.13"/>
    <x v="1"/>
    <n v="1418.3784000000001"/>
    <s v="High"/>
    <s v="Laura Alvarez"/>
    <x v="3"/>
    <x v="55"/>
    <x v="0"/>
    <x v="2"/>
    <s v="Normal order"/>
  </r>
  <r>
    <s v="SALE1751"/>
    <d v="2024-01-05T00:00:00"/>
    <x v="3"/>
    <s v="CUST1257"/>
    <s v="PROD97"/>
    <s v="STORE19"/>
    <n v="4"/>
    <n v="4"/>
    <n v="715.42"/>
    <n v="0.28999999999999998"/>
    <x v="1"/>
    <n v="2031.7927999999999"/>
    <s v="High"/>
    <s v="Christopher David"/>
    <x v="0"/>
    <x v="0"/>
    <x v="2"/>
    <x v="1"/>
    <s v="Bulk order"/>
  </r>
  <r>
    <s v="SALE1752"/>
    <d v="2025-08-17T00:00:00"/>
    <x v="10"/>
    <s v="CUST1051"/>
    <s v="PROD12"/>
    <s v="STORE4"/>
    <n v="4"/>
    <n v="4"/>
    <n v="676.14"/>
    <n v="0.11"/>
    <x v="2"/>
    <n v="2407.0583999999999"/>
    <s v="High"/>
    <s v="Sarah Rodgers"/>
    <x v="3"/>
    <x v="85"/>
    <x v="1"/>
    <x v="0"/>
    <s v="Bulk order"/>
  </r>
  <r>
    <s v="SALE1753"/>
    <d v="2024-05-13T00:00:00"/>
    <x v="11"/>
    <s v="CUST1089"/>
    <s v="PROD39"/>
    <s v="STORE1"/>
    <n v="4"/>
    <n v="4"/>
    <n v="352.72"/>
    <n v="0.25"/>
    <x v="0"/>
    <n v="1058.1600000000001"/>
    <s v="High"/>
    <s v="Jamie Yoder"/>
    <x v="1"/>
    <x v="65"/>
    <x v="0"/>
    <x v="2"/>
    <s v="Bulk order"/>
  </r>
  <r>
    <s v="SALE1754"/>
    <d v="2025-05-20T00:00:00"/>
    <x v="11"/>
    <s v="CUST1173"/>
    <s v="PROD11"/>
    <s v="STORE12"/>
    <n v="1"/>
    <n v="1"/>
    <n v="470.18"/>
    <n v="0.19"/>
    <x v="1"/>
    <n v="380.84580000000011"/>
    <s v="Low"/>
    <s v="Teresa Stokes"/>
    <x v="1"/>
    <x v="68"/>
    <x v="0"/>
    <x v="2"/>
    <s v="Normal order"/>
  </r>
  <r>
    <s v="SALE1755"/>
    <d v="2025-08-29T00:00:00"/>
    <x v="10"/>
    <s v="CUST1230"/>
    <s v="PROD66"/>
    <s v="STORE11"/>
    <n v="1"/>
    <n v="1"/>
    <n v="891.79"/>
    <n v="0.03"/>
    <x v="0"/>
    <n v="865.03629999999998"/>
    <s v="Low"/>
    <s v="Timothy Sanders"/>
    <x v="3"/>
    <x v="46"/>
    <x v="1"/>
    <x v="3"/>
    <s v="Normal order"/>
  </r>
  <r>
    <s v="SALE1756"/>
    <d v="2024-04-08T00:00:00"/>
    <x v="5"/>
    <s v="CUST1348"/>
    <s v="PROD89"/>
    <s v="STORE17"/>
    <n v="2"/>
    <n v="2"/>
    <n v="433.07"/>
    <n v="0.25"/>
    <x v="2"/>
    <n v="649.60500000000002"/>
    <s v="Low"/>
    <s v="Sherry Cabrera"/>
    <x v="3"/>
    <x v="53"/>
    <x v="0"/>
    <x v="1"/>
    <s v="Normal order"/>
  </r>
  <r>
    <s v="SALE1757"/>
    <d v="2024-03-04T00:00:00"/>
    <x v="9"/>
    <s v="CUST1012"/>
    <s v="PROD66"/>
    <s v="STORE19"/>
    <n v="3"/>
    <n v="3"/>
    <n v="626.71"/>
    <n v="7.0000000000000007E-2"/>
    <x v="2"/>
    <n v="1748.5209"/>
    <s v="High"/>
    <s v="Kenneth Lambert"/>
    <x v="3"/>
    <x v="46"/>
    <x v="2"/>
    <x v="2"/>
    <s v="Normal order"/>
  </r>
  <r>
    <s v="SALE1758"/>
    <d v="2025-09-16T00:00:00"/>
    <x v="7"/>
    <s v="CUST1076"/>
    <s v="PROD36"/>
    <s v="STORE0"/>
    <n v="2"/>
    <n v="2"/>
    <n v="324.18"/>
    <n v="0.06"/>
    <x v="2"/>
    <n v="609.45839999999998"/>
    <s v="Low"/>
    <s v="Nathan Campbell"/>
    <x v="4"/>
    <x v="88"/>
    <x v="2"/>
    <x v="0"/>
    <s v="Normal order"/>
  </r>
  <r>
    <s v="SALE1759"/>
    <d v="2024-06-05T00:00:00"/>
    <x v="4"/>
    <s v="CUST1013"/>
    <s v="PROD14"/>
    <s v="STORE17"/>
    <n v="4"/>
    <n v="4"/>
    <n v="839.74"/>
    <n v="0.13"/>
    <x v="1"/>
    <n v="2922.2952"/>
    <s v="High"/>
    <s v="Nathan Hernandez"/>
    <x v="2"/>
    <x v="94"/>
    <x v="0"/>
    <x v="1"/>
    <s v="Bulk order"/>
  </r>
  <r>
    <s v="SALE176"/>
    <d v="2024-03-20T00:00:00"/>
    <x v="9"/>
    <s v="CUST1128"/>
    <s v="PROD25"/>
    <s v="STORE15"/>
    <n v="1"/>
    <n v="1"/>
    <n v="857.35"/>
    <n v="0.28000000000000003"/>
    <x v="1"/>
    <n v="617.29200000000003"/>
    <s v="Low"/>
    <s v="Susan Mcdonald"/>
    <x v="4"/>
    <x v="13"/>
    <x v="0"/>
    <x v="1"/>
    <s v="Normal order"/>
  </r>
  <r>
    <s v="SALE1760"/>
    <d v="2024-04-20T00:00:00"/>
    <x v="5"/>
    <s v="CUST1156"/>
    <s v="PROD62"/>
    <s v="STORE15"/>
    <n v="3"/>
    <n v="3"/>
    <n v="252.63"/>
    <n v="0.28000000000000003"/>
    <x v="0"/>
    <n v="545.68079999999998"/>
    <s v="Low"/>
    <s v="Maria Sanchez"/>
    <x v="1"/>
    <x v="19"/>
    <x v="0"/>
    <x v="3"/>
    <s v="Normal order"/>
  </r>
  <r>
    <s v="SALE1761"/>
    <d v="2024-10-16T00:00:00"/>
    <x v="6"/>
    <s v="CUST1255"/>
    <s v="PROD79"/>
    <s v="STORE19"/>
    <n v="2"/>
    <n v="2"/>
    <n v="60.53"/>
    <n v="0.18"/>
    <x v="0"/>
    <n v="99.269200000000012"/>
    <s v="Low"/>
    <s v="Damon Perez"/>
    <x v="2"/>
    <x v="14"/>
    <x v="2"/>
    <x v="0"/>
    <s v="Normal order"/>
  </r>
  <r>
    <s v="SALE1762"/>
    <d v="2024-11-14T00:00:00"/>
    <x v="8"/>
    <s v="CUST1054"/>
    <s v="PROD84"/>
    <s v="STORE13"/>
    <n v="4"/>
    <n v="4"/>
    <n v="341.95"/>
    <n v="0.25"/>
    <x v="0"/>
    <n v="1025.8499999999999"/>
    <s v="High"/>
    <s v="Katherine Dorsey"/>
    <x v="2"/>
    <x v="56"/>
    <x v="2"/>
    <x v="2"/>
    <s v="Bulk order"/>
  </r>
  <r>
    <s v="SALE1763"/>
    <d v="2024-05-26T00:00:00"/>
    <x v="11"/>
    <s v="CUST1283"/>
    <s v="PROD22"/>
    <s v="STORE16"/>
    <n v="4"/>
    <n v="4"/>
    <n v="300.12"/>
    <n v="0.05"/>
    <x v="1"/>
    <n v="1140.4559999999999"/>
    <s v="High"/>
    <s v="Bryan Garcia"/>
    <x v="0"/>
    <x v="59"/>
    <x v="3"/>
    <x v="1"/>
    <s v="Bulk order"/>
  </r>
  <r>
    <s v="SALE1764"/>
    <d v="2025-02-17T00:00:00"/>
    <x v="2"/>
    <s v="CUST1115"/>
    <s v="PROD28"/>
    <s v="STORE17"/>
    <n v="2"/>
    <n v="2"/>
    <n v="289.14"/>
    <n v="0.12"/>
    <x v="2"/>
    <n v="508.88639999999998"/>
    <s v="Low"/>
    <s v="Tyler Conrad"/>
    <x v="0"/>
    <x v="40"/>
    <x v="0"/>
    <x v="2"/>
    <s v="Normal order"/>
  </r>
  <r>
    <s v="SALE1765"/>
    <d v="2025-02-07T00:00:00"/>
    <x v="2"/>
    <s v="CUST1045"/>
    <s v="PROD25"/>
    <s v="STORE0"/>
    <n v="2"/>
    <n v="2"/>
    <n v="596.84"/>
    <n v="0.01"/>
    <x v="1"/>
    <n v="1181.7431999999999"/>
    <s v="High"/>
    <s v="Jordan Jackson Dds"/>
    <x v="4"/>
    <x v="13"/>
    <x v="2"/>
    <x v="0"/>
    <s v="Normal order"/>
  </r>
  <r>
    <s v="SALE1766"/>
    <d v="2024-10-06T00:00:00"/>
    <x v="6"/>
    <s v="CUST1436"/>
    <s v="PROD19"/>
    <s v="STORE8"/>
    <n v="4"/>
    <n v="4"/>
    <n v="466.24"/>
    <n v="0.16"/>
    <x v="0"/>
    <n v="1566.5663999999999"/>
    <s v="High"/>
    <s v="Sharon Simpson"/>
    <x v="0"/>
    <x v="32"/>
    <x v="3"/>
    <x v="0"/>
    <s v="Bulk order"/>
  </r>
  <r>
    <s v="SALE1767"/>
    <d v="2024-09-09T00:00:00"/>
    <x v="7"/>
    <s v="CUST1252"/>
    <s v="PROD13"/>
    <s v="STORE16"/>
    <n v="2"/>
    <n v="2"/>
    <n v="330.59"/>
    <n v="0.14000000000000001"/>
    <x v="0"/>
    <n v="568.61479999999995"/>
    <s v="Low"/>
    <s v="John Mccoy"/>
    <x v="1"/>
    <x v="75"/>
    <x v="3"/>
    <x v="1"/>
    <s v="Normal order"/>
  </r>
  <r>
    <s v="SALE1768"/>
    <d v="2024-12-28T00:00:00"/>
    <x v="1"/>
    <s v="CUST1493"/>
    <s v="PROD22"/>
    <s v="STORE6"/>
    <n v="2"/>
    <n v="2"/>
    <n v="616.42999999999995"/>
    <n v="0.02"/>
    <x v="2"/>
    <n v="1208.2028"/>
    <s v="High"/>
    <s v="Amanda Powell"/>
    <x v="0"/>
    <x v="59"/>
    <x v="2"/>
    <x v="1"/>
    <s v="Normal order"/>
  </r>
  <r>
    <s v="SALE1769"/>
    <d v="2024-10-24T00:00:00"/>
    <x v="6"/>
    <s v="CUST1403"/>
    <s v="PROD63"/>
    <s v="STORE6"/>
    <n v="3"/>
    <n v="3"/>
    <n v="195.89"/>
    <n v="0.16"/>
    <x v="1"/>
    <n v="493.64280000000002"/>
    <s v="Low"/>
    <s v="Justin Ingram"/>
    <x v="3"/>
    <x v="11"/>
    <x v="2"/>
    <x v="3"/>
    <s v="Normal order"/>
  </r>
  <r>
    <s v="SALE177"/>
    <d v="2025-01-13T00:00:00"/>
    <x v="3"/>
    <s v="CUST1499"/>
    <s v="PROD55"/>
    <s v="STORE8"/>
    <n v="1"/>
    <n v="1"/>
    <n v="79"/>
    <n v="0.04"/>
    <x v="1"/>
    <n v="75.84"/>
    <s v="Low"/>
    <s v="Philip Pennington"/>
    <x v="2"/>
    <x v="25"/>
    <x v="3"/>
    <x v="2"/>
    <s v="Normal order"/>
  </r>
  <r>
    <s v="SALE1770"/>
    <d v="2024-07-14T00:00:00"/>
    <x v="0"/>
    <s v="CUST1343"/>
    <s v="PROD7"/>
    <s v="STORE10"/>
    <n v="4"/>
    <n v="4"/>
    <n v="614.76"/>
    <n v="0.16"/>
    <x v="0"/>
    <n v="2065.5936000000002"/>
    <s v="High"/>
    <s v="Ryan Moore"/>
    <x v="2"/>
    <x v="17"/>
    <x v="2"/>
    <x v="3"/>
    <s v="Bulk order"/>
  </r>
  <r>
    <s v="SALE1771"/>
    <d v="2024-05-06T00:00:00"/>
    <x v="11"/>
    <s v="CUST1404"/>
    <s v="PROD79"/>
    <s v="STORE7"/>
    <n v="1"/>
    <n v="1"/>
    <n v="224.49"/>
    <n v="0.11"/>
    <x v="1"/>
    <n v="199.7961"/>
    <s v="Low"/>
    <s v="David Ross"/>
    <x v="2"/>
    <x v="14"/>
    <x v="1"/>
    <x v="1"/>
    <s v="Normal order"/>
  </r>
  <r>
    <s v="SALE1772"/>
    <d v="2024-02-16T00:00:00"/>
    <x v="2"/>
    <s v="CUST1356"/>
    <s v="PROD55"/>
    <s v="STORE12"/>
    <n v="1"/>
    <n v="1"/>
    <n v="967.76"/>
    <n v="0.09"/>
    <x v="0"/>
    <n v="880.66160000000002"/>
    <s v="Low"/>
    <s v="Steve Hunt"/>
    <x v="2"/>
    <x v="25"/>
    <x v="0"/>
    <x v="3"/>
    <s v="Normal order"/>
  </r>
  <r>
    <s v="SALE1773"/>
    <d v="2024-08-03T00:00:00"/>
    <x v="10"/>
    <s v="CUST1067"/>
    <s v="PROD41"/>
    <s v="STORE19"/>
    <n v="2"/>
    <n v="2"/>
    <n v="56.52"/>
    <n v="0.17"/>
    <x v="1"/>
    <n v="93.8232"/>
    <s v="Low"/>
    <s v="Amber Mcclain"/>
    <x v="0"/>
    <x v="82"/>
    <x v="2"/>
    <x v="1"/>
    <s v="Normal order"/>
  </r>
  <r>
    <s v="SALE1774"/>
    <d v="2023-12-15T00:00:00"/>
    <x v="1"/>
    <s v="CUST1490"/>
    <s v="PROD67"/>
    <s v="STORE1"/>
    <n v="4"/>
    <n v="4"/>
    <n v="921.84"/>
    <n v="0.04"/>
    <x v="0"/>
    <n v="3539.8656000000001"/>
    <s v="High"/>
    <s v="Scott Harris"/>
    <x v="1"/>
    <x v="99"/>
    <x v="0"/>
    <x v="2"/>
    <s v="Bulk order"/>
  </r>
  <r>
    <s v="SALE1775"/>
    <d v="2024-01-28T00:00:00"/>
    <x v="3"/>
    <s v="CUST1328"/>
    <s v="PROD86"/>
    <s v="STORE16"/>
    <n v="3"/>
    <n v="3"/>
    <n v="738.47"/>
    <n v="0.28000000000000003"/>
    <x v="0"/>
    <n v="1595.0952"/>
    <s v="High"/>
    <s v="Mario Harvey Jr."/>
    <x v="2"/>
    <x v="30"/>
    <x v="3"/>
    <x v="2"/>
    <s v="Normal order"/>
  </r>
  <r>
    <s v="SALE1776"/>
    <d v="2024-11-24T00:00:00"/>
    <x v="8"/>
    <s v="CUST1328"/>
    <s v="PROD5"/>
    <s v="STORE0"/>
    <n v="4"/>
    <n v="4"/>
    <n v="477.83"/>
    <n v="0.05"/>
    <x v="2"/>
    <n v="1815.7539999999999"/>
    <s v="High"/>
    <s v="Mario Harvey Jr."/>
    <x v="4"/>
    <x v="91"/>
    <x v="2"/>
    <x v="2"/>
    <s v="Bulk order"/>
  </r>
  <r>
    <s v="SALE1777"/>
    <d v="2025-06-23T00:00:00"/>
    <x v="4"/>
    <s v="CUST1168"/>
    <s v="PROD42"/>
    <s v="STORE12"/>
    <n v="3"/>
    <n v="3"/>
    <n v="605.83000000000004"/>
    <n v="0.28000000000000003"/>
    <x v="2"/>
    <n v="1308.5927999999999"/>
    <s v="High"/>
    <s v="Daniel Contreras"/>
    <x v="1"/>
    <x v="71"/>
    <x v="0"/>
    <x v="2"/>
    <s v="Normal order"/>
  </r>
  <r>
    <s v="SALE1778"/>
    <d v="2024-03-22T00:00:00"/>
    <x v="9"/>
    <s v="CUST1067"/>
    <s v="PROD43"/>
    <s v="STORE3"/>
    <n v="2"/>
    <n v="2"/>
    <n v="521.44000000000005"/>
    <n v="0.25"/>
    <x v="2"/>
    <n v="782.16000000000008"/>
    <s v="Low"/>
    <s v="Amber Mcclain"/>
    <x v="1"/>
    <x v="34"/>
    <x v="0"/>
    <x v="1"/>
    <s v="Normal order"/>
  </r>
  <r>
    <s v="SALE1779"/>
    <d v="2025-07-25T00:00:00"/>
    <x v="0"/>
    <s v="CUST1373"/>
    <s v="PROD10"/>
    <s v="STORE7"/>
    <n v="4"/>
    <n v="4"/>
    <n v="499.02"/>
    <n v="0.06"/>
    <x v="0"/>
    <n v="1876.3152"/>
    <s v="High"/>
    <s v="James Orozco"/>
    <x v="2"/>
    <x v="47"/>
    <x v="1"/>
    <x v="0"/>
    <s v="Bulk order"/>
  </r>
  <r>
    <s v="SALE178"/>
    <d v="2025-08-16T00:00:00"/>
    <x v="10"/>
    <s v="CUST1066"/>
    <s v="PROD94"/>
    <s v="STORE5"/>
    <n v="4"/>
    <n v="4"/>
    <n v="638.91"/>
    <n v="0"/>
    <x v="2"/>
    <n v="2555.64"/>
    <s v="High"/>
    <s v="Cody Diaz"/>
    <x v="3"/>
    <x v="89"/>
    <x v="0"/>
    <x v="1"/>
    <s v="Bulk order"/>
  </r>
  <r>
    <s v="SALE1780"/>
    <d v="2025-04-11T00:00:00"/>
    <x v="5"/>
    <s v="CUST1153"/>
    <s v="PROD4"/>
    <s v="STORE18"/>
    <n v="4"/>
    <n v="4"/>
    <n v="299.45999999999998"/>
    <n v="0.18"/>
    <x v="2"/>
    <n v="982.22879999999998"/>
    <s v="Low"/>
    <s v="Joseph Faulkner"/>
    <x v="4"/>
    <x v="58"/>
    <x v="2"/>
    <x v="3"/>
    <s v="Bulk order"/>
  </r>
  <r>
    <s v="SALE1781"/>
    <d v="2023-12-25T00:00:00"/>
    <x v="1"/>
    <s v="CUST1457"/>
    <s v="PROD39"/>
    <s v="STORE0"/>
    <n v="1"/>
    <n v="1"/>
    <n v="609.29"/>
    <n v="0.15"/>
    <x v="0"/>
    <n v="517.89649999999995"/>
    <s v="Low"/>
    <s v="Christina Robertson"/>
    <x v="1"/>
    <x v="65"/>
    <x v="2"/>
    <x v="2"/>
    <s v="Normal order"/>
  </r>
  <r>
    <s v="SALE1782"/>
    <d v="2024-12-30T00:00:00"/>
    <x v="1"/>
    <s v="CUST1101"/>
    <s v="PROD2"/>
    <s v="STORE8"/>
    <n v="1"/>
    <n v="1"/>
    <n v="213.74"/>
    <n v="7.0000000000000007E-2"/>
    <x v="2"/>
    <n v="198.7782"/>
    <s v="Low"/>
    <s v="Colleen Maynard"/>
    <x v="4"/>
    <x v="60"/>
    <x v="3"/>
    <x v="0"/>
    <s v="Normal order"/>
  </r>
  <r>
    <s v="SALE1783"/>
    <d v="2025-03-02T00:00:00"/>
    <x v="9"/>
    <s v="CUST1153"/>
    <s v="PROD55"/>
    <s v="STORE16"/>
    <n v="4"/>
    <n v="4"/>
    <n v="613.16999999999996"/>
    <n v="0.26"/>
    <x v="0"/>
    <n v="1814.9831999999999"/>
    <s v="High"/>
    <s v="Joseph Faulkner"/>
    <x v="2"/>
    <x v="25"/>
    <x v="3"/>
    <x v="3"/>
    <s v="Bulk order"/>
  </r>
  <r>
    <s v="SALE1784"/>
    <d v="2024-01-02T00:00:00"/>
    <x v="3"/>
    <s v="CUST1357"/>
    <s v="PROD59"/>
    <s v="STORE11"/>
    <n v="2"/>
    <n v="2"/>
    <n v="687.36"/>
    <n v="7.0000000000000007E-2"/>
    <x v="2"/>
    <n v="1278.4896000000001"/>
    <s v="High"/>
    <s v="Manuel Castillo"/>
    <x v="3"/>
    <x v="4"/>
    <x v="1"/>
    <x v="0"/>
    <s v="Normal order"/>
  </r>
  <r>
    <s v="SALE1785"/>
    <d v="2025-09-15T00:00:00"/>
    <x v="7"/>
    <s v="CUST1326"/>
    <s v="PROD67"/>
    <s v="STORE13"/>
    <n v="3"/>
    <n v="3"/>
    <n v="115.39"/>
    <n v="0.02"/>
    <x v="1"/>
    <n v="339.2466"/>
    <s v="Low"/>
    <s v="Robert King"/>
    <x v="1"/>
    <x v="99"/>
    <x v="2"/>
    <x v="0"/>
    <s v="Normal order"/>
  </r>
  <r>
    <s v="SALE1786"/>
    <d v="2024-03-08T00:00:00"/>
    <x v="9"/>
    <s v="CUST1179"/>
    <s v="PROD24"/>
    <s v="STORE12"/>
    <n v="2"/>
    <n v="2"/>
    <n v="722.06"/>
    <n v="7.0000000000000007E-2"/>
    <x v="0"/>
    <n v="1343.0316"/>
    <s v="High"/>
    <s v="Nicholas Bradshaw"/>
    <x v="0"/>
    <x v="2"/>
    <x v="0"/>
    <x v="1"/>
    <s v="Normal order"/>
  </r>
  <r>
    <s v="SALE1787"/>
    <d v="2024-12-26T00:00:00"/>
    <x v="1"/>
    <s v="CUST1425"/>
    <s v="PROD7"/>
    <s v="STORE15"/>
    <n v="1"/>
    <n v="1"/>
    <n v="384.57"/>
    <n v="0.06"/>
    <x v="1"/>
    <n v="361.49579999999997"/>
    <s v="Low"/>
    <s v="Bryce Hawkins"/>
    <x v="2"/>
    <x v="17"/>
    <x v="0"/>
    <x v="3"/>
    <s v="Normal order"/>
  </r>
  <r>
    <s v="SALE1788"/>
    <d v="2025-03-19T00:00:00"/>
    <x v="9"/>
    <s v="CUST1210"/>
    <s v="PROD8"/>
    <s v="STORE13"/>
    <n v="2"/>
    <n v="2"/>
    <n v="194.09"/>
    <n v="0.18"/>
    <x v="1"/>
    <n v="318.30759999999998"/>
    <s v="Low"/>
    <s v="Antonio Jones"/>
    <x v="1"/>
    <x v="12"/>
    <x v="2"/>
    <x v="1"/>
    <s v="Normal order"/>
  </r>
  <r>
    <s v="SALE1789"/>
    <d v="2024-10-14T00:00:00"/>
    <x v="6"/>
    <s v="CUST1172"/>
    <s v="PROD88"/>
    <s v="STORE3"/>
    <n v="2"/>
    <n v="2"/>
    <n v="403.91"/>
    <n v="7.0000000000000007E-2"/>
    <x v="0"/>
    <n v="751.27260000000001"/>
    <s v="Low"/>
    <s v="Thomas Rhodes"/>
    <x v="0"/>
    <x v="90"/>
    <x v="0"/>
    <x v="3"/>
    <s v="Normal order"/>
  </r>
  <r>
    <s v="SALE179"/>
    <d v="2025-06-04T00:00:00"/>
    <x v="4"/>
    <s v="CUST1081"/>
    <s v="PROD45"/>
    <s v="STORE0"/>
    <n v="2"/>
    <n v="2"/>
    <n v="522.16999999999996"/>
    <n v="0.27"/>
    <x v="0"/>
    <n v="762.36819999999989"/>
    <s v="Low"/>
    <s v="Krystal Ford"/>
    <x v="0"/>
    <x v="23"/>
    <x v="2"/>
    <x v="2"/>
    <s v="Normal order"/>
  </r>
  <r>
    <s v="SALE1790"/>
    <d v="2025-03-05T00:00:00"/>
    <x v="9"/>
    <s v="CUST1076"/>
    <s v="PROD17"/>
    <s v="STORE14"/>
    <n v="1"/>
    <n v="1"/>
    <n v="878.69"/>
    <n v="0.3"/>
    <x v="1"/>
    <n v="615.08299999999997"/>
    <s v="Low"/>
    <s v="Nathan Campbell"/>
    <x v="0"/>
    <x v="29"/>
    <x v="1"/>
    <x v="0"/>
    <s v="Normal order"/>
  </r>
  <r>
    <s v="SALE1791"/>
    <d v="2024-06-03T00:00:00"/>
    <x v="4"/>
    <s v="CUST1381"/>
    <s v="PROD33"/>
    <s v="STORE15"/>
    <n v="1"/>
    <n v="1"/>
    <n v="161.16999999999999"/>
    <n v="0.05"/>
    <x v="0"/>
    <n v="153.11150000000001"/>
    <s v="Low"/>
    <s v="Erika Padilla"/>
    <x v="2"/>
    <x v="3"/>
    <x v="0"/>
    <x v="1"/>
    <s v="Normal order"/>
  </r>
  <r>
    <s v="SALE1792"/>
    <d v="2024-04-05T00:00:00"/>
    <x v="5"/>
    <s v="CUST1214"/>
    <s v="PROD73"/>
    <s v="STORE14"/>
    <n v="2"/>
    <n v="2"/>
    <n v="720.15"/>
    <n v="0.22"/>
    <x v="2"/>
    <n v="1123.434"/>
    <s v="High"/>
    <s v="Eric Todd"/>
    <x v="0"/>
    <x v="6"/>
    <x v="1"/>
    <x v="0"/>
    <s v="Normal order"/>
  </r>
  <r>
    <s v="SALE1793"/>
    <d v="2023-10-23T00:00:00"/>
    <x v="6"/>
    <s v="CUST1347"/>
    <s v="PROD26"/>
    <s v="STORE8"/>
    <n v="1"/>
    <n v="1"/>
    <n v="361.8"/>
    <n v="0.02"/>
    <x v="2"/>
    <n v="354.56400000000002"/>
    <s v="Low"/>
    <s v="Justin Mason Dds"/>
    <x v="1"/>
    <x v="81"/>
    <x v="3"/>
    <x v="0"/>
    <s v="Normal order"/>
  </r>
  <r>
    <s v="SALE1794"/>
    <d v="2024-04-20T00:00:00"/>
    <x v="5"/>
    <s v="CUST1230"/>
    <s v="PROD95"/>
    <s v="STORE6"/>
    <n v="1"/>
    <n v="1"/>
    <n v="779.84"/>
    <n v="0.28999999999999998"/>
    <x v="1"/>
    <n v="553.68640000000005"/>
    <s v="Low"/>
    <s v="Timothy Sanders"/>
    <x v="0"/>
    <x v="28"/>
    <x v="2"/>
    <x v="3"/>
    <s v="Normal order"/>
  </r>
  <r>
    <s v="SALE1795"/>
    <d v="2024-06-12T00:00:00"/>
    <x v="4"/>
    <s v="CUST1004"/>
    <s v="PROD96"/>
    <s v="STORE4"/>
    <n v="2"/>
    <n v="2"/>
    <n v="649.89"/>
    <n v="0.17"/>
    <x v="2"/>
    <n v="1078.8173999999999"/>
    <s v="High"/>
    <s v="Caroline Collins"/>
    <x v="4"/>
    <x v="76"/>
    <x v="1"/>
    <x v="1"/>
    <s v="Normal order"/>
  </r>
  <r>
    <s v="SALE1796"/>
    <d v="2025-08-08T00:00:00"/>
    <x v="10"/>
    <s v="CUST1204"/>
    <s v="PROD53"/>
    <s v="STORE6"/>
    <n v="1"/>
    <n v="1"/>
    <n v="952.73"/>
    <n v="0.17"/>
    <x v="0"/>
    <n v="790.76589999999999"/>
    <s v="Low"/>
    <s v="Tiffany Herrera"/>
    <x v="4"/>
    <x v="20"/>
    <x v="2"/>
    <x v="2"/>
    <s v="Normal order"/>
  </r>
  <r>
    <s v="SALE1797"/>
    <d v="2025-08-06T00:00:00"/>
    <x v="10"/>
    <s v="CUST1084"/>
    <s v="PROD99"/>
    <s v="STORE16"/>
    <n v="4"/>
    <n v="4"/>
    <n v="820.78"/>
    <n v="0.25"/>
    <x v="0"/>
    <n v="2462.34"/>
    <s v="High"/>
    <s v="Christy Hoffman"/>
    <x v="2"/>
    <x v="86"/>
    <x v="3"/>
    <x v="2"/>
    <s v="Bulk order"/>
  </r>
  <r>
    <s v="SALE1798"/>
    <d v="2024-10-27T00:00:00"/>
    <x v="6"/>
    <s v="CUST1342"/>
    <s v="PROD38"/>
    <s v="STORE3"/>
    <n v="4"/>
    <n v="4"/>
    <n v="247.55"/>
    <n v="0.05"/>
    <x v="0"/>
    <n v="940.69"/>
    <s v="Low"/>
    <s v="Michelle Cunningham"/>
    <x v="0"/>
    <x v="43"/>
    <x v="0"/>
    <x v="3"/>
    <s v="Bulk order"/>
  </r>
  <r>
    <s v="SALE1799"/>
    <d v="2024-03-18T00:00:00"/>
    <x v="9"/>
    <s v="CUST1227"/>
    <s v="PROD99"/>
    <s v="STORE8"/>
    <n v="3"/>
    <n v="3"/>
    <n v="561.44000000000005"/>
    <n v="0.2"/>
    <x v="2"/>
    <n v="1347.4559999999999"/>
    <s v="High"/>
    <s v="Gregory Pham"/>
    <x v="2"/>
    <x v="86"/>
    <x v="3"/>
    <x v="0"/>
    <s v="Normal order"/>
  </r>
  <r>
    <s v="SALE18"/>
    <d v="2024-08-13T00:00:00"/>
    <x v="10"/>
    <s v="CUST1094"/>
    <s v="PROD39"/>
    <s v="STORE4"/>
    <n v="2"/>
    <n v="2"/>
    <n v="559.23"/>
    <n v="0.25"/>
    <x v="2"/>
    <n v="838.84500000000003"/>
    <s v="Low"/>
    <s v="David Patterson"/>
    <x v="1"/>
    <x v="65"/>
    <x v="1"/>
    <x v="0"/>
    <s v="Normal order"/>
  </r>
  <r>
    <s v="SALE180"/>
    <d v="2023-11-05T00:00:00"/>
    <x v="8"/>
    <s v="CUST1478"/>
    <s v="PROD39"/>
    <s v="STORE12"/>
    <n v="3"/>
    <n v="3"/>
    <n v="954.29"/>
    <n v="0.27"/>
    <x v="0"/>
    <n v="2089.8951000000002"/>
    <s v="High"/>
    <s v="Earl Smith Dds"/>
    <x v="1"/>
    <x v="65"/>
    <x v="0"/>
    <x v="0"/>
    <s v="Normal order"/>
  </r>
  <r>
    <s v="SALE1800"/>
    <d v="2023-11-19T00:00:00"/>
    <x v="8"/>
    <s v="CUST1281"/>
    <s v="PROD72"/>
    <s v="STORE8"/>
    <n v="4"/>
    <n v="4"/>
    <n v="214.37"/>
    <n v="0.11"/>
    <x v="2"/>
    <n v="763.15719999999999"/>
    <s v="Low"/>
    <s v="Brittany Watson"/>
    <x v="0"/>
    <x v="35"/>
    <x v="3"/>
    <x v="2"/>
    <s v="Bulk order"/>
  </r>
  <r>
    <s v="SALE1801"/>
    <d v="2025-03-25T00:00:00"/>
    <x v="9"/>
    <s v="CUST1417"/>
    <s v="PROD17"/>
    <s v="STORE16"/>
    <n v="3"/>
    <n v="3"/>
    <n v="123.74"/>
    <n v="0.23"/>
    <x v="1"/>
    <n v="285.83940000000001"/>
    <s v="Low"/>
    <s v="Karen King"/>
    <x v="0"/>
    <x v="29"/>
    <x v="3"/>
    <x v="3"/>
    <s v="Normal order"/>
  </r>
  <r>
    <s v="SALE1802"/>
    <d v="2024-05-15T00:00:00"/>
    <x v="11"/>
    <s v="CUST1013"/>
    <s v="PROD67"/>
    <s v="STORE11"/>
    <n v="4"/>
    <n v="4"/>
    <n v="645.71"/>
    <n v="0.1"/>
    <x v="1"/>
    <n v="2324.556"/>
    <s v="High"/>
    <s v="Nathan Hernandez"/>
    <x v="1"/>
    <x v="99"/>
    <x v="1"/>
    <x v="1"/>
    <s v="Bulk order"/>
  </r>
  <r>
    <s v="SALE1803"/>
    <d v="2025-03-20T00:00:00"/>
    <x v="9"/>
    <s v="CUST1033"/>
    <s v="PROD21"/>
    <s v="STORE12"/>
    <n v="3"/>
    <n v="3"/>
    <n v="587.12"/>
    <n v="0.3"/>
    <x v="0"/>
    <n v="1232.952"/>
    <s v="High"/>
    <s v="Robert Jones Dds"/>
    <x v="2"/>
    <x v="54"/>
    <x v="0"/>
    <x v="2"/>
    <s v="Normal order"/>
  </r>
  <r>
    <s v="SALE1804"/>
    <d v="2025-10-11T00:00:00"/>
    <x v="6"/>
    <s v="CUST1241"/>
    <s v="PROD25"/>
    <s v="STORE18"/>
    <n v="1"/>
    <n v="1"/>
    <n v="401.18"/>
    <n v="0.15"/>
    <x v="2"/>
    <n v="341.00299999999999"/>
    <s v="Low"/>
    <s v="Mr. William Horton"/>
    <x v="4"/>
    <x v="13"/>
    <x v="2"/>
    <x v="2"/>
    <s v="Normal order"/>
  </r>
  <r>
    <s v="SALE1805"/>
    <d v="2024-07-13T00:00:00"/>
    <x v="0"/>
    <s v="CUST1366"/>
    <s v="PROD58"/>
    <s v="STORE18"/>
    <n v="3"/>
    <n v="3"/>
    <n v="658.33"/>
    <n v="0.12"/>
    <x v="2"/>
    <n v="1737.9911999999999"/>
    <s v="High"/>
    <s v="Mallory Allen"/>
    <x v="4"/>
    <x v="36"/>
    <x v="2"/>
    <x v="2"/>
    <s v="Normal order"/>
  </r>
  <r>
    <s v="SALE1806"/>
    <d v="2024-07-01T00:00:00"/>
    <x v="0"/>
    <s v="CUST1201"/>
    <s v="PROD49"/>
    <s v="STORE11"/>
    <n v="4"/>
    <n v="4"/>
    <n v="450.3"/>
    <n v="0.02"/>
    <x v="0"/>
    <n v="1765.1759999999999"/>
    <s v="High"/>
    <s v="Mary Boyd"/>
    <x v="3"/>
    <x v="80"/>
    <x v="1"/>
    <x v="3"/>
    <s v="Bulk order"/>
  </r>
  <r>
    <s v="SALE1807"/>
    <d v="2025-04-10T00:00:00"/>
    <x v="5"/>
    <s v="CUST1145"/>
    <s v="PROD94"/>
    <s v="STORE10"/>
    <n v="4"/>
    <n v="4"/>
    <n v="33.630000000000003"/>
    <n v="0.05"/>
    <x v="0"/>
    <n v="127.794"/>
    <s v="Low"/>
    <s v="Cameron Simpson"/>
    <x v="3"/>
    <x v="89"/>
    <x v="2"/>
    <x v="2"/>
    <s v="Bulk order"/>
  </r>
  <r>
    <s v="SALE1808"/>
    <d v="2024-07-02T00:00:00"/>
    <x v="0"/>
    <s v="CUST1035"/>
    <s v="PROD16"/>
    <s v="STORE0"/>
    <n v="3"/>
    <n v="3"/>
    <n v="168.89"/>
    <n v="0.03"/>
    <x v="2"/>
    <n v="491.46989999999988"/>
    <s v="Low"/>
    <s v="Rachel Myers"/>
    <x v="3"/>
    <x v="63"/>
    <x v="2"/>
    <x v="1"/>
    <s v="Normal order"/>
  </r>
  <r>
    <s v="SALE1809"/>
    <d v="2024-09-11T00:00:00"/>
    <x v="7"/>
    <s v="CUST1095"/>
    <s v="PROD60"/>
    <s v="STORE11"/>
    <n v="1"/>
    <n v="1"/>
    <n v="141.85"/>
    <n v="0.06"/>
    <x v="1"/>
    <n v="133.339"/>
    <s v="Low"/>
    <s v="Amy Fowler"/>
    <x v="3"/>
    <x v="18"/>
    <x v="1"/>
    <x v="2"/>
    <s v="Normal order"/>
  </r>
  <r>
    <s v="SALE181"/>
    <d v="2025-02-22T00:00:00"/>
    <x v="2"/>
    <s v="CUST1462"/>
    <s v="PROD33"/>
    <s v="STORE13"/>
    <n v="3"/>
    <n v="3"/>
    <n v="53.92"/>
    <n v="0.15"/>
    <x v="1"/>
    <n v="137.49600000000001"/>
    <s v="Low"/>
    <s v="Beth Martin"/>
    <x v="2"/>
    <x v="3"/>
    <x v="2"/>
    <x v="1"/>
    <s v="Normal order"/>
  </r>
  <r>
    <s v="SALE1810"/>
    <d v="2024-08-16T00:00:00"/>
    <x v="10"/>
    <s v="CUST1306"/>
    <s v="PROD35"/>
    <s v="STORE7"/>
    <n v="1"/>
    <n v="1"/>
    <n v="617.4"/>
    <n v="0.21"/>
    <x v="0"/>
    <n v="487.74599999999998"/>
    <s v="Low"/>
    <s v="Angela Robinson"/>
    <x v="2"/>
    <x v="44"/>
    <x v="1"/>
    <x v="2"/>
    <s v="Normal order"/>
  </r>
  <r>
    <s v="SALE1811"/>
    <d v="2024-08-30T00:00:00"/>
    <x v="10"/>
    <s v="CUST1147"/>
    <s v="PROD53"/>
    <s v="STORE1"/>
    <n v="3"/>
    <n v="3"/>
    <n v="841.47"/>
    <n v="0.15"/>
    <x v="2"/>
    <n v="2145.7485000000001"/>
    <s v="High"/>
    <s v="Rhonda Young"/>
    <x v="4"/>
    <x v="20"/>
    <x v="0"/>
    <x v="2"/>
    <s v="Normal order"/>
  </r>
  <r>
    <s v="SALE1812"/>
    <d v="2024-02-12T00:00:00"/>
    <x v="2"/>
    <s v="CUST1059"/>
    <s v="PROD21"/>
    <s v="STORE13"/>
    <n v="2"/>
    <n v="2"/>
    <n v="960.41"/>
    <n v="0.18"/>
    <x v="0"/>
    <n v="1575.0724"/>
    <s v="High"/>
    <s v="Alyssa Vargas"/>
    <x v="2"/>
    <x v="54"/>
    <x v="2"/>
    <x v="2"/>
    <s v="Normal order"/>
  </r>
  <r>
    <s v="SALE1813"/>
    <d v="2023-12-29T00:00:00"/>
    <x v="1"/>
    <s v="CUST1451"/>
    <s v="PROD75"/>
    <s v="STORE18"/>
    <n v="3"/>
    <n v="3"/>
    <n v="717.22"/>
    <n v="0.24"/>
    <x v="1"/>
    <n v="1635.2616"/>
    <s v="High"/>
    <s v="Ashley Roberts"/>
    <x v="4"/>
    <x v="10"/>
    <x v="2"/>
    <x v="0"/>
    <s v="Normal order"/>
  </r>
  <r>
    <s v="SALE1814"/>
    <d v="2025-06-24T00:00:00"/>
    <x v="4"/>
    <s v="CUST1115"/>
    <s v="PROD12"/>
    <s v="STORE0"/>
    <n v="1"/>
    <n v="1"/>
    <n v="281.83"/>
    <n v="0.16"/>
    <x v="2"/>
    <n v="236.7372"/>
    <s v="Low"/>
    <s v="Tyler Conrad"/>
    <x v="3"/>
    <x v="85"/>
    <x v="2"/>
    <x v="2"/>
    <s v="Normal order"/>
  </r>
  <r>
    <s v="SALE1815"/>
    <d v="2024-04-18T00:00:00"/>
    <x v="5"/>
    <s v="CUST1204"/>
    <s v="PROD59"/>
    <s v="STORE14"/>
    <n v="1"/>
    <n v="1"/>
    <n v="509.08"/>
    <n v="0.04"/>
    <x v="1"/>
    <n v="488.71679999999998"/>
    <s v="Low"/>
    <s v="Tiffany Herrera"/>
    <x v="3"/>
    <x v="4"/>
    <x v="1"/>
    <x v="2"/>
    <s v="Normal order"/>
  </r>
  <r>
    <s v="SALE1816"/>
    <d v="2025-09-30T00:00:00"/>
    <x v="7"/>
    <s v="CUST1400"/>
    <s v="PROD96"/>
    <s v="STORE2"/>
    <n v="4"/>
    <n v="4"/>
    <n v="827.09"/>
    <n v="0.3"/>
    <x v="0"/>
    <n v="2315.8519999999999"/>
    <s v="High"/>
    <s v="Mark Rogers"/>
    <x v="4"/>
    <x v="76"/>
    <x v="1"/>
    <x v="2"/>
    <s v="Bulk order"/>
  </r>
  <r>
    <s v="SALE1817"/>
    <d v="2025-10-05T00:00:00"/>
    <x v="6"/>
    <s v="CUST1210"/>
    <s v="PROD29"/>
    <s v="STORE4"/>
    <n v="2"/>
    <n v="2"/>
    <n v="823.36"/>
    <n v="0.23"/>
    <x v="0"/>
    <n v="1267.9744000000001"/>
    <s v="High"/>
    <s v="Antonio Jones"/>
    <x v="2"/>
    <x v="62"/>
    <x v="1"/>
    <x v="1"/>
    <s v="Normal order"/>
  </r>
  <r>
    <s v="SALE1818"/>
    <d v="2025-06-06T00:00:00"/>
    <x v="4"/>
    <s v="CUST1137"/>
    <s v="PROD26"/>
    <s v="STORE5"/>
    <n v="4"/>
    <n v="4"/>
    <n v="282.18"/>
    <n v="0.13"/>
    <x v="2"/>
    <n v="981.9864"/>
    <s v="Low"/>
    <s v="Rick Dominguez"/>
    <x v="1"/>
    <x v="81"/>
    <x v="0"/>
    <x v="2"/>
    <s v="Bulk order"/>
  </r>
  <r>
    <s v="SALE1819"/>
    <d v="2024-02-01T00:00:00"/>
    <x v="2"/>
    <s v="CUST1172"/>
    <s v="PROD21"/>
    <s v="STORE1"/>
    <n v="1"/>
    <n v="1"/>
    <n v="486.39"/>
    <n v="0.09"/>
    <x v="2"/>
    <n v="442.61489999999998"/>
    <s v="Low"/>
    <s v="Thomas Rhodes"/>
    <x v="2"/>
    <x v="54"/>
    <x v="0"/>
    <x v="3"/>
    <s v="Normal order"/>
  </r>
  <r>
    <s v="SALE182"/>
    <d v="2025-04-06T00:00:00"/>
    <x v="5"/>
    <s v="CUST1396"/>
    <s v="PROD34"/>
    <s v="STORE0"/>
    <n v="4"/>
    <n v="4"/>
    <n v="741.88"/>
    <n v="0.02"/>
    <x v="2"/>
    <n v="2908.1696000000002"/>
    <s v="High"/>
    <s v="Alexander Byrd"/>
    <x v="1"/>
    <x v="21"/>
    <x v="2"/>
    <x v="1"/>
    <s v="Bulk order"/>
  </r>
  <r>
    <s v="SALE1820"/>
    <d v="2024-01-21T00:00:00"/>
    <x v="3"/>
    <s v="CUST1044"/>
    <s v="PROD18"/>
    <s v="STORE3"/>
    <n v="2"/>
    <n v="2"/>
    <n v="603.62"/>
    <n v="0.18"/>
    <x v="2"/>
    <n v="989.93680000000006"/>
    <s v="Low"/>
    <s v="Denise Williams"/>
    <x v="4"/>
    <x v="83"/>
    <x v="0"/>
    <x v="3"/>
    <s v="Normal order"/>
  </r>
  <r>
    <s v="SALE1821"/>
    <d v="2024-09-19T00:00:00"/>
    <x v="7"/>
    <s v="CUST1147"/>
    <s v="PROD37"/>
    <s v="STORE8"/>
    <n v="3"/>
    <n v="3"/>
    <n v="204.17"/>
    <n v="0.1"/>
    <x v="1"/>
    <n v="551.25900000000001"/>
    <s v="Low"/>
    <s v="Rhonda Young"/>
    <x v="4"/>
    <x v="16"/>
    <x v="3"/>
    <x v="2"/>
    <s v="Normal order"/>
  </r>
  <r>
    <s v="SALE1822"/>
    <d v="2024-01-19T00:00:00"/>
    <x v="3"/>
    <s v="CUST1137"/>
    <s v="PROD8"/>
    <s v="STORE15"/>
    <n v="1"/>
    <n v="1"/>
    <n v="43.58"/>
    <n v="0.01"/>
    <x v="2"/>
    <n v="43.144199999999998"/>
    <s v="Low"/>
    <s v="Rick Dominguez"/>
    <x v="1"/>
    <x v="12"/>
    <x v="0"/>
    <x v="2"/>
    <s v="Normal order"/>
  </r>
  <r>
    <s v="SALE1823"/>
    <d v="2024-10-29T00:00:00"/>
    <x v="6"/>
    <s v="CUST1332"/>
    <s v="PROD47"/>
    <s v="STORE2"/>
    <n v="3"/>
    <n v="3"/>
    <n v="469.33"/>
    <n v="0.14000000000000001"/>
    <x v="1"/>
    <n v="1210.8714"/>
    <s v="High"/>
    <s v="Dr. Lindsay Hanna"/>
    <x v="3"/>
    <x v="37"/>
    <x v="1"/>
    <x v="3"/>
    <s v="Normal order"/>
  </r>
  <r>
    <s v="SALE1824"/>
    <d v="2025-07-02T00:00:00"/>
    <x v="0"/>
    <s v="CUST1209"/>
    <s v="PROD8"/>
    <s v="STORE8"/>
    <n v="4"/>
    <n v="4"/>
    <n v="836.23"/>
    <n v="0.12"/>
    <x v="0"/>
    <n v="2943.5295999999998"/>
    <s v="High"/>
    <s v="Joan Johnson"/>
    <x v="1"/>
    <x v="12"/>
    <x v="3"/>
    <x v="2"/>
    <s v="Bulk order"/>
  </r>
  <r>
    <s v="SALE1825"/>
    <d v="2024-09-14T00:00:00"/>
    <x v="7"/>
    <s v="CUST1178"/>
    <s v="PROD67"/>
    <s v="STORE19"/>
    <n v="2"/>
    <n v="2"/>
    <n v="661.53"/>
    <n v="0.2"/>
    <x v="1"/>
    <n v="1058.4480000000001"/>
    <s v="High"/>
    <s v="Michelle Myers"/>
    <x v="1"/>
    <x v="99"/>
    <x v="2"/>
    <x v="3"/>
    <s v="Normal order"/>
  </r>
  <r>
    <s v="SALE1826"/>
    <d v="2025-09-03T00:00:00"/>
    <x v="7"/>
    <s v="CUST1118"/>
    <s v="PROD56"/>
    <s v="STORE16"/>
    <n v="3"/>
    <n v="3"/>
    <n v="753.47"/>
    <n v="0.25"/>
    <x v="1"/>
    <n v="1695.3074999999999"/>
    <s v="High"/>
    <s v="Earl Allen"/>
    <x v="2"/>
    <x v="87"/>
    <x v="3"/>
    <x v="2"/>
    <s v="Normal order"/>
  </r>
  <r>
    <s v="SALE1827"/>
    <d v="2025-01-16T00:00:00"/>
    <x v="3"/>
    <s v="CUST1156"/>
    <s v="PROD64"/>
    <s v="STORE0"/>
    <n v="3"/>
    <n v="3"/>
    <n v="713.95"/>
    <n v="0"/>
    <x v="0"/>
    <n v="2141.85"/>
    <s v="High"/>
    <s v="Maria Sanchez"/>
    <x v="3"/>
    <x v="55"/>
    <x v="2"/>
    <x v="3"/>
    <s v="Normal order"/>
  </r>
  <r>
    <s v="SALE1828"/>
    <d v="2024-04-13T00:00:00"/>
    <x v="5"/>
    <s v="CUST1099"/>
    <s v="PROD11"/>
    <s v="STORE5"/>
    <n v="3"/>
    <n v="3"/>
    <n v="596"/>
    <n v="0.28000000000000003"/>
    <x v="2"/>
    <n v="1287.3599999999999"/>
    <s v="High"/>
    <s v="Sheila Wilson"/>
    <x v="1"/>
    <x v="68"/>
    <x v="0"/>
    <x v="1"/>
    <s v="Normal order"/>
  </r>
  <r>
    <s v="SALE1829"/>
    <d v="2024-03-28T00:00:00"/>
    <x v="9"/>
    <s v="CUST1334"/>
    <s v="PROD9"/>
    <s v="STORE9"/>
    <n v="2"/>
    <n v="2"/>
    <n v="169.46"/>
    <n v="0.03"/>
    <x v="1"/>
    <n v="328.75240000000002"/>
    <s v="Low"/>
    <s v="Mr. Christopher Sims"/>
    <x v="0"/>
    <x v="98"/>
    <x v="1"/>
    <x v="1"/>
    <s v="Normal order"/>
  </r>
  <r>
    <s v="SALE183"/>
    <d v="2024-10-29T00:00:00"/>
    <x v="6"/>
    <s v="CUST1033"/>
    <s v="PROD46"/>
    <s v="STORE3"/>
    <n v="1"/>
    <n v="1"/>
    <n v="547.09"/>
    <n v="0.01"/>
    <x v="1"/>
    <n v="541.6191"/>
    <s v="Low"/>
    <s v="Robert Jones Dds"/>
    <x v="4"/>
    <x v="41"/>
    <x v="0"/>
    <x v="2"/>
    <s v="Normal order"/>
  </r>
  <r>
    <s v="SALE1830"/>
    <d v="2025-07-22T00:00:00"/>
    <x v="0"/>
    <s v="CUST1300"/>
    <s v="PROD65"/>
    <s v="STORE14"/>
    <n v="4"/>
    <n v="4"/>
    <n v="611.91999999999996"/>
    <n v="0.2"/>
    <x v="1"/>
    <n v="1958.144"/>
    <s v="High"/>
    <s v="Matthew Avery"/>
    <x v="0"/>
    <x v="74"/>
    <x v="1"/>
    <x v="1"/>
    <s v="Bulk order"/>
  </r>
  <r>
    <s v="SALE1831"/>
    <d v="2025-02-16T00:00:00"/>
    <x v="2"/>
    <s v="CUST1003"/>
    <s v="PROD74"/>
    <s v="STORE15"/>
    <n v="2"/>
    <n v="2"/>
    <n v="25.3"/>
    <n v="0.21"/>
    <x v="0"/>
    <n v="39.973999999999997"/>
    <s v="Low"/>
    <s v="Jeremy Harris"/>
    <x v="1"/>
    <x v="1"/>
    <x v="0"/>
    <x v="3"/>
    <s v="Normal order"/>
  </r>
  <r>
    <s v="SALE1832"/>
    <d v="2024-02-05T00:00:00"/>
    <x v="2"/>
    <s v="CUST1433"/>
    <s v="PROD73"/>
    <s v="STORE10"/>
    <n v="4"/>
    <n v="4"/>
    <n v="166.93"/>
    <n v="0.02"/>
    <x v="1"/>
    <n v="654.36559999999997"/>
    <s v="Low"/>
    <s v="Thomas Moore"/>
    <x v="0"/>
    <x v="6"/>
    <x v="2"/>
    <x v="1"/>
    <s v="Bulk order"/>
  </r>
  <r>
    <s v="SALE1833"/>
    <d v="2025-03-05T00:00:00"/>
    <x v="9"/>
    <s v="CUST1280"/>
    <s v="PROD60"/>
    <s v="STORE11"/>
    <n v="4"/>
    <n v="4"/>
    <n v="861.55"/>
    <n v="0.12"/>
    <x v="0"/>
    <n v="3032.6559999999999"/>
    <s v="High"/>
    <s v="Antonio Leon"/>
    <x v="3"/>
    <x v="18"/>
    <x v="1"/>
    <x v="3"/>
    <s v="Bulk order"/>
  </r>
  <r>
    <s v="SALE1834"/>
    <d v="2025-07-04T00:00:00"/>
    <x v="0"/>
    <s v="CUST1360"/>
    <s v="PROD43"/>
    <s v="STORE5"/>
    <n v="3"/>
    <n v="3"/>
    <n v="56.17"/>
    <n v="0.01"/>
    <x v="2"/>
    <n v="166.82490000000001"/>
    <s v="Low"/>
    <s v="Denise Tate"/>
    <x v="1"/>
    <x v="34"/>
    <x v="0"/>
    <x v="2"/>
    <s v="Normal order"/>
  </r>
  <r>
    <s v="SALE1835"/>
    <d v="2025-07-24T00:00:00"/>
    <x v="0"/>
    <s v="CUST1266"/>
    <s v="PROD15"/>
    <s v="STORE19"/>
    <n v="1"/>
    <n v="1"/>
    <n v="582.29"/>
    <n v="0.2"/>
    <x v="0"/>
    <n v="465.83199999999999"/>
    <s v="Low"/>
    <s v="Cynthia Payne"/>
    <x v="1"/>
    <x v="42"/>
    <x v="2"/>
    <x v="3"/>
    <s v="Normal order"/>
  </r>
  <r>
    <s v="SALE1836"/>
    <d v="2025-01-24T00:00:00"/>
    <x v="3"/>
    <s v="CUST1261"/>
    <s v="PROD83"/>
    <s v="STORE0"/>
    <n v="3"/>
    <n v="3"/>
    <n v="63.96"/>
    <n v="0.02"/>
    <x v="0"/>
    <n v="188.04239999999999"/>
    <s v="Low"/>
    <s v="Carol Bishop"/>
    <x v="3"/>
    <x v="61"/>
    <x v="2"/>
    <x v="1"/>
    <s v="Normal order"/>
  </r>
  <r>
    <s v="SALE1837"/>
    <d v="2024-04-10T00:00:00"/>
    <x v="5"/>
    <s v="CUST1065"/>
    <s v="PROD9"/>
    <s v="STORE12"/>
    <n v="1"/>
    <n v="1"/>
    <n v="829.83"/>
    <n v="0.26"/>
    <x v="2"/>
    <n v="614.07420000000002"/>
    <s v="Low"/>
    <s v="Michael Thomas"/>
    <x v="0"/>
    <x v="98"/>
    <x v="0"/>
    <x v="1"/>
    <s v="Normal order"/>
  </r>
  <r>
    <s v="SALE1838"/>
    <d v="2024-10-21T00:00:00"/>
    <x v="6"/>
    <s v="CUST1370"/>
    <s v="PROD34"/>
    <s v="STORE16"/>
    <n v="2"/>
    <n v="2"/>
    <n v="858.15"/>
    <n v="0.03"/>
    <x v="0"/>
    <n v="1664.8109999999999"/>
    <s v="High"/>
    <s v="James Holloway Jr."/>
    <x v="1"/>
    <x v="21"/>
    <x v="3"/>
    <x v="1"/>
    <s v="Normal order"/>
  </r>
  <r>
    <s v="SALE1839"/>
    <d v="2024-02-18T00:00:00"/>
    <x v="2"/>
    <s v="CUST1359"/>
    <s v="PROD73"/>
    <s v="STORE13"/>
    <n v="3"/>
    <n v="3"/>
    <n v="717.32"/>
    <n v="0.23"/>
    <x v="2"/>
    <n v="1657.0092"/>
    <s v="High"/>
    <s v="Melanie Lam"/>
    <x v="0"/>
    <x v="6"/>
    <x v="2"/>
    <x v="1"/>
    <s v="Normal order"/>
  </r>
  <r>
    <s v="SALE184"/>
    <d v="2025-01-29T00:00:00"/>
    <x v="3"/>
    <s v="CUST1489"/>
    <s v="PROD89"/>
    <s v="STORE3"/>
    <n v="1"/>
    <n v="1"/>
    <n v="789.35"/>
    <n v="0.14000000000000001"/>
    <x v="1"/>
    <n v="678.84100000000001"/>
    <s v="Low"/>
    <s v="Melinda Thomas"/>
    <x v="3"/>
    <x v="53"/>
    <x v="0"/>
    <x v="1"/>
    <s v="Normal order"/>
  </r>
  <r>
    <s v="SALE1840"/>
    <d v="2025-07-15T00:00:00"/>
    <x v="0"/>
    <s v="CUST1428"/>
    <s v="PROD83"/>
    <s v="STORE12"/>
    <n v="1"/>
    <n v="1"/>
    <n v="163.19999999999999"/>
    <n v="0.22"/>
    <x v="1"/>
    <n v="127.29600000000001"/>
    <s v="Low"/>
    <s v="Samuel Mullins"/>
    <x v="3"/>
    <x v="61"/>
    <x v="0"/>
    <x v="3"/>
    <s v="Normal order"/>
  </r>
  <r>
    <s v="SALE1841"/>
    <d v="2024-07-16T00:00:00"/>
    <x v="0"/>
    <s v="CUST1126"/>
    <s v="PROD81"/>
    <s v="STORE12"/>
    <n v="2"/>
    <n v="2"/>
    <n v="966.71"/>
    <n v="0.11"/>
    <x v="0"/>
    <n v="1720.7438"/>
    <s v="High"/>
    <s v="James Wolfe"/>
    <x v="0"/>
    <x v="15"/>
    <x v="0"/>
    <x v="0"/>
    <s v="Normal order"/>
  </r>
  <r>
    <s v="SALE1842"/>
    <d v="2025-04-14T00:00:00"/>
    <x v="5"/>
    <s v="CUST1348"/>
    <s v="PROD35"/>
    <s v="STORE13"/>
    <n v="2"/>
    <n v="2"/>
    <n v="873.94"/>
    <n v="0.14000000000000001"/>
    <x v="2"/>
    <n v="1503.1768"/>
    <s v="High"/>
    <s v="Sherry Cabrera"/>
    <x v="2"/>
    <x v="44"/>
    <x v="2"/>
    <x v="1"/>
    <s v="Normal order"/>
  </r>
  <r>
    <s v="SALE1843"/>
    <d v="2024-03-28T00:00:00"/>
    <x v="9"/>
    <s v="CUST1149"/>
    <s v="PROD0"/>
    <s v="STORE3"/>
    <n v="1"/>
    <n v="1"/>
    <n v="140.24"/>
    <n v="0.27"/>
    <x v="0"/>
    <n v="102.37520000000001"/>
    <s v="Low"/>
    <s v="Denise Griffin"/>
    <x v="1"/>
    <x v="7"/>
    <x v="0"/>
    <x v="2"/>
    <s v="Normal order"/>
  </r>
  <r>
    <s v="SALE1844"/>
    <d v="2025-02-28T00:00:00"/>
    <x v="2"/>
    <s v="CUST1201"/>
    <s v="PROD43"/>
    <s v="STORE5"/>
    <n v="2"/>
    <n v="2"/>
    <n v="549.91999999999996"/>
    <n v="0.28000000000000003"/>
    <x v="0"/>
    <n v="791.88479999999993"/>
    <s v="Low"/>
    <s v="Mary Boyd"/>
    <x v="1"/>
    <x v="34"/>
    <x v="0"/>
    <x v="3"/>
    <s v="Normal order"/>
  </r>
  <r>
    <s v="SALE1845"/>
    <d v="2024-03-13T00:00:00"/>
    <x v="9"/>
    <s v="CUST1111"/>
    <s v="PROD17"/>
    <s v="STORE5"/>
    <n v="4"/>
    <n v="4"/>
    <n v="715.88"/>
    <n v="0.19"/>
    <x v="1"/>
    <n v="2319.4512"/>
    <s v="High"/>
    <s v="Julie Farmer"/>
    <x v="0"/>
    <x v="29"/>
    <x v="0"/>
    <x v="2"/>
    <s v="Bulk order"/>
  </r>
  <r>
    <s v="SALE1846"/>
    <d v="2025-04-05T00:00:00"/>
    <x v="5"/>
    <s v="CUST1371"/>
    <s v="PROD2"/>
    <s v="STORE8"/>
    <n v="3"/>
    <n v="3"/>
    <n v="591.9"/>
    <n v="0.27"/>
    <x v="0"/>
    <n v="1296.261"/>
    <s v="High"/>
    <s v="Michael Garner"/>
    <x v="4"/>
    <x v="60"/>
    <x v="3"/>
    <x v="2"/>
    <s v="Normal order"/>
  </r>
  <r>
    <s v="SALE1847"/>
    <d v="2025-08-14T00:00:00"/>
    <x v="10"/>
    <s v="CUST1375"/>
    <s v="PROD22"/>
    <s v="STORE10"/>
    <n v="2"/>
    <n v="2"/>
    <n v="523.14"/>
    <n v="0.13"/>
    <x v="1"/>
    <n v="910.2636"/>
    <s v="Low"/>
    <s v="Joshua Bell"/>
    <x v="0"/>
    <x v="59"/>
    <x v="2"/>
    <x v="2"/>
    <s v="Normal order"/>
  </r>
  <r>
    <s v="SALE1848"/>
    <d v="2024-07-04T00:00:00"/>
    <x v="0"/>
    <s v="CUST1226"/>
    <s v="PROD69"/>
    <s v="STORE14"/>
    <n v="2"/>
    <n v="2"/>
    <n v="478.62"/>
    <n v="0.17"/>
    <x v="2"/>
    <n v="794.50919999999996"/>
    <s v="Low"/>
    <s v="Alexis Castaneda"/>
    <x v="4"/>
    <x v="5"/>
    <x v="1"/>
    <x v="0"/>
    <s v="Normal order"/>
  </r>
  <r>
    <s v="SALE1849"/>
    <d v="2024-09-21T00:00:00"/>
    <x v="7"/>
    <s v="CUST1299"/>
    <s v="PROD82"/>
    <s v="STORE1"/>
    <n v="4"/>
    <n v="4"/>
    <n v="740.5"/>
    <n v="0.17"/>
    <x v="1"/>
    <n v="2458.46"/>
    <s v="High"/>
    <s v="Stephanie Jacobs"/>
    <x v="0"/>
    <x v="26"/>
    <x v="0"/>
    <x v="2"/>
    <s v="Bulk order"/>
  </r>
  <r>
    <s v="SALE185"/>
    <d v="2024-03-03T00:00:00"/>
    <x v="9"/>
    <s v="CUST1428"/>
    <s v="PROD63"/>
    <s v="STORE3"/>
    <n v="3"/>
    <n v="3"/>
    <n v="476.78"/>
    <n v="0.09"/>
    <x v="2"/>
    <n v="1301.6094000000001"/>
    <s v="High"/>
    <s v="Samuel Mullins"/>
    <x v="3"/>
    <x v="11"/>
    <x v="0"/>
    <x v="3"/>
    <s v="Normal order"/>
  </r>
  <r>
    <s v="SALE1850"/>
    <d v="2024-06-22T00:00:00"/>
    <x v="4"/>
    <s v="CUST1112"/>
    <s v="PROD46"/>
    <s v="STORE2"/>
    <n v="1"/>
    <n v="1"/>
    <n v="780.24"/>
    <n v="0.04"/>
    <x v="2"/>
    <n v="749.03039999999999"/>
    <s v="Low"/>
    <s v="David Cole"/>
    <x v="4"/>
    <x v="41"/>
    <x v="1"/>
    <x v="1"/>
    <s v="Normal order"/>
  </r>
  <r>
    <s v="SALE1851"/>
    <d v="2024-09-17T00:00:00"/>
    <x v="7"/>
    <s v="CUST1107"/>
    <s v="PROD70"/>
    <s v="STORE16"/>
    <n v="4"/>
    <n v="4"/>
    <n v="579.24"/>
    <n v="0.04"/>
    <x v="2"/>
    <n v="2224.2815999999998"/>
    <s v="High"/>
    <s v="Erica Carney"/>
    <x v="2"/>
    <x v="92"/>
    <x v="3"/>
    <x v="2"/>
    <s v="Bulk order"/>
  </r>
  <r>
    <s v="SALE1852"/>
    <d v="2024-12-09T00:00:00"/>
    <x v="1"/>
    <s v="CUST1371"/>
    <s v="PROD1"/>
    <s v="STORE2"/>
    <n v="3"/>
    <n v="3"/>
    <n v="268.95"/>
    <n v="0.04"/>
    <x v="1"/>
    <n v="774.57599999999991"/>
    <s v="Low"/>
    <s v="Michael Garner"/>
    <x v="4"/>
    <x v="93"/>
    <x v="1"/>
    <x v="2"/>
    <s v="Normal order"/>
  </r>
  <r>
    <s v="SALE1853"/>
    <d v="2025-03-24T00:00:00"/>
    <x v="9"/>
    <s v="CUST1305"/>
    <s v="PROD5"/>
    <s v="STORE4"/>
    <n v="1"/>
    <n v="1"/>
    <n v="47.47"/>
    <n v="0.28000000000000003"/>
    <x v="0"/>
    <n v="34.178400000000003"/>
    <s v="Low"/>
    <s v="Roberta Green"/>
    <x v="4"/>
    <x v="91"/>
    <x v="1"/>
    <x v="2"/>
    <s v="Normal order"/>
  </r>
  <r>
    <s v="SALE1854"/>
    <d v="2025-05-19T00:00:00"/>
    <x v="11"/>
    <s v="CUST1257"/>
    <s v="PROD33"/>
    <s v="STORE17"/>
    <n v="3"/>
    <n v="3"/>
    <n v="858.81"/>
    <n v="7.0000000000000007E-2"/>
    <x v="0"/>
    <n v="2396.0799000000002"/>
    <s v="High"/>
    <s v="Christopher David"/>
    <x v="2"/>
    <x v="3"/>
    <x v="0"/>
    <x v="1"/>
    <s v="Normal order"/>
  </r>
  <r>
    <s v="SALE1855"/>
    <d v="2025-02-22T00:00:00"/>
    <x v="2"/>
    <s v="CUST1310"/>
    <s v="PROD19"/>
    <s v="STORE10"/>
    <n v="3"/>
    <n v="3"/>
    <n v="569.98"/>
    <n v="0.05"/>
    <x v="0"/>
    <n v="1624.443"/>
    <s v="High"/>
    <s v="Kara Dodson"/>
    <x v="0"/>
    <x v="32"/>
    <x v="2"/>
    <x v="1"/>
    <s v="Normal order"/>
  </r>
  <r>
    <s v="SALE1856"/>
    <d v="2024-10-31T00:00:00"/>
    <x v="6"/>
    <s v="CUST1327"/>
    <s v="PROD74"/>
    <s v="STORE12"/>
    <n v="3"/>
    <n v="3"/>
    <n v="306.52"/>
    <n v="0.01"/>
    <x v="2"/>
    <n v="910.36439999999993"/>
    <s v="Low"/>
    <s v="Reginald Willis"/>
    <x v="1"/>
    <x v="1"/>
    <x v="0"/>
    <x v="3"/>
    <s v="Normal order"/>
  </r>
  <r>
    <s v="SALE1857"/>
    <d v="2024-03-03T00:00:00"/>
    <x v="9"/>
    <s v="CUST1064"/>
    <s v="PROD56"/>
    <s v="STORE13"/>
    <n v="3"/>
    <n v="3"/>
    <n v="184.67"/>
    <n v="0.03"/>
    <x v="2"/>
    <n v="537.38969999999995"/>
    <s v="Low"/>
    <s v="Mr. Mason Butler"/>
    <x v="2"/>
    <x v="87"/>
    <x v="2"/>
    <x v="0"/>
    <s v="Normal order"/>
  </r>
  <r>
    <s v="SALE1858"/>
    <d v="2024-05-16T00:00:00"/>
    <x v="11"/>
    <s v="CUST1482"/>
    <s v="PROD26"/>
    <s v="STORE5"/>
    <n v="4"/>
    <n v="4"/>
    <n v="189.56"/>
    <n v="0"/>
    <x v="2"/>
    <n v="758.24"/>
    <s v="Low"/>
    <s v="Sheri Joyce"/>
    <x v="1"/>
    <x v="81"/>
    <x v="0"/>
    <x v="2"/>
    <s v="Bulk order"/>
  </r>
  <r>
    <s v="SALE1859"/>
    <d v="2024-08-07T00:00:00"/>
    <x v="10"/>
    <s v="CUST1208"/>
    <s v="PROD75"/>
    <s v="STORE5"/>
    <n v="1"/>
    <n v="1"/>
    <n v="805.24"/>
    <n v="0.04"/>
    <x v="1"/>
    <n v="773.03039999999999"/>
    <s v="Low"/>
    <s v="John Perez"/>
    <x v="4"/>
    <x v="10"/>
    <x v="0"/>
    <x v="2"/>
    <s v="Normal order"/>
  </r>
  <r>
    <s v="SALE186"/>
    <d v="2024-11-04T00:00:00"/>
    <x v="8"/>
    <s v="CUST1453"/>
    <s v="PROD79"/>
    <s v="STORE18"/>
    <n v="2"/>
    <n v="2"/>
    <n v="504.26"/>
    <n v="0.04"/>
    <x v="1"/>
    <n v="968.17919999999992"/>
    <s v="Low"/>
    <s v="April Phillips"/>
    <x v="2"/>
    <x v="14"/>
    <x v="2"/>
    <x v="2"/>
    <s v="Normal order"/>
  </r>
  <r>
    <s v="SALE1860"/>
    <d v="2024-09-14T00:00:00"/>
    <x v="7"/>
    <s v="CUST1188"/>
    <s v="PROD54"/>
    <s v="STORE17"/>
    <n v="3"/>
    <n v="3"/>
    <n v="683.74"/>
    <n v="0.24"/>
    <x v="0"/>
    <n v="1558.9272000000001"/>
    <s v="High"/>
    <s v="Kimberly Brooks"/>
    <x v="0"/>
    <x v="8"/>
    <x v="0"/>
    <x v="1"/>
    <s v="Normal order"/>
  </r>
  <r>
    <s v="SALE1861"/>
    <d v="2024-10-08T00:00:00"/>
    <x v="6"/>
    <s v="CUST1210"/>
    <s v="PROD56"/>
    <s v="STORE18"/>
    <n v="3"/>
    <n v="3"/>
    <n v="439.21"/>
    <n v="0.28000000000000003"/>
    <x v="2"/>
    <n v="948.69359999999983"/>
    <s v="Low"/>
    <s v="Antonio Jones"/>
    <x v="2"/>
    <x v="87"/>
    <x v="2"/>
    <x v="1"/>
    <s v="Normal order"/>
  </r>
  <r>
    <s v="SALE1862"/>
    <d v="2025-09-04T00:00:00"/>
    <x v="7"/>
    <s v="CUST1119"/>
    <s v="PROD66"/>
    <s v="STORE6"/>
    <n v="1"/>
    <n v="1"/>
    <n v="126.92"/>
    <n v="0.24"/>
    <x v="2"/>
    <n v="96.459199999999996"/>
    <s v="Low"/>
    <s v="Michael Jones"/>
    <x v="3"/>
    <x v="46"/>
    <x v="2"/>
    <x v="3"/>
    <s v="Normal order"/>
  </r>
  <r>
    <s v="SALE1863"/>
    <d v="2024-07-16T00:00:00"/>
    <x v="0"/>
    <s v="CUST1004"/>
    <s v="PROD73"/>
    <s v="STORE4"/>
    <n v="4"/>
    <n v="4"/>
    <n v="834.7"/>
    <n v="0.14000000000000001"/>
    <x v="0"/>
    <n v="2871.3679999999999"/>
    <s v="High"/>
    <s v="Caroline Collins"/>
    <x v="0"/>
    <x v="6"/>
    <x v="1"/>
    <x v="1"/>
    <s v="Bulk order"/>
  </r>
  <r>
    <s v="SALE1864"/>
    <d v="2025-09-09T00:00:00"/>
    <x v="7"/>
    <s v="CUST1341"/>
    <s v="PROD42"/>
    <s v="STORE11"/>
    <n v="2"/>
    <n v="2"/>
    <n v="271.88"/>
    <n v="0.11"/>
    <x v="2"/>
    <n v="483.94639999999998"/>
    <s v="Low"/>
    <s v="Angela Williams"/>
    <x v="1"/>
    <x v="71"/>
    <x v="1"/>
    <x v="3"/>
    <s v="Normal order"/>
  </r>
  <r>
    <s v="SALE1865"/>
    <d v="2025-03-04T00:00:00"/>
    <x v="9"/>
    <s v="CUST1480"/>
    <s v="PROD11"/>
    <s v="STORE1"/>
    <n v="4"/>
    <n v="4"/>
    <n v="972.14"/>
    <n v="0.25"/>
    <x v="0"/>
    <n v="2916.42"/>
    <s v="High"/>
    <s v="Jordan Medina"/>
    <x v="1"/>
    <x v="68"/>
    <x v="0"/>
    <x v="3"/>
    <s v="Bulk order"/>
  </r>
  <r>
    <s v="SALE1866"/>
    <d v="2025-06-23T00:00:00"/>
    <x v="4"/>
    <s v="CUST1093"/>
    <s v="PROD43"/>
    <s v="STORE4"/>
    <n v="3"/>
    <n v="3"/>
    <n v="523.66"/>
    <n v="0.27"/>
    <x v="1"/>
    <n v="1146.8154"/>
    <s v="High"/>
    <s v="Christy Vasquez"/>
    <x v="1"/>
    <x v="34"/>
    <x v="1"/>
    <x v="0"/>
    <s v="Normal order"/>
  </r>
  <r>
    <s v="SALE1867"/>
    <d v="2024-11-06T00:00:00"/>
    <x v="8"/>
    <s v="CUST1148"/>
    <s v="PROD64"/>
    <s v="STORE2"/>
    <n v="4"/>
    <n v="4"/>
    <n v="838.99"/>
    <n v="0.16"/>
    <x v="0"/>
    <n v="2819.0064000000002"/>
    <s v="High"/>
    <s v="Theresa Campbell"/>
    <x v="3"/>
    <x v="55"/>
    <x v="1"/>
    <x v="3"/>
    <s v="Bulk order"/>
  </r>
  <r>
    <s v="SALE1868"/>
    <d v="2025-03-06T00:00:00"/>
    <x v="9"/>
    <s v="CUST1135"/>
    <s v="PROD11"/>
    <s v="STORE17"/>
    <n v="4"/>
    <n v="4"/>
    <n v="838.7"/>
    <n v="0.21"/>
    <x v="2"/>
    <n v="2650.2919999999999"/>
    <s v="High"/>
    <s v="Matthew Hanna"/>
    <x v="1"/>
    <x v="68"/>
    <x v="0"/>
    <x v="2"/>
    <s v="Bulk order"/>
  </r>
  <r>
    <s v="SALE1869"/>
    <d v="2025-05-17T00:00:00"/>
    <x v="11"/>
    <s v="CUST1420"/>
    <s v="PROD74"/>
    <s v="STORE8"/>
    <n v="3"/>
    <n v="3"/>
    <n v="943.24"/>
    <n v="0.21"/>
    <x v="0"/>
    <n v="2235.4787999999999"/>
    <s v="High"/>
    <s v="Dr. Tamara White Md"/>
    <x v="1"/>
    <x v="1"/>
    <x v="3"/>
    <x v="3"/>
    <s v="Normal order"/>
  </r>
  <r>
    <s v="SALE187"/>
    <d v="2024-09-03T00:00:00"/>
    <x v="7"/>
    <s v="CUST1272"/>
    <s v="PROD81"/>
    <s v="STORE6"/>
    <n v="2"/>
    <n v="2"/>
    <n v="549.33000000000004"/>
    <n v="0.01"/>
    <x v="2"/>
    <n v="1087.6733999999999"/>
    <s v="High"/>
    <s v="Adam Rowland"/>
    <x v="0"/>
    <x v="15"/>
    <x v="2"/>
    <x v="0"/>
    <s v="Normal order"/>
  </r>
  <r>
    <s v="SALE1870"/>
    <d v="2025-01-02T00:00:00"/>
    <x v="3"/>
    <s v="CUST1299"/>
    <s v="PROD0"/>
    <s v="STORE17"/>
    <n v="2"/>
    <n v="2"/>
    <n v="310.33"/>
    <n v="0.26"/>
    <x v="0"/>
    <n v="459.28840000000002"/>
    <s v="Low"/>
    <s v="Stephanie Jacobs"/>
    <x v="1"/>
    <x v="7"/>
    <x v="0"/>
    <x v="2"/>
    <s v="Normal order"/>
  </r>
  <r>
    <s v="SALE1871"/>
    <d v="2024-07-28T00:00:00"/>
    <x v="0"/>
    <s v="CUST1346"/>
    <s v="PROD45"/>
    <s v="STORE0"/>
    <n v="3"/>
    <n v="3"/>
    <n v="201.05"/>
    <n v="0.23"/>
    <x v="1"/>
    <n v="464.42550000000011"/>
    <s v="Low"/>
    <s v="John Jordan"/>
    <x v="0"/>
    <x v="23"/>
    <x v="2"/>
    <x v="2"/>
    <s v="Normal order"/>
  </r>
  <r>
    <s v="SALE1872"/>
    <d v="2024-04-26T00:00:00"/>
    <x v="5"/>
    <s v="CUST1252"/>
    <s v="PROD58"/>
    <s v="STORE17"/>
    <n v="1"/>
    <n v="1"/>
    <n v="803.37"/>
    <n v="0.3"/>
    <x v="1"/>
    <n v="562.35899999999992"/>
    <s v="Low"/>
    <s v="John Mccoy"/>
    <x v="4"/>
    <x v="36"/>
    <x v="0"/>
    <x v="1"/>
    <s v="Normal order"/>
  </r>
  <r>
    <s v="SALE1873"/>
    <d v="2025-08-17T00:00:00"/>
    <x v="10"/>
    <s v="CUST1036"/>
    <s v="PROD61"/>
    <s v="STORE15"/>
    <n v="3"/>
    <n v="3"/>
    <n v="259.98"/>
    <n v="7.0000000000000007E-2"/>
    <x v="2"/>
    <n v="725.3442"/>
    <s v="Low"/>
    <s v="Thomas Phillips"/>
    <x v="0"/>
    <x v="49"/>
    <x v="0"/>
    <x v="0"/>
    <s v="Normal order"/>
  </r>
  <r>
    <s v="SALE1874"/>
    <d v="2024-05-14T00:00:00"/>
    <x v="11"/>
    <s v="CUST1124"/>
    <s v="PROD2"/>
    <s v="STORE3"/>
    <n v="4"/>
    <n v="4"/>
    <n v="591.9"/>
    <n v="0.2"/>
    <x v="1"/>
    <n v="1894.08"/>
    <s v="High"/>
    <s v="Donald Lee"/>
    <x v="4"/>
    <x v="60"/>
    <x v="0"/>
    <x v="3"/>
    <s v="Bulk order"/>
  </r>
  <r>
    <s v="SALE1875"/>
    <d v="2025-03-14T00:00:00"/>
    <x v="9"/>
    <s v="CUST1031"/>
    <s v="PROD60"/>
    <s v="STORE12"/>
    <n v="2"/>
    <n v="2"/>
    <n v="396.9"/>
    <n v="0.18"/>
    <x v="1"/>
    <n v="650.91600000000005"/>
    <s v="Low"/>
    <s v="Sarah Vance"/>
    <x v="3"/>
    <x v="18"/>
    <x v="0"/>
    <x v="1"/>
    <s v="Normal order"/>
  </r>
  <r>
    <s v="SALE1876"/>
    <d v="2025-03-15T00:00:00"/>
    <x v="9"/>
    <s v="CUST1453"/>
    <s v="PROD98"/>
    <s v="STORE2"/>
    <n v="1"/>
    <n v="1"/>
    <n v="176.84"/>
    <n v="0.19"/>
    <x v="0"/>
    <n v="143.24039999999999"/>
    <s v="Low"/>
    <s v="April Phillips"/>
    <x v="1"/>
    <x v="51"/>
    <x v="1"/>
    <x v="2"/>
    <s v="Normal order"/>
  </r>
  <r>
    <s v="SALE1877"/>
    <d v="2023-12-12T00:00:00"/>
    <x v="1"/>
    <s v="CUST1254"/>
    <s v="PROD26"/>
    <s v="STORE0"/>
    <n v="2"/>
    <n v="2"/>
    <n v="614.21"/>
    <n v="0.11"/>
    <x v="1"/>
    <n v="1093.2937999999999"/>
    <s v="High"/>
    <s v="Linda Kline"/>
    <x v="1"/>
    <x v="81"/>
    <x v="2"/>
    <x v="1"/>
    <s v="Normal order"/>
  </r>
  <r>
    <s v="SALE1878"/>
    <d v="2024-10-19T00:00:00"/>
    <x v="6"/>
    <s v="CUST1108"/>
    <s v="PROD3"/>
    <s v="STORE7"/>
    <n v="3"/>
    <n v="3"/>
    <n v="604.66"/>
    <n v="0.18"/>
    <x v="2"/>
    <n v="1487.4636"/>
    <s v="High"/>
    <s v="Travis Holland"/>
    <x v="4"/>
    <x v="84"/>
    <x v="1"/>
    <x v="3"/>
    <s v="Normal order"/>
  </r>
  <r>
    <s v="SALE1879"/>
    <d v="2024-08-30T00:00:00"/>
    <x v="10"/>
    <s v="CUST1498"/>
    <s v="PROD2"/>
    <s v="STORE12"/>
    <n v="3"/>
    <n v="3"/>
    <n v="24.29"/>
    <n v="0.12"/>
    <x v="1"/>
    <n v="64.125600000000006"/>
    <s v="Low"/>
    <s v="Traci Gonzalez"/>
    <x v="4"/>
    <x v="60"/>
    <x v="0"/>
    <x v="1"/>
    <s v="Normal order"/>
  </r>
  <r>
    <s v="SALE188"/>
    <d v="2024-04-29T00:00:00"/>
    <x v="5"/>
    <s v="CUST1382"/>
    <s v="PROD4"/>
    <s v="STORE3"/>
    <n v="3"/>
    <n v="3"/>
    <n v="620.22"/>
    <n v="0.04"/>
    <x v="0"/>
    <n v="1786.2336"/>
    <s v="High"/>
    <s v="Martha Brown"/>
    <x v="4"/>
    <x v="58"/>
    <x v="0"/>
    <x v="0"/>
    <s v="Normal order"/>
  </r>
  <r>
    <s v="SALE1880"/>
    <d v="2024-07-09T00:00:00"/>
    <x v="0"/>
    <s v="CUST1121"/>
    <s v="PROD63"/>
    <s v="STORE11"/>
    <n v="1"/>
    <n v="1"/>
    <n v="503.95"/>
    <n v="0.24"/>
    <x v="1"/>
    <n v="383.00200000000001"/>
    <s v="Low"/>
    <s v="Joel Robinson"/>
    <x v="3"/>
    <x v="11"/>
    <x v="1"/>
    <x v="2"/>
    <s v="Normal order"/>
  </r>
  <r>
    <s v="SALE1881"/>
    <d v="2024-07-02T00:00:00"/>
    <x v="0"/>
    <s v="CUST1319"/>
    <s v="PROD51"/>
    <s v="STORE14"/>
    <n v="4"/>
    <n v="4"/>
    <n v="860.78"/>
    <n v="0.03"/>
    <x v="0"/>
    <n v="3339.8263999999999"/>
    <s v="High"/>
    <s v="Casey Simpson"/>
    <x v="1"/>
    <x v="78"/>
    <x v="1"/>
    <x v="2"/>
    <s v="Bulk order"/>
  </r>
  <r>
    <s v="SALE1882"/>
    <d v="2023-11-04T00:00:00"/>
    <x v="8"/>
    <s v="CUST1197"/>
    <s v="PROD42"/>
    <s v="STORE3"/>
    <n v="3"/>
    <n v="3"/>
    <n v="41.97"/>
    <n v="0.03"/>
    <x v="2"/>
    <n v="122.1327"/>
    <s v="Low"/>
    <s v="Andrea Jacobs"/>
    <x v="1"/>
    <x v="71"/>
    <x v="0"/>
    <x v="2"/>
    <s v="Normal order"/>
  </r>
  <r>
    <s v="SALE1883"/>
    <d v="2024-04-15T00:00:00"/>
    <x v="5"/>
    <s v="CUST1033"/>
    <s v="PROD15"/>
    <s v="STORE5"/>
    <n v="1"/>
    <n v="1"/>
    <n v="649.59"/>
    <n v="0.12"/>
    <x v="2"/>
    <n v="571.63920000000007"/>
    <s v="Low"/>
    <s v="Robert Jones Dds"/>
    <x v="1"/>
    <x v="42"/>
    <x v="0"/>
    <x v="2"/>
    <s v="Normal order"/>
  </r>
  <r>
    <s v="SALE1884"/>
    <d v="2024-07-29T00:00:00"/>
    <x v="0"/>
    <s v="CUST1053"/>
    <s v="PROD63"/>
    <s v="STORE9"/>
    <n v="2"/>
    <n v="2"/>
    <n v="386.09"/>
    <n v="0.19"/>
    <x v="1"/>
    <n v="625.46579999999994"/>
    <s v="Low"/>
    <s v="Sharon Brown"/>
    <x v="3"/>
    <x v="11"/>
    <x v="1"/>
    <x v="0"/>
    <s v="Normal order"/>
  </r>
  <r>
    <s v="SALE1885"/>
    <d v="2024-12-18T00:00:00"/>
    <x v="1"/>
    <s v="CUST1099"/>
    <s v="PROD51"/>
    <s v="STORE12"/>
    <n v="1"/>
    <n v="1"/>
    <n v="891.62"/>
    <n v="0.06"/>
    <x v="1"/>
    <n v="838.12279999999998"/>
    <s v="Low"/>
    <s v="Sheila Wilson"/>
    <x v="1"/>
    <x v="78"/>
    <x v="0"/>
    <x v="1"/>
    <s v="Normal order"/>
  </r>
  <r>
    <s v="SALE1886"/>
    <d v="2024-11-21T00:00:00"/>
    <x v="8"/>
    <s v="CUST1381"/>
    <s v="PROD64"/>
    <s v="STORE15"/>
    <n v="2"/>
    <n v="2"/>
    <n v="558.9"/>
    <n v="0.05"/>
    <x v="2"/>
    <n v="1061.9100000000001"/>
    <s v="High"/>
    <s v="Erika Padilla"/>
    <x v="3"/>
    <x v="55"/>
    <x v="0"/>
    <x v="1"/>
    <s v="Normal order"/>
  </r>
  <r>
    <s v="SALE1887"/>
    <d v="2025-05-20T00:00:00"/>
    <x v="11"/>
    <s v="CUST1352"/>
    <s v="PROD1"/>
    <s v="STORE3"/>
    <n v="2"/>
    <n v="2"/>
    <n v="99.04"/>
    <n v="0.26"/>
    <x v="2"/>
    <n v="146.57919999999999"/>
    <s v="Low"/>
    <s v="Michael Greene"/>
    <x v="4"/>
    <x v="93"/>
    <x v="0"/>
    <x v="1"/>
    <s v="Normal order"/>
  </r>
  <r>
    <s v="SALE1888"/>
    <d v="2025-03-24T00:00:00"/>
    <x v="9"/>
    <s v="CUST1291"/>
    <s v="PROD3"/>
    <s v="STORE8"/>
    <n v="4"/>
    <n v="4"/>
    <n v="625.13"/>
    <n v="0.06"/>
    <x v="0"/>
    <n v="2350.4888000000001"/>
    <s v="High"/>
    <s v="James Powell"/>
    <x v="4"/>
    <x v="84"/>
    <x v="3"/>
    <x v="3"/>
    <s v="Bulk order"/>
  </r>
  <r>
    <s v="SALE1889"/>
    <d v="2025-06-16T00:00:00"/>
    <x v="4"/>
    <s v="CUST1036"/>
    <s v="PROD40"/>
    <s v="STORE18"/>
    <n v="4"/>
    <n v="4"/>
    <n v="38.380000000000003"/>
    <n v="0.16"/>
    <x v="2"/>
    <n v="128.95679999999999"/>
    <s v="Low"/>
    <s v="Thomas Phillips"/>
    <x v="1"/>
    <x v="50"/>
    <x v="2"/>
    <x v="0"/>
    <s v="Bulk order"/>
  </r>
  <r>
    <s v="SALE189"/>
    <d v="2024-04-29T00:00:00"/>
    <x v="5"/>
    <s v="CUST1091"/>
    <s v="PROD46"/>
    <s v="STORE3"/>
    <n v="1"/>
    <n v="1"/>
    <n v="580.76"/>
    <n v="0.1"/>
    <x v="2"/>
    <n v="522.68399999999997"/>
    <s v="Low"/>
    <s v="Donna Gregory"/>
    <x v="4"/>
    <x v="41"/>
    <x v="0"/>
    <x v="1"/>
    <s v="Normal order"/>
  </r>
  <r>
    <s v="SALE1890"/>
    <d v="2024-04-22T00:00:00"/>
    <x v="5"/>
    <s v="CUST1492"/>
    <s v="PROD94"/>
    <s v="STORE10"/>
    <n v="4"/>
    <n v="4"/>
    <n v="731.72"/>
    <n v="0.22"/>
    <x v="2"/>
    <n v="2282.9663999999998"/>
    <s v="High"/>
    <s v="Darrell Miller"/>
    <x v="3"/>
    <x v="89"/>
    <x v="2"/>
    <x v="2"/>
    <s v="Bulk order"/>
  </r>
  <r>
    <s v="SALE1891"/>
    <d v="2025-09-16T00:00:00"/>
    <x v="7"/>
    <s v="CUST1457"/>
    <s v="PROD81"/>
    <s v="STORE19"/>
    <n v="3"/>
    <n v="3"/>
    <n v="825.33"/>
    <n v="0.21"/>
    <x v="0"/>
    <n v="1956.0320999999999"/>
    <s v="High"/>
    <s v="Christina Robertson"/>
    <x v="0"/>
    <x v="15"/>
    <x v="2"/>
    <x v="2"/>
    <s v="Normal order"/>
  </r>
  <r>
    <s v="SALE1892"/>
    <d v="2023-12-09T00:00:00"/>
    <x v="1"/>
    <s v="CUST1059"/>
    <s v="PROD70"/>
    <s v="STORE14"/>
    <n v="2"/>
    <n v="2"/>
    <n v="47.3"/>
    <n v="0.01"/>
    <x v="1"/>
    <n v="93.653999999999996"/>
    <s v="Low"/>
    <s v="Alyssa Vargas"/>
    <x v="2"/>
    <x v="92"/>
    <x v="1"/>
    <x v="2"/>
    <s v="Normal order"/>
  </r>
  <r>
    <s v="SALE1893"/>
    <d v="2024-07-20T00:00:00"/>
    <x v="0"/>
    <s v="CUST1171"/>
    <s v="PROD72"/>
    <s v="STORE17"/>
    <n v="1"/>
    <n v="1"/>
    <n v="389.12"/>
    <n v="0.18"/>
    <x v="1"/>
    <n v="319.07839999999999"/>
    <s v="Low"/>
    <s v="Amy Wilson"/>
    <x v="0"/>
    <x v="35"/>
    <x v="0"/>
    <x v="2"/>
    <s v="Normal order"/>
  </r>
  <r>
    <s v="SALE1894"/>
    <d v="2024-09-23T00:00:00"/>
    <x v="7"/>
    <s v="CUST1458"/>
    <s v="PROD82"/>
    <s v="STORE18"/>
    <n v="3"/>
    <n v="3"/>
    <n v="543.83000000000004"/>
    <n v="0.05"/>
    <x v="0"/>
    <n v="1549.9155000000001"/>
    <s v="High"/>
    <s v="Kelly Garrett"/>
    <x v="0"/>
    <x v="26"/>
    <x v="2"/>
    <x v="1"/>
    <s v="Normal order"/>
  </r>
  <r>
    <s v="SALE1895"/>
    <d v="2024-05-11T00:00:00"/>
    <x v="11"/>
    <s v="CUST1024"/>
    <s v="PROD14"/>
    <s v="STORE1"/>
    <n v="2"/>
    <n v="2"/>
    <n v="660.27"/>
    <n v="0.01"/>
    <x v="1"/>
    <n v="1307.3345999999999"/>
    <s v="High"/>
    <s v="Heather Collins"/>
    <x v="2"/>
    <x v="94"/>
    <x v="0"/>
    <x v="2"/>
    <s v="Normal order"/>
  </r>
  <r>
    <s v="SALE1896"/>
    <d v="2025-05-03T00:00:00"/>
    <x v="11"/>
    <s v="CUST1434"/>
    <s v="PROD13"/>
    <s v="STORE8"/>
    <n v="4"/>
    <n v="4"/>
    <n v="729.31"/>
    <n v="0.03"/>
    <x v="0"/>
    <n v="2829.7228"/>
    <s v="High"/>
    <s v="Monique Castro"/>
    <x v="1"/>
    <x v="75"/>
    <x v="3"/>
    <x v="0"/>
    <s v="Bulk order"/>
  </r>
  <r>
    <s v="SALE1897"/>
    <d v="2024-02-23T00:00:00"/>
    <x v="2"/>
    <s v="CUST1421"/>
    <s v="PROD87"/>
    <s v="STORE6"/>
    <n v="2"/>
    <n v="2"/>
    <n v="152.91"/>
    <n v="0.24"/>
    <x v="1"/>
    <n v="232.42320000000001"/>
    <s v="Low"/>
    <s v="Holly Robinson"/>
    <x v="2"/>
    <x v="48"/>
    <x v="2"/>
    <x v="2"/>
    <s v="Normal order"/>
  </r>
  <r>
    <s v="SALE1898"/>
    <d v="2024-02-22T00:00:00"/>
    <x v="2"/>
    <s v="CUST1461"/>
    <s v="PROD74"/>
    <s v="STORE15"/>
    <n v="4"/>
    <n v="4"/>
    <n v="592.14"/>
    <n v="0.12"/>
    <x v="2"/>
    <n v="2084.3328000000001"/>
    <s v="High"/>
    <s v="Paul Cox"/>
    <x v="1"/>
    <x v="1"/>
    <x v="0"/>
    <x v="1"/>
    <s v="Bulk order"/>
  </r>
  <r>
    <s v="SALE1899"/>
    <d v="2024-08-21T00:00:00"/>
    <x v="10"/>
    <s v="CUST1062"/>
    <s v="PROD78"/>
    <s v="STORE12"/>
    <n v="1"/>
    <n v="1"/>
    <n v="984.37"/>
    <n v="0"/>
    <x v="1"/>
    <n v="984.37"/>
    <s v="Low"/>
    <s v="James Bean"/>
    <x v="2"/>
    <x v="33"/>
    <x v="0"/>
    <x v="3"/>
    <s v="Normal order"/>
  </r>
  <r>
    <s v="SALE19"/>
    <d v="2024-03-18T00:00:00"/>
    <x v="9"/>
    <s v="CUST1239"/>
    <s v="PROD60"/>
    <s v="STORE13"/>
    <n v="4"/>
    <n v="4"/>
    <m/>
    <n v="0.04"/>
    <x v="2"/>
    <n v="1782.4512"/>
    <s v="High"/>
    <s v="Maria Hill"/>
    <x v="3"/>
    <x v="18"/>
    <x v="2"/>
    <x v="2"/>
    <s v="Bulk order"/>
  </r>
  <r>
    <s v="SALE190"/>
    <d v="2025-04-28T00:00:00"/>
    <x v="5"/>
    <s v="CUST1334"/>
    <s v="PROD71"/>
    <s v="STORE9"/>
    <n v="3"/>
    <n v="3"/>
    <n v="444.55"/>
    <n v="0.14000000000000001"/>
    <x v="1"/>
    <n v="1146.9390000000001"/>
    <s v="High"/>
    <s v="Mr. Christopher Sims"/>
    <x v="3"/>
    <x v="57"/>
    <x v="1"/>
    <x v="1"/>
    <s v="Normal order"/>
  </r>
  <r>
    <s v="SALE1900"/>
    <d v="2024-02-07T00:00:00"/>
    <x v="2"/>
    <s v="CUST1292"/>
    <s v="PROD1"/>
    <s v="STORE12"/>
    <n v="2"/>
    <n v="2"/>
    <n v="237.59"/>
    <n v="0.12"/>
    <x v="0"/>
    <n v="418.15839999999997"/>
    <s v="Low"/>
    <s v="Ricardo Jones"/>
    <x v="4"/>
    <x v="93"/>
    <x v="0"/>
    <x v="1"/>
    <s v="Normal order"/>
  </r>
  <r>
    <s v="SALE1901"/>
    <d v="2023-11-20T00:00:00"/>
    <x v="8"/>
    <s v="CUST1431"/>
    <s v="PROD25"/>
    <s v="STORE8"/>
    <n v="1"/>
    <n v="1"/>
    <n v="52.06"/>
    <n v="0.27"/>
    <x v="2"/>
    <n v="38.003799999999998"/>
    <s v="Low"/>
    <s v="John Smith"/>
    <x v="4"/>
    <x v="13"/>
    <x v="3"/>
    <x v="2"/>
    <s v="Normal order"/>
  </r>
  <r>
    <s v="SALE1902"/>
    <d v="2025-02-03T00:00:00"/>
    <x v="2"/>
    <s v="CUST1455"/>
    <s v="PROD3"/>
    <s v="STORE1"/>
    <n v="2"/>
    <n v="2"/>
    <n v="594.63"/>
    <n v="0.12"/>
    <x v="0"/>
    <n v="1046.5488"/>
    <s v="High"/>
    <s v="Tyler Weber"/>
    <x v="4"/>
    <x v="84"/>
    <x v="0"/>
    <x v="0"/>
    <s v="Normal order"/>
  </r>
  <r>
    <s v="SALE1903"/>
    <d v="2024-12-18T00:00:00"/>
    <x v="1"/>
    <s v="CUST1167"/>
    <s v="PROD3"/>
    <s v="STORE0"/>
    <n v="3"/>
    <n v="3"/>
    <n v="476.1"/>
    <n v="0.05"/>
    <x v="2"/>
    <n v="1356.885"/>
    <s v="High"/>
    <s v="Antonio Wade"/>
    <x v="4"/>
    <x v="84"/>
    <x v="2"/>
    <x v="0"/>
    <s v="Normal order"/>
  </r>
  <r>
    <s v="SALE1904"/>
    <d v="2024-08-10T00:00:00"/>
    <x v="10"/>
    <s v="CUST1061"/>
    <s v="PROD61"/>
    <s v="STORE6"/>
    <n v="1"/>
    <n v="1"/>
    <n v="546.47"/>
    <n v="0.08"/>
    <x v="2"/>
    <n v="502.75240000000002"/>
    <s v="Low"/>
    <s v="Kristin Stein"/>
    <x v="0"/>
    <x v="49"/>
    <x v="2"/>
    <x v="1"/>
    <s v="Normal order"/>
  </r>
  <r>
    <s v="SALE1905"/>
    <d v="2025-04-13T00:00:00"/>
    <x v="5"/>
    <s v="CUST1176"/>
    <s v="PROD75"/>
    <s v="STORE12"/>
    <n v="1"/>
    <n v="1"/>
    <n v="979.49"/>
    <n v="0.19"/>
    <x v="2"/>
    <n v="793.38690000000008"/>
    <s v="Low"/>
    <s v="John Bradford"/>
    <x v="4"/>
    <x v="10"/>
    <x v="0"/>
    <x v="1"/>
    <s v="Normal order"/>
  </r>
  <r>
    <s v="SALE1906"/>
    <d v="2023-12-29T00:00:00"/>
    <x v="1"/>
    <s v="CUST1193"/>
    <s v="PROD17"/>
    <s v="STORE2"/>
    <n v="3"/>
    <n v="3"/>
    <n v="988.53"/>
    <n v="0.3"/>
    <x v="2"/>
    <n v="2075.913"/>
    <s v="High"/>
    <s v="David Roberts"/>
    <x v="0"/>
    <x v="29"/>
    <x v="1"/>
    <x v="0"/>
    <s v="Normal order"/>
  </r>
  <r>
    <s v="SALE1907"/>
    <d v="2025-02-16T00:00:00"/>
    <x v="2"/>
    <s v="CUST1255"/>
    <s v="PROD76"/>
    <s v="STORE3"/>
    <n v="4"/>
    <n v="4"/>
    <n v="849.29"/>
    <n v="0.26"/>
    <x v="0"/>
    <n v="2513.8984"/>
    <s v="High"/>
    <s v="Damon Perez"/>
    <x v="1"/>
    <x v="45"/>
    <x v="0"/>
    <x v="0"/>
    <s v="Bulk order"/>
  </r>
  <r>
    <s v="SALE1908"/>
    <d v="2024-01-27T00:00:00"/>
    <x v="3"/>
    <s v="CUST1343"/>
    <s v="PROD95"/>
    <s v="STORE14"/>
    <n v="2"/>
    <n v="2"/>
    <n v="452.29"/>
    <n v="0.01"/>
    <x v="2"/>
    <n v="895.53420000000006"/>
    <s v="Low"/>
    <s v="Ryan Moore"/>
    <x v="0"/>
    <x v="28"/>
    <x v="1"/>
    <x v="3"/>
    <s v="Normal order"/>
  </r>
  <r>
    <s v="SALE1909"/>
    <d v="2024-07-22T00:00:00"/>
    <x v="0"/>
    <s v="CUST1445"/>
    <s v="PROD54"/>
    <s v="STORE18"/>
    <n v="2"/>
    <n v="2"/>
    <n v="810.81"/>
    <n v="0.11"/>
    <x v="2"/>
    <n v="1443.2418"/>
    <s v="High"/>
    <s v="Gene Lee"/>
    <x v="0"/>
    <x v="8"/>
    <x v="2"/>
    <x v="2"/>
    <s v="Normal order"/>
  </r>
  <r>
    <s v="SALE191"/>
    <d v="2024-06-16T00:00:00"/>
    <x v="4"/>
    <s v="CUST1138"/>
    <s v="PROD46"/>
    <s v="STORE18"/>
    <n v="1"/>
    <n v="1"/>
    <n v="804.9"/>
    <n v="0.03"/>
    <x v="1"/>
    <n v="780.75299999999993"/>
    <s v="Low"/>
    <s v="Sean Roth"/>
    <x v="4"/>
    <x v="41"/>
    <x v="2"/>
    <x v="0"/>
    <s v="Normal order"/>
  </r>
  <r>
    <s v="SALE1910"/>
    <d v="2024-09-25T00:00:00"/>
    <x v="7"/>
    <s v="CUST1031"/>
    <s v="PROD61"/>
    <s v="STORE8"/>
    <n v="1"/>
    <n v="1"/>
    <n v="846.67"/>
    <n v="0.1"/>
    <x v="2"/>
    <n v="762.00299999999993"/>
    <s v="Low"/>
    <s v="Sarah Vance"/>
    <x v="0"/>
    <x v="49"/>
    <x v="3"/>
    <x v="1"/>
    <s v="Normal order"/>
  </r>
  <r>
    <s v="SALE1911"/>
    <d v="2024-03-16T00:00:00"/>
    <x v="9"/>
    <s v="CUST1017"/>
    <s v="PROD24"/>
    <s v="STORE6"/>
    <n v="4"/>
    <n v="4"/>
    <n v="73.55"/>
    <n v="0.24"/>
    <x v="2"/>
    <n v="223.59200000000001"/>
    <s v="Low"/>
    <s v="Adam Cruz"/>
    <x v="0"/>
    <x v="2"/>
    <x v="2"/>
    <x v="2"/>
    <s v="Bulk order"/>
  </r>
  <r>
    <s v="SALE1912"/>
    <d v="2025-07-23T00:00:00"/>
    <x v="0"/>
    <s v="CUST1278"/>
    <s v="PROD92"/>
    <s v="STORE6"/>
    <n v="1"/>
    <n v="1"/>
    <n v="882.03"/>
    <n v="0.04"/>
    <x v="2"/>
    <n v="846.74879999999996"/>
    <s v="Low"/>
    <s v="Stephen Fowler"/>
    <x v="2"/>
    <x v="39"/>
    <x v="2"/>
    <x v="2"/>
    <s v="Normal order"/>
  </r>
  <r>
    <s v="SALE1913"/>
    <d v="2024-10-24T00:00:00"/>
    <x v="6"/>
    <s v="CUST1008"/>
    <s v="PROD22"/>
    <s v="STORE14"/>
    <n v="1"/>
    <n v="1"/>
    <n v="958.44"/>
    <n v="0.21"/>
    <x v="0"/>
    <n v="757.16760000000011"/>
    <s v="Low"/>
    <s v="Melissa Howard"/>
    <x v="0"/>
    <x v="59"/>
    <x v="1"/>
    <x v="0"/>
    <s v="Normal order"/>
  </r>
  <r>
    <s v="SALE1914"/>
    <d v="2024-09-25T00:00:00"/>
    <x v="7"/>
    <s v="CUST1008"/>
    <s v="PROD99"/>
    <s v="STORE2"/>
    <n v="1"/>
    <n v="1"/>
    <n v="716.29"/>
    <n v="0.01"/>
    <x v="1"/>
    <n v="709.12709999999993"/>
    <s v="Low"/>
    <s v="Melissa Howard"/>
    <x v="2"/>
    <x v="86"/>
    <x v="1"/>
    <x v="0"/>
    <s v="Normal order"/>
  </r>
  <r>
    <s v="SALE1915"/>
    <d v="2024-04-26T00:00:00"/>
    <x v="5"/>
    <s v="CUST1323"/>
    <s v="PROD9"/>
    <s v="STORE16"/>
    <n v="2"/>
    <n v="2"/>
    <n v="409.14"/>
    <n v="0.01"/>
    <x v="1"/>
    <n v="810.09719999999993"/>
    <s v="Low"/>
    <s v="Kristy Dunlap"/>
    <x v="0"/>
    <x v="98"/>
    <x v="3"/>
    <x v="2"/>
    <s v="Normal order"/>
  </r>
  <r>
    <s v="SALE1916"/>
    <d v="2025-02-26T00:00:00"/>
    <x v="2"/>
    <s v="CUST1084"/>
    <s v="PROD99"/>
    <s v="STORE9"/>
    <n v="4"/>
    <n v="4"/>
    <n v="261.73"/>
    <n v="0.1"/>
    <x v="1"/>
    <n v="942.22800000000007"/>
    <s v="Low"/>
    <s v="Christy Hoffman"/>
    <x v="2"/>
    <x v="86"/>
    <x v="1"/>
    <x v="2"/>
    <s v="Bulk order"/>
  </r>
  <r>
    <s v="SALE1917"/>
    <d v="2025-01-04T00:00:00"/>
    <x v="3"/>
    <s v="CUST1466"/>
    <s v="PROD12"/>
    <s v="STORE0"/>
    <n v="2"/>
    <n v="2"/>
    <n v="687.35"/>
    <n v="0.2"/>
    <x v="2"/>
    <n v="1099.76"/>
    <s v="High"/>
    <s v="Cynthia Parrish"/>
    <x v="3"/>
    <x v="85"/>
    <x v="2"/>
    <x v="1"/>
    <s v="Normal order"/>
  </r>
  <r>
    <s v="SALE1918"/>
    <d v="2025-09-21T00:00:00"/>
    <x v="7"/>
    <s v="CUST1207"/>
    <s v="PROD84"/>
    <s v="STORE8"/>
    <n v="2"/>
    <n v="2"/>
    <n v="30.14"/>
    <n v="0.21"/>
    <x v="0"/>
    <n v="47.621200000000002"/>
    <s v="Low"/>
    <s v="Jacqueline Pacheco"/>
    <x v="2"/>
    <x v="56"/>
    <x v="3"/>
    <x v="3"/>
    <s v="Normal order"/>
  </r>
  <r>
    <s v="SALE1919"/>
    <d v="2024-12-25T00:00:00"/>
    <x v="1"/>
    <s v="CUST1099"/>
    <s v="PROD34"/>
    <s v="STORE8"/>
    <n v="3"/>
    <n v="3"/>
    <n v="570.12"/>
    <n v="0.12"/>
    <x v="1"/>
    <n v="1505.1168"/>
    <s v="High"/>
    <s v="Sheila Wilson"/>
    <x v="1"/>
    <x v="21"/>
    <x v="3"/>
    <x v="1"/>
    <s v="Normal order"/>
  </r>
  <r>
    <s v="SALE192"/>
    <d v="2024-11-21T00:00:00"/>
    <x v="8"/>
    <s v="CUST1424"/>
    <s v="PROD92"/>
    <s v="STORE14"/>
    <n v="3"/>
    <n v="3"/>
    <n v="361.65"/>
    <n v="0.15"/>
    <x v="2"/>
    <n v="922.20749999999987"/>
    <s v="Low"/>
    <s v="Edwin Barnes"/>
    <x v="2"/>
    <x v="39"/>
    <x v="1"/>
    <x v="3"/>
    <s v="Normal order"/>
  </r>
  <r>
    <s v="SALE1920"/>
    <d v="2025-08-14T00:00:00"/>
    <x v="10"/>
    <s v="CUST1281"/>
    <s v="PROD77"/>
    <s v="STORE19"/>
    <n v="3"/>
    <n v="3"/>
    <n v="401.87"/>
    <n v="0.28999999999999998"/>
    <x v="2"/>
    <n v="855.98310000000004"/>
    <s v="Low"/>
    <s v="Brittany Watson"/>
    <x v="1"/>
    <x v="79"/>
    <x v="2"/>
    <x v="2"/>
    <s v="Normal order"/>
  </r>
  <r>
    <s v="SALE1921"/>
    <d v="2024-11-28T00:00:00"/>
    <x v="8"/>
    <s v="CUST1496"/>
    <s v="PROD79"/>
    <s v="STORE12"/>
    <n v="4"/>
    <n v="4"/>
    <n v="619.35"/>
    <n v="0.3"/>
    <x v="0"/>
    <n v="1734.18"/>
    <s v="High"/>
    <s v="Christopher Ford"/>
    <x v="2"/>
    <x v="14"/>
    <x v="0"/>
    <x v="3"/>
    <s v="Bulk order"/>
  </r>
  <r>
    <s v="SALE1922"/>
    <d v="2023-12-16T00:00:00"/>
    <x v="1"/>
    <s v="CUST1247"/>
    <s v="PROD46"/>
    <s v="STORE17"/>
    <n v="4"/>
    <n v="4"/>
    <n v="569.36"/>
    <n v="0.27"/>
    <x v="1"/>
    <n v="1662.5311999999999"/>
    <s v="High"/>
    <s v="Douglas Rhodes"/>
    <x v="4"/>
    <x v="41"/>
    <x v="0"/>
    <x v="2"/>
    <s v="Bulk order"/>
  </r>
  <r>
    <s v="SALE1923"/>
    <d v="2024-02-22T00:00:00"/>
    <x v="2"/>
    <s v="CUST1476"/>
    <s v="PROD27"/>
    <s v="STORE4"/>
    <n v="2"/>
    <n v="2"/>
    <n v="846.35"/>
    <n v="0.3"/>
    <x v="2"/>
    <n v="1184.8900000000001"/>
    <s v="High"/>
    <s v="Elizabeth Foster"/>
    <x v="2"/>
    <x v="77"/>
    <x v="1"/>
    <x v="0"/>
    <s v="Normal order"/>
  </r>
  <r>
    <s v="SALE1924"/>
    <d v="2025-07-11T00:00:00"/>
    <x v="0"/>
    <s v="CUST1434"/>
    <s v="PROD30"/>
    <s v="STORE2"/>
    <n v="1"/>
    <n v="1"/>
    <n v="788.45"/>
    <n v="0.28999999999999998"/>
    <x v="1"/>
    <n v="559.79949999999997"/>
    <s v="Low"/>
    <s v="Monique Castro"/>
    <x v="2"/>
    <x v="38"/>
    <x v="1"/>
    <x v="0"/>
    <s v="Normal order"/>
  </r>
  <r>
    <s v="SALE1925"/>
    <d v="2025-08-11T00:00:00"/>
    <x v="10"/>
    <s v="CUST1360"/>
    <s v="PROD35"/>
    <s v="STORE12"/>
    <n v="2"/>
    <n v="2"/>
    <n v="338.81"/>
    <n v="7.0000000000000007E-2"/>
    <x v="2"/>
    <n v="630.1866"/>
    <s v="Low"/>
    <s v="Denise Tate"/>
    <x v="2"/>
    <x v="44"/>
    <x v="0"/>
    <x v="2"/>
    <s v="Normal order"/>
  </r>
  <r>
    <s v="SALE1926"/>
    <d v="2025-09-07T00:00:00"/>
    <x v="7"/>
    <s v="CUST1026"/>
    <s v="PROD14"/>
    <s v="STORE5"/>
    <n v="4"/>
    <n v="4"/>
    <n v="94.48"/>
    <n v="0.06"/>
    <x v="2"/>
    <n v="355.2448"/>
    <s v="Low"/>
    <s v="Amber Carlson"/>
    <x v="2"/>
    <x v="94"/>
    <x v="0"/>
    <x v="0"/>
    <s v="Bulk order"/>
  </r>
  <r>
    <s v="SALE1927"/>
    <d v="2024-09-10T00:00:00"/>
    <x v="7"/>
    <s v="CUST1477"/>
    <s v="PROD19"/>
    <s v="STORE13"/>
    <n v="3"/>
    <n v="3"/>
    <n v="941.85"/>
    <n v="0.16"/>
    <x v="1"/>
    <n v="2373.462"/>
    <s v="High"/>
    <s v="Andrea Harris"/>
    <x v="0"/>
    <x v="32"/>
    <x v="2"/>
    <x v="2"/>
    <s v="Normal order"/>
  </r>
  <r>
    <s v="SALE1928"/>
    <d v="2023-11-27T00:00:00"/>
    <x v="8"/>
    <s v="CUST1161"/>
    <s v="PROD45"/>
    <s v="STORE5"/>
    <n v="2"/>
    <n v="2"/>
    <n v="336.97"/>
    <n v="0.14000000000000001"/>
    <x v="1"/>
    <n v="579.58840000000009"/>
    <s v="Low"/>
    <s v="Cynthia Morris"/>
    <x v="0"/>
    <x v="23"/>
    <x v="0"/>
    <x v="1"/>
    <s v="Normal order"/>
  </r>
  <r>
    <s v="SALE1929"/>
    <d v="2024-06-23T00:00:00"/>
    <x v="4"/>
    <s v="CUST1310"/>
    <s v="PROD5"/>
    <s v="STORE5"/>
    <n v="2"/>
    <n v="2"/>
    <n v="344.16"/>
    <n v="0.09"/>
    <x v="1"/>
    <n v="626.37120000000004"/>
    <s v="Low"/>
    <s v="Kara Dodson"/>
    <x v="4"/>
    <x v="91"/>
    <x v="0"/>
    <x v="1"/>
    <s v="Normal order"/>
  </r>
  <r>
    <s v="SALE193"/>
    <d v="2025-04-16T00:00:00"/>
    <x v="5"/>
    <s v="CUST1162"/>
    <s v="PROD7"/>
    <s v="STORE4"/>
    <n v="1"/>
    <n v="1"/>
    <n v="271.76"/>
    <n v="0.03"/>
    <x v="0"/>
    <n v="263.60719999999998"/>
    <s v="Low"/>
    <s v="Mariah Brown"/>
    <x v="2"/>
    <x v="17"/>
    <x v="1"/>
    <x v="1"/>
    <s v="Normal order"/>
  </r>
  <r>
    <s v="SALE1930"/>
    <d v="2025-07-09T00:00:00"/>
    <x v="0"/>
    <s v="CUST1300"/>
    <s v="PROD48"/>
    <s v="STORE9"/>
    <n v="1"/>
    <n v="1"/>
    <n v="841.53"/>
    <n v="0.15"/>
    <x v="0"/>
    <n v="715.30049999999994"/>
    <s v="Low"/>
    <s v="Matthew Avery"/>
    <x v="1"/>
    <x v="66"/>
    <x v="1"/>
    <x v="1"/>
    <s v="Normal order"/>
  </r>
  <r>
    <s v="SALE1931"/>
    <d v="2025-06-17T00:00:00"/>
    <x v="4"/>
    <s v="CUST1424"/>
    <s v="PROD83"/>
    <s v="STORE17"/>
    <n v="3"/>
    <n v="3"/>
    <n v="63.36"/>
    <n v="0.28999999999999998"/>
    <x v="2"/>
    <n v="134.95679999999999"/>
    <s v="Low"/>
    <s v="Edwin Barnes"/>
    <x v="3"/>
    <x v="61"/>
    <x v="0"/>
    <x v="3"/>
    <s v="Normal order"/>
  </r>
  <r>
    <s v="SALE1932"/>
    <d v="2025-07-01T00:00:00"/>
    <x v="0"/>
    <s v="CUST1496"/>
    <s v="PROD78"/>
    <s v="STORE8"/>
    <n v="2"/>
    <n v="2"/>
    <n v="552.49"/>
    <n v="0.1"/>
    <x v="0"/>
    <n v="994.48200000000008"/>
    <s v="Low"/>
    <s v="Christopher Ford"/>
    <x v="2"/>
    <x v="33"/>
    <x v="3"/>
    <x v="3"/>
    <s v="Normal order"/>
  </r>
  <r>
    <s v="SALE1933"/>
    <d v="2025-03-04T00:00:00"/>
    <x v="9"/>
    <s v="CUST1236"/>
    <s v="PROD24"/>
    <s v="STORE6"/>
    <n v="3"/>
    <n v="3"/>
    <n v="447.38"/>
    <n v="0.03"/>
    <x v="0"/>
    <n v="1301.8758"/>
    <s v="High"/>
    <s v="Joshua Wilson"/>
    <x v="0"/>
    <x v="2"/>
    <x v="2"/>
    <x v="3"/>
    <s v="Normal order"/>
  </r>
  <r>
    <s v="SALE1934"/>
    <d v="2023-11-20T00:00:00"/>
    <x v="8"/>
    <s v="CUST1450"/>
    <s v="PROD73"/>
    <s v="STORE19"/>
    <n v="1"/>
    <n v="1"/>
    <n v="727.7"/>
    <n v="0.21"/>
    <x v="2"/>
    <n v="574.88300000000004"/>
    <s v="Low"/>
    <s v="Shane Mills"/>
    <x v="0"/>
    <x v="6"/>
    <x v="2"/>
    <x v="3"/>
    <s v="Normal order"/>
  </r>
  <r>
    <s v="SALE1935"/>
    <d v="2023-11-28T00:00:00"/>
    <x v="8"/>
    <s v="CUST1436"/>
    <s v="PROD51"/>
    <s v="STORE7"/>
    <n v="4"/>
    <n v="4"/>
    <n v="581.34"/>
    <n v="0.08"/>
    <x v="0"/>
    <n v="2139.3312000000001"/>
    <s v="High"/>
    <s v="Sharon Simpson"/>
    <x v="1"/>
    <x v="78"/>
    <x v="1"/>
    <x v="0"/>
    <s v="Bulk order"/>
  </r>
  <r>
    <s v="SALE1936"/>
    <d v="2025-05-16T00:00:00"/>
    <x v="11"/>
    <s v="CUST1096"/>
    <s v="PROD66"/>
    <s v="STORE1"/>
    <n v="1"/>
    <n v="1"/>
    <n v="338.83"/>
    <n v="0.19"/>
    <x v="1"/>
    <n v="274.45229999999998"/>
    <s v="Low"/>
    <s v="Samantha Walker"/>
    <x v="3"/>
    <x v="46"/>
    <x v="0"/>
    <x v="2"/>
    <s v="Normal order"/>
  </r>
  <r>
    <s v="SALE1937"/>
    <d v="2023-12-05T00:00:00"/>
    <x v="1"/>
    <s v="CUST1285"/>
    <s v="PROD49"/>
    <s v="STORE13"/>
    <n v="4"/>
    <n v="4"/>
    <n v="568.80999999999995"/>
    <n v="0.25"/>
    <x v="0"/>
    <n v="1706.43"/>
    <s v="High"/>
    <s v="Donna Guerra"/>
    <x v="3"/>
    <x v="80"/>
    <x v="2"/>
    <x v="1"/>
    <s v="Bulk order"/>
  </r>
  <r>
    <s v="SALE1938"/>
    <d v="2024-11-11T00:00:00"/>
    <x v="8"/>
    <s v="CUST1375"/>
    <s v="PROD61"/>
    <s v="STORE17"/>
    <n v="2"/>
    <n v="2"/>
    <n v="352.63"/>
    <n v="0.15"/>
    <x v="1"/>
    <n v="599.471"/>
    <s v="Low"/>
    <s v="Joshua Bell"/>
    <x v="0"/>
    <x v="49"/>
    <x v="0"/>
    <x v="2"/>
    <s v="Normal order"/>
  </r>
  <r>
    <s v="SALE1939"/>
    <d v="2024-03-31T00:00:00"/>
    <x v="9"/>
    <s v="CUST1156"/>
    <s v="PROD96"/>
    <s v="STORE13"/>
    <n v="2"/>
    <n v="2"/>
    <n v="629.86"/>
    <n v="0.15"/>
    <x v="1"/>
    <n v="1070.7619999999999"/>
    <s v="High"/>
    <s v="Maria Sanchez"/>
    <x v="4"/>
    <x v="76"/>
    <x v="2"/>
    <x v="3"/>
    <s v="Normal order"/>
  </r>
  <r>
    <s v="SALE194"/>
    <d v="2024-11-22T00:00:00"/>
    <x v="8"/>
    <s v="CUST1323"/>
    <s v="PROD49"/>
    <s v="STORE10"/>
    <n v="3"/>
    <n v="3"/>
    <n v="958.15"/>
    <n v="0.24"/>
    <x v="2"/>
    <n v="2184.5819999999999"/>
    <s v="High"/>
    <s v="Kristy Dunlap"/>
    <x v="3"/>
    <x v="80"/>
    <x v="2"/>
    <x v="2"/>
    <s v="Normal order"/>
  </r>
  <r>
    <s v="SALE1940"/>
    <d v="2025-05-16T00:00:00"/>
    <x v="11"/>
    <s v="CUST1493"/>
    <s v="PROD98"/>
    <s v="STORE3"/>
    <n v="3"/>
    <n v="3"/>
    <n v="212.08"/>
    <n v="7.0000000000000007E-2"/>
    <x v="0"/>
    <n v="591.70319999999992"/>
    <s v="Low"/>
    <s v="Amanda Powell"/>
    <x v="1"/>
    <x v="51"/>
    <x v="0"/>
    <x v="1"/>
    <s v="Normal order"/>
  </r>
  <r>
    <s v="SALE1941"/>
    <d v="2024-10-25T00:00:00"/>
    <x v="6"/>
    <s v="CUST1161"/>
    <s v="PROD57"/>
    <s v="STORE2"/>
    <n v="3"/>
    <n v="3"/>
    <n v="878.62"/>
    <n v="0.05"/>
    <x v="1"/>
    <n v="2504.067"/>
    <s v="High"/>
    <s v="Cynthia Morris"/>
    <x v="0"/>
    <x v="64"/>
    <x v="1"/>
    <x v="1"/>
    <s v="Normal order"/>
  </r>
  <r>
    <s v="SALE1942"/>
    <d v="2025-01-22T00:00:00"/>
    <x v="3"/>
    <s v="CUST1261"/>
    <s v="PROD80"/>
    <s v="STORE10"/>
    <n v="4"/>
    <n v="4"/>
    <n v="87.83"/>
    <n v="0.23"/>
    <x v="1"/>
    <n v="270.51639999999998"/>
    <s v="Low"/>
    <s v="Carol Bishop"/>
    <x v="2"/>
    <x v="24"/>
    <x v="2"/>
    <x v="1"/>
    <s v="Bulk order"/>
  </r>
  <r>
    <s v="SALE1943"/>
    <d v="2025-06-06T00:00:00"/>
    <x v="4"/>
    <s v="CUST1275"/>
    <s v="PROD56"/>
    <s v="STORE9"/>
    <n v="3"/>
    <n v="3"/>
    <n v="442.64"/>
    <n v="0.15"/>
    <x v="2"/>
    <n v="1128.732"/>
    <s v="High"/>
    <s v="Shannon Miller"/>
    <x v="2"/>
    <x v="87"/>
    <x v="1"/>
    <x v="0"/>
    <s v="Normal order"/>
  </r>
  <r>
    <s v="SALE1944"/>
    <d v="2025-05-18T00:00:00"/>
    <x v="11"/>
    <s v="CUST1093"/>
    <s v="PROD38"/>
    <s v="STORE2"/>
    <n v="3"/>
    <n v="3"/>
    <n v="410.04"/>
    <n v="0.09"/>
    <x v="2"/>
    <n v="1119.4092000000001"/>
    <s v="High"/>
    <s v="Christy Vasquez"/>
    <x v="0"/>
    <x v="43"/>
    <x v="1"/>
    <x v="0"/>
    <s v="Normal order"/>
  </r>
  <r>
    <s v="SALE1945"/>
    <d v="2025-05-20T00:00:00"/>
    <x v="11"/>
    <s v="CUST1133"/>
    <s v="PROD94"/>
    <s v="STORE17"/>
    <n v="1"/>
    <n v="1"/>
    <n v="355.31"/>
    <n v="0.27"/>
    <x v="0"/>
    <n v="259.37630000000001"/>
    <s v="Low"/>
    <s v="Hayley Pope"/>
    <x v="3"/>
    <x v="89"/>
    <x v="0"/>
    <x v="3"/>
    <s v="Normal order"/>
  </r>
  <r>
    <s v="SALE1946"/>
    <d v="2024-11-11T00:00:00"/>
    <x v="8"/>
    <s v="CUST1376"/>
    <s v="PROD9"/>
    <s v="STORE13"/>
    <n v="4"/>
    <n v="4"/>
    <n v="243.13"/>
    <n v="0.25"/>
    <x v="2"/>
    <n v="729.39"/>
    <s v="Low"/>
    <s v="Michele Burke"/>
    <x v="0"/>
    <x v="98"/>
    <x v="2"/>
    <x v="3"/>
    <s v="Bulk order"/>
  </r>
  <r>
    <s v="SALE1947"/>
    <d v="2024-11-18T00:00:00"/>
    <x v="8"/>
    <s v="CUST1229"/>
    <s v="PROD59"/>
    <s v="STORE11"/>
    <n v="2"/>
    <n v="2"/>
    <n v="410.63"/>
    <n v="0.28000000000000003"/>
    <x v="2"/>
    <n v="591.30719999999997"/>
    <s v="Low"/>
    <s v="Tanner Thompson"/>
    <x v="3"/>
    <x v="4"/>
    <x v="1"/>
    <x v="3"/>
    <s v="Normal order"/>
  </r>
  <r>
    <s v="SALE1948"/>
    <d v="2024-01-02T00:00:00"/>
    <x v="3"/>
    <s v="CUST1425"/>
    <s v="PROD94"/>
    <s v="STORE10"/>
    <n v="4"/>
    <n v="4"/>
    <n v="101.25"/>
    <n v="0.16"/>
    <x v="1"/>
    <n v="340.2"/>
    <s v="Low"/>
    <s v="Bryce Hawkins"/>
    <x v="3"/>
    <x v="89"/>
    <x v="2"/>
    <x v="3"/>
    <s v="Bulk order"/>
  </r>
  <r>
    <s v="SALE1949"/>
    <d v="2024-01-10T00:00:00"/>
    <x v="3"/>
    <s v="CUST1226"/>
    <s v="PROD7"/>
    <s v="STORE17"/>
    <n v="4"/>
    <n v="4"/>
    <n v="716.39"/>
    <n v="0.03"/>
    <x v="1"/>
    <n v="2779.5931999999998"/>
    <s v="High"/>
    <s v="Alexis Castaneda"/>
    <x v="2"/>
    <x v="17"/>
    <x v="0"/>
    <x v="0"/>
    <s v="Bulk order"/>
  </r>
  <r>
    <s v="SALE195"/>
    <d v="2023-12-30T00:00:00"/>
    <x v="1"/>
    <s v="CUST1427"/>
    <s v="PROD60"/>
    <s v="STORE17"/>
    <n v="1"/>
    <n v="1"/>
    <n v="889.19"/>
    <n v="0.03"/>
    <x v="0"/>
    <n v="862.51430000000005"/>
    <s v="Low"/>
    <s v="Jose Stewart"/>
    <x v="3"/>
    <x v="18"/>
    <x v="0"/>
    <x v="0"/>
    <s v="Normal order"/>
  </r>
  <r>
    <s v="SALE1950"/>
    <d v="2024-01-20T00:00:00"/>
    <x v="3"/>
    <s v="CUST1094"/>
    <s v="PROD73"/>
    <s v="STORE1"/>
    <n v="1"/>
    <n v="1"/>
    <n v="721.74"/>
    <n v="0.24"/>
    <x v="1"/>
    <n v="548.52240000000006"/>
    <s v="Low"/>
    <s v="David Patterson"/>
    <x v="0"/>
    <x v="6"/>
    <x v="0"/>
    <x v="0"/>
    <s v="Normal order"/>
  </r>
  <r>
    <s v="SALE1951"/>
    <d v="2025-02-14T00:00:00"/>
    <x v="2"/>
    <s v="CUST1054"/>
    <s v="PROD62"/>
    <s v="STORE11"/>
    <n v="2"/>
    <n v="2"/>
    <n v="527.91"/>
    <n v="0.02"/>
    <x v="0"/>
    <n v="1034.7036000000001"/>
    <s v="High"/>
    <s v="Katherine Dorsey"/>
    <x v="1"/>
    <x v="19"/>
    <x v="1"/>
    <x v="2"/>
    <s v="Normal order"/>
  </r>
  <r>
    <s v="SALE1952"/>
    <d v="2024-08-21T00:00:00"/>
    <x v="10"/>
    <s v="CUST1319"/>
    <s v="PROD52"/>
    <s v="STORE13"/>
    <n v="2"/>
    <n v="2"/>
    <n v="945.92"/>
    <n v="0.19"/>
    <x v="2"/>
    <n v="1532.3904"/>
    <s v="High"/>
    <s v="Casey Simpson"/>
    <x v="0"/>
    <x v="22"/>
    <x v="2"/>
    <x v="2"/>
    <s v="Normal order"/>
  </r>
  <r>
    <s v="SALE1953"/>
    <d v="2025-05-03T00:00:00"/>
    <x v="11"/>
    <s v="CUST1081"/>
    <s v="PROD56"/>
    <s v="STORE17"/>
    <n v="2"/>
    <n v="2"/>
    <n v="981.35"/>
    <n v="0.16"/>
    <x v="1"/>
    <n v="1648.6679999999999"/>
    <s v="High"/>
    <s v="Krystal Ford"/>
    <x v="2"/>
    <x v="87"/>
    <x v="0"/>
    <x v="2"/>
    <s v="Normal order"/>
  </r>
  <r>
    <s v="SALE1954"/>
    <d v="2025-06-11T00:00:00"/>
    <x v="4"/>
    <s v="CUST1223"/>
    <s v="PROD59"/>
    <s v="STORE3"/>
    <n v="1"/>
    <n v="1"/>
    <n v="913.99"/>
    <n v="0.14000000000000001"/>
    <x v="0"/>
    <n v="786.03139999999996"/>
    <s v="Low"/>
    <s v="Robert Harris"/>
    <x v="3"/>
    <x v="4"/>
    <x v="0"/>
    <x v="2"/>
    <s v="Normal order"/>
  </r>
  <r>
    <s v="SALE1955"/>
    <d v="2025-07-25T00:00:00"/>
    <x v="0"/>
    <s v="CUST1011"/>
    <s v="PROD66"/>
    <s v="STORE8"/>
    <n v="4"/>
    <n v="4"/>
    <n v="270.69"/>
    <n v="0.18"/>
    <x v="1"/>
    <n v="887.86320000000001"/>
    <s v="Low"/>
    <s v="Brian Lopez"/>
    <x v="3"/>
    <x v="46"/>
    <x v="3"/>
    <x v="0"/>
    <s v="Bulk order"/>
  </r>
  <r>
    <s v="SALE1956"/>
    <d v="2025-01-30T00:00:00"/>
    <x v="3"/>
    <s v="CUST1161"/>
    <s v="PROD77"/>
    <s v="STORE6"/>
    <n v="3"/>
    <n v="3"/>
    <n v="998.58"/>
    <n v="0.02"/>
    <x v="0"/>
    <n v="2935.8252000000002"/>
    <s v="High"/>
    <s v="Cynthia Morris"/>
    <x v="1"/>
    <x v="79"/>
    <x v="2"/>
    <x v="1"/>
    <s v="Normal order"/>
  </r>
  <r>
    <s v="SALE1957"/>
    <d v="2025-05-29T00:00:00"/>
    <x v="11"/>
    <s v="CUST1456"/>
    <s v="PROD37"/>
    <s v="STORE9"/>
    <n v="3"/>
    <n v="3"/>
    <n v="765.12"/>
    <n v="0.18"/>
    <x v="0"/>
    <n v="1882.1952000000001"/>
    <s v="High"/>
    <s v="Julie Powell"/>
    <x v="4"/>
    <x v="16"/>
    <x v="1"/>
    <x v="0"/>
    <s v="Normal order"/>
  </r>
  <r>
    <s v="SALE1958"/>
    <d v="2023-10-17T00:00:00"/>
    <x v="6"/>
    <s v="CUST1072"/>
    <s v="PROD64"/>
    <s v="STORE19"/>
    <n v="3"/>
    <n v="3"/>
    <n v="449.99"/>
    <n v="0.17"/>
    <x v="2"/>
    <n v="1120.4751000000001"/>
    <s v="High"/>
    <s v="Tonya Burch"/>
    <x v="3"/>
    <x v="55"/>
    <x v="2"/>
    <x v="0"/>
    <s v="Normal order"/>
  </r>
  <r>
    <s v="SALE1959"/>
    <d v="2024-12-13T00:00:00"/>
    <x v="1"/>
    <s v="CUST1252"/>
    <s v="PROD43"/>
    <s v="STORE11"/>
    <n v="2"/>
    <n v="2"/>
    <n v="249.02"/>
    <n v="0.01"/>
    <x v="2"/>
    <n v="493.05959999999999"/>
    <s v="Low"/>
    <s v="John Mccoy"/>
    <x v="1"/>
    <x v="34"/>
    <x v="1"/>
    <x v="1"/>
    <s v="Normal order"/>
  </r>
  <r>
    <s v="SALE196"/>
    <d v="2025-09-04T00:00:00"/>
    <x v="7"/>
    <s v="CUST1464"/>
    <s v="PROD57"/>
    <s v="STORE16"/>
    <n v="4"/>
    <n v="4"/>
    <n v="689.67"/>
    <n v="0.05"/>
    <x v="2"/>
    <n v="2620.7460000000001"/>
    <s v="High"/>
    <s v="David Pierce"/>
    <x v="0"/>
    <x v="64"/>
    <x v="3"/>
    <x v="2"/>
    <s v="Bulk order"/>
  </r>
  <r>
    <s v="SALE1960"/>
    <d v="2024-06-11T00:00:00"/>
    <x v="4"/>
    <s v="CUST1137"/>
    <s v="PROD57"/>
    <s v="STORE19"/>
    <n v="3"/>
    <n v="3"/>
    <n v="223.64"/>
    <n v="0.05"/>
    <x v="0"/>
    <n v="637.37399999999991"/>
    <s v="Low"/>
    <s v="Rick Dominguez"/>
    <x v="0"/>
    <x v="64"/>
    <x v="2"/>
    <x v="2"/>
    <s v="Normal order"/>
  </r>
  <r>
    <s v="SALE1961"/>
    <d v="2025-10-04T00:00:00"/>
    <x v="6"/>
    <s v="CUST1106"/>
    <s v="PROD24"/>
    <s v="STORE4"/>
    <n v="2"/>
    <n v="2"/>
    <n v="92.94"/>
    <n v="0.12"/>
    <x v="0"/>
    <n v="163.5744"/>
    <s v="Low"/>
    <s v="Howard Summers"/>
    <x v="0"/>
    <x v="2"/>
    <x v="1"/>
    <x v="3"/>
    <s v="Normal order"/>
  </r>
  <r>
    <s v="SALE1962"/>
    <d v="2024-04-19T00:00:00"/>
    <x v="5"/>
    <s v="CUST1361"/>
    <s v="PROD16"/>
    <s v="STORE2"/>
    <n v="4"/>
    <n v="4"/>
    <n v="268.3"/>
    <n v="0.02"/>
    <x v="2"/>
    <n v="1051.7360000000001"/>
    <s v="High"/>
    <s v="Natalie Johnson"/>
    <x v="3"/>
    <x v="63"/>
    <x v="1"/>
    <x v="2"/>
    <s v="Bulk order"/>
  </r>
  <r>
    <s v="SALE1963"/>
    <d v="2025-04-23T00:00:00"/>
    <x v="5"/>
    <s v="CUST1442"/>
    <s v="PROD59"/>
    <s v="STORE19"/>
    <n v="4"/>
    <n v="4"/>
    <n v="835.61"/>
    <n v="0.03"/>
    <x v="0"/>
    <n v="3242.1668"/>
    <s v="High"/>
    <s v="Kelli Smith"/>
    <x v="3"/>
    <x v="4"/>
    <x v="2"/>
    <x v="3"/>
    <s v="Bulk order"/>
  </r>
  <r>
    <s v="SALE1964"/>
    <d v="2024-04-23T00:00:00"/>
    <x v="5"/>
    <s v="CUST1382"/>
    <s v="PROD68"/>
    <s v="STORE5"/>
    <n v="3"/>
    <n v="3"/>
    <n v="120.97"/>
    <n v="0.11"/>
    <x v="0"/>
    <n v="322.98989999999998"/>
    <s v="Low"/>
    <s v="Martha Brown"/>
    <x v="2"/>
    <x v="97"/>
    <x v="0"/>
    <x v="0"/>
    <s v="Normal order"/>
  </r>
  <r>
    <s v="SALE1965"/>
    <d v="2024-05-12T00:00:00"/>
    <x v="11"/>
    <s v="CUST1030"/>
    <s v="PROD40"/>
    <s v="STORE9"/>
    <n v="2"/>
    <n v="2"/>
    <n v="26.36"/>
    <n v="0.03"/>
    <x v="2"/>
    <n v="51.138399999999997"/>
    <s v="Low"/>
    <s v="Jessica Acevedo"/>
    <x v="1"/>
    <x v="50"/>
    <x v="1"/>
    <x v="3"/>
    <s v="Normal order"/>
  </r>
  <r>
    <s v="SALE1966"/>
    <d v="2025-08-12T00:00:00"/>
    <x v="10"/>
    <s v="CUST1033"/>
    <s v="PROD77"/>
    <s v="STORE6"/>
    <n v="1"/>
    <n v="1"/>
    <n v="918.87"/>
    <n v="0.11"/>
    <x v="1"/>
    <n v="817.79430000000002"/>
    <s v="Low"/>
    <s v="Robert Jones Dds"/>
    <x v="1"/>
    <x v="79"/>
    <x v="2"/>
    <x v="2"/>
    <s v="Normal order"/>
  </r>
  <r>
    <s v="SALE1967"/>
    <d v="2025-05-17T00:00:00"/>
    <x v="11"/>
    <s v="CUST1031"/>
    <s v="PROD67"/>
    <s v="STORE11"/>
    <n v="2"/>
    <n v="2"/>
    <n v="924.73"/>
    <n v="0.28999999999999998"/>
    <x v="1"/>
    <n v="1313.1166000000001"/>
    <s v="High"/>
    <s v="Sarah Vance"/>
    <x v="1"/>
    <x v="99"/>
    <x v="1"/>
    <x v="1"/>
    <s v="Normal order"/>
  </r>
  <r>
    <s v="SALE1968"/>
    <d v="2025-01-08T00:00:00"/>
    <x v="3"/>
    <s v="CUST1021"/>
    <s v="PROD12"/>
    <s v="STORE10"/>
    <n v="3"/>
    <n v="3"/>
    <n v="195.31"/>
    <n v="0.13"/>
    <x v="2"/>
    <n v="509.75909999999999"/>
    <s v="Low"/>
    <s v="Jeff Martinez"/>
    <x v="3"/>
    <x v="85"/>
    <x v="2"/>
    <x v="0"/>
    <s v="Normal order"/>
  </r>
  <r>
    <s v="SALE1969"/>
    <d v="2025-05-16T00:00:00"/>
    <x v="11"/>
    <s v="CUST1142"/>
    <s v="PROD38"/>
    <s v="STORE8"/>
    <n v="1"/>
    <n v="1"/>
    <n v="91.38"/>
    <n v="0.14000000000000001"/>
    <x v="0"/>
    <n v="78.586799999999997"/>
    <s v="Low"/>
    <s v="Maria Ramirez"/>
    <x v="0"/>
    <x v="43"/>
    <x v="3"/>
    <x v="3"/>
    <s v="Normal order"/>
  </r>
  <r>
    <s v="SALE197"/>
    <d v="2023-10-28T00:00:00"/>
    <x v="6"/>
    <s v="CUST1135"/>
    <s v="PROD44"/>
    <s v="STORE11"/>
    <n v="1"/>
    <n v="1"/>
    <n v="541.24"/>
    <n v="0.03"/>
    <x v="1"/>
    <n v="525.00279999999998"/>
    <s v="Low"/>
    <s v="Matthew Hanna"/>
    <x v="0"/>
    <x v="31"/>
    <x v="1"/>
    <x v="2"/>
    <s v="Normal order"/>
  </r>
  <r>
    <s v="SALE1970"/>
    <d v="2024-09-28T00:00:00"/>
    <x v="7"/>
    <s v="CUST1483"/>
    <s v="PROD86"/>
    <s v="STORE11"/>
    <n v="2"/>
    <n v="2"/>
    <n v="494.35"/>
    <n v="0.1"/>
    <x v="0"/>
    <n v="889.83"/>
    <s v="Low"/>
    <s v="Sarah Smith"/>
    <x v="2"/>
    <x v="30"/>
    <x v="1"/>
    <x v="0"/>
    <s v="Normal order"/>
  </r>
  <r>
    <s v="SALE1971"/>
    <d v="2024-10-12T00:00:00"/>
    <x v="6"/>
    <s v="CUST1255"/>
    <s v="PROD24"/>
    <s v="STORE10"/>
    <n v="1"/>
    <n v="1"/>
    <n v="412.2"/>
    <n v="0.11"/>
    <x v="0"/>
    <n v="366.858"/>
    <s v="Low"/>
    <s v="Damon Perez"/>
    <x v="0"/>
    <x v="2"/>
    <x v="2"/>
    <x v="0"/>
    <s v="Normal order"/>
  </r>
  <r>
    <s v="SALE1972"/>
    <d v="2024-06-23T00:00:00"/>
    <x v="4"/>
    <s v="CUST1394"/>
    <s v="PROD79"/>
    <s v="STORE16"/>
    <n v="1"/>
    <n v="1"/>
    <n v="650.47"/>
    <n v="0.13"/>
    <x v="1"/>
    <n v="565.90890000000002"/>
    <s v="Low"/>
    <s v="Alejandro Evans"/>
    <x v="2"/>
    <x v="14"/>
    <x v="3"/>
    <x v="3"/>
    <s v="Normal order"/>
  </r>
  <r>
    <s v="SALE1973"/>
    <d v="2023-11-26T00:00:00"/>
    <x v="8"/>
    <s v="CUST1155"/>
    <s v="PROD14"/>
    <s v="STORE12"/>
    <n v="1"/>
    <n v="1"/>
    <n v="68.209999999999994"/>
    <n v="0.05"/>
    <x v="1"/>
    <n v="64.799499999999995"/>
    <s v="Low"/>
    <s v="Curtis Haynes"/>
    <x v="2"/>
    <x v="94"/>
    <x v="0"/>
    <x v="0"/>
    <s v="Normal order"/>
  </r>
  <r>
    <s v="SALE1974"/>
    <d v="2025-08-17T00:00:00"/>
    <x v="10"/>
    <s v="CUST1135"/>
    <s v="PROD53"/>
    <s v="STORE7"/>
    <n v="2"/>
    <n v="2"/>
    <n v="842.89"/>
    <n v="0.25"/>
    <x v="2"/>
    <n v="1264.335"/>
    <s v="High"/>
    <s v="Matthew Hanna"/>
    <x v="4"/>
    <x v="20"/>
    <x v="1"/>
    <x v="2"/>
    <s v="Normal order"/>
  </r>
  <r>
    <s v="SALE1975"/>
    <d v="2024-04-08T00:00:00"/>
    <x v="5"/>
    <s v="CUST1300"/>
    <s v="PROD5"/>
    <s v="STORE4"/>
    <n v="2"/>
    <n v="2"/>
    <n v="227.95"/>
    <n v="0.24"/>
    <x v="2"/>
    <n v="346.48399999999998"/>
    <s v="Low"/>
    <s v="Matthew Avery"/>
    <x v="4"/>
    <x v="91"/>
    <x v="1"/>
    <x v="1"/>
    <s v="Normal order"/>
  </r>
  <r>
    <s v="SALE1976"/>
    <d v="2024-04-06T00:00:00"/>
    <x v="5"/>
    <s v="CUST1192"/>
    <s v="PROD66"/>
    <s v="STORE12"/>
    <n v="3"/>
    <n v="3"/>
    <n v="685.97"/>
    <n v="0.24"/>
    <x v="1"/>
    <n v="1564.0116"/>
    <s v="High"/>
    <s v="Jacob Wood"/>
    <x v="3"/>
    <x v="46"/>
    <x v="0"/>
    <x v="0"/>
    <s v="Normal order"/>
  </r>
  <r>
    <s v="SALE1977"/>
    <d v="2025-05-16T00:00:00"/>
    <x v="11"/>
    <s v="CUST1365"/>
    <s v="PROD29"/>
    <s v="STORE2"/>
    <n v="1"/>
    <n v="1"/>
    <n v="722.57"/>
    <n v="0.18"/>
    <x v="0"/>
    <n v="592.50740000000008"/>
    <s v="Low"/>
    <s v="Brandon Mcbride"/>
    <x v="2"/>
    <x v="62"/>
    <x v="1"/>
    <x v="2"/>
    <s v="Normal order"/>
  </r>
  <r>
    <s v="SALE1978"/>
    <d v="2024-11-19T00:00:00"/>
    <x v="8"/>
    <s v="CUST1140"/>
    <s v="PROD35"/>
    <s v="STORE5"/>
    <n v="3"/>
    <n v="3"/>
    <n v="585.54999999999995"/>
    <n v="0.14000000000000001"/>
    <x v="2"/>
    <n v="1510.7190000000001"/>
    <s v="High"/>
    <s v="Patty Francis"/>
    <x v="2"/>
    <x v="44"/>
    <x v="0"/>
    <x v="0"/>
    <s v="Normal order"/>
  </r>
  <r>
    <s v="SALE1979"/>
    <d v="2025-01-09T00:00:00"/>
    <x v="3"/>
    <s v="CUST1309"/>
    <s v="PROD46"/>
    <s v="STORE13"/>
    <n v="2"/>
    <n v="2"/>
    <n v="635.80999999999995"/>
    <n v="0.13"/>
    <x v="1"/>
    <n v="1106.3094000000001"/>
    <s v="High"/>
    <s v="Stacy Collins"/>
    <x v="4"/>
    <x v="41"/>
    <x v="2"/>
    <x v="3"/>
    <s v="Normal order"/>
  </r>
  <r>
    <s v="SALE198"/>
    <d v="2024-11-04T00:00:00"/>
    <x v="8"/>
    <s v="CUST1448"/>
    <s v="PROD81"/>
    <s v="STORE6"/>
    <n v="1"/>
    <n v="1"/>
    <n v="454.71"/>
    <n v="0.16"/>
    <x v="1"/>
    <n v="381.95639999999997"/>
    <s v="Low"/>
    <s v="Eric Holmes"/>
    <x v="0"/>
    <x v="15"/>
    <x v="2"/>
    <x v="3"/>
    <s v="Normal order"/>
  </r>
  <r>
    <s v="SALE1980"/>
    <d v="2024-12-18T00:00:00"/>
    <x v="1"/>
    <s v="CUST1277"/>
    <s v="PROD14"/>
    <s v="STORE4"/>
    <n v="2"/>
    <n v="2"/>
    <n v="353.74"/>
    <n v="0.01"/>
    <x v="0"/>
    <n v="700.40520000000004"/>
    <s v="Low"/>
    <s v="Jeffrey Gomez"/>
    <x v="2"/>
    <x v="94"/>
    <x v="1"/>
    <x v="2"/>
    <s v="Normal order"/>
  </r>
  <r>
    <s v="SALE1981"/>
    <d v="2024-12-22T00:00:00"/>
    <x v="1"/>
    <s v="CUST1264"/>
    <s v="PROD36"/>
    <s v="STORE7"/>
    <n v="1"/>
    <n v="1"/>
    <n v="377.52"/>
    <n v="0.15"/>
    <x v="0"/>
    <n v="320.892"/>
    <s v="Low"/>
    <s v="Matthew Payne"/>
    <x v="4"/>
    <x v="88"/>
    <x v="1"/>
    <x v="0"/>
    <s v="Normal order"/>
  </r>
  <r>
    <s v="SALE1982"/>
    <d v="2024-07-27T00:00:00"/>
    <x v="0"/>
    <s v="CUST1205"/>
    <s v="PROD68"/>
    <s v="STORE2"/>
    <n v="3"/>
    <n v="3"/>
    <n v="901.49"/>
    <n v="0"/>
    <x v="0"/>
    <n v="2704.47"/>
    <s v="High"/>
    <s v="Michelle Carpenter"/>
    <x v="2"/>
    <x v="97"/>
    <x v="1"/>
    <x v="0"/>
    <s v="Normal order"/>
  </r>
  <r>
    <s v="SALE1983"/>
    <d v="2025-05-29T00:00:00"/>
    <x v="11"/>
    <s v="CUST1200"/>
    <s v="PROD30"/>
    <s v="STORE5"/>
    <n v="1"/>
    <n v="1"/>
    <n v="563.01"/>
    <n v="0.1"/>
    <x v="0"/>
    <n v="506.709"/>
    <s v="Low"/>
    <s v="Anna Perez"/>
    <x v="2"/>
    <x v="38"/>
    <x v="0"/>
    <x v="2"/>
    <s v="Normal order"/>
  </r>
  <r>
    <s v="SALE1984"/>
    <d v="2024-03-14T00:00:00"/>
    <x v="9"/>
    <s v="CUST1052"/>
    <s v="PROD70"/>
    <s v="STORE6"/>
    <n v="4"/>
    <n v="4"/>
    <n v="167.25"/>
    <n v="0.11"/>
    <x v="0"/>
    <n v="595.41"/>
    <s v="Low"/>
    <s v="Debra Liu"/>
    <x v="2"/>
    <x v="92"/>
    <x v="2"/>
    <x v="3"/>
    <s v="Bulk order"/>
  </r>
  <r>
    <s v="SALE1985"/>
    <d v="2023-10-30T00:00:00"/>
    <x v="6"/>
    <s v="CUST1454"/>
    <s v="PROD60"/>
    <s v="STORE18"/>
    <n v="3"/>
    <n v="3"/>
    <n v="345.43"/>
    <n v="0.08"/>
    <x v="2"/>
    <n v="953.38679999999999"/>
    <s v="Low"/>
    <s v="John Berg"/>
    <x v="3"/>
    <x v="18"/>
    <x v="2"/>
    <x v="0"/>
    <s v="Normal order"/>
  </r>
  <r>
    <s v="SALE1986"/>
    <d v="2024-02-27T00:00:00"/>
    <x v="2"/>
    <s v="CUST1308"/>
    <s v="PROD82"/>
    <s v="STORE9"/>
    <n v="4"/>
    <n v="4"/>
    <n v="752.48"/>
    <n v="0.23"/>
    <x v="0"/>
    <n v="2317.6383999999998"/>
    <s v="High"/>
    <s v="Jennifer Zamora"/>
    <x v="0"/>
    <x v="26"/>
    <x v="1"/>
    <x v="0"/>
    <s v="Bulk order"/>
  </r>
  <r>
    <s v="SALE1987"/>
    <d v="2025-08-17T00:00:00"/>
    <x v="10"/>
    <s v="CUST1449"/>
    <s v="PROD57"/>
    <s v="STORE19"/>
    <n v="1"/>
    <n v="1"/>
    <n v="120.02"/>
    <n v="0.26"/>
    <x v="0"/>
    <n v="88.814799999999991"/>
    <s v="Low"/>
    <s v="William Cortez"/>
    <x v="0"/>
    <x v="64"/>
    <x v="2"/>
    <x v="3"/>
    <s v="Normal order"/>
  </r>
  <r>
    <s v="SALE1988"/>
    <d v="2024-03-08T00:00:00"/>
    <x v="9"/>
    <s v="CUST1323"/>
    <s v="PROD41"/>
    <s v="STORE8"/>
    <n v="3"/>
    <n v="3"/>
    <n v="146.71"/>
    <n v="0.28000000000000003"/>
    <x v="0"/>
    <n v="316.89359999999999"/>
    <s v="Low"/>
    <s v="Kristy Dunlap"/>
    <x v="0"/>
    <x v="82"/>
    <x v="3"/>
    <x v="2"/>
    <s v="Normal order"/>
  </r>
  <r>
    <s v="SALE1989"/>
    <d v="2025-03-14T00:00:00"/>
    <x v="9"/>
    <s v="CUST1082"/>
    <s v="PROD64"/>
    <s v="STORE0"/>
    <n v="2"/>
    <n v="2"/>
    <n v="358.87"/>
    <n v="0.24"/>
    <x v="0"/>
    <n v="545.48239999999998"/>
    <s v="Low"/>
    <s v="George Rosario"/>
    <x v="3"/>
    <x v="55"/>
    <x v="2"/>
    <x v="3"/>
    <s v="Normal order"/>
  </r>
  <r>
    <s v="SALE199"/>
    <d v="2024-12-20T00:00:00"/>
    <x v="1"/>
    <s v="CUST1038"/>
    <s v="PROD66"/>
    <s v="STORE5"/>
    <n v="2"/>
    <n v="2"/>
    <n v="397.63"/>
    <n v="0.26"/>
    <x v="0"/>
    <n v="588.49239999999998"/>
    <s v="Low"/>
    <s v="Deanna Simpson"/>
    <x v="3"/>
    <x v="46"/>
    <x v="0"/>
    <x v="3"/>
    <s v="Normal order"/>
  </r>
  <r>
    <s v="SALE1990"/>
    <d v="2024-06-13T00:00:00"/>
    <x v="4"/>
    <s v="CUST1241"/>
    <s v="PROD52"/>
    <s v="STORE3"/>
    <n v="4"/>
    <n v="4"/>
    <n v="212.75"/>
    <n v="0.11"/>
    <x v="2"/>
    <n v="757.39"/>
    <s v="Low"/>
    <s v="Mr. William Horton"/>
    <x v="0"/>
    <x v="22"/>
    <x v="0"/>
    <x v="2"/>
    <s v="Bulk order"/>
  </r>
  <r>
    <s v="SALE1991"/>
    <d v="2024-06-07T00:00:00"/>
    <x v="4"/>
    <s v="CUST1327"/>
    <s v="PROD45"/>
    <s v="STORE11"/>
    <n v="1"/>
    <n v="1"/>
    <n v="183.47"/>
    <n v="0.17"/>
    <x v="1"/>
    <n v="152.2801"/>
    <s v="Low"/>
    <s v="Reginald Willis"/>
    <x v="0"/>
    <x v="23"/>
    <x v="1"/>
    <x v="3"/>
    <s v="Normal order"/>
  </r>
  <r>
    <s v="SALE1992"/>
    <d v="2024-07-20T00:00:00"/>
    <x v="0"/>
    <s v="CUST1068"/>
    <s v="PROD89"/>
    <s v="STORE15"/>
    <n v="4"/>
    <n v="4"/>
    <n v="569.98"/>
    <n v="0.23"/>
    <x v="0"/>
    <n v="1755.5383999999999"/>
    <s v="High"/>
    <s v="Mr. Mark Beasley"/>
    <x v="3"/>
    <x v="53"/>
    <x v="0"/>
    <x v="1"/>
    <s v="Bulk order"/>
  </r>
  <r>
    <s v="SALE1993"/>
    <d v="2023-12-14T00:00:00"/>
    <x v="1"/>
    <s v="CUST1472"/>
    <s v="PROD21"/>
    <s v="STORE12"/>
    <n v="3"/>
    <n v="3"/>
    <n v="984.12"/>
    <n v="0.27"/>
    <x v="0"/>
    <n v="2155.2228"/>
    <s v="High"/>
    <s v="Philip Mendoza"/>
    <x v="2"/>
    <x v="54"/>
    <x v="0"/>
    <x v="1"/>
    <s v="Normal order"/>
  </r>
  <r>
    <s v="SALE1994"/>
    <d v="2025-07-06T00:00:00"/>
    <x v="0"/>
    <s v="CUST1473"/>
    <s v="PROD84"/>
    <s v="STORE8"/>
    <n v="1"/>
    <n v="1"/>
    <n v="905.23"/>
    <n v="0"/>
    <x v="0"/>
    <n v="905.23"/>
    <s v="Low"/>
    <s v="Laura Mathews"/>
    <x v="2"/>
    <x v="56"/>
    <x v="3"/>
    <x v="3"/>
    <s v="Normal order"/>
  </r>
  <r>
    <s v="SALE1995"/>
    <d v="2023-12-04T00:00:00"/>
    <x v="1"/>
    <s v="CUST1186"/>
    <s v="PROD99"/>
    <s v="STORE19"/>
    <n v="3"/>
    <n v="3"/>
    <n v="112.77"/>
    <n v="0.19"/>
    <x v="0"/>
    <n v="274.03109999999998"/>
    <s v="Low"/>
    <s v="Jennifer Pruitt"/>
    <x v="2"/>
    <x v="86"/>
    <x v="2"/>
    <x v="1"/>
    <s v="Normal order"/>
  </r>
  <r>
    <s v="SALE1996"/>
    <d v="2025-04-26T00:00:00"/>
    <x v="5"/>
    <s v="CUST1161"/>
    <s v="PROD35"/>
    <s v="STORE8"/>
    <n v="3"/>
    <n v="3"/>
    <n v="875.99"/>
    <n v="0.09"/>
    <x v="1"/>
    <n v="2391.4526999999998"/>
    <s v="High"/>
    <s v="Cynthia Morris"/>
    <x v="2"/>
    <x v="44"/>
    <x v="3"/>
    <x v="1"/>
    <s v="Normal order"/>
  </r>
  <r>
    <s v="SALE1997"/>
    <d v="2024-06-17T00:00:00"/>
    <x v="4"/>
    <s v="CUST1128"/>
    <s v="PROD89"/>
    <s v="STORE10"/>
    <n v="2"/>
    <n v="2"/>
    <n v="685.31"/>
    <n v="0.26"/>
    <x v="1"/>
    <n v="1014.2588"/>
    <s v="High"/>
    <s v="Susan Mcdonald"/>
    <x v="3"/>
    <x v="53"/>
    <x v="2"/>
    <x v="1"/>
    <s v="Normal order"/>
  </r>
  <r>
    <s v="SALE1998"/>
    <d v="2024-11-11T00:00:00"/>
    <x v="8"/>
    <s v="CUST1052"/>
    <s v="PROD61"/>
    <s v="STORE11"/>
    <n v="3"/>
    <n v="3"/>
    <n v="945.37"/>
    <n v="0.05"/>
    <x v="0"/>
    <n v="2694.3045000000002"/>
    <s v="High"/>
    <s v="Debra Liu"/>
    <x v="0"/>
    <x v="49"/>
    <x v="1"/>
    <x v="3"/>
    <s v="Normal order"/>
  </r>
  <r>
    <s v="SALE1999"/>
    <d v="2023-12-07T00:00:00"/>
    <x v="1"/>
    <s v="CUST1023"/>
    <s v="PROD76"/>
    <s v="STORE19"/>
    <n v="3"/>
    <n v="3"/>
    <n v="68.45"/>
    <n v="0.17"/>
    <x v="1"/>
    <n v="170.44049999999999"/>
    <s v="Low"/>
    <s v="Jonathan Steele"/>
    <x v="1"/>
    <x v="45"/>
    <x v="2"/>
    <x v="1"/>
    <s v="Normal order"/>
  </r>
  <r>
    <s v="SALE2"/>
    <d v="2024-06-03T00:00:00"/>
    <x v="4"/>
    <s v="CUST1056"/>
    <s v="PROD49"/>
    <s v="STORE8"/>
    <n v="4"/>
    <n v="4"/>
    <n v="914.05"/>
    <n v="0.25"/>
    <x v="0"/>
    <n v="2742.15"/>
    <s v="High"/>
    <s v="Christopher Sutton"/>
    <x v="3"/>
    <x v="80"/>
    <x v="3"/>
    <x v="0"/>
    <s v="Bulk order"/>
  </r>
  <r>
    <s v="SALE20"/>
    <d v="2025-07-05T00:00:00"/>
    <x v="0"/>
    <s v="CUST1144"/>
    <s v="PROD72"/>
    <s v="STORE17"/>
    <n v="3"/>
    <n v="3"/>
    <n v="986.04"/>
    <n v="0.27"/>
    <x v="2"/>
    <n v="2159.4276"/>
    <s v="High"/>
    <s v="Justin Cross"/>
    <x v="0"/>
    <x v="35"/>
    <x v="0"/>
    <x v="3"/>
    <s v="Normal order"/>
  </r>
  <r>
    <s v="SALE200"/>
    <d v="2025-03-09T00:00:00"/>
    <x v="9"/>
    <s v="CUST1170"/>
    <s v="PROD83"/>
    <s v="STORE6"/>
    <n v="3"/>
    <n v="3"/>
    <n v="748.56"/>
    <n v="0.26"/>
    <x v="1"/>
    <n v="1661.8032000000001"/>
    <s v="High"/>
    <s v="Christopher Garcia Dds"/>
    <x v="3"/>
    <x v="61"/>
    <x v="2"/>
    <x v="0"/>
    <s v="Normal order"/>
  </r>
  <r>
    <s v="SALE201"/>
    <d v="2025-03-26T00:00:00"/>
    <x v="9"/>
    <s v="CUST1144"/>
    <s v="PROD33"/>
    <s v="STORE4"/>
    <n v="1"/>
    <n v="1"/>
    <n v="885.72"/>
    <n v="0.15"/>
    <x v="0"/>
    <n v="752.86199999999997"/>
    <s v="Low"/>
    <s v="Justin Cross"/>
    <x v="2"/>
    <x v="3"/>
    <x v="1"/>
    <x v="3"/>
    <s v="Normal order"/>
  </r>
  <r>
    <s v="SALE202"/>
    <d v="2025-04-03T00:00:00"/>
    <x v="5"/>
    <s v="CUST1108"/>
    <s v="PROD62"/>
    <s v="STORE1"/>
    <n v="4"/>
    <n v="4"/>
    <n v="408.07"/>
    <n v="0.28000000000000003"/>
    <x v="2"/>
    <n v="1175.2416000000001"/>
    <s v="High"/>
    <s v="Travis Holland"/>
    <x v="1"/>
    <x v="19"/>
    <x v="0"/>
    <x v="3"/>
    <s v="Bulk order"/>
  </r>
  <r>
    <s v="SALE203"/>
    <d v="2024-02-05T00:00:00"/>
    <x v="2"/>
    <s v="CUST1472"/>
    <s v="PROD34"/>
    <s v="STORE9"/>
    <n v="2"/>
    <n v="2"/>
    <n v="597.07000000000005"/>
    <n v="0.28000000000000003"/>
    <x v="1"/>
    <n v="859.7808"/>
    <s v="Low"/>
    <s v="Philip Mendoza"/>
    <x v="1"/>
    <x v="21"/>
    <x v="1"/>
    <x v="1"/>
    <s v="Normal order"/>
  </r>
  <r>
    <s v="SALE204"/>
    <d v="2024-06-22T00:00:00"/>
    <x v="4"/>
    <s v="CUST1022"/>
    <s v="PROD67"/>
    <s v="STORE9"/>
    <n v="3"/>
    <n v="3"/>
    <n v="723.47"/>
    <n v="0.12"/>
    <x v="2"/>
    <n v="1909.9608000000001"/>
    <s v="High"/>
    <s v="Paul Fox"/>
    <x v="1"/>
    <x v="99"/>
    <x v="1"/>
    <x v="1"/>
    <s v="Normal order"/>
  </r>
  <r>
    <s v="SALE205"/>
    <d v="2025-08-14T00:00:00"/>
    <x v="10"/>
    <s v="CUST1437"/>
    <s v="PROD88"/>
    <s v="STORE5"/>
    <n v="1"/>
    <n v="1"/>
    <n v="479.93"/>
    <n v="0.22"/>
    <x v="0"/>
    <n v="374.34539999999998"/>
    <s v="Low"/>
    <s v="Melinda Rivera"/>
    <x v="0"/>
    <x v="90"/>
    <x v="0"/>
    <x v="2"/>
    <s v="Normal order"/>
  </r>
  <r>
    <s v="SALE206"/>
    <d v="2024-06-02T00:00:00"/>
    <x v="4"/>
    <s v="CUST1243"/>
    <s v="PROD34"/>
    <s v="STORE16"/>
    <n v="4"/>
    <n v="4"/>
    <n v="362.81"/>
    <n v="0.21"/>
    <x v="2"/>
    <n v="1146.4795999999999"/>
    <s v="High"/>
    <s v="Brian Hammond"/>
    <x v="1"/>
    <x v="21"/>
    <x v="3"/>
    <x v="0"/>
    <s v="Bulk order"/>
  </r>
  <r>
    <s v="SALE207"/>
    <d v="2024-12-14T00:00:00"/>
    <x v="1"/>
    <s v="CUST1185"/>
    <s v="PROD79"/>
    <s v="STORE3"/>
    <n v="1"/>
    <n v="1"/>
    <n v="127.11"/>
    <n v="0.01"/>
    <x v="1"/>
    <n v="125.8389"/>
    <s v="Low"/>
    <s v="Brent Rivas"/>
    <x v="2"/>
    <x v="14"/>
    <x v="0"/>
    <x v="2"/>
    <s v="Normal order"/>
  </r>
  <r>
    <s v="SALE208"/>
    <d v="2024-04-29T00:00:00"/>
    <x v="5"/>
    <s v="CUST1184"/>
    <s v="PROD34"/>
    <s v="STORE17"/>
    <n v="4"/>
    <n v="4"/>
    <n v="931.26"/>
    <n v="0.04"/>
    <x v="0"/>
    <n v="3576.0383999999999"/>
    <s v="High"/>
    <s v="Leonard Cochran"/>
    <x v="1"/>
    <x v="21"/>
    <x v="0"/>
    <x v="1"/>
    <s v="Bulk order"/>
  </r>
  <r>
    <s v="SALE209"/>
    <d v="2023-10-25T00:00:00"/>
    <x v="6"/>
    <s v="CUST1371"/>
    <s v="PROD67"/>
    <s v="STORE8"/>
    <n v="1"/>
    <n v="1"/>
    <n v="620.80999999999995"/>
    <n v="0.04"/>
    <x v="1"/>
    <n v="595.97759999999994"/>
    <s v="Low"/>
    <s v="Michael Garner"/>
    <x v="1"/>
    <x v="99"/>
    <x v="3"/>
    <x v="2"/>
    <s v="Normal order"/>
  </r>
  <r>
    <s v="SALE21"/>
    <d v="2024-06-04T00:00:00"/>
    <x v="4"/>
    <s v="CUST1396"/>
    <s v="PROD43"/>
    <s v="STORE18"/>
    <n v="1"/>
    <n v="1"/>
    <n v="589.55999999999995"/>
    <n v="0.22"/>
    <x v="0"/>
    <n v="459.85680000000002"/>
    <s v="Low"/>
    <s v="Alexander Byrd"/>
    <x v="1"/>
    <x v="34"/>
    <x v="2"/>
    <x v="1"/>
    <s v="Normal order"/>
  </r>
  <r>
    <s v="SALE210"/>
    <d v="2024-07-24T00:00:00"/>
    <x v="0"/>
    <s v="CUST1094"/>
    <s v="PROD50"/>
    <s v="STORE2"/>
    <n v="1"/>
    <n v="1"/>
    <n v="823.26"/>
    <n v="0.27"/>
    <x v="2"/>
    <n v="600.97979999999995"/>
    <s v="Low"/>
    <s v="David Patterson"/>
    <x v="0"/>
    <x v="52"/>
    <x v="1"/>
    <x v="0"/>
    <s v="Normal order"/>
  </r>
  <r>
    <s v="SALE211"/>
    <d v="2025-05-30T00:00:00"/>
    <x v="11"/>
    <s v="CUST1012"/>
    <s v="PROD27"/>
    <s v="STORE8"/>
    <n v="3"/>
    <n v="3"/>
    <n v="681.01"/>
    <n v="0.27"/>
    <x v="2"/>
    <n v="1491.4119000000001"/>
    <s v="High"/>
    <s v="Kenneth Lambert"/>
    <x v="2"/>
    <x v="77"/>
    <x v="3"/>
    <x v="2"/>
    <s v="Normal order"/>
  </r>
  <r>
    <s v="SALE212"/>
    <d v="2025-10-12T00:00:00"/>
    <x v="6"/>
    <s v="CUST1442"/>
    <s v="PROD56"/>
    <s v="STORE19"/>
    <n v="4"/>
    <n v="4"/>
    <n v="119.83"/>
    <n v="0.13"/>
    <x v="0"/>
    <n v="417.00839999999999"/>
    <s v="Low"/>
    <s v="Kelli Smith"/>
    <x v="2"/>
    <x v="87"/>
    <x v="2"/>
    <x v="3"/>
    <s v="Bulk order"/>
  </r>
  <r>
    <s v="SALE213"/>
    <d v="2024-01-23T00:00:00"/>
    <x v="3"/>
    <s v="CUST1307"/>
    <s v="PROD78"/>
    <s v="STORE2"/>
    <n v="1"/>
    <n v="1"/>
    <n v="575.66"/>
    <n v="0.03"/>
    <x v="1"/>
    <n v="558.39019999999994"/>
    <s v="Low"/>
    <s v="Brandy Thompson"/>
    <x v="2"/>
    <x v="33"/>
    <x v="1"/>
    <x v="3"/>
    <s v="Normal order"/>
  </r>
  <r>
    <s v="SALE214"/>
    <d v="2025-10-13T00:00:00"/>
    <x v="6"/>
    <s v="CUST1199"/>
    <s v="PROD48"/>
    <s v="STORE16"/>
    <n v="1"/>
    <n v="1"/>
    <n v="775.84"/>
    <n v="0.26"/>
    <x v="0"/>
    <n v="574.12160000000006"/>
    <s v="Low"/>
    <s v="Carmen Price"/>
    <x v="1"/>
    <x v="66"/>
    <x v="3"/>
    <x v="3"/>
    <s v="Normal order"/>
  </r>
  <r>
    <s v="SALE215"/>
    <d v="2024-03-05T00:00:00"/>
    <x v="9"/>
    <s v="CUST1443"/>
    <s v="PROD14"/>
    <s v="STORE9"/>
    <n v="3"/>
    <n v="3"/>
    <n v="318.43"/>
    <n v="0.05"/>
    <x v="0"/>
    <n v="907.52549999999997"/>
    <s v="Low"/>
    <s v="Adam Castro"/>
    <x v="2"/>
    <x v="94"/>
    <x v="1"/>
    <x v="1"/>
    <s v="Normal order"/>
  </r>
  <r>
    <s v="SALE216"/>
    <d v="2025-07-16T00:00:00"/>
    <x v="0"/>
    <s v="CUST1153"/>
    <s v="PROD72"/>
    <s v="STORE8"/>
    <n v="3"/>
    <n v="3"/>
    <n v="141.6"/>
    <n v="0.08"/>
    <x v="2"/>
    <n v="390.81599999999997"/>
    <s v="Low"/>
    <s v="Joseph Faulkner"/>
    <x v="0"/>
    <x v="35"/>
    <x v="3"/>
    <x v="3"/>
    <s v="Normal order"/>
  </r>
  <r>
    <s v="SALE217"/>
    <d v="2023-10-20T00:00:00"/>
    <x v="6"/>
    <s v="CUST1266"/>
    <s v="PROD15"/>
    <s v="STORE19"/>
    <n v="1"/>
    <n v="1"/>
    <n v="332.82"/>
    <n v="0.14000000000000001"/>
    <x v="1"/>
    <n v="286.22519999999997"/>
    <s v="Low"/>
    <s v="Cynthia Payne"/>
    <x v="1"/>
    <x v="42"/>
    <x v="2"/>
    <x v="3"/>
    <s v="Normal order"/>
  </r>
  <r>
    <s v="SALE218"/>
    <d v="2024-06-04T00:00:00"/>
    <x v="4"/>
    <s v="CUST1246"/>
    <s v="PROD72"/>
    <s v="STORE1"/>
    <n v="4"/>
    <n v="4"/>
    <n v="640.97"/>
    <n v="0.11"/>
    <x v="2"/>
    <n v="2281.8532"/>
    <s v="High"/>
    <s v="Mary Russell"/>
    <x v="0"/>
    <x v="35"/>
    <x v="0"/>
    <x v="3"/>
    <s v="Bulk order"/>
  </r>
  <r>
    <s v="SALE219"/>
    <d v="2023-10-26T00:00:00"/>
    <x v="6"/>
    <s v="CUST1203"/>
    <s v="PROD90"/>
    <s v="STORE15"/>
    <n v="4"/>
    <n v="4"/>
    <n v="75.37"/>
    <n v="0.02"/>
    <x v="2"/>
    <n v="295.4504"/>
    <s v="Low"/>
    <s v="Sarah Brady"/>
    <x v="1"/>
    <x v="73"/>
    <x v="0"/>
    <x v="2"/>
    <s v="Bulk order"/>
  </r>
  <r>
    <s v="SALE22"/>
    <d v="2024-04-12T00:00:00"/>
    <x v="5"/>
    <s v="CUST1476"/>
    <s v="PROD69"/>
    <s v="STORE10"/>
    <n v="3"/>
    <n v="3"/>
    <n v="979.42"/>
    <n v="0.03"/>
    <x v="1"/>
    <n v="2850.1122"/>
    <s v="High"/>
    <s v="Elizabeth Foster"/>
    <x v="4"/>
    <x v="5"/>
    <x v="2"/>
    <x v="0"/>
    <s v="Normal order"/>
  </r>
  <r>
    <s v="SALE220"/>
    <d v="2025-04-07T00:00:00"/>
    <x v="5"/>
    <s v="CUST1075"/>
    <s v="PROD16"/>
    <s v="STORE18"/>
    <n v="3"/>
    <n v="3"/>
    <n v="434.55"/>
    <n v="0.08"/>
    <x v="2"/>
    <n v="1199.3579999999999"/>
    <s v="High"/>
    <s v="Rhonda Morales"/>
    <x v="3"/>
    <x v="63"/>
    <x v="2"/>
    <x v="0"/>
    <s v="Normal order"/>
  </r>
  <r>
    <s v="SALE221"/>
    <d v="2025-03-13T00:00:00"/>
    <x v="9"/>
    <s v="CUST1099"/>
    <s v="PROD26"/>
    <s v="STORE14"/>
    <n v="4"/>
    <n v="4"/>
    <n v="652.28"/>
    <n v="0.15"/>
    <x v="0"/>
    <n v="2217.752"/>
    <s v="High"/>
    <s v="Sheila Wilson"/>
    <x v="1"/>
    <x v="81"/>
    <x v="1"/>
    <x v="1"/>
    <s v="Bulk order"/>
  </r>
  <r>
    <s v="SALE222"/>
    <d v="2024-07-07T00:00:00"/>
    <x v="0"/>
    <s v="CUST1269"/>
    <s v="PROD76"/>
    <s v="STORE17"/>
    <n v="3"/>
    <n v="3"/>
    <n v="207.8"/>
    <n v="0.15"/>
    <x v="0"/>
    <n v="529.8900000000001"/>
    <s v="Low"/>
    <s v="Tyrone Olson"/>
    <x v="1"/>
    <x v="45"/>
    <x v="0"/>
    <x v="1"/>
    <s v="Normal order"/>
  </r>
  <r>
    <s v="SALE223"/>
    <d v="2024-03-10T00:00:00"/>
    <x v="9"/>
    <s v="CUST1495"/>
    <s v="PROD61"/>
    <s v="STORE15"/>
    <n v="4"/>
    <n v="4"/>
    <n v="385.5"/>
    <n v="0.03"/>
    <x v="1"/>
    <n v="1495.74"/>
    <s v="High"/>
    <s v="James Berger"/>
    <x v="0"/>
    <x v="49"/>
    <x v="0"/>
    <x v="3"/>
    <s v="Bulk order"/>
  </r>
  <r>
    <s v="SALE224"/>
    <d v="2025-09-15T00:00:00"/>
    <x v="7"/>
    <s v="CUST1096"/>
    <s v="PROD65"/>
    <s v="STORE6"/>
    <n v="3"/>
    <n v="3"/>
    <n v="548.19000000000005"/>
    <n v="0.12"/>
    <x v="0"/>
    <n v="1447.2216000000001"/>
    <s v="High"/>
    <s v="Samantha Walker"/>
    <x v="0"/>
    <x v="74"/>
    <x v="2"/>
    <x v="2"/>
    <s v="Normal order"/>
  </r>
  <r>
    <s v="SALE225"/>
    <d v="2024-11-11T00:00:00"/>
    <x v="8"/>
    <s v="CUST1069"/>
    <s v="PROD73"/>
    <s v="STORE9"/>
    <n v="3"/>
    <n v="3"/>
    <n v="927.6"/>
    <n v="0.09"/>
    <x v="0"/>
    <n v="2532.348"/>
    <s v="High"/>
    <s v="Roy Cole"/>
    <x v="0"/>
    <x v="6"/>
    <x v="1"/>
    <x v="2"/>
    <s v="Normal order"/>
  </r>
  <r>
    <s v="SALE226"/>
    <d v="2025-01-09T00:00:00"/>
    <x v="3"/>
    <s v="CUST1266"/>
    <s v="PROD61"/>
    <s v="STORE3"/>
    <n v="4"/>
    <n v="4"/>
    <n v="585.04"/>
    <n v="0.22"/>
    <x v="1"/>
    <n v="1825.3248000000001"/>
    <s v="High"/>
    <s v="Cynthia Payne"/>
    <x v="0"/>
    <x v="49"/>
    <x v="0"/>
    <x v="3"/>
    <s v="Bulk order"/>
  </r>
  <r>
    <s v="SALE227"/>
    <d v="2024-04-24T00:00:00"/>
    <x v="5"/>
    <s v="CUST1499"/>
    <s v="PROD39"/>
    <s v="STORE2"/>
    <n v="2"/>
    <n v="2"/>
    <n v="999.89"/>
    <n v="0.09"/>
    <x v="0"/>
    <n v="1819.7998"/>
    <s v="High"/>
    <s v="Philip Pennington"/>
    <x v="1"/>
    <x v="65"/>
    <x v="1"/>
    <x v="2"/>
    <s v="Normal order"/>
  </r>
  <r>
    <s v="SALE228"/>
    <d v="2023-12-24T00:00:00"/>
    <x v="1"/>
    <s v="CUST1107"/>
    <s v="PROD75"/>
    <s v="STORE3"/>
    <n v="2"/>
    <n v="2"/>
    <n v="848.98"/>
    <n v="0.04"/>
    <x v="1"/>
    <n v="1630.0416"/>
    <s v="High"/>
    <s v="Erica Carney"/>
    <x v="4"/>
    <x v="10"/>
    <x v="0"/>
    <x v="2"/>
    <s v="Normal order"/>
  </r>
  <r>
    <s v="SALE229"/>
    <d v="2024-02-26T00:00:00"/>
    <x v="2"/>
    <s v="CUST1142"/>
    <s v="PROD60"/>
    <s v="STORE14"/>
    <n v="3"/>
    <n v="3"/>
    <n v="769.56"/>
    <n v="0.08"/>
    <x v="0"/>
    <n v="2123.9856"/>
    <s v="High"/>
    <s v="Maria Ramirez"/>
    <x v="3"/>
    <x v="18"/>
    <x v="1"/>
    <x v="3"/>
    <s v="Normal order"/>
  </r>
  <r>
    <s v="SALE23"/>
    <d v="2024-06-23T00:00:00"/>
    <x v="4"/>
    <s v="CUST1368"/>
    <s v="PROD12"/>
    <s v="STORE8"/>
    <n v="1"/>
    <n v="1"/>
    <n v="719.28"/>
    <n v="0.08"/>
    <x v="0"/>
    <n v="661.73760000000004"/>
    <s v="Low"/>
    <s v="Miranda King"/>
    <x v="3"/>
    <x v="85"/>
    <x v="3"/>
    <x v="2"/>
    <s v="Normal order"/>
  </r>
  <r>
    <s v="SALE230"/>
    <d v="2025-01-19T00:00:00"/>
    <x v="3"/>
    <s v="CUST1049"/>
    <s v="PROD48"/>
    <s v="STORE13"/>
    <n v="3"/>
    <n v="3"/>
    <n v="449.88"/>
    <n v="0.1"/>
    <x v="1"/>
    <n v="1214.6759999999999"/>
    <s v="High"/>
    <s v="Timothy Weaver"/>
    <x v="1"/>
    <x v="66"/>
    <x v="2"/>
    <x v="0"/>
    <s v="Normal order"/>
  </r>
  <r>
    <s v="SALE231"/>
    <d v="2025-07-25T00:00:00"/>
    <x v="0"/>
    <s v="CUST1275"/>
    <s v="PROD69"/>
    <s v="STORE12"/>
    <n v="4"/>
    <n v="4"/>
    <n v="383.74"/>
    <n v="0.01"/>
    <x v="0"/>
    <n v="1519.6104"/>
    <s v="High"/>
    <s v="Shannon Miller"/>
    <x v="4"/>
    <x v="5"/>
    <x v="0"/>
    <x v="0"/>
    <s v="Bulk order"/>
  </r>
  <r>
    <s v="SALE232"/>
    <d v="2024-04-27T00:00:00"/>
    <x v="5"/>
    <s v="CUST1148"/>
    <s v="PROD58"/>
    <s v="STORE10"/>
    <n v="4"/>
    <n v="4"/>
    <n v="794.97"/>
    <n v="0.24"/>
    <x v="1"/>
    <n v="2416.7087999999999"/>
    <s v="High"/>
    <s v="Theresa Campbell"/>
    <x v="4"/>
    <x v="36"/>
    <x v="2"/>
    <x v="3"/>
    <s v="Bulk order"/>
  </r>
  <r>
    <s v="SALE233"/>
    <d v="2025-08-11T00:00:00"/>
    <x v="10"/>
    <s v="CUST1010"/>
    <s v="PROD79"/>
    <s v="STORE5"/>
    <n v="1"/>
    <n v="1"/>
    <n v="989.63"/>
    <n v="0.05"/>
    <x v="1"/>
    <n v="940.1484999999999"/>
    <s v="Low"/>
    <s v="Dominic Page"/>
    <x v="2"/>
    <x v="14"/>
    <x v="0"/>
    <x v="3"/>
    <s v="Normal order"/>
  </r>
  <r>
    <s v="SALE234"/>
    <d v="2025-03-15T00:00:00"/>
    <x v="9"/>
    <s v="CUST1335"/>
    <s v="PROD54"/>
    <s v="STORE0"/>
    <n v="1"/>
    <n v="1"/>
    <n v="447.16"/>
    <n v="0.22"/>
    <x v="2"/>
    <n v="348.78480000000002"/>
    <s v="Low"/>
    <s v="Jennifer Woods"/>
    <x v="0"/>
    <x v="8"/>
    <x v="2"/>
    <x v="2"/>
    <s v="Normal order"/>
  </r>
  <r>
    <s v="SALE235"/>
    <d v="2025-01-14T00:00:00"/>
    <x v="3"/>
    <s v="CUST1008"/>
    <s v="PROD94"/>
    <s v="STORE6"/>
    <n v="1"/>
    <n v="1"/>
    <n v="946.9"/>
    <n v="0.28999999999999998"/>
    <x v="2"/>
    <n v="672.29899999999998"/>
    <s v="Low"/>
    <s v="Melissa Howard"/>
    <x v="3"/>
    <x v="89"/>
    <x v="2"/>
    <x v="0"/>
    <s v="Normal order"/>
  </r>
  <r>
    <s v="SALE236"/>
    <d v="2025-06-01T00:00:00"/>
    <x v="4"/>
    <s v="CUST1169"/>
    <s v="PROD17"/>
    <s v="STORE0"/>
    <n v="4"/>
    <n v="4"/>
    <n v="469.68"/>
    <n v="0.19"/>
    <x v="0"/>
    <n v="1521.7632000000001"/>
    <s v="High"/>
    <s v="Steve Mclaughlin"/>
    <x v="0"/>
    <x v="29"/>
    <x v="2"/>
    <x v="3"/>
    <s v="Bulk order"/>
  </r>
  <r>
    <s v="SALE237"/>
    <d v="2024-09-24T00:00:00"/>
    <x v="7"/>
    <s v="CUST1494"/>
    <s v="PROD28"/>
    <s v="STORE17"/>
    <n v="4"/>
    <n v="4"/>
    <n v="320.64"/>
    <n v="0.2"/>
    <x v="2"/>
    <n v="1026.048"/>
    <s v="High"/>
    <s v="Justin Lopez"/>
    <x v="0"/>
    <x v="40"/>
    <x v="0"/>
    <x v="0"/>
    <s v="Bulk order"/>
  </r>
  <r>
    <s v="SALE238"/>
    <d v="2023-11-23T00:00:00"/>
    <x v="8"/>
    <s v="CUST1135"/>
    <s v="PROD15"/>
    <s v="STORE5"/>
    <n v="1"/>
    <n v="1"/>
    <n v="594.44000000000005"/>
    <n v="0.21"/>
    <x v="0"/>
    <n v="469.60759999999999"/>
    <s v="Low"/>
    <s v="Matthew Hanna"/>
    <x v="1"/>
    <x v="42"/>
    <x v="0"/>
    <x v="2"/>
    <s v="Normal order"/>
  </r>
  <r>
    <s v="SALE239"/>
    <d v="2025-07-23T00:00:00"/>
    <x v="0"/>
    <s v="CUST1216"/>
    <s v="PROD86"/>
    <s v="STORE8"/>
    <n v="3"/>
    <n v="3"/>
    <n v="91.7"/>
    <n v="0.08"/>
    <x v="2"/>
    <n v="253.09200000000001"/>
    <s v="Low"/>
    <s v="Kathryn Garcia"/>
    <x v="2"/>
    <x v="30"/>
    <x v="3"/>
    <x v="2"/>
    <s v="Normal order"/>
  </r>
  <r>
    <s v="SALE24"/>
    <d v="2025-09-08T00:00:00"/>
    <x v="7"/>
    <s v="CUST1186"/>
    <s v="PROD67"/>
    <s v="STORE6"/>
    <n v="3"/>
    <n v="3"/>
    <n v="77.599999999999994"/>
    <n v="7.0000000000000007E-2"/>
    <x v="0"/>
    <n v="216.50399999999999"/>
    <s v="Low"/>
    <s v="Jennifer Pruitt"/>
    <x v="1"/>
    <x v="99"/>
    <x v="2"/>
    <x v="1"/>
    <s v="Normal order"/>
  </r>
  <r>
    <s v="SALE240"/>
    <d v="2025-09-17T00:00:00"/>
    <x v="7"/>
    <s v="CUST1031"/>
    <s v="PROD62"/>
    <s v="STORE12"/>
    <n v="3"/>
    <n v="3"/>
    <n v="741.33"/>
    <n v="0.03"/>
    <x v="0"/>
    <n v="2157.2703000000001"/>
    <s v="High"/>
    <s v="Sarah Vance"/>
    <x v="1"/>
    <x v="19"/>
    <x v="0"/>
    <x v="1"/>
    <s v="Normal order"/>
  </r>
  <r>
    <s v="SALE241"/>
    <d v="2025-04-07T00:00:00"/>
    <x v="5"/>
    <s v="CUST1476"/>
    <s v="PROD16"/>
    <s v="STORE19"/>
    <n v="1"/>
    <n v="1"/>
    <n v="922.78"/>
    <n v="0.28999999999999998"/>
    <x v="2"/>
    <n v="655.17379999999991"/>
    <s v="Low"/>
    <s v="Elizabeth Foster"/>
    <x v="3"/>
    <x v="63"/>
    <x v="2"/>
    <x v="0"/>
    <s v="Normal order"/>
  </r>
  <r>
    <s v="SALE242"/>
    <d v="2024-01-21T00:00:00"/>
    <x v="3"/>
    <s v="CUST1325"/>
    <s v="PROD8"/>
    <s v="STORE16"/>
    <n v="1"/>
    <n v="1"/>
    <n v="394.35"/>
    <n v="0.09"/>
    <x v="1"/>
    <n v="358.85849999999999"/>
    <s v="Low"/>
    <s v="Andrew Smith"/>
    <x v="1"/>
    <x v="12"/>
    <x v="3"/>
    <x v="3"/>
    <s v="Normal order"/>
  </r>
  <r>
    <s v="SALE243"/>
    <d v="2024-07-07T00:00:00"/>
    <x v="0"/>
    <s v="CUST1364"/>
    <s v="PROD65"/>
    <s v="STORE11"/>
    <n v="2"/>
    <n v="2"/>
    <n v="703.95"/>
    <n v="0.03"/>
    <x v="0"/>
    <n v="1365.663"/>
    <s v="High"/>
    <s v="Chloe Aguilar"/>
    <x v="0"/>
    <x v="74"/>
    <x v="1"/>
    <x v="3"/>
    <s v="Normal order"/>
  </r>
  <r>
    <s v="SALE244"/>
    <d v="2025-05-03T00:00:00"/>
    <x v="11"/>
    <s v="CUST1200"/>
    <s v="PROD14"/>
    <s v="STORE0"/>
    <n v="4"/>
    <n v="4"/>
    <n v="452.67"/>
    <n v="0.28000000000000003"/>
    <x v="1"/>
    <n v="1303.6895999999999"/>
    <s v="High"/>
    <s v="Anna Perez"/>
    <x v="2"/>
    <x v="94"/>
    <x v="2"/>
    <x v="2"/>
    <s v="Bulk order"/>
  </r>
  <r>
    <s v="SALE245"/>
    <d v="2024-02-27T00:00:00"/>
    <x v="2"/>
    <s v="CUST1463"/>
    <s v="PROD8"/>
    <s v="STORE7"/>
    <n v="2"/>
    <n v="2"/>
    <n v="377.3"/>
    <n v="0.15"/>
    <x v="1"/>
    <n v="641.41"/>
    <s v="Low"/>
    <s v="Samantha Lee"/>
    <x v="1"/>
    <x v="12"/>
    <x v="1"/>
    <x v="3"/>
    <s v="Normal order"/>
  </r>
  <r>
    <s v="SALE246"/>
    <d v="2025-07-08T00:00:00"/>
    <x v="0"/>
    <s v="CUST1344"/>
    <s v="PROD74"/>
    <s v="STORE7"/>
    <n v="2"/>
    <n v="2"/>
    <n v="130.47999999999999"/>
    <n v="0.23"/>
    <x v="1"/>
    <n v="200.9392"/>
    <s v="Low"/>
    <s v="Evelyn Brown"/>
    <x v="1"/>
    <x v="1"/>
    <x v="1"/>
    <x v="0"/>
    <s v="Normal order"/>
  </r>
  <r>
    <s v="SALE247"/>
    <d v="2025-03-13T00:00:00"/>
    <x v="9"/>
    <s v="CUST1435"/>
    <s v="PROD94"/>
    <s v="STORE12"/>
    <n v="1"/>
    <n v="1"/>
    <n v="809.45"/>
    <n v="0.09"/>
    <x v="2"/>
    <n v="736.59950000000003"/>
    <s v="Low"/>
    <s v="Lindsay Beasley"/>
    <x v="3"/>
    <x v="89"/>
    <x v="0"/>
    <x v="1"/>
    <s v="Normal order"/>
  </r>
  <r>
    <s v="SALE248"/>
    <d v="2025-04-21T00:00:00"/>
    <x v="5"/>
    <s v="CUST1083"/>
    <s v="PROD45"/>
    <s v="STORE9"/>
    <n v="3"/>
    <n v="3"/>
    <n v="499.12"/>
    <n v="0.05"/>
    <x v="1"/>
    <n v="1422.492"/>
    <s v="High"/>
    <s v="Thomas Robinson"/>
    <x v="0"/>
    <x v="23"/>
    <x v="1"/>
    <x v="3"/>
    <s v="Normal order"/>
  </r>
  <r>
    <s v="SALE249"/>
    <d v="2024-11-10T00:00:00"/>
    <x v="8"/>
    <s v="CUST1023"/>
    <s v="PROD68"/>
    <s v="STORE3"/>
    <n v="2"/>
    <n v="2"/>
    <n v="894.58"/>
    <n v="0.25"/>
    <x v="0"/>
    <n v="1341.87"/>
    <s v="High"/>
    <s v="Jonathan Steele"/>
    <x v="2"/>
    <x v="97"/>
    <x v="0"/>
    <x v="1"/>
    <s v="Normal order"/>
  </r>
  <r>
    <s v="SALE25"/>
    <d v="2024-09-17T00:00:00"/>
    <x v="7"/>
    <s v="CUST1381"/>
    <s v="PROD5"/>
    <s v="STORE3"/>
    <n v="4"/>
    <n v="4"/>
    <n v="852.71"/>
    <n v="0.14000000000000001"/>
    <x v="1"/>
    <n v="2933.3224"/>
    <s v="High"/>
    <s v="Erika Padilla"/>
    <x v="4"/>
    <x v="91"/>
    <x v="0"/>
    <x v="1"/>
    <s v="Bulk order"/>
  </r>
  <r>
    <s v="SALE250"/>
    <d v="2024-08-09T00:00:00"/>
    <x v="10"/>
    <s v="CUST1131"/>
    <s v="PROD75"/>
    <s v="STORE9"/>
    <n v="4"/>
    <n v="4"/>
    <n v="578.39"/>
    <n v="0.01"/>
    <x v="0"/>
    <n v="2290.4243999999999"/>
    <s v="High"/>
    <s v="Joseph Richards"/>
    <x v="4"/>
    <x v="10"/>
    <x v="1"/>
    <x v="3"/>
    <s v="Bulk order"/>
  </r>
  <r>
    <s v="SALE251"/>
    <d v="2024-03-05T00:00:00"/>
    <x v="9"/>
    <s v="CUST1485"/>
    <s v="PROD41"/>
    <s v="STORE17"/>
    <n v="4"/>
    <n v="4"/>
    <n v="982.45"/>
    <n v="0.2"/>
    <x v="1"/>
    <n v="3143.84"/>
    <s v="High"/>
    <s v="Sara Ingram"/>
    <x v="0"/>
    <x v="82"/>
    <x v="0"/>
    <x v="3"/>
    <s v="Bulk order"/>
  </r>
  <r>
    <s v="SALE252"/>
    <d v="2025-09-25T00:00:00"/>
    <x v="7"/>
    <s v="CUST1449"/>
    <s v="PROD98"/>
    <s v="STORE19"/>
    <n v="1"/>
    <n v="1"/>
    <n v="549.52"/>
    <n v="0.1"/>
    <x v="1"/>
    <n v="494.56799999999998"/>
    <s v="Low"/>
    <s v="William Cortez"/>
    <x v="1"/>
    <x v="51"/>
    <x v="2"/>
    <x v="3"/>
    <s v="Normal order"/>
  </r>
  <r>
    <s v="SALE253"/>
    <d v="2025-08-07T00:00:00"/>
    <x v="10"/>
    <s v="CUST1240"/>
    <s v="PROD92"/>
    <s v="STORE18"/>
    <n v="2"/>
    <n v="2"/>
    <n v="239.92"/>
    <n v="0.16"/>
    <x v="0"/>
    <n v="403.06560000000002"/>
    <s v="Low"/>
    <s v="William Hull"/>
    <x v="2"/>
    <x v="39"/>
    <x v="2"/>
    <x v="2"/>
    <s v="Normal order"/>
  </r>
  <r>
    <s v="SALE254"/>
    <d v="2024-02-16T00:00:00"/>
    <x v="2"/>
    <s v="CUST1082"/>
    <s v="PROD92"/>
    <s v="STORE6"/>
    <n v="2"/>
    <n v="2"/>
    <n v="878.05"/>
    <n v="0.11"/>
    <x v="1"/>
    <n v="1562.9290000000001"/>
    <s v="High"/>
    <s v="George Rosario"/>
    <x v="2"/>
    <x v="39"/>
    <x v="2"/>
    <x v="3"/>
    <s v="Normal order"/>
  </r>
  <r>
    <s v="SALE255"/>
    <d v="2025-03-30T00:00:00"/>
    <x v="9"/>
    <s v="CUST1044"/>
    <s v="PROD1"/>
    <s v="STORE9"/>
    <n v="3"/>
    <n v="3"/>
    <n v="546.96"/>
    <n v="0.19"/>
    <x v="0"/>
    <n v="1329.1128000000001"/>
    <s v="High"/>
    <s v="Denise Williams"/>
    <x v="4"/>
    <x v="93"/>
    <x v="1"/>
    <x v="3"/>
    <s v="Normal order"/>
  </r>
  <r>
    <s v="SALE256"/>
    <d v="2025-02-18T00:00:00"/>
    <x v="2"/>
    <s v="CUST1471"/>
    <s v="PROD17"/>
    <s v="STORE10"/>
    <n v="2"/>
    <n v="2"/>
    <n v="71.77"/>
    <n v="0.22"/>
    <x v="0"/>
    <n v="111.96120000000001"/>
    <s v="Low"/>
    <s v="Debra Mccullough"/>
    <x v="0"/>
    <x v="29"/>
    <x v="2"/>
    <x v="2"/>
    <s v="Normal order"/>
  </r>
  <r>
    <s v="SALE257"/>
    <d v="2025-03-01T00:00:00"/>
    <x v="9"/>
    <s v="CUST1013"/>
    <s v="PROD24"/>
    <s v="STORE1"/>
    <n v="2"/>
    <n v="2"/>
    <n v="679.86"/>
    <n v="0.22"/>
    <x v="2"/>
    <n v="1060.5816"/>
    <s v="High"/>
    <s v="Nathan Hernandez"/>
    <x v="0"/>
    <x v="2"/>
    <x v="0"/>
    <x v="1"/>
    <s v="Normal order"/>
  </r>
  <r>
    <s v="SALE258"/>
    <d v="2024-01-09T00:00:00"/>
    <x v="3"/>
    <s v="CUST1136"/>
    <s v="PROD35"/>
    <s v="STORE17"/>
    <n v="1"/>
    <n v="1"/>
    <n v="222.94"/>
    <n v="0.19"/>
    <x v="0"/>
    <n v="180.5814"/>
    <s v="Low"/>
    <s v="Patrick Coleman"/>
    <x v="2"/>
    <x v="44"/>
    <x v="0"/>
    <x v="1"/>
    <s v="Normal order"/>
  </r>
  <r>
    <s v="SALE259"/>
    <d v="2025-04-26T00:00:00"/>
    <x v="5"/>
    <s v="CUST1248"/>
    <s v="PROD35"/>
    <s v="STORE2"/>
    <n v="2"/>
    <n v="2"/>
    <n v="355.3"/>
    <m/>
    <x v="1"/>
    <n v="589.798"/>
    <s v="Low"/>
    <s v="Nicholas Webb"/>
    <x v="2"/>
    <x v="44"/>
    <x v="1"/>
    <x v="0"/>
    <s v="Normal order"/>
  </r>
  <r>
    <s v="SALE26"/>
    <d v="2024-01-03T00:00:00"/>
    <x v="3"/>
    <s v="CUST1213"/>
    <s v="PROD98"/>
    <s v="STORE8"/>
    <n v="4"/>
    <n v="4"/>
    <n v="156.16"/>
    <m/>
    <x v="0"/>
    <n v="599.65440000000001"/>
    <s v="Low"/>
    <s v="Stuart Johnson"/>
    <x v="1"/>
    <x v="51"/>
    <x v="3"/>
    <x v="2"/>
    <s v="Bulk order"/>
  </r>
  <r>
    <s v="SALE260"/>
    <d v="2024-07-24T00:00:00"/>
    <x v="0"/>
    <s v="CUST1103"/>
    <s v="PROD89"/>
    <s v="STORE19"/>
    <n v="4"/>
    <n v="4"/>
    <n v="611.29999999999995"/>
    <n v="0.11"/>
    <x v="1"/>
    <n v="2176.2280000000001"/>
    <s v="High"/>
    <s v="Steven Stein"/>
    <x v="3"/>
    <x v="53"/>
    <x v="2"/>
    <x v="3"/>
    <s v="Bulk order"/>
  </r>
  <r>
    <s v="SALE261"/>
    <d v="2025-03-26T00:00:00"/>
    <x v="9"/>
    <s v="CUST1333"/>
    <s v="PROD0"/>
    <s v="STORE8"/>
    <n v="4"/>
    <n v="4"/>
    <n v="849.21"/>
    <n v="7.0000000000000007E-2"/>
    <x v="0"/>
    <n v="3159.0612000000001"/>
    <s v="High"/>
    <s v="Teresa Johnson"/>
    <x v="1"/>
    <x v="7"/>
    <x v="3"/>
    <x v="0"/>
    <s v="Bulk order"/>
  </r>
  <r>
    <s v="SALE262"/>
    <d v="2025-02-25T00:00:00"/>
    <x v="2"/>
    <s v="CUST1209"/>
    <s v="PROD42"/>
    <s v="STORE7"/>
    <n v="3"/>
    <n v="3"/>
    <n v="553.12"/>
    <n v="0.28000000000000003"/>
    <x v="2"/>
    <n v="1194.7392"/>
    <s v="High"/>
    <s v="Joan Johnson"/>
    <x v="1"/>
    <x v="71"/>
    <x v="1"/>
    <x v="2"/>
    <s v="Normal order"/>
  </r>
  <r>
    <s v="SALE263"/>
    <d v="2025-06-18T00:00:00"/>
    <x v="4"/>
    <s v="CUST1282"/>
    <s v="PROD91"/>
    <s v="STORE9"/>
    <n v="2"/>
    <n v="2"/>
    <n v="903.08"/>
    <n v="0.18"/>
    <x v="2"/>
    <n v="1481.0512000000001"/>
    <s v="High"/>
    <s v="Kristi Lopez"/>
    <x v="4"/>
    <x v="67"/>
    <x v="1"/>
    <x v="0"/>
    <s v="Normal order"/>
  </r>
  <r>
    <s v="SALE264"/>
    <d v="2024-12-22T00:00:00"/>
    <x v="1"/>
    <s v="CUST1478"/>
    <s v="PROD16"/>
    <s v="STORE11"/>
    <n v="4"/>
    <n v="4"/>
    <n v="640.23"/>
    <n v="0.06"/>
    <x v="2"/>
    <n v="2407.2647999999999"/>
    <s v="High"/>
    <s v="Earl Smith Dds"/>
    <x v="3"/>
    <x v="63"/>
    <x v="1"/>
    <x v="0"/>
    <s v="Bulk order"/>
  </r>
  <r>
    <s v="SALE265"/>
    <d v="2025-06-28T00:00:00"/>
    <x v="4"/>
    <s v="CUST1141"/>
    <s v="PROD21"/>
    <s v="STORE6"/>
    <n v="1"/>
    <n v="1"/>
    <n v="518"/>
    <n v="0.25"/>
    <x v="0"/>
    <n v="388.5"/>
    <s v="Low"/>
    <s v="Cristian Wright"/>
    <x v="2"/>
    <x v="54"/>
    <x v="2"/>
    <x v="3"/>
    <s v="Normal order"/>
  </r>
  <r>
    <s v="SALE266"/>
    <d v="2024-05-25T00:00:00"/>
    <x v="11"/>
    <s v="CUST1433"/>
    <s v="PROD64"/>
    <s v="STORE4"/>
    <n v="4"/>
    <n v="4"/>
    <n v="779.25"/>
    <n v="0.25"/>
    <x v="0"/>
    <n v="2337.75"/>
    <s v="High"/>
    <s v="Thomas Moore"/>
    <x v="3"/>
    <x v="55"/>
    <x v="1"/>
    <x v="1"/>
    <s v="Bulk order"/>
  </r>
  <r>
    <s v="SALE267"/>
    <d v="2025-05-30T00:00:00"/>
    <x v="11"/>
    <s v="CUST1118"/>
    <s v="PROD83"/>
    <s v="STORE7"/>
    <n v="2"/>
    <n v="2"/>
    <n v="467.75"/>
    <n v="0.26"/>
    <x v="0"/>
    <n v="692.27"/>
    <s v="Low"/>
    <s v="Earl Allen"/>
    <x v="3"/>
    <x v="61"/>
    <x v="1"/>
    <x v="2"/>
    <s v="Normal order"/>
  </r>
  <r>
    <s v="SALE268"/>
    <d v="2024-09-20T00:00:00"/>
    <x v="7"/>
    <s v="CUST1406"/>
    <s v="PROD90"/>
    <s v="STORE18"/>
    <n v="3"/>
    <n v="3"/>
    <m/>
    <n v="0.06"/>
    <x v="0"/>
    <n v="315.24779999999998"/>
    <s v="Low"/>
    <s v="David Lozano"/>
    <x v="1"/>
    <x v="73"/>
    <x v="2"/>
    <x v="0"/>
    <s v="Normal order"/>
  </r>
  <r>
    <s v="SALE269"/>
    <d v="2025-05-26T00:00:00"/>
    <x v="11"/>
    <s v="CUST1219"/>
    <s v="PROD37"/>
    <s v="STORE0"/>
    <n v="4"/>
    <n v="4"/>
    <n v="747.01"/>
    <n v="0.13"/>
    <x v="1"/>
    <n v="2599.5947999999999"/>
    <s v="High"/>
    <s v="Jordan Wells"/>
    <x v="4"/>
    <x v="16"/>
    <x v="2"/>
    <x v="0"/>
    <s v="Bulk order"/>
  </r>
  <r>
    <s v="SALE27"/>
    <d v="2025-02-22T00:00:00"/>
    <x v="2"/>
    <s v="CUST1200"/>
    <s v="PROD77"/>
    <s v="STORE8"/>
    <n v="3"/>
    <n v="3"/>
    <n v="815.49"/>
    <n v="0.17"/>
    <x v="0"/>
    <n v="2030.5700999999999"/>
    <s v="High"/>
    <s v="Anna Perez"/>
    <x v="1"/>
    <x v="79"/>
    <x v="3"/>
    <x v="2"/>
    <s v="Normal order"/>
  </r>
  <r>
    <s v="SALE270"/>
    <d v="2025-03-19T00:00:00"/>
    <x v="9"/>
    <s v="CUST1101"/>
    <s v="PROD89"/>
    <s v="STORE12"/>
    <n v="4"/>
    <n v="4"/>
    <n v="461.83"/>
    <n v="0.28000000000000003"/>
    <x v="1"/>
    <n v="1330.0704000000001"/>
    <s v="High"/>
    <s v="Colleen Maynard"/>
    <x v="3"/>
    <x v="53"/>
    <x v="0"/>
    <x v="0"/>
    <s v="Bulk order"/>
  </r>
  <r>
    <s v="SALE271"/>
    <d v="2025-04-03T00:00:00"/>
    <x v="5"/>
    <s v="CUST1134"/>
    <s v="PROD70"/>
    <s v="STORE8"/>
    <n v="2"/>
    <n v="2"/>
    <n v="105.15"/>
    <n v="0.06"/>
    <x v="0"/>
    <n v="197.68199999999999"/>
    <s v="Low"/>
    <s v="Morgan Bowen"/>
    <x v="2"/>
    <x v="92"/>
    <x v="3"/>
    <x v="0"/>
    <s v="Normal order"/>
  </r>
  <r>
    <s v="SALE272"/>
    <d v="2025-02-05T00:00:00"/>
    <x v="2"/>
    <s v="CUST1033"/>
    <s v="PROD23"/>
    <s v="STORE3"/>
    <n v="3"/>
    <n v="3"/>
    <n v="610.24"/>
    <n v="0.17"/>
    <x v="2"/>
    <n v="1519.4975999999999"/>
    <s v="High"/>
    <s v="Robert Jones Dds"/>
    <x v="4"/>
    <x v="9"/>
    <x v="0"/>
    <x v="2"/>
    <s v="Normal order"/>
  </r>
  <r>
    <s v="SALE273"/>
    <d v="2025-01-10T00:00:00"/>
    <x v="3"/>
    <s v="CUST1312"/>
    <s v="PROD74"/>
    <s v="STORE8"/>
    <n v="1"/>
    <n v="1"/>
    <n v="872.12"/>
    <n v="7.0000000000000007E-2"/>
    <x v="1"/>
    <n v="811.07159999999999"/>
    <s v="Low"/>
    <s v="Jason Mullins"/>
    <x v="1"/>
    <x v="1"/>
    <x v="3"/>
    <x v="1"/>
    <s v="Normal order"/>
  </r>
  <r>
    <s v="SALE274"/>
    <d v="2024-01-25T00:00:00"/>
    <x v="3"/>
    <s v="CUST1433"/>
    <s v="PROD10"/>
    <s v="STORE1"/>
    <n v="1"/>
    <n v="1"/>
    <n v="406.79"/>
    <n v="0.03"/>
    <x v="2"/>
    <n v="394.58629999999999"/>
    <s v="Low"/>
    <s v="Thomas Moore"/>
    <x v="2"/>
    <x v="47"/>
    <x v="0"/>
    <x v="1"/>
    <s v="Normal order"/>
  </r>
  <r>
    <s v="SALE275"/>
    <d v="2025-10-02T00:00:00"/>
    <x v="6"/>
    <s v="CUST1372"/>
    <s v="PROD54"/>
    <s v="STORE14"/>
    <n v="1"/>
    <n v="1"/>
    <n v="606.01"/>
    <n v="0.04"/>
    <x v="1"/>
    <n v="581.76959999999997"/>
    <s v="Low"/>
    <s v="Jacqueline Anthony"/>
    <x v="0"/>
    <x v="8"/>
    <x v="1"/>
    <x v="3"/>
    <s v="Normal order"/>
  </r>
  <r>
    <s v="SALE276"/>
    <d v="2024-07-10T00:00:00"/>
    <x v="0"/>
    <s v="CUST1349"/>
    <s v="PROD17"/>
    <s v="STORE5"/>
    <n v="4"/>
    <n v="4"/>
    <n v="322.58"/>
    <n v="0.06"/>
    <x v="0"/>
    <n v="1212.9007999999999"/>
    <s v="High"/>
    <s v="Heather Valenzuela"/>
    <x v="0"/>
    <x v="29"/>
    <x v="0"/>
    <x v="3"/>
    <s v="Bulk order"/>
  </r>
  <r>
    <s v="SALE277"/>
    <d v="2025-01-04T00:00:00"/>
    <x v="3"/>
    <s v="CUST1484"/>
    <s v="PROD77"/>
    <s v="STORE18"/>
    <n v="4"/>
    <n v="4"/>
    <n v="463.17"/>
    <n v="0.06"/>
    <x v="1"/>
    <n v="1741.5192"/>
    <s v="High"/>
    <s v="Jessica Castro"/>
    <x v="1"/>
    <x v="79"/>
    <x v="2"/>
    <x v="3"/>
    <s v="Bulk order"/>
  </r>
  <r>
    <s v="SALE278"/>
    <d v="2025-05-21T00:00:00"/>
    <x v="11"/>
    <s v="CUST1316"/>
    <s v="PROD25"/>
    <s v="STORE7"/>
    <n v="4"/>
    <n v="4"/>
    <n v="285.82"/>
    <n v="0.18"/>
    <x v="1"/>
    <n v="937.4896"/>
    <s v="Low"/>
    <s v="Robert House"/>
    <x v="4"/>
    <x v="13"/>
    <x v="1"/>
    <x v="0"/>
    <s v="Bulk order"/>
  </r>
  <r>
    <s v="SALE279"/>
    <d v="2025-07-30T00:00:00"/>
    <x v="0"/>
    <s v="CUST1326"/>
    <s v="PROD37"/>
    <s v="STORE11"/>
    <n v="3"/>
    <n v="3"/>
    <n v="995.38"/>
    <n v="0.1"/>
    <x v="1"/>
    <n v="2687.5259999999998"/>
    <s v="High"/>
    <s v="Robert King"/>
    <x v="4"/>
    <x v="16"/>
    <x v="1"/>
    <x v="0"/>
    <s v="Normal order"/>
  </r>
  <r>
    <s v="SALE28"/>
    <d v="2025-09-23T00:00:00"/>
    <x v="7"/>
    <s v="CUST1148"/>
    <s v="PROD13"/>
    <s v="STORE2"/>
    <n v="2"/>
    <n v="2"/>
    <n v="74.209999999999994"/>
    <n v="0.11"/>
    <x v="1"/>
    <n v="132.09379999999999"/>
    <s v="Low"/>
    <s v="Theresa Campbell"/>
    <x v="1"/>
    <x v="75"/>
    <x v="1"/>
    <x v="3"/>
    <s v="Normal order"/>
  </r>
  <r>
    <s v="SALE280"/>
    <d v="2025-04-10T00:00:00"/>
    <x v="5"/>
    <s v="CUST1119"/>
    <s v="PROD62"/>
    <s v="STORE8"/>
    <n v="1"/>
    <n v="1"/>
    <n v="329.31"/>
    <n v="0.09"/>
    <x v="0"/>
    <n v="299.6721"/>
    <s v="Low"/>
    <s v="Michael Jones"/>
    <x v="1"/>
    <x v="19"/>
    <x v="3"/>
    <x v="3"/>
    <s v="Normal order"/>
  </r>
  <r>
    <s v="SALE281"/>
    <d v="2024-07-02T00:00:00"/>
    <x v="0"/>
    <s v="CUST1490"/>
    <s v="PROD47"/>
    <s v="STORE16"/>
    <n v="3"/>
    <n v="3"/>
    <n v="64.2"/>
    <n v="0.08"/>
    <x v="2"/>
    <n v="177.19200000000001"/>
    <s v="Low"/>
    <s v="Scott Harris"/>
    <x v="3"/>
    <x v="37"/>
    <x v="3"/>
    <x v="2"/>
    <s v="Normal order"/>
  </r>
  <r>
    <s v="SALE282"/>
    <d v="2025-06-21T00:00:00"/>
    <x v="4"/>
    <s v="CUST1262"/>
    <s v="PROD11"/>
    <s v="STORE13"/>
    <n v="3"/>
    <n v="3"/>
    <n v="697.13"/>
    <n v="0.25"/>
    <x v="2"/>
    <n v="1568.5425"/>
    <s v="High"/>
    <s v="Katherine Cowan"/>
    <x v="1"/>
    <x v="68"/>
    <x v="2"/>
    <x v="1"/>
    <s v="Normal order"/>
  </r>
  <r>
    <s v="SALE283"/>
    <d v="2024-12-13T00:00:00"/>
    <x v="1"/>
    <s v="CUST1022"/>
    <s v="PROD9"/>
    <s v="STORE5"/>
    <n v="3"/>
    <n v="3"/>
    <n v="134.30000000000001"/>
    <n v="0.14000000000000001"/>
    <x v="0"/>
    <n v="346.49400000000003"/>
    <s v="Low"/>
    <s v="Paul Fox"/>
    <x v="0"/>
    <x v="98"/>
    <x v="0"/>
    <x v="1"/>
    <s v="Normal order"/>
  </r>
  <r>
    <s v="SALE284"/>
    <d v="2024-08-14T00:00:00"/>
    <x v="10"/>
    <s v="CUST1260"/>
    <s v="PROD84"/>
    <s v="STORE13"/>
    <n v="1"/>
    <n v="1"/>
    <n v="520.92999999999995"/>
    <n v="0.15"/>
    <x v="0"/>
    <n v="442.79050000000001"/>
    <s v="Low"/>
    <s v="Russell Lamb"/>
    <x v="2"/>
    <x v="56"/>
    <x v="2"/>
    <x v="2"/>
    <s v="Normal order"/>
  </r>
  <r>
    <s v="SALE285"/>
    <d v="2025-03-05T00:00:00"/>
    <x v="9"/>
    <s v="CUST1225"/>
    <s v="PROD19"/>
    <s v="STORE7"/>
    <n v="2"/>
    <n v="2"/>
    <n v="350.12"/>
    <n v="0.21"/>
    <x v="2"/>
    <n v="553.18960000000004"/>
    <s v="Low"/>
    <s v="Elizabeth Stanley"/>
    <x v="0"/>
    <x v="32"/>
    <x v="1"/>
    <x v="2"/>
    <s v="Normal order"/>
  </r>
  <r>
    <s v="SALE286"/>
    <d v="2024-01-17T00:00:00"/>
    <x v="3"/>
    <s v="CUST1466"/>
    <s v="PROD48"/>
    <s v="STORE19"/>
    <n v="3"/>
    <n v="3"/>
    <n v="807.95"/>
    <n v="0.1"/>
    <x v="1"/>
    <n v="2181.4650000000011"/>
    <s v="High"/>
    <s v="Cynthia Parrish"/>
    <x v="1"/>
    <x v="66"/>
    <x v="2"/>
    <x v="1"/>
    <s v="Normal order"/>
  </r>
  <r>
    <s v="SALE287"/>
    <d v="2025-08-20T00:00:00"/>
    <x v="10"/>
    <s v="CUST1335"/>
    <s v="PROD38"/>
    <s v="STORE6"/>
    <n v="4"/>
    <n v="4"/>
    <n v="766.03"/>
    <n v="0.28999999999999998"/>
    <x v="1"/>
    <n v="2175.5252"/>
    <s v="High"/>
    <s v="Jennifer Woods"/>
    <x v="0"/>
    <x v="43"/>
    <x v="2"/>
    <x v="2"/>
    <s v="Bulk order"/>
  </r>
  <r>
    <s v="SALE288"/>
    <d v="2024-04-04T00:00:00"/>
    <x v="5"/>
    <s v="CUST1182"/>
    <s v="PROD57"/>
    <s v="STORE8"/>
    <n v="3"/>
    <n v="3"/>
    <n v="545.1"/>
    <n v="0.08"/>
    <x v="2"/>
    <n v="1504.4760000000001"/>
    <s v="High"/>
    <s v="Melissa Hamilton"/>
    <x v="0"/>
    <x v="64"/>
    <x v="3"/>
    <x v="1"/>
    <s v="Normal order"/>
  </r>
  <r>
    <s v="SALE289"/>
    <d v="2024-05-26T00:00:00"/>
    <x v="11"/>
    <s v="CUST1263"/>
    <s v="PROD65"/>
    <s v="STORE7"/>
    <n v="1"/>
    <n v="1"/>
    <n v="203.61"/>
    <n v="0.24"/>
    <x v="2"/>
    <n v="154.74359999999999"/>
    <s v="Low"/>
    <s v="Crystal Davis"/>
    <x v="0"/>
    <x v="74"/>
    <x v="1"/>
    <x v="3"/>
    <s v="Normal order"/>
  </r>
  <r>
    <s v="SALE29"/>
    <d v="2024-01-11T00:00:00"/>
    <x v="3"/>
    <s v="CUST1348"/>
    <s v="PROD99"/>
    <s v="STORE3"/>
    <m/>
    <n v="2.25"/>
    <n v="451.67"/>
    <n v="0.15"/>
    <x v="0"/>
    <n v="1535.6780000000001"/>
    <s v="High"/>
    <s v="Sherry Cabrera"/>
    <x v="2"/>
    <x v="86"/>
    <x v="0"/>
    <x v="1"/>
    <s v="Normal order"/>
  </r>
  <r>
    <s v="SALE290"/>
    <d v="2025-07-18T00:00:00"/>
    <x v="0"/>
    <s v="CUST1417"/>
    <s v="PROD97"/>
    <s v="STORE15"/>
    <n v="4"/>
    <n v="4"/>
    <n v="493.8"/>
    <n v="0.24"/>
    <x v="2"/>
    <n v="1501.152"/>
    <s v="High"/>
    <s v="Karen King"/>
    <x v="0"/>
    <x v="0"/>
    <x v="0"/>
    <x v="3"/>
    <s v="Bulk order"/>
  </r>
  <r>
    <s v="SALE291"/>
    <d v="2024-07-12T00:00:00"/>
    <x v="0"/>
    <s v="CUST1017"/>
    <s v="PROD41"/>
    <s v="STORE17"/>
    <n v="1"/>
    <n v="1"/>
    <n v="640.54999999999995"/>
    <n v="0.25"/>
    <x v="0"/>
    <n v="480.41250000000002"/>
    <s v="Low"/>
    <s v="Adam Cruz"/>
    <x v="0"/>
    <x v="82"/>
    <x v="0"/>
    <x v="2"/>
    <s v="Normal order"/>
  </r>
  <r>
    <s v="SALE292"/>
    <d v="2024-09-10T00:00:00"/>
    <x v="7"/>
    <s v="CUST1119"/>
    <s v="PROD74"/>
    <s v="STORE4"/>
    <n v="1"/>
    <n v="1"/>
    <n v="702.53"/>
    <n v="0.3"/>
    <x v="0"/>
    <n v="491.77100000000002"/>
    <s v="Low"/>
    <s v="Michael Jones"/>
    <x v="1"/>
    <x v="1"/>
    <x v="1"/>
    <x v="3"/>
    <s v="Normal order"/>
  </r>
  <r>
    <s v="SALE293"/>
    <d v="2025-06-18T00:00:00"/>
    <x v="4"/>
    <s v="CUST1224"/>
    <s v="PROD39"/>
    <s v="STORE8"/>
    <n v="4"/>
    <n v="4"/>
    <n v="139.94"/>
    <n v="0.24"/>
    <x v="0"/>
    <n v="425.41759999999999"/>
    <s v="Low"/>
    <s v="Anthony Morgan"/>
    <x v="1"/>
    <x v="65"/>
    <x v="3"/>
    <x v="1"/>
    <s v="Bulk order"/>
  </r>
  <r>
    <s v="SALE294"/>
    <d v="2024-12-28T00:00:00"/>
    <x v="1"/>
    <s v="CUST1277"/>
    <s v="PROD19"/>
    <s v="STORE8"/>
    <n v="2"/>
    <n v="2"/>
    <n v="230.85"/>
    <n v="0.18"/>
    <x v="0"/>
    <n v="378.59399999999999"/>
    <s v="Low"/>
    <s v="Jeffrey Gomez"/>
    <x v="0"/>
    <x v="32"/>
    <x v="3"/>
    <x v="2"/>
    <s v="Normal order"/>
  </r>
  <r>
    <s v="SALE295"/>
    <d v="2024-09-21T00:00:00"/>
    <x v="7"/>
    <s v="CUST1211"/>
    <s v="PROD85"/>
    <s v="STORE17"/>
    <n v="4"/>
    <n v="4"/>
    <n v="626.35"/>
    <n v="0.25"/>
    <x v="2"/>
    <n v="1879.05"/>
    <s v="High"/>
    <s v="Rodney Huffman"/>
    <x v="4"/>
    <x v="70"/>
    <x v="0"/>
    <x v="1"/>
    <s v="Bulk order"/>
  </r>
  <r>
    <s v="SALE296"/>
    <d v="2024-05-22T00:00:00"/>
    <x v="11"/>
    <s v="CUST1082"/>
    <s v="PROD41"/>
    <s v="STORE14"/>
    <n v="4"/>
    <n v="4"/>
    <n v="108.55"/>
    <n v="0.18"/>
    <x v="1"/>
    <n v="356.04399999999998"/>
    <s v="Low"/>
    <s v="George Rosario"/>
    <x v="0"/>
    <x v="82"/>
    <x v="1"/>
    <x v="3"/>
    <s v="Bulk order"/>
  </r>
  <r>
    <s v="SALE297"/>
    <d v="2025-08-02T00:00:00"/>
    <x v="10"/>
    <s v="CUST1191"/>
    <s v="PROD17"/>
    <s v="STORE1"/>
    <n v="4"/>
    <n v="4"/>
    <n v="353.67"/>
    <n v="0.03"/>
    <x v="2"/>
    <n v="1372.2396000000001"/>
    <s v="High"/>
    <s v="Todd Poole"/>
    <x v="0"/>
    <x v="29"/>
    <x v="0"/>
    <x v="3"/>
    <s v="Bulk order"/>
  </r>
  <r>
    <s v="SALE298"/>
    <d v="2024-10-18T00:00:00"/>
    <x v="6"/>
    <s v="CUST1065"/>
    <s v="PROD90"/>
    <s v="STORE1"/>
    <n v="4"/>
    <n v="4"/>
    <n v="61.98"/>
    <n v="0.16"/>
    <x v="0"/>
    <n v="208.25280000000001"/>
    <s v="Low"/>
    <s v="Michael Thomas"/>
    <x v="1"/>
    <x v="73"/>
    <x v="0"/>
    <x v="1"/>
    <s v="Bulk order"/>
  </r>
  <r>
    <s v="SALE299"/>
    <d v="2024-02-26T00:00:00"/>
    <x v="2"/>
    <s v="CUST1216"/>
    <s v="PROD22"/>
    <s v="STORE19"/>
    <n v="2"/>
    <n v="2"/>
    <n v="873.1"/>
    <n v="0.12"/>
    <x v="1"/>
    <n v="1536.6559999999999"/>
    <s v="High"/>
    <s v="Kathryn Garcia"/>
    <x v="0"/>
    <x v="59"/>
    <x v="2"/>
    <x v="2"/>
    <s v="Normal order"/>
  </r>
  <r>
    <s v="SALE3"/>
    <d v="2023-11-29T00:00:00"/>
    <x v="8"/>
    <s v="CUST1346"/>
    <s v="PROD76"/>
    <s v="STORE8"/>
    <n v="1"/>
    <n v="1"/>
    <n v="921.51"/>
    <n v="0.16"/>
    <x v="2"/>
    <n v="774.0684"/>
    <s v="Low"/>
    <s v="John Jordan"/>
    <x v="1"/>
    <x v="45"/>
    <x v="3"/>
    <x v="2"/>
    <s v="Normal order"/>
  </r>
  <r>
    <s v="SALE30"/>
    <d v="2023-10-18T00:00:00"/>
    <x v="6"/>
    <s v="CUST1028"/>
    <s v="PROD5"/>
    <s v="STORE19"/>
    <n v="1"/>
    <n v="1"/>
    <n v="429.38"/>
    <n v="0.13"/>
    <x v="1"/>
    <n v="373.56060000000002"/>
    <s v="Low"/>
    <s v="Joshua Ryan"/>
    <x v="4"/>
    <x v="91"/>
    <x v="2"/>
    <x v="2"/>
    <s v="Normal order"/>
  </r>
  <r>
    <s v="SALE300"/>
    <d v="2023-12-08T00:00:00"/>
    <x v="1"/>
    <s v="CUST1198"/>
    <s v="PROD12"/>
    <s v="STORE15"/>
    <n v="4"/>
    <n v="4"/>
    <n v="889.47"/>
    <n v="0.24"/>
    <x v="0"/>
    <n v="2703.9888000000001"/>
    <s v="High"/>
    <s v="Wanda Snyder"/>
    <x v="3"/>
    <x v="85"/>
    <x v="0"/>
    <x v="3"/>
    <s v="Bulk order"/>
  </r>
  <r>
    <s v="SALE301"/>
    <d v="2024-10-31T00:00:00"/>
    <x v="6"/>
    <s v="CUST1028"/>
    <s v="PROD74"/>
    <s v="STORE11"/>
    <n v="3"/>
    <n v="3"/>
    <n v="803.76"/>
    <n v="0.19"/>
    <x v="2"/>
    <n v="1953.1368"/>
    <s v="High"/>
    <s v="Joshua Ryan"/>
    <x v="1"/>
    <x v="1"/>
    <x v="1"/>
    <x v="2"/>
    <s v="Normal order"/>
  </r>
  <r>
    <s v="SALE302"/>
    <d v="2024-11-28T00:00:00"/>
    <x v="8"/>
    <s v="CUST1468"/>
    <s v="PROD75"/>
    <s v="STORE5"/>
    <n v="2"/>
    <n v="2"/>
    <n v="865.14"/>
    <n v="0.2"/>
    <x v="1"/>
    <n v="1384.2239999999999"/>
    <s v="High"/>
    <s v="Gregory Curtis"/>
    <x v="4"/>
    <x v="10"/>
    <x v="0"/>
    <x v="3"/>
    <s v="Normal order"/>
  </r>
  <r>
    <s v="SALE303"/>
    <d v="2025-06-05T00:00:00"/>
    <x v="4"/>
    <s v="CUST1097"/>
    <s v="PROD31"/>
    <s v="STORE9"/>
    <n v="2"/>
    <n v="2"/>
    <n v="916.49"/>
    <n v="0.3"/>
    <x v="2"/>
    <n v="1283.086"/>
    <s v="High"/>
    <s v="David Cobb"/>
    <x v="0"/>
    <x v="72"/>
    <x v="1"/>
    <x v="1"/>
    <s v="Normal order"/>
  </r>
  <r>
    <s v="SALE304"/>
    <d v="2024-11-19T00:00:00"/>
    <x v="8"/>
    <s v="CUST1042"/>
    <s v="PROD51"/>
    <s v="STORE12"/>
    <n v="3"/>
    <n v="3"/>
    <n v="781.39"/>
    <n v="0.12"/>
    <x v="0"/>
    <n v="2062.8696"/>
    <s v="High"/>
    <s v="William Martin"/>
    <x v="1"/>
    <x v="78"/>
    <x v="0"/>
    <x v="2"/>
    <s v="Normal order"/>
  </r>
  <r>
    <s v="SALE305"/>
    <d v="2024-05-19T00:00:00"/>
    <x v="11"/>
    <s v="CUST1211"/>
    <s v="PROD38"/>
    <s v="STORE12"/>
    <n v="4"/>
    <n v="4"/>
    <n v="619.74"/>
    <n v="0.13"/>
    <x v="2"/>
    <n v="2156.6952000000001"/>
    <s v="High"/>
    <s v="Rodney Huffman"/>
    <x v="0"/>
    <x v="43"/>
    <x v="0"/>
    <x v="1"/>
    <s v="Bulk order"/>
  </r>
  <r>
    <s v="SALE306"/>
    <d v="2025-01-22T00:00:00"/>
    <x v="3"/>
    <s v="CUST1481"/>
    <s v="PROD62"/>
    <s v="STORE14"/>
    <n v="2"/>
    <n v="2"/>
    <n v="837.76"/>
    <n v="0.03"/>
    <x v="2"/>
    <n v="1625.2544"/>
    <s v="High"/>
    <s v="Bryan Tran"/>
    <x v="1"/>
    <x v="19"/>
    <x v="1"/>
    <x v="0"/>
    <s v="Normal order"/>
  </r>
  <r>
    <s v="SALE307"/>
    <d v="2025-07-04T00:00:00"/>
    <x v="0"/>
    <s v="CUST1451"/>
    <s v="PROD90"/>
    <s v="STORE1"/>
    <n v="3"/>
    <n v="3"/>
    <n v="135.94"/>
    <n v="0.2"/>
    <x v="0"/>
    <n v="326.25599999999997"/>
    <s v="Low"/>
    <s v="Ashley Roberts"/>
    <x v="1"/>
    <x v="73"/>
    <x v="0"/>
    <x v="0"/>
    <s v="Normal order"/>
  </r>
  <r>
    <s v="SALE308"/>
    <d v="2025-05-19T00:00:00"/>
    <x v="11"/>
    <s v="CUST1479"/>
    <s v="PROD74"/>
    <s v="STORE1"/>
    <n v="4"/>
    <n v="4"/>
    <n v="396.53"/>
    <n v="7.0000000000000007E-2"/>
    <x v="1"/>
    <n v="1475.0916"/>
    <s v="High"/>
    <s v="Dylan Gutierrez"/>
    <x v="1"/>
    <x v="1"/>
    <x v="0"/>
    <x v="3"/>
    <s v="Bulk order"/>
  </r>
  <r>
    <s v="SALE309"/>
    <d v="2023-12-04T00:00:00"/>
    <x v="1"/>
    <s v="CUST1220"/>
    <s v="PROD29"/>
    <s v="STORE14"/>
    <n v="2"/>
    <n v="2"/>
    <n v="722.45"/>
    <n v="0.22"/>
    <x v="1"/>
    <n v="1127.0219999999999"/>
    <s v="High"/>
    <s v="George Davis"/>
    <x v="2"/>
    <x v="62"/>
    <x v="1"/>
    <x v="3"/>
    <s v="Normal order"/>
  </r>
  <r>
    <s v="SALE31"/>
    <d v="2024-10-28T00:00:00"/>
    <x v="6"/>
    <s v="CUST1412"/>
    <s v="PROD53"/>
    <s v="STORE12"/>
    <n v="2"/>
    <n v="2"/>
    <n v="148.96"/>
    <n v="0.03"/>
    <x v="2"/>
    <n v="288.98239999999998"/>
    <s v="Low"/>
    <s v="Shane Brown"/>
    <x v="4"/>
    <x v="20"/>
    <x v="0"/>
    <x v="0"/>
    <s v="Normal order"/>
  </r>
  <r>
    <s v="SALE310"/>
    <d v="2024-07-31T00:00:00"/>
    <x v="0"/>
    <s v="CUST1047"/>
    <s v="PROD64"/>
    <s v="STORE2"/>
    <n v="2"/>
    <n v="2"/>
    <n v="138.41"/>
    <n v="0.02"/>
    <x v="0"/>
    <n v="271.28359999999998"/>
    <s v="Low"/>
    <s v="Gina Knight"/>
    <x v="3"/>
    <x v="55"/>
    <x v="1"/>
    <x v="1"/>
    <s v="Normal order"/>
  </r>
  <r>
    <s v="SALE311"/>
    <d v="2025-01-22T00:00:00"/>
    <x v="3"/>
    <s v="CUST1126"/>
    <s v="PROD80"/>
    <s v="STORE2"/>
    <n v="4"/>
    <n v="4"/>
    <n v="741.51"/>
    <n v="0.09"/>
    <x v="2"/>
    <n v="2699.0963999999999"/>
    <s v="High"/>
    <s v="James Wolfe"/>
    <x v="2"/>
    <x v="24"/>
    <x v="1"/>
    <x v="0"/>
    <s v="Bulk order"/>
  </r>
  <r>
    <s v="SALE312"/>
    <d v="2024-11-15T00:00:00"/>
    <x v="8"/>
    <s v="CUST1023"/>
    <s v="PROD80"/>
    <s v="STORE17"/>
    <n v="2"/>
    <n v="2"/>
    <n v="588.9"/>
    <n v="0.19"/>
    <x v="1"/>
    <n v="954.01800000000003"/>
    <s v="Low"/>
    <s v="Jonathan Steele"/>
    <x v="2"/>
    <x v="24"/>
    <x v="0"/>
    <x v="1"/>
    <s v="Normal order"/>
  </r>
  <r>
    <s v="SALE313"/>
    <d v="2024-04-07T00:00:00"/>
    <x v="5"/>
    <s v="CUST1304"/>
    <s v="PROD50"/>
    <s v="STORE2"/>
    <n v="1"/>
    <n v="1"/>
    <n v="88.92"/>
    <n v="0.19"/>
    <x v="1"/>
    <n v="72.025200000000012"/>
    <s v="Low"/>
    <s v="Miss Alexandria Li Dvm"/>
    <x v="0"/>
    <x v="52"/>
    <x v="1"/>
    <x v="1"/>
    <s v="Normal order"/>
  </r>
  <r>
    <s v="SALE314"/>
    <d v="2024-02-17T00:00:00"/>
    <x v="2"/>
    <s v="CUST1118"/>
    <s v="PROD61"/>
    <s v="STORE16"/>
    <n v="1"/>
    <n v="1"/>
    <n v="299.13"/>
    <n v="0.1"/>
    <x v="2"/>
    <n v="269.21699999999998"/>
    <s v="Low"/>
    <s v="Earl Allen"/>
    <x v="0"/>
    <x v="49"/>
    <x v="3"/>
    <x v="2"/>
    <s v="Normal order"/>
  </r>
  <r>
    <s v="SALE315"/>
    <d v="2024-05-21T00:00:00"/>
    <x v="11"/>
    <s v="CUST1116"/>
    <s v="PROD77"/>
    <s v="STORE3"/>
    <n v="2"/>
    <n v="2"/>
    <n v="548.29999999999995"/>
    <n v="0.23"/>
    <x v="0"/>
    <n v="844.38199999999995"/>
    <s v="Low"/>
    <s v="Anthony Phillips"/>
    <x v="1"/>
    <x v="79"/>
    <x v="0"/>
    <x v="2"/>
    <s v="Normal order"/>
  </r>
  <r>
    <s v="SALE316"/>
    <d v="2024-05-23T00:00:00"/>
    <x v="11"/>
    <s v="CUST1262"/>
    <s v="PROD54"/>
    <s v="STORE10"/>
    <n v="3"/>
    <n v="3"/>
    <n v="977.55"/>
    <n v="0.02"/>
    <x v="1"/>
    <n v="2873.9969999999989"/>
    <s v="High"/>
    <s v="Katherine Cowan"/>
    <x v="0"/>
    <x v="8"/>
    <x v="2"/>
    <x v="1"/>
    <s v="Normal order"/>
  </r>
  <r>
    <s v="SALE317"/>
    <d v="2025-06-15T00:00:00"/>
    <x v="4"/>
    <s v="CUST1346"/>
    <s v="PROD44"/>
    <s v="STORE18"/>
    <n v="1"/>
    <n v="1"/>
    <n v="459.42"/>
    <n v="0.28000000000000003"/>
    <x v="2"/>
    <n v="330.7824"/>
    <s v="Low"/>
    <s v="John Jordan"/>
    <x v="0"/>
    <x v="31"/>
    <x v="2"/>
    <x v="2"/>
    <s v="Normal order"/>
  </r>
  <r>
    <s v="SALE318"/>
    <d v="2025-01-06T00:00:00"/>
    <x v="3"/>
    <s v="CUST1088"/>
    <s v="PROD2"/>
    <s v="STORE4"/>
    <n v="2"/>
    <n v="2"/>
    <n v="123.19"/>
    <n v="0.19"/>
    <x v="0"/>
    <n v="199.56780000000001"/>
    <s v="Low"/>
    <s v="Timothy Wright"/>
    <x v="4"/>
    <x v="60"/>
    <x v="1"/>
    <x v="1"/>
    <s v="Normal order"/>
  </r>
  <r>
    <s v="SALE319"/>
    <d v="2025-08-10T00:00:00"/>
    <x v="10"/>
    <s v="CUST1358"/>
    <s v="PROD55"/>
    <s v="STORE19"/>
    <n v="1"/>
    <n v="1"/>
    <n v="222.95"/>
    <n v="0.02"/>
    <x v="1"/>
    <n v="218.49100000000001"/>
    <s v="Low"/>
    <s v="Ashley Anderson"/>
    <x v="2"/>
    <x v="25"/>
    <x v="2"/>
    <x v="0"/>
    <s v="Normal order"/>
  </r>
  <r>
    <s v="SALE32"/>
    <d v="2024-11-01T00:00:00"/>
    <x v="8"/>
    <s v="CUST1398"/>
    <s v="PROD75"/>
    <s v="STORE8"/>
    <n v="4"/>
    <n v="4"/>
    <n v="313.83"/>
    <n v="0.08"/>
    <x v="0"/>
    <n v="1154.8943999999999"/>
    <s v="High"/>
    <s v="Jennifer Johnson"/>
    <x v="4"/>
    <x v="10"/>
    <x v="3"/>
    <x v="3"/>
    <s v="Bulk order"/>
  </r>
  <r>
    <s v="SALE320"/>
    <d v="2025-07-02T00:00:00"/>
    <x v="0"/>
    <s v="CUST1332"/>
    <s v="PROD32"/>
    <s v="STORE4"/>
    <n v="3"/>
    <n v="3"/>
    <n v="601.92999999999995"/>
    <n v="0.14000000000000001"/>
    <x v="0"/>
    <n v="1552.9793999999999"/>
    <s v="High"/>
    <s v="Dr. Lindsay Hanna"/>
    <x v="3"/>
    <x v="96"/>
    <x v="1"/>
    <x v="3"/>
    <s v="Normal order"/>
  </r>
  <r>
    <s v="SALE321"/>
    <d v="2024-03-29T00:00:00"/>
    <x v="9"/>
    <s v="CUST1297"/>
    <s v="PROD69"/>
    <s v="STORE2"/>
    <n v="1"/>
    <n v="1"/>
    <n v="564.1"/>
    <n v="0.03"/>
    <x v="0"/>
    <n v="547.17700000000002"/>
    <s v="Low"/>
    <s v="Jennifer Carr"/>
    <x v="4"/>
    <x v="5"/>
    <x v="1"/>
    <x v="1"/>
    <s v="Normal order"/>
  </r>
  <r>
    <s v="SALE322"/>
    <d v="2025-01-15T00:00:00"/>
    <x v="3"/>
    <s v="CUST1095"/>
    <s v="PROD80"/>
    <s v="STORE5"/>
    <n v="1"/>
    <n v="1"/>
    <n v="516.62"/>
    <n v="0.18"/>
    <x v="0"/>
    <n v="423.62840000000011"/>
    <s v="Low"/>
    <s v="Amy Fowler"/>
    <x v="2"/>
    <x v="24"/>
    <x v="0"/>
    <x v="2"/>
    <s v="Normal order"/>
  </r>
  <r>
    <s v="SALE323"/>
    <d v="2024-07-24T00:00:00"/>
    <x v="0"/>
    <s v="CUST1438"/>
    <s v="PROD63"/>
    <s v="STORE12"/>
    <n v="1"/>
    <n v="1"/>
    <n v="934.75"/>
    <n v="0.11"/>
    <x v="1"/>
    <n v="831.92750000000001"/>
    <s v="Low"/>
    <s v="Monica Flynn"/>
    <x v="3"/>
    <x v="11"/>
    <x v="0"/>
    <x v="2"/>
    <s v="Normal order"/>
  </r>
  <r>
    <s v="SALE324"/>
    <d v="2024-04-25T00:00:00"/>
    <x v="5"/>
    <s v="CUST1234"/>
    <s v="PROD98"/>
    <s v="STORE7"/>
    <n v="4"/>
    <n v="4"/>
    <n v="548.44000000000005"/>
    <n v="0.05"/>
    <x v="1"/>
    <n v="2084.0720000000001"/>
    <s v="High"/>
    <s v="Nathaniel Hill"/>
    <x v="1"/>
    <x v="51"/>
    <x v="1"/>
    <x v="0"/>
    <s v="Bulk order"/>
  </r>
  <r>
    <s v="SALE325"/>
    <d v="2025-04-17T00:00:00"/>
    <x v="5"/>
    <s v="CUST1013"/>
    <s v="PROD37"/>
    <s v="STORE3"/>
    <n v="3"/>
    <n v="3"/>
    <n v="361.11"/>
    <n v="0.06"/>
    <x v="0"/>
    <n v="1018.3302"/>
    <s v="High"/>
    <s v="Nathan Hernandez"/>
    <x v="4"/>
    <x v="16"/>
    <x v="0"/>
    <x v="1"/>
    <s v="Normal order"/>
  </r>
  <r>
    <s v="SALE326"/>
    <d v="2025-09-24T00:00:00"/>
    <x v="7"/>
    <s v="CUST1187"/>
    <s v="PROD13"/>
    <s v="STORE1"/>
    <n v="2"/>
    <n v="2"/>
    <n v="610.37"/>
    <n v="0.1"/>
    <x v="1"/>
    <n v="1098.6659999999999"/>
    <s v="High"/>
    <s v="Dr. Suzanne Bullock"/>
    <x v="1"/>
    <x v="75"/>
    <x v="0"/>
    <x v="2"/>
    <s v="Normal order"/>
  </r>
  <r>
    <s v="SALE327"/>
    <d v="2023-11-10T00:00:00"/>
    <x v="8"/>
    <s v="CUST1334"/>
    <s v="PROD51"/>
    <s v="STORE16"/>
    <n v="1"/>
    <n v="1"/>
    <n v="272.2"/>
    <n v="0.3"/>
    <x v="0"/>
    <n v="190.54"/>
    <s v="Low"/>
    <s v="Mr. Christopher Sims"/>
    <x v="1"/>
    <x v="78"/>
    <x v="3"/>
    <x v="1"/>
    <s v="Normal order"/>
  </r>
  <r>
    <s v="SALE328"/>
    <d v="2024-02-27T00:00:00"/>
    <x v="2"/>
    <s v="CUST1438"/>
    <s v="PROD77"/>
    <s v="STORE6"/>
    <n v="3"/>
    <n v="3"/>
    <n v="573.1"/>
    <n v="0.16"/>
    <x v="2"/>
    <n v="1444.212"/>
    <s v="High"/>
    <s v="Monica Flynn"/>
    <x v="1"/>
    <x v="79"/>
    <x v="2"/>
    <x v="2"/>
    <s v="Normal order"/>
  </r>
  <r>
    <s v="SALE329"/>
    <d v="2025-04-09T00:00:00"/>
    <x v="5"/>
    <s v="CUST1322"/>
    <s v="PROD6"/>
    <s v="STORE0"/>
    <n v="4"/>
    <n v="4"/>
    <n v="24.72"/>
    <n v="0.28000000000000003"/>
    <x v="0"/>
    <n v="71.193599999999989"/>
    <s v="Low"/>
    <s v="Samuel Arias"/>
    <x v="3"/>
    <x v="95"/>
    <x v="2"/>
    <x v="3"/>
    <s v="Bulk order"/>
  </r>
  <r>
    <s v="SALE33"/>
    <d v="2024-11-24T00:00:00"/>
    <x v="8"/>
    <s v="CUST1453"/>
    <s v="PROD12"/>
    <s v="STORE6"/>
    <n v="2"/>
    <n v="2"/>
    <n v="717.31"/>
    <n v="0.15"/>
    <x v="0"/>
    <n v="1219.4269999999999"/>
    <s v="High"/>
    <s v="April Phillips"/>
    <x v="3"/>
    <x v="85"/>
    <x v="2"/>
    <x v="2"/>
    <s v="Normal order"/>
  </r>
  <r>
    <s v="SALE330"/>
    <d v="2024-07-05T00:00:00"/>
    <x v="0"/>
    <s v="CUST1251"/>
    <s v="PROD9"/>
    <s v="STORE9"/>
    <n v="3"/>
    <n v="3"/>
    <n v="268.89"/>
    <n v="7.0000000000000007E-2"/>
    <x v="2"/>
    <n v="750.20309999999995"/>
    <s v="Low"/>
    <s v="Tyler Garner"/>
    <x v="0"/>
    <x v="98"/>
    <x v="1"/>
    <x v="1"/>
    <s v="Normal order"/>
  </r>
  <r>
    <s v="SALE331"/>
    <d v="2025-08-21T00:00:00"/>
    <x v="10"/>
    <s v="CUST1257"/>
    <s v="PROD68"/>
    <s v="STORE9"/>
    <n v="1"/>
    <n v="1"/>
    <n v="78.5"/>
    <n v="0.17"/>
    <x v="2"/>
    <n v="65.155000000000001"/>
    <s v="Low"/>
    <s v="Christopher David"/>
    <x v="2"/>
    <x v="97"/>
    <x v="1"/>
    <x v="1"/>
    <s v="Normal order"/>
  </r>
  <r>
    <s v="SALE332"/>
    <d v="2025-06-07T00:00:00"/>
    <x v="4"/>
    <s v="CUST1133"/>
    <s v="PROD36"/>
    <s v="STORE4"/>
    <n v="3"/>
    <n v="3"/>
    <n v="399.42"/>
    <n v="0.02"/>
    <x v="0"/>
    <n v="1174.2947999999999"/>
    <s v="High"/>
    <s v="Hayley Pope"/>
    <x v="4"/>
    <x v="88"/>
    <x v="1"/>
    <x v="3"/>
    <s v="Normal order"/>
  </r>
  <r>
    <s v="SALE333"/>
    <d v="2025-08-22T00:00:00"/>
    <x v="10"/>
    <s v="CUST1085"/>
    <s v="PROD31"/>
    <s v="STORE19"/>
    <n v="3"/>
    <n v="3"/>
    <n v="455.82"/>
    <n v="0.01"/>
    <x v="1"/>
    <n v="1353.7854"/>
    <s v="High"/>
    <s v="Richard Delgado"/>
    <x v="0"/>
    <x v="72"/>
    <x v="2"/>
    <x v="1"/>
    <s v="Normal order"/>
  </r>
  <r>
    <s v="SALE334"/>
    <d v="2024-11-13T00:00:00"/>
    <x v="8"/>
    <s v="CUST1349"/>
    <s v="PROD50"/>
    <s v="STORE5"/>
    <n v="2"/>
    <n v="2"/>
    <n v="613.23"/>
    <n v="0.15"/>
    <x v="1"/>
    <n v="1042.491"/>
    <s v="High"/>
    <s v="Heather Valenzuela"/>
    <x v="0"/>
    <x v="52"/>
    <x v="0"/>
    <x v="3"/>
    <s v="Normal order"/>
  </r>
  <r>
    <s v="SALE335"/>
    <d v="2024-01-18T00:00:00"/>
    <x v="3"/>
    <s v="CUST1458"/>
    <s v="PROD2"/>
    <s v="STORE14"/>
    <n v="4"/>
    <n v="4"/>
    <n v="971.9"/>
    <n v="0.28000000000000003"/>
    <x v="1"/>
    <n v="2799.0720000000001"/>
    <s v="High"/>
    <s v="Kelly Garrett"/>
    <x v="4"/>
    <x v="60"/>
    <x v="1"/>
    <x v="1"/>
    <s v="Bulk order"/>
  </r>
  <r>
    <s v="SALE336"/>
    <d v="2024-08-15T00:00:00"/>
    <x v="10"/>
    <s v="CUST1034"/>
    <s v="PROD28"/>
    <s v="STORE7"/>
    <n v="3"/>
    <n v="3"/>
    <n v="884.92"/>
    <n v="0.06"/>
    <x v="1"/>
    <n v="2495.4744000000001"/>
    <s v="High"/>
    <s v="Christopher Olson"/>
    <x v="0"/>
    <x v="40"/>
    <x v="1"/>
    <x v="2"/>
    <s v="Normal order"/>
  </r>
  <r>
    <s v="SALE337"/>
    <d v="2025-09-21T00:00:00"/>
    <x v="7"/>
    <s v="CUST1087"/>
    <s v="PROD8"/>
    <s v="STORE9"/>
    <n v="1"/>
    <n v="1"/>
    <n v="125"/>
    <n v="0.23"/>
    <x v="0"/>
    <n v="96.25"/>
    <s v="Low"/>
    <s v="Melissa Duffy Md"/>
    <x v="1"/>
    <x v="12"/>
    <x v="1"/>
    <x v="3"/>
    <s v="Normal order"/>
  </r>
  <r>
    <s v="SALE338"/>
    <d v="2024-06-22T00:00:00"/>
    <x v="4"/>
    <s v="CUST1128"/>
    <s v="PROD10"/>
    <s v="STORE15"/>
    <n v="2"/>
    <n v="2"/>
    <n v="188.25"/>
    <n v="0.08"/>
    <x v="1"/>
    <n v="346.38"/>
    <s v="Low"/>
    <s v="Susan Mcdonald"/>
    <x v="2"/>
    <x v="47"/>
    <x v="0"/>
    <x v="1"/>
    <s v="Normal order"/>
  </r>
  <r>
    <s v="SALE339"/>
    <d v="2024-01-12T00:00:00"/>
    <x v="3"/>
    <s v="CUST1222"/>
    <s v="PROD46"/>
    <s v="STORE6"/>
    <n v="4"/>
    <n v="4"/>
    <n v="344.12"/>
    <n v="0.25"/>
    <x v="1"/>
    <n v="1032.3599999999999"/>
    <s v="High"/>
    <s v="Alejandro Doyle"/>
    <x v="4"/>
    <x v="41"/>
    <x v="2"/>
    <x v="2"/>
    <s v="Bulk order"/>
  </r>
  <r>
    <s v="SALE34"/>
    <d v="2023-10-16T00:00:00"/>
    <x v="6"/>
    <s v="CUST1344"/>
    <s v="PROD79"/>
    <s v="STORE1"/>
    <m/>
    <n v="2.2105263157894739"/>
    <n v="873.22"/>
    <n v="0.18"/>
    <x v="0"/>
    <n v="2148.1212"/>
    <s v="High"/>
    <s v="Evelyn Brown"/>
    <x v="2"/>
    <x v="14"/>
    <x v="0"/>
    <x v="0"/>
    <s v="Normal order"/>
  </r>
  <r>
    <s v="SALE340"/>
    <d v="2023-10-19T00:00:00"/>
    <x v="6"/>
    <s v="CUST1047"/>
    <s v="PROD17"/>
    <s v="STORE19"/>
    <n v="3"/>
    <n v="3"/>
    <n v="997.95"/>
    <n v="0.09"/>
    <x v="2"/>
    <n v="2724.4034999999999"/>
    <s v="High"/>
    <s v="Gina Knight"/>
    <x v="0"/>
    <x v="29"/>
    <x v="2"/>
    <x v="1"/>
    <s v="Normal order"/>
  </r>
  <r>
    <s v="SALE341"/>
    <d v="2025-03-11T00:00:00"/>
    <x v="9"/>
    <s v="CUST1150"/>
    <s v="PROD11"/>
    <s v="STORE15"/>
    <n v="3"/>
    <n v="3"/>
    <n v="121.64"/>
    <n v="7.0000000000000007E-2"/>
    <x v="1"/>
    <n v="339.37560000000002"/>
    <s v="Low"/>
    <s v="Stephanie Conway"/>
    <x v="1"/>
    <x v="68"/>
    <x v="0"/>
    <x v="0"/>
    <s v="Normal order"/>
  </r>
  <r>
    <s v="SALE342"/>
    <d v="2024-09-22T00:00:00"/>
    <x v="7"/>
    <s v="CUST1221"/>
    <s v="PROD68"/>
    <s v="STORE10"/>
    <n v="2"/>
    <n v="2"/>
    <n v="692.72"/>
    <n v="0.13"/>
    <x v="1"/>
    <n v="1205.3327999999999"/>
    <s v="High"/>
    <s v="Lisa Young"/>
    <x v="2"/>
    <x v="97"/>
    <x v="2"/>
    <x v="2"/>
    <s v="Normal order"/>
  </r>
  <r>
    <s v="SALE343"/>
    <d v="2024-11-27T00:00:00"/>
    <x v="8"/>
    <s v="CUST1027"/>
    <s v="PROD24"/>
    <s v="STORE19"/>
    <n v="3"/>
    <n v="3"/>
    <n v="794.59"/>
    <n v="0.03"/>
    <x v="1"/>
    <n v="2312.2568999999999"/>
    <s v="High"/>
    <s v="Leslie Johnson"/>
    <x v="0"/>
    <x v="2"/>
    <x v="2"/>
    <x v="4"/>
    <s v="Normal order"/>
  </r>
  <r>
    <s v="SALE344"/>
    <d v="2023-10-25T00:00:00"/>
    <x v="6"/>
    <s v="CUST1014"/>
    <s v="PROD26"/>
    <s v="STORE9"/>
    <n v="1"/>
    <n v="1"/>
    <n v="907.95"/>
    <n v="0.1"/>
    <x v="1"/>
    <n v="817.15500000000009"/>
    <s v="Low"/>
    <s v="Ashley Cohen"/>
    <x v="1"/>
    <x v="81"/>
    <x v="1"/>
    <x v="1"/>
    <s v="Normal order"/>
  </r>
  <r>
    <s v="SALE345"/>
    <d v="2025-10-10T00:00:00"/>
    <x v="6"/>
    <s v="CUST1287"/>
    <s v="PROD50"/>
    <s v="STORE0"/>
    <n v="2"/>
    <n v="2"/>
    <n v="660.81"/>
    <n v="0.18"/>
    <x v="0"/>
    <n v="1083.7284"/>
    <s v="High"/>
    <s v="Cynthia Roberts"/>
    <x v="0"/>
    <x v="52"/>
    <x v="2"/>
    <x v="0"/>
    <s v="Normal order"/>
  </r>
  <r>
    <s v="SALE346"/>
    <d v="2025-09-15T00:00:00"/>
    <x v="7"/>
    <s v="CUST1061"/>
    <s v="PROD51"/>
    <s v="STORE8"/>
    <n v="3"/>
    <n v="3"/>
    <n v="564.94000000000005"/>
    <n v="0.22"/>
    <x v="2"/>
    <n v="1321.9595999999999"/>
    <s v="High"/>
    <s v="Kristin Stein"/>
    <x v="1"/>
    <x v="78"/>
    <x v="3"/>
    <x v="1"/>
    <s v="Normal order"/>
  </r>
  <r>
    <s v="SALE347"/>
    <d v="2024-09-06T00:00:00"/>
    <x v="7"/>
    <s v="CUST1054"/>
    <s v="PROD15"/>
    <s v="STORE15"/>
    <n v="2"/>
    <n v="2"/>
    <n v="280.37"/>
    <n v="0.22"/>
    <x v="2"/>
    <n v="437.37720000000002"/>
    <s v="Low"/>
    <s v="Katherine Dorsey"/>
    <x v="1"/>
    <x v="42"/>
    <x v="0"/>
    <x v="2"/>
    <s v="Normal order"/>
  </r>
  <r>
    <s v="SALE348"/>
    <d v="2024-07-16T00:00:00"/>
    <x v="0"/>
    <s v="CUST1372"/>
    <s v="PROD50"/>
    <s v="STORE3"/>
    <n v="2"/>
    <n v="2"/>
    <n v="85.23"/>
    <n v="0.13"/>
    <x v="0"/>
    <n v="148.30019999999999"/>
    <s v="Low"/>
    <s v="Jacqueline Anthony"/>
    <x v="0"/>
    <x v="52"/>
    <x v="0"/>
    <x v="3"/>
    <s v="Normal order"/>
  </r>
  <r>
    <s v="SALE349"/>
    <d v="2025-04-01T00:00:00"/>
    <x v="5"/>
    <s v="CUST1312"/>
    <s v="PROD27"/>
    <s v="STORE13"/>
    <n v="2"/>
    <n v="2"/>
    <n v="563.29999999999995"/>
    <n v="0.26"/>
    <x v="0"/>
    <n v="833.68399999999997"/>
    <s v="Low"/>
    <s v="Jason Mullins"/>
    <x v="2"/>
    <x v="77"/>
    <x v="2"/>
    <x v="1"/>
    <s v="Normal order"/>
  </r>
  <r>
    <s v="SALE35"/>
    <d v="2025-08-09T00:00:00"/>
    <x v="10"/>
    <s v="CUST1218"/>
    <s v="PROD16"/>
    <s v="STORE3"/>
    <n v="4"/>
    <n v="4"/>
    <n v="109.36"/>
    <n v="0.19"/>
    <x v="2"/>
    <n v="354.32639999999998"/>
    <s v="Low"/>
    <s v="Julia Jackson"/>
    <x v="3"/>
    <x v="63"/>
    <x v="0"/>
    <x v="2"/>
    <s v="Bulk order"/>
  </r>
  <r>
    <s v="SALE350"/>
    <d v="2024-01-18T00:00:00"/>
    <x v="3"/>
    <s v="CUST1033"/>
    <s v="PROD80"/>
    <s v="STORE18"/>
    <n v="2"/>
    <n v="2"/>
    <n v="827.81"/>
    <n v="0.04"/>
    <x v="1"/>
    <n v="1589.3951999999999"/>
    <s v="High"/>
    <s v="Robert Jones Dds"/>
    <x v="2"/>
    <x v="24"/>
    <x v="2"/>
    <x v="2"/>
    <s v="Normal order"/>
  </r>
  <r>
    <s v="SALE351"/>
    <d v="2024-11-25T00:00:00"/>
    <x v="8"/>
    <s v="CUST1214"/>
    <s v="PROD12"/>
    <s v="STORE18"/>
    <n v="3"/>
    <n v="3"/>
    <n v="877.71"/>
    <n v="0.12"/>
    <x v="1"/>
    <n v="2317.1543999999999"/>
    <s v="High"/>
    <s v="Eric Todd"/>
    <x v="3"/>
    <x v="85"/>
    <x v="2"/>
    <x v="0"/>
    <s v="Normal order"/>
  </r>
  <r>
    <s v="SALE352"/>
    <d v="2024-11-07T00:00:00"/>
    <x v="8"/>
    <s v="CUST1257"/>
    <s v="PROD57"/>
    <s v="STORE9"/>
    <n v="4"/>
    <n v="4"/>
    <n v="488.56"/>
    <n v="0.26"/>
    <x v="2"/>
    <n v="1446.1376"/>
    <s v="High"/>
    <s v="Christopher David"/>
    <x v="0"/>
    <x v="64"/>
    <x v="1"/>
    <x v="1"/>
    <s v="Bulk order"/>
  </r>
  <r>
    <s v="SALE353"/>
    <d v="2024-07-28T00:00:00"/>
    <x v="0"/>
    <s v="CUST1104"/>
    <s v="PROD25"/>
    <s v="STORE12"/>
    <n v="4"/>
    <n v="4"/>
    <n v="175.91"/>
    <n v="0.13"/>
    <x v="1"/>
    <n v="612.16679999999997"/>
    <s v="Low"/>
    <s v="Christopher Lester"/>
    <x v="4"/>
    <x v="13"/>
    <x v="0"/>
    <x v="1"/>
    <s v="Bulk order"/>
  </r>
  <r>
    <s v="SALE354"/>
    <d v="2024-04-16T00:00:00"/>
    <x v="5"/>
    <s v="CUST1248"/>
    <s v="PROD87"/>
    <s v="STORE8"/>
    <n v="4"/>
    <n v="4"/>
    <n v="289.66000000000003"/>
    <n v="0.25"/>
    <x v="2"/>
    <n v="868.98"/>
    <s v="Low"/>
    <s v="Nicholas Webb"/>
    <x v="2"/>
    <x v="48"/>
    <x v="3"/>
    <x v="0"/>
    <s v="Bulk order"/>
  </r>
  <r>
    <s v="SALE355"/>
    <d v="2024-01-13T00:00:00"/>
    <x v="3"/>
    <s v="CUST1241"/>
    <s v="PROD15"/>
    <s v="STORE15"/>
    <n v="2"/>
    <n v="2"/>
    <n v="899.27"/>
    <n v="0.17"/>
    <x v="0"/>
    <n v="1492.7882"/>
    <s v="High"/>
    <s v="Mr. William Horton"/>
    <x v="1"/>
    <x v="42"/>
    <x v="0"/>
    <x v="2"/>
    <s v="Normal order"/>
  </r>
  <r>
    <s v="SALE356"/>
    <d v="2024-01-08T00:00:00"/>
    <x v="3"/>
    <s v="CUST1065"/>
    <s v="PROD18"/>
    <s v="STORE1"/>
    <n v="1"/>
    <n v="1"/>
    <n v="691.38"/>
    <n v="0.11"/>
    <x v="2"/>
    <n v="615.32820000000004"/>
    <s v="Low"/>
    <s v="Michael Thomas"/>
    <x v="4"/>
    <x v="83"/>
    <x v="0"/>
    <x v="1"/>
    <s v="Normal order"/>
  </r>
  <r>
    <s v="SALE357"/>
    <d v="2024-09-29T00:00:00"/>
    <x v="7"/>
    <s v="CUST1165"/>
    <s v="PROD27"/>
    <s v="STORE0"/>
    <n v="3"/>
    <n v="3"/>
    <n v="158.72"/>
    <n v="0.13"/>
    <x v="0"/>
    <n v="414.25920000000002"/>
    <s v="Low"/>
    <s v="Jason Wheeler"/>
    <x v="2"/>
    <x v="77"/>
    <x v="2"/>
    <x v="2"/>
    <s v="Normal order"/>
  </r>
  <r>
    <s v="SALE358"/>
    <d v="2024-05-01T00:00:00"/>
    <x v="11"/>
    <s v="CUST1210"/>
    <s v="PROD60"/>
    <s v="STORE16"/>
    <n v="4"/>
    <n v="4"/>
    <n v="537.15"/>
    <n v="0.06"/>
    <x v="2"/>
    <n v="2019.684"/>
    <s v="High"/>
    <s v="Antonio Jones"/>
    <x v="3"/>
    <x v="18"/>
    <x v="3"/>
    <x v="1"/>
    <s v="Bulk order"/>
  </r>
  <r>
    <s v="SALE359"/>
    <d v="2024-07-07T00:00:00"/>
    <x v="0"/>
    <s v="CUST1417"/>
    <s v="PROD41"/>
    <s v="STORE9"/>
    <n v="3"/>
    <n v="3"/>
    <n v="771.7"/>
    <n v="0.05"/>
    <x v="2"/>
    <n v="2199.3449999999998"/>
    <s v="High"/>
    <s v="Karen King"/>
    <x v="0"/>
    <x v="82"/>
    <x v="1"/>
    <x v="3"/>
    <s v="Normal order"/>
  </r>
  <r>
    <s v="SALE36"/>
    <d v="2024-12-09T00:00:00"/>
    <x v="1"/>
    <s v="CUST1086"/>
    <s v="PROD5"/>
    <s v="STORE7"/>
    <n v="3"/>
    <n v="3"/>
    <n v="559.52"/>
    <n v="0.16"/>
    <x v="1"/>
    <n v="1409.9903999999999"/>
    <s v="High"/>
    <s v="Tammy Miller Md"/>
    <x v="4"/>
    <x v="91"/>
    <x v="1"/>
    <x v="0"/>
    <s v="Normal order"/>
  </r>
  <r>
    <s v="SALE360"/>
    <d v="2024-11-14T00:00:00"/>
    <x v="8"/>
    <s v="CUST1108"/>
    <s v="PROD88"/>
    <s v="STORE1"/>
    <n v="4"/>
    <n v="4"/>
    <n v="677.25"/>
    <n v="0.14000000000000001"/>
    <x v="1"/>
    <n v="2329.7399999999998"/>
    <s v="High"/>
    <s v="Travis Holland"/>
    <x v="0"/>
    <x v="90"/>
    <x v="0"/>
    <x v="3"/>
    <s v="Bulk order"/>
  </r>
  <r>
    <s v="SALE361"/>
    <d v="2025-04-16T00:00:00"/>
    <x v="5"/>
    <s v="CUST1102"/>
    <s v="PROD98"/>
    <s v="STORE11"/>
    <n v="1"/>
    <n v="1"/>
    <n v="645.48"/>
    <n v="0.26"/>
    <x v="2"/>
    <n v="477.65519999999998"/>
    <s v="Low"/>
    <s v="Sarah Schneider"/>
    <x v="1"/>
    <x v="51"/>
    <x v="1"/>
    <x v="3"/>
    <s v="Normal order"/>
  </r>
  <r>
    <s v="SALE362"/>
    <d v="2025-07-18T00:00:00"/>
    <x v="0"/>
    <s v="CUST1360"/>
    <s v="PROD73"/>
    <s v="STORE2"/>
    <n v="2"/>
    <n v="2"/>
    <n v="934"/>
    <n v="0.3"/>
    <x v="2"/>
    <n v="1307.5999999999999"/>
    <s v="High"/>
    <s v="Denise Tate"/>
    <x v="0"/>
    <x v="6"/>
    <x v="1"/>
    <x v="2"/>
    <s v="Normal order"/>
  </r>
  <r>
    <s v="SALE363"/>
    <d v="2025-02-24T00:00:00"/>
    <x v="2"/>
    <s v="CUST1334"/>
    <s v="PROD46"/>
    <s v="STORE2"/>
    <n v="1"/>
    <n v="1"/>
    <n v="669.53"/>
    <n v="0.2"/>
    <x v="0"/>
    <n v="535.62400000000002"/>
    <s v="Low"/>
    <s v="Mr. Christopher Sims"/>
    <x v="4"/>
    <x v="41"/>
    <x v="1"/>
    <x v="1"/>
    <s v="Normal order"/>
  </r>
  <r>
    <s v="SALE364"/>
    <d v="2025-03-07T00:00:00"/>
    <x v="9"/>
    <s v="CUST1216"/>
    <s v="PROD35"/>
    <s v="STORE18"/>
    <n v="1"/>
    <n v="1"/>
    <n v="213.69"/>
    <n v="0.28000000000000003"/>
    <x v="2"/>
    <n v="153.85679999999999"/>
    <s v="Low"/>
    <s v="Kathryn Garcia"/>
    <x v="2"/>
    <x v="44"/>
    <x v="2"/>
    <x v="2"/>
    <s v="Normal order"/>
  </r>
  <r>
    <s v="SALE365"/>
    <d v="2025-02-18T00:00:00"/>
    <x v="2"/>
    <s v="CUST1077"/>
    <s v="PROD21"/>
    <s v="STORE19"/>
    <n v="2"/>
    <n v="2"/>
    <n v="99.1"/>
    <n v="0.2"/>
    <x v="1"/>
    <n v="158.56"/>
    <s v="Low"/>
    <s v="Katherine Young"/>
    <x v="2"/>
    <x v="54"/>
    <x v="2"/>
    <x v="0"/>
    <s v="Normal order"/>
  </r>
  <r>
    <s v="SALE366"/>
    <d v="2024-06-26T00:00:00"/>
    <x v="4"/>
    <s v="CUST1370"/>
    <s v="PROD37"/>
    <s v="STORE16"/>
    <n v="1"/>
    <n v="1"/>
    <n v="628.98"/>
    <n v="0.03"/>
    <x v="2"/>
    <n v="610.11059999999998"/>
    <s v="Low"/>
    <s v="James Holloway Jr."/>
    <x v="4"/>
    <x v="16"/>
    <x v="3"/>
    <x v="1"/>
    <s v="Normal order"/>
  </r>
  <r>
    <s v="SALE367"/>
    <d v="2025-02-23T00:00:00"/>
    <x v="2"/>
    <s v="CUST1085"/>
    <s v="PROD84"/>
    <s v="STORE4"/>
    <n v="3"/>
    <n v="3"/>
    <n v="944.64"/>
    <n v="0.26"/>
    <x v="0"/>
    <n v="2097.1008000000002"/>
    <s v="High"/>
    <s v="Richard Delgado"/>
    <x v="2"/>
    <x v="56"/>
    <x v="1"/>
    <x v="1"/>
    <s v="Normal order"/>
  </r>
  <r>
    <s v="SALE368"/>
    <d v="2025-06-15T00:00:00"/>
    <x v="4"/>
    <s v="CUST1471"/>
    <s v="PROD93"/>
    <s v="STORE12"/>
    <n v="2"/>
    <n v="2"/>
    <n v="121.7"/>
    <n v="0.06"/>
    <x v="2"/>
    <n v="228.79599999999999"/>
    <s v="Low"/>
    <s v="Debra Mccullough"/>
    <x v="1"/>
    <x v="27"/>
    <x v="0"/>
    <x v="2"/>
    <s v="Normal order"/>
  </r>
  <r>
    <s v="SALE369"/>
    <d v="2023-10-18T00:00:00"/>
    <x v="6"/>
    <s v="CUST1448"/>
    <s v="PROD65"/>
    <s v="STORE3"/>
    <n v="4"/>
    <n v="4"/>
    <n v="269.49"/>
    <n v="7.0000000000000007E-2"/>
    <x v="1"/>
    <n v="1002.5028"/>
    <s v="High"/>
    <s v="Eric Holmes"/>
    <x v="0"/>
    <x v="74"/>
    <x v="0"/>
    <x v="3"/>
    <s v="Bulk order"/>
  </r>
  <r>
    <s v="SALE37"/>
    <d v="2024-02-07T00:00:00"/>
    <x v="2"/>
    <s v="CUST1492"/>
    <s v="PROD10"/>
    <s v="STORE17"/>
    <n v="3"/>
    <n v="3"/>
    <n v="121.76"/>
    <n v="0.27"/>
    <x v="1"/>
    <n v="266.65440000000001"/>
    <s v="Low"/>
    <s v="Darrell Miller"/>
    <x v="2"/>
    <x v="47"/>
    <x v="0"/>
    <x v="2"/>
    <s v="Normal order"/>
  </r>
  <r>
    <s v="SALE370"/>
    <d v="2025-03-17T00:00:00"/>
    <x v="9"/>
    <s v="CUST1099"/>
    <s v="PROD22"/>
    <s v="STORE18"/>
    <n v="1"/>
    <n v="1"/>
    <n v="678.2"/>
    <n v="0.14000000000000001"/>
    <x v="0"/>
    <n v="583.25200000000007"/>
    <s v="Low"/>
    <s v="Sheila Wilson"/>
    <x v="0"/>
    <x v="59"/>
    <x v="2"/>
    <x v="1"/>
    <s v="Normal order"/>
  </r>
  <r>
    <s v="SALE371"/>
    <d v="2024-08-16T00:00:00"/>
    <x v="10"/>
    <s v="CUST1231"/>
    <s v="PROD90"/>
    <s v="STORE13"/>
    <n v="1"/>
    <n v="1"/>
    <n v="752.45"/>
    <n v="0.21"/>
    <x v="2"/>
    <n v="594.43550000000005"/>
    <s v="Low"/>
    <s v="Timothy Juarez"/>
    <x v="1"/>
    <x v="73"/>
    <x v="2"/>
    <x v="3"/>
    <s v="Normal order"/>
  </r>
  <r>
    <s v="SALE372"/>
    <d v="2024-03-22T00:00:00"/>
    <x v="9"/>
    <s v="CUST1037"/>
    <s v="PROD94"/>
    <s v="STORE13"/>
    <n v="2"/>
    <n v="2"/>
    <n v="209.66"/>
    <n v="0.21"/>
    <x v="0"/>
    <n v="331.26280000000003"/>
    <s v="Low"/>
    <s v="Christopher Carter"/>
    <x v="3"/>
    <x v="89"/>
    <x v="2"/>
    <x v="4"/>
    <s v="Normal order"/>
  </r>
  <r>
    <s v="SALE373"/>
    <d v="2025-01-31T00:00:00"/>
    <x v="3"/>
    <s v="CUST1161"/>
    <s v="PROD97"/>
    <s v="STORE19"/>
    <n v="2"/>
    <n v="2"/>
    <n v="739.95"/>
    <n v="0.1"/>
    <x v="2"/>
    <n v="1331.91"/>
    <s v="High"/>
    <s v="Cynthia Morris"/>
    <x v="0"/>
    <x v="0"/>
    <x v="2"/>
    <x v="1"/>
    <s v="Normal order"/>
  </r>
  <r>
    <s v="SALE374"/>
    <d v="2023-12-16T00:00:00"/>
    <x v="1"/>
    <s v="CUST1469"/>
    <s v="PROD45"/>
    <s v="STORE15"/>
    <n v="1"/>
    <n v="1"/>
    <n v="496.19"/>
    <n v="0.08"/>
    <x v="2"/>
    <n v="456.4948"/>
    <s v="Low"/>
    <s v="James Foster"/>
    <x v="0"/>
    <x v="23"/>
    <x v="0"/>
    <x v="0"/>
    <s v="Normal order"/>
  </r>
  <r>
    <s v="SALE375"/>
    <d v="2025-04-09T00:00:00"/>
    <x v="5"/>
    <s v="CUST1044"/>
    <s v="PROD9"/>
    <s v="STORE12"/>
    <n v="1"/>
    <n v="1"/>
    <n v="306.36"/>
    <n v="0.01"/>
    <x v="1"/>
    <n v="303.29640000000001"/>
    <s v="Low"/>
    <s v="Denise Williams"/>
    <x v="0"/>
    <x v="98"/>
    <x v="0"/>
    <x v="3"/>
    <s v="Normal order"/>
  </r>
  <r>
    <s v="SALE376"/>
    <d v="2024-01-18T00:00:00"/>
    <x v="3"/>
    <s v="CUST1120"/>
    <s v="PROD73"/>
    <s v="STORE4"/>
    <n v="4"/>
    <n v="4"/>
    <n v="693.16"/>
    <n v="0.05"/>
    <x v="1"/>
    <n v="2634.0079999999998"/>
    <s v="High"/>
    <s v="Jacob Hopkins"/>
    <x v="0"/>
    <x v="6"/>
    <x v="1"/>
    <x v="2"/>
    <s v="Bulk order"/>
  </r>
  <r>
    <s v="SALE377"/>
    <d v="2025-03-28T00:00:00"/>
    <x v="9"/>
    <s v="CUST1455"/>
    <s v="PROD83"/>
    <s v="STORE10"/>
    <n v="1"/>
    <n v="1"/>
    <n v="995.52"/>
    <n v="0.22"/>
    <x v="1"/>
    <n v="776.50559999999996"/>
    <s v="Low"/>
    <s v="Tyler Weber"/>
    <x v="3"/>
    <x v="61"/>
    <x v="2"/>
    <x v="0"/>
    <s v="Normal order"/>
  </r>
  <r>
    <s v="SALE378"/>
    <d v="2024-08-31T00:00:00"/>
    <x v="10"/>
    <s v="CUST1125"/>
    <s v="PROD7"/>
    <s v="STORE18"/>
    <n v="4"/>
    <n v="4"/>
    <n v="241.32"/>
    <n v="0.28999999999999998"/>
    <x v="2"/>
    <n v="685.34879999999998"/>
    <s v="Low"/>
    <s v="Keith Miller"/>
    <x v="2"/>
    <x v="17"/>
    <x v="2"/>
    <x v="2"/>
    <s v="Bulk order"/>
  </r>
  <r>
    <s v="SALE379"/>
    <d v="2023-11-10T00:00:00"/>
    <x v="8"/>
    <s v="CUST1239"/>
    <s v="PROD78"/>
    <s v="STORE1"/>
    <n v="3"/>
    <n v="3"/>
    <n v="636.03"/>
    <n v="0.06"/>
    <x v="2"/>
    <n v="1793.6045999999999"/>
    <s v="High"/>
    <s v="Maria Hill"/>
    <x v="2"/>
    <x v="33"/>
    <x v="0"/>
    <x v="2"/>
    <s v="Normal order"/>
  </r>
  <r>
    <s v="SALE38"/>
    <d v="2024-03-27T00:00:00"/>
    <x v="9"/>
    <s v="CUST1189"/>
    <s v="PROD33"/>
    <s v="STORE13"/>
    <n v="4"/>
    <n v="4"/>
    <n v="735.32"/>
    <n v="0.06"/>
    <x v="2"/>
    <n v="2764.8031999999998"/>
    <s v="High"/>
    <s v="Daniel Austin"/>
    <x v="2"/>
    <x v="3"/>
    <x v="2"/>
    <x v="0"/>
    <s v="Bulk order"/>
  </r>
  <r>
    <s v="SALE380"/>
    <d v="2023-12-15T00:00:00"/>
    <x v="1"/>
    <s v="CUST1096"/>
    <s v="PROD4"/>
    <s v="STORE19"/>
    <n v="4"/>
    <n v="4"/>
    <n v="603.30999999999995"/>
    <n v="0.15"/>
    <x v="0"/>
    <n v="2051.2539999999999"/>
    <s v="High"/>
    <s v="Samantha Walker"/>
    <x v="4"/>
    <x v="58"/>
    <x v="2"/>
    <x v="2"/>
    <s v="Bulk order"/>
  </r>
  <r>
    <s v="SALE381"/>
    <d v="2024-05-15T00:00:00"/>
    <x v="11"/>
    <s v="CUST1075"/>
    <s v="PROD89"/>
    <s v="STORE10"/>
    <n v="3"/>
    <n v="3"/>
    <n v="437.96"/>
    <n v="0.27"/>
    <x v="2"/>
    <n v="959.13239999999985"/>
    <s v="Low"/>
    <s v="Rhonda Morales"/>
    <x v="3"/>
    <x v="53"/>
    <x v="2"/>
    <x v="0"/>
    <s v="Normal order"/>
  </r>
  <r>
    <s v="SALE382"/>
    <d v="2024-01-31T00:00:00"/>
    <x v="3"/>
    <s v="CUST1208"/>
    <s v="PROD34"/>
    <s v="STORE4"/>
    <n v="2"/>
    <n v="2"/>
    <n v="56.91"/>
    <n v="0.08"/>
    <x v="2"/>
    <n v="104.7144"/>
    <s v="Low"/>
    <s v="John Perez"/>
    <x v="1"/>
    <x v="21"/>
    <x v="1"/>
    <x v="2"/>
    <s v="Normal order"/>
  </r>
  <r>
    <s v="SALE383"/>
    <d v="2023-12-06T00:00:00"/>
    <x v="1"/>
    <s v="CUST1334"/>
    <s v="PROD76"/>
    <s v="STORE6"/>
    <n v="1"/>
    <n v="1"/>
    <n v="141.79"/>
    <n v="0.1"/>
    <x v="0"/>
    <n v="127.611"/>
    <s v="Low"/>
    <s v="Mr. Christopher Sims"/>
    <x v="1"/>
    <x v="45"/>
    <x v="2"/>
    <x v="1"/>
    <s v="Normal order"/>
  </r>
  <r>
    <s v="SALE384"/>
    <d v="2024-01-11T00:00:00"/>
    <x v="3"/>
    <s v="CUST1483"/>
    <s v="PROD9"/>
    <s v="STORE15"/>
    <n v="4"/>
    <n v="4"/>
    <n v="355.14"/>
    <n v="0.16"/>
    <x v="2"/>
    <n v="1193.2704000000001"/>
    <s v="High"/>
    <s v="Sarah Smith"/>
    <x v="0"/>
    <x v="98"/>
    <x v="0"/>
    <x v="0"/>
    <s v="Bulk order"/>
  </r>
  <r>
    <s v="SALE385"/>
    <d v="2025-09-07T00:00:00"/>
    <x v="7"/>
    <s v="CUST1211"/>
    <s v="PROD38"/>
    <s v="STORE6"/>
    <n v="4"/>
    <n v="4"/>
    <n v="960.38"/>
    <n v="0.15"/>
    <x v="2"/>
    <n v="3265.2919999999999"/>
    <s v="High"/>
    <s v="Rodney Huffman"/>
    <x v="0"/>
    <x v="43"/>
    <x v="2"/>
    <x v="1"/>
    <s v="Bulk order"/>
  </r>
  <r>
    <s v="SALE386"/>
    <d v="2024-05-21T00:00:00"/>
    <x v="11"/>
    <s v="CUST1420"/>
    <s v="PROD69"/>
    <s v="STORE16"/>
    <n v="3"/>
    <n v="3"/>
    <n v="847.21"/>
    <n v="0.06"/>
    <x v="1"/>
    <n v="2389.1322"/>
    <s v="High"/>
    <s v="Dr. Tamara White Md"/>
    <x v="4"/>
    <x v="5"/>
    <x v="3"/>
    <x v="3"/>
    <s v="Normal order"/>
  </r>
  <r>
    <s v="SALE387"/>
    <d v="2025-08-23T00:00:00"/>
    <x v="10"/>
    <s v="CUST1066"/>
    <s v="PROD80"/>
    <s v="STORE10"/>
    <n v="4"/>
    <n v="4"/>
    <n v="773.81"/>
    <n v="0.08"/>
    <x v="2"/>
    <n v="2847.6208000000001"/>
    <s v="High"/>
    <s v="Cody Diaz"/>
    <x v="2"/>
    <x v="24"/>
    <x v="2"/>
    <x v="1"/>
    <s v="Bulk order"/>
  </r>
  <r>
    <s v="SALE388"/>
    <d v="2025-05-03T00:00:00"/>
    <x v="11"/>
    <s v="CUST1000"/>
    <s v="PROD63"/>
    <s v="STORE16"/>
    <n v="1"/>
    <n v="1"/>
    <n v="664.71"/>
    <n v="0.1"/>
    <x v="1"/>
    <n v="598.23900000000003"/>
    <s v="Low"/>
    <s v="Sheena Bonilla"/>
    <x v="3"/>
    <x v="11"/>
    <x v="3"/>
    <x v="4"/>
    <s v="Normal order"/>
  </r>
  <r>
    <s v="SALE389"/>
    <d v="2023-11-03T00:00:00"/>
    <x v="8"/>
    <s v="CUST1347"/>
    <s v="PROD37"/>
    <s v="STORE7"/>
    <n v="4"/>
    <n v="4"/>
    <n v="482.06"/>
    <n v="7.0000000000000007E-2"/>
    <x v="1"/>
    <n v="1793.2632000000001"/>
    <s v="High"/>
    <s v="Justin Mason Dds"/>
    <x v="4"/>
    <x v="16"/>
    <x v="1"/>
    <x v="0"/>
    <s v="Bulk order"/>
  </r>
  <r>
    <s v="SALE39"/>
    <d v="2023-12-04T00:00:00"/>
    <x v="1"/>
    <s v="CUST1431"/>
    <s v="PROD94"/>
    <s v="STORE3"/>
    <n v="2"/>
    <n v="2"/>
    <n v="600.73"/>
    <n v="0.08"/>
    <x v="0"/>
    <n v="1105.3432"/>
    <s v="High"/>
    <s v="John Smith"/>
    <x v="3"/>
    <x v="89"/>
    <x v="0"/>
    <x v="2"/>
    <s v="Normal order"/>
  </r>
  <r>
    <s v="SALE390"/>
    <d v="2025-03-26T00:00:00"/>
    <x v="9"/>
    <s v="CUST1089"/>
    <s v="PROD57"/>
    <s v="STORE3"/>
    <n v="4"/>
    <n v="4"/>
    <n v="995.55"/>
    <n v="0.19"/>
    <x v="1"/>
    <n v="3225.5819999999999"/>
    <s v="High"/>
    <s v="Jamie Yoder"/>
    <x v="0"/>
    <x v="64"/>
    <x v="0"/>
    <x v="2"/>
    <s v="Bulk order"/>
  </r>
  <r>
    <s v="SALE391"/>
    <d v="2024-07-05T00:00:00"/>
    <x v="0"/>
    <s v="CUST1141"/>
    <s v="PROD93"/>
    <s v="STORE13"/>
    <n v="2"/>
    <n v="2"/>
    <n v="153.84"/>
    <n v="0.27"/>
    <x v="1"/>
    <n v="224.60640000000001"/>
    <s v="Low"/>
    <s v="Cristian Wright"/>
    <x v="1"/>
    <x v="27"/>
    <x v="2"/>
    <x v="3"/>
    <s v="Normal order"/>
  </r>
  <r>
    <s v="SALE392"/>
    <d v="2025-05-12T00:00:00"/>
    <x v="11"/>
    <s v="CUST1153"/>
    <s v="PROD78"/>
    <s v="STORE6"/>
    <n v="3"/>
    <n v="3"/>
    <n v="362.11"/>
    <n v="0.23"/>
    <x v="2"/>
    <n v="836.47409999999991"/>
    <s v="Low"/>
    <s v="Joseph Faulkner"/>
    <x v="2"/>
    <x v="33"/>
    <x v="2"/>
    <x v="3"/>
    <s v="Normal order"/>
  </r>
  <r>
    <s v="SALE393"/>
    <d v="2024-09-26T00:00:00"/>
    <x v="7"/>
    <s v="CUST1472"/>
    <s v="PROD43"/>
    <s v="STORE8"/>
    <n v="3"/>
    <n v="3"/>
    <n v="112.26"/>
    <n v="0.11"/>
    <x v="0"/>
    <n v="299.73419999999999"/>
    <s v="Low"/>
    <s v="Philip Mendoza"/>
    <x v="1"/>
    <x v="34"/>
    <x v="3"/>
    <x v="1"/>
    <s v="Normal order"/>
  </r>
  <r>
    <s v="SALE394"/>
    <d v="2024-03-27T00:00:00"/>
    <x v="9"/>
    <s v="CUST1203"/>
    <s v="PROD94"/>
    <s v="STORE19"/>
    <n v="2"/>
    <n v="2"/>
    <n v="962.81"/>
    <n v="0.06"/>
    <x v="2"/>
    <n v="1810.0827999999999"/>
    <s v="High"/>
    <s v="Sarah Brady"/>
    <x v="3"/>
    <x v="89"/>
    <x v="2"/>
    <x v="2"/>
    <s v="Normal order"/>
  </r>
  <r>
    <s v="SALE395"/>
    <d v="2024-01-17T00:00:00"/>
    <x v="3"/>
    <s v="CUST1213"/>
    <s v="PROD21"/>
    <s v="STORE0"/>
    <n v="4"/>
    <n v="4"/>
    <n v="276.23"/>
    <n v="0.12"/>
    <x v="0"/>
    <n v="972.32960000000003"/>
    <s v="Low"/>
    <s v="Stuart Johnson"/>
    <x v="2"/>
    <x v="54"/>
    <x v="2"/>
    <x v="2"/>
    <s v="Bulk order"/>
  </r>
  <r>
    <s v="SALE396"/>
    <d v="2024-04-25T00:00:00"/>
    <x v="5"/>
    <s v="CUST1015"/>
    <s v="PROD18"/>
    <s v="STORE14"/>
    <n v="3"/>
    <n v="3"/>
    <n v="991.37"/>
    <n v="0.1"/>
    <x v="1"/>
    <n v="2676.6990000000001"/>
    <s v="High"/>
    <s v="Laura Alvarez"/>
    <x v="4"/>
    <x v="83"/>
    <x v="1"/>
    <x v="2"/>
    <s v="Normal order"/>
  </r>
  <r>
    <s v="SALE397"/>
    <d v="2025-09-29T00:00:00"/>
    <x v="7"/>
    <s v="CUST1168"/>
    <s v="PROD21"/>
    <s v="STORE13"/>
    <n v="3"/>
    <n v="3"/>
    <n v="977.47"/>
    <n v="0.05"/>
    <x v="0"/>
    <n v="2785.7894999999999"/>
    <s v="High"/>
    <s v="Daniel Contreras"/>
    <x v="2"/>
    <x v="54"/>
    <x v="2"/>
    <x v="2"/>
    <s v="Normal order"/>
  </r>
  <r>
    <s v="SALE398"/>
    <d v="2025-07-06T00:00:00"/>
    <x v="0"/>
    <s v="CUST1206"/>
    <s v="PROD94"/>
    <s v="STORE12"/>
    <n v="2"/>
    <n v="2"/>
    <n v="308.7"/>
    <n v="0.2"/>
    <x v="1"/>
    <n v="493.92"/>
    <s v="Low"/>
    <s v="Ronald Jones"/>
    <x v="3"/>
    <x v="89"/>
    <x v="0"/>
    <x v="1"/>
    <s v="Normal order"/>
  </r>
  <r>
    <s v="SALE399"/>
    <d v="2024-10-14T00:00:00"/>
    <x v="6"/>
    <s v="CUST1037"/>
    <s v="PROD6"/>
    <s v="STORE16"/>
    <n v="2"/>
    <n v="2"/>
    <n v="733.87"/>
    <n v="0.1"/>
    <x v="1"/>
    <n v="1320.9659999999999"/>
    <s v="High"/>
    <s v="Christopher Carter"/>
    <x v="3"/>
    <x v="95"/>
    <x v="3"/>
    <x v="4"/>
    <s v="Normal order"/>
  </r>
  <r>
    <s v="SALE4"/>
    <d v="2024-01-06T00:00:00"/>
    <x v="3"/>
    <s v="CUST1493"/>
    <s v="PROD59"/>
    <s v="STORE5"/>
    <n v="3"/>
    <n v="3"/>
    <n v="745.3"/>
    <n v="0.18"/>
    <x v="0"/>
    <n v="1833.4380000000001"/>
    <s v="High"/>
    <s v="Amanda Powell"/>
    <x v="3"/>
    <x v="4"/>
    <x v="0"/>
    <x v="1"/>
    <s v="Normal order"/>
  </r>
  <r>
    <s v="SALE40"/>
    <d v="2024-07-13T00:00:00"/>
    <x v="0"/>
    <s v="CUST1072"/>
    <s v="PROD26"/>
    <s v="STORE19"/>
    <n v="2"/>
    <n v="2"/>
    <n v="873.86"/>
    <n v="7.0000000000000007E-2"/>
    <x v="2"/>
    <n v="1625.3796"/>
    <s v="High"/>
    <s v="Tonya Burch"/>
    <x v="1"/>
    <x v="81"/>
    <x v="2"/>
    <x v="0"/>
    <s v="Normal order"/>
  </r>
  <r>
    <s v="SALE400"/>
    <d v="2023-10-28T00:00:00"/>
    <x v="6"/>
    <s v="CUST1095"/>
    <s v="PROD19"/>
    <s v="STORE16"/>
    <n v="2"/>
    <n v="2"/>
    <n v="22.47"/>
    <n v="0.22"/>
    <x v="1"/>
    <n v="35.053199999999997"/>
    <s v="Low"/>
    <s v="Amy Fowler"/>
    <x v="0"/>
    <x v="32"/>
    <x v="3"/>
    <x v="2"/>
    <s v="Normal order"/>
  </r>
  <r>
    <s v="SALE401"/>
    <d v="2024-03-29T00:00:00"/>
    <x v="9"/>
    <s v="CUST1348"/>
    <s v="PROD57"/>
    <s v="STORE13"/>
    <n v="4"/>
    <n v="4"/>
    <n v="651.36"/>
    <n v="0.13"/>
    <x v="0"/>
    <n v="2266.7328000000002"/>
    <s v="High"/>
    <s v="Sherry Cabrera"/>
    <x v="0"/>
    <x v="64"/>
    <x v="2"/>
    <x v="1"/>
    <s v="Bulk order"/>
  </r>
  <r>
    <s v="SALE402"/>
    <d v="2025-06-09T00:00:00"/>
    <x v="4"/>
    <s v="CUST1296"/>
    <s v="PROD14"/>
    <s v="STORE10"/>
    <n v="1"/>
    <n v="1"/>
    <n v="753.39"/>
    <n v="0.04"/>
    <x v="2"/>
    <n v="723.25439999999992"/>
    <s v="Low"/>
    <s v="Jared Moran"/>
    <x v="2"/>
    <x v="94"/>
    <x v="2"/>
    <x v="3"/>
    <s v="Normal order"/>
  </r>
  <r>
    <s v="SALE403"/>
    <d v="2024-10-11T00:00:00"/>
    <x v="6"/>
    <s v="CUST1201"/>
    <s v="PROD71"/>
    <s v="STORE12"/>
    <n v="4"/>
    <n v="4"/>
    <n v="849.17"/>
    <n v="0.12"/>
    <x v="2"/>
    <n v="2989.0783999999999"/>
    <s v="High"/>
    <s v="Mary Boyd"/>
    <x v="3"/>
    <x v="57"/>
    <x v="0"/>
    <x v="3"/>
    <s v="Bulk order"/>
  </r>
  <r>
    <s v="SALE404"/>
    <d v="2024-07-22T00:00:00"/>
    <x v="0"/>
    <s v="CUST1379"/>
    <s v="PROD20"/>
    <s v="STORE0"/>
    <n v="4"/>
    <n v="4"/>
    <n v="585.45000000000005"/>
    <n v="0.25"/>
    <x v="2"/>
    <n v="1756.35"/>
    <s v="High"/>
    <s v="Tanya Lopez"/>
    <x v="0"/>
    <x v="69"/>
    <x v="2"/>
    <x v="0"/>
    <s v="Bulk order"/>
  </r>
  <r>
    <s v="SALE405"/>
    <d v="2024-12-02T00:00:00"/>
    <x v="1"/>
    <s v="CUST1476"/>
    <s v="PROD75"/>
    <s v="STORE16"/>
    <n v="1"/>
    <n v="1"/>
    <n v="745.15"/>
    <n v="0.25"/>
    <x v="2"/>
    <n v="558.86249999999995"/>
    <s v="Low"/>
    <s v="Elizabeth Foster"/>
    <x v="4"/>
    <x v="10"/>
    <x v="3"/>
    <x v="0"/>
    <s v="Normal order"/>
  </r>
  <r>
    <s v="SALE406"/>
    <d v="2023-11-14T00:00:00"/>
    <x v="8"/>
    <s v="CUST1050"/>
    <s v="PROD99"/>
    <s v="STORE2"/>
    <n v="1"/>
    <n v="1"/>
    <n v="848.69"/>
    <n v="0.04"/>
    <x v="2"/>
    <n v="814.74239999999998"/>
    <s v="Low"/>
    <s v="Matthew Hunter Jr."/>
    <x v="2"/>
    <x v="86"/>
    <x v="1"/>
    <x v="0"/>
    <s v="Normal order"/>
  </r>
  <r>
    <s v="SALE407"/>
    <d v="2024-02-14T00:00:00"/>
    <x v="2"/>
    <s v="CUST1413"/>
    <s v="PROD70"/>
    <s v="STORE14"/>
    <n v="2"/>
    <n v="2"/>
    <n v="247.67"/>
    <n v="0.1"/>
    <x v="1"/>
    <n v="445.80599999999998"/>
    <s v="Low"/>
    <s v="Megan Ryan"/>
    <x v="2"/>
    <x v="92"/>
    <x v="1"/>
    <x v="3"/>
    <s v="Normal order"/>
  </r>
  <r>
    <s v="SALE408"/>
    <d v="2024-06-22T00:00:00"/>
    <x v="4"/>
    <s v="CUST1039"/>
    <s v="PROD74"/>
    <s v="STORE3"/>
    <n v="3"/>
    <n v="3"/>
    <n v="220.51"/>
    <n v="0.02"/>
    <x v="1"/>
    <n v="648.29939999999999"/>
    <s v="Low"/>
    <s v="Tonya Reynolds"/>
    <x v="1"/>
    <x v="1"/>
    <x v="0"/>
    <x v="0"/>
    <s v="Normal order"/>
  </r>
  <r>
    <s v="SALE409"/>
    <d v="2025-06-29T00:00:00"/>
    <x v="4"/>
    <s v="CUST1327"/>
    <s v="PROD15"/>
    <s v="STORE16"/>
    <n v="4"/>
    <n v="4"/>
    <n v="370.63"/>
    <n v="0.08"/>
    <x v="0"/>
    <n v="1363.9184"/>
    <s v="High"/>
    <s v="Reginald Willis"/>
    <x v="1"/>
    <x v="42"/>
    <x v="3"/>
    <x v="3"/>
    <s v="Bulk order"/>
  </r>
  <r>
    <s v="SALE41"/>
    <d v="2023-11-11T00:00:00"/>
    <x v="8"/>
    <s v="CUST1302"/>
    <s v="PROD23"/>
    <s v="STORE8"/>
    <n v="3"/>
    <n v="3"/>
    <n v="342.47"/>
    <n v="0.08"/>
    <x v="1"/>
    <n v="945.21720000000016"/>
    <s v="Low"/>
    <s v="Edward Cole"/>
    <x v="4"/>
    <x v="9"/>
    <x v="3"/>
    <x v="0"/>
    <s v="Normal order"/>
  </r>
  <r>
    <s v="SALE410"/>
    <d v="2025-02-18T00:00:00"/>
    <x v="2"/>
    <s v="CUST1391"/>
    <s v="PROD29"/>
    <s v="STORE19"/>
    <n v="4"/>
    <n v="4"/>
    <n v="349.84"/>
    <n v="0.11"/>
    <x v="0"/>
    <n v="1245.4304"/>
    <s v="High"/>
    <s v="Heidi Tyler"/>
    <x v="2"/>
    <x v="62"/>
    <x v="2"/>
    <x v="3"/>
    <s v="Bulk order"/>
  </r>
  <r>
    <s v="SALE411"/>
    <d v="2025-06-15T00:00:00"/>
    <x v="4"/>
    <s v="CUST1043"/>
    <s v="PROD39"/>
    <s v="STORE12"/>
    <n v="1"/>
    <n v="1"/>
    <n v="770.87"/>
    <n v="0.1"/>
    <x v="2"/>
    <n v="693.78300000000002"/>
    <s v="Low"/>
    <s v="Joseph Snow"/>
    <x v="1"/>
    <x v="65"/>
    <x v="0"/>
    <x v="0"/>
    <s v="Normal order"/>
  </r>
  <r>
    <s v="SALE412"/>
    <d v="2024-08-14T00:00:00"/>
    <x v="10"/>
    <s v="CUST1479"/>
    <s v="PROD99"/>
    <s v="STORE17"/>
    <n v="3"/>
    <n v="3"/>
    <n v="507.33"/>
    <n v="0.06"/>
    <x v="1"/>
    <n v="1430.6705999999999"/>
    <s v="High"/>
    <s v="Dylan Gutierrez"/>
    <x v="2"/>
    <x v="86"/>
    <x v="0"/>
    <x v="3"/>
    <s v="Normal order"/>
  </r>
  <r>
    <s v="SALE413"/>
    <d v="2025-07-25T00:00:00"/>
    <x v="0"/>
    <s v="CUST1185"/>
    <s v="PROD66"/>
    <s v="STORE9"/>
    <n v="1"/>
    <n v="1"/>
    <n v="87.78"/>
    <n v="0.06"/>
    <x v="0"/>
    <n v="82.513199999999998"/>
    <s v="Low"/>
    <s v="Brent Rivas"/>
    <x v="3"/>
    <x v="46"/>
    <x v="1"/>
    <x v="2"/>
    <s v="Normal order"/>
  </r>
  <r>
    <s v="SALE414"/>
    <d v="2025-01-09T00:00:00"/>
    <x v="3"/>
    <s v="CUST1006"/>
    <s v="PROD93"/>
    <s v="STORE4"/>
    <n v="2"/>
    <n v="2"/>
    <n v="772.24"/>
    <n v="0.22"/>
    <x v="0"/>
    <n v="1204.6944000000001"/>
    <s v="High"/>
    <s v="Amber Jackson"/>
    <x v="1"/>
    <x v="27"/>
    <x v="1"/>
    <x v="2"/>
    <s v="Normal order"/>
  </r>
  <r>
    <s v="SALE415"/>
    <d v="2025-06-05T00:00:00"/>
    <x v="4"/>
    <s v="CUST1047"/>
    <s v="PROD70"/>
    <s v="STORE14"/>
    <n v="1"/>
    <n v="1"/>
    <n v="108.27"/>
    <n v="0.1"/>
    <x v="2"/>
    <n v="97.442999999999998"/>
    <s v="Low"/>
    <s v="Gina Knight"/>
    <x v="2"/>
    <x v="92"/>
    <x v="1"/>
    <x v="1"/>
    <s v="Normal order"/>
  </r>
  <r>
    <s v="SALE416"/>
    <d v="2024-12-07T00:00:00"/>
    <x v="1"/>
    <s v="CUST1347"/>
    <s v="PROD38"/>
    <s v="STORE17"/>
    <n v="2"/>
    <n v="2"/>
    <n v="839.24"/>
    <n v="0.21"/>
    <x v="1"/>
    <n v="1325.9992"/>
    <s v="High"/>
    <s v="Justin Mason Dds"/>
    <x v="0"/>
    <x v="43"/>
    <x v="0"/>
    <x v="0"/>
    <s v="Normal order"/>
  </r>
  <r>
    <s v="SALE417"/>
    <d v="2024-02-09T00:00:00"/>
    <x v="2"/>
    <s v="CUST1383"/>
    <s v="PROD58"/>
    <s v="STORE10"/>
    <n v="2"/>
    <n v="2"/>
    <n v="466.27"/>
    <n v="0.11"/>
    <x v="1"/>
    <n v="829.9606"/>
    <s v="Low"/>
    <s v="Kristine Higgins"/>
    <x v="4"/>
    <x v="36"/>
    <x v="2"/>
    <x v="1"/>
    <s v="Normal order"/>
  </r>
  <r>
    <s v="SALE418"/>
    <d v="2025-10-12T00:00:00"/>
    <x v="6"/>
    <s v="CUST1398"/>
    <s v="PROD62"/>
    <s v="STORE14"/>
    <n v="3"/>
    <n v="3"/>
    <n v="969.83"/>
    <n v="0.02"/>
    <x v="0"/>
    <n v="2851.3002000000001"/>
    <s v="High"/>
    <s v="Jennifer Johnson"/>
    <x v="1"/>
    <x v="19"/>
    <x v="1"/>
    <x v="3"/>
    <s v="Normal order"/>
  </r>
  <r>
    <s v="SALE419"/>
    <d v="2025-06-16T00:00:00"/>
    <x v="4"/>
    <s v="CUST1417"/>
    <s v="PROD91"/>
    <s v="STORE19"/>
    <n v="2"/>
    <n v="2"/>
    <n v="782.11"/>
    <n v="0.17"/>
    <x v="1"/>
    <n v="1298.3026"/>
    <s v="High"/>
    <s v="Karen King"/>
    <x v="4"/>
    <x v="67"/>
    <x v="2"/>
    <x v="3"/>
    <s v="Normal order"/>
  </r>
  <r>
    <s v="SALE42"/>
    <d v="2024-12-23T00:00:00"/>
    <x v="1"/>
    <s v="CUST1335"/>
    <s v="PROD29"/>
    <s v="STORE9"/>
    <n v="2"/>
    <n v="2"/>
    <n v="915.15"/>
    <n v="0.16"/>
    <x v="1"/>
    <n v="1537.452"/>
    <s v="High"/>
    <s v="Jennifer Woods"/>
    <x v="2"/>
    <x v="62"/>
    <x v="1"/>
    <x v="2"/>
    <s v="Normal order"/>
  </r>
  <r>
    <s v="SALE420"/>
    <d v="2025-09-21T00:00:00"/>
    <x v="7"/>
    <s v="CUST1451"/>
    <s v="PROD40"/>
    <s v="STORE11"/>
    <n v="2"/>
    <n v="2"/>
    <n v="74.63"/>
    <n v="0.01"/>
    <x v="1"/>
    <n v="147.76740000000001"/>
    <s v="Low"/>
    <s v="Ashley Roberts"/>
    <x v="1"/>
    <x v="50"/>
    <x v="1"/>
    <x v="0"/>
    <s v="Normal order"/>
  </r>
  <r>
    <s v="SALE421"/>
    <d v="2025-09-09T00:00:00"/>
    <x v="7"/>
    <s v="CUST1041"/>
    <s v="PROD85"/>
    <s v="STORE6"/>
    <n v="3"/>
    <n v="3"/>
    <n v="522.78"/>
    <n v="0.25"/>
    <x v="1"/>
    <n v="1176.2550000000001"/>
    <s v="High"/>
    <s v="James Gibbs"/>
    <x v="4"/>
    <x v="70"/>
    <x v="2"/>
    <x v="2"/>
    <s v="Normal order"/>
  </r>
  <r>
    <s v="SALE422"/>
    <d v="2025-07-15T00:00:00"/>
    <x v="0"/>
    <s v="CUST1338"/>
    <s v="PROD13"/>
    <s v="STORE15"/>
    <n v="1"/>
    <n v="1"/>
    <n v="206.45"/>
    <n v="0.15"/>
    <x v="1"/>
    <n v="175.48249999999999"/>
    <s v="Low"/>
    <s v="Jasmine Snyder"/>
    <x v="1"/>
    <x v="75"/>
    <x v="0"/>
    <x v="1"/>
    <s v="Normal order"/>
  </r>
  <r>
    <s v="SALE423"/>
    <d v="2024-10-15T00:00:00"/>
    <x v="6"/>
    <s v="CUST1145"/>
    <s v="PROD69"/>
    <s v="STORE5"/>
    <n v="1"/>
    <n v="1"/>
    <n v="815.53"/>
    <n v="0.3"/>
    <x v="1"/>
    <n v="570.87099999999998"/>
    <s v="Low"/>
    <s v="Cameron Simpson"/>
    <x v="4"/>
    <x v="5"/>
    <x v="0"/>
    <x v="2"/>
    <s v="Normal order"/>
  </r>
  <r>
    <s v="SALE424"/>
    <d v="2023-10-21T00:00:00"/>
    <x v="6"/>
    <s v="CUST1037"/>
    <s v="PROD79"/>
    <s v="STORE13"/>
    <n v="1"/>
    <n v="1"/>
    <n v="823.61"/>
    <n v="0.28000000000000003"/>
    <x v="2"/>
    <n v="592.99919999999997"/>
    <s v="Low"/>
    <s v="Christopher Carter"/>
    <x v="2"/>
    <x v="14"/>
    <x v="2"/>
    <x v="4"/>
    <s v="Normal order"/>
  </r>
  <r>
    <s v="SALE425"/>
    <d v="2025-05-30T00:00:00"/>
    <x v="11"/>
    <s v="CUST1478"/>
    <s v="PROD87"/>
    <s v="STORE9"/>
    <n v="2"/>
    <n v="2"/>
    <n v="209.96"/>
    <n v="0"/>
    <x v="0"/>
    <n v="419.92"/>
    <s v="Low"/>
    <s v="Earl Smith Dds"/>
    <x v="2"/>
    <x v="48"/>
    <x v="1"/>
    <x v="0"/>
    <s v="Normal order"/>
  </r>
  <r>
    <s v="SALE426"/>
    <d v="2024-06-19T00:00:00"/>
    <x v="4"/>
    <s v="CUST1175"/>
    <s v="PROD0"/>
    <s v="STORE16"/>
    <n v="4"/>
    <n v="4"/>
    <n v="897.93"/>
    <n v="0.05"/>
    <x v="2"/>
    <n v="3412.134"/>
    <s v="High"/>
    <s v="Michelle Rogers"/>
    <x v="1"/>
    <x v="7"/>
    <x v="3"/>
    <x v="2"/>
    <s v="Bulk order"/>
  </r>
  <r>
    <s v="SALE427"/>
    <d v="2024-12-20T00:00:00"/>
    <x v="1"/>
    <s v="CUST1181"/>
    <s v="PROD63"/>
    <s v="STORE0"/>
    <n v="4"/>
    <n v="4"/>
    <n v="925.95"/>
    <n v="0.16"/>
    <x v="2"/>
    <n v="3111.192"/>
    <s v="High"/>
    <s v="Erin Ward"/>
    <x v="3"/>
    <x v="11"/>
    <x v="2"/>
    <x v="3"/>
    <s v="Bulk order"/>
  </r>
  <r>
    <s v="SALE428"/>
    <d v="2024-08-16T00:00:00"/>
    <x v="10"/>
    <s v="CUST1084"/>
    <s v="PROD51"/>
    <s v="STORE6"/>
    <n v="2"/>
    <n v="2"/>
    <n v="573.09"/>
    <n v="0.03"/>
    <x v="2"/>
    <n v="1111.7945999999999"/>
    <s v="High"/>
    <s v="Christy Hoffman"/>
    <x v="1"/>
    <x v="78"/>
    <x v="2"/>
    <x v="2"/>
    <s v="Normal order"/>
  </r>
  <r>
    <s v="SALE429"/>
    <d v="2025-03-15T00:00:00"/>
    <x v="9"/>
    <s v="CUST1183"/>
    <s v="PROD7"/>
    <s v="STORE4"/>
    <n v="4"/>
    <n v="4"/>
    <n v="149.83000000000001"/>
    <n v="0.02"/>
    <x v="0"/>
    <n v="587.33360000000005"/>
    <s v="Low"/>
    <s v="Mario Jacobs"/>
    <x v="2"/>
    <x v="17"/>
    <x v="1"/>
    <x v="2"/>
    <s v="Bulk order"/>
  </r>
  <r>
    <s v="SALE43"/>
    <d v="2025-01-20T00:00:00"/>
    <x v="3"/>
    <s v="CUST1084"/>
    <s v="PROD33"/>
    <s v="STORE17"/>
    <m/>
    <n v="2.1818181818181817"/>
    <n v="863.11"/>
    <n v="0.28000000000000003"/>
    <x v="1"/>
    <n v="1864.3176000000001"/>
    <s v="High"/>
    <s v="Christy Hoffman"/>
    <x v="2"/>
    <x v="3"/>
    <x v="0"/>
    <x v="2"/>
    <s v="Normal order"/>
  </r>
  <r>
    <s v="SALE430"/>
    <d v="2024-06-02T00:00:00"/>
    <x v="4"/>
    <s v="CUST1001"/>
    <s v="PROD51"/>
    <s v="STORE14"/>
    <n v="3"/>
    <n v="3"/>
    <n v="287.70999999999998"/>
    <n v="0.03"/>
    <x v="2"/>
    <n v="837.23609999999985"/>
    <s v="Low"/>
    <s v="Eugene Nelson"/>
    <x v="1"/>
    <x v="78"/>
    <x v="1"/>
    <x v="2"/>
    <s v="Normal order"/>
  </r>
  <r>
    <s v="SALE431"/>
    <d v="2025-07-22T00:00:00"/>
    <x v="0"/>
    <s v="CUST1094"/>
    <s v="PROD67"/>
    <s v="STORE6"/>
    <n v="2"/>
    <n v="2"/>
    <n v="849.8"/>
    <n v="0.06"/>
    <x v="2"/>
    <n v="1597.624"/>
    <s v="High"/>
    <s v="David Patterson"/>
    <x v="1"/>
    <x v="99"/>
    <x v="2"/>
    <x v="0"/>
    <s v="Normal order"/>
  </r>
  <r>
    <s v="SALE432"/>
    <d v="2025-03-09T00:00:00"/>
    <x v="9"/>
    <s v="CUST1016"/>
    <s v="PROD41"/>
    <s v="STORE3"/>
    <n v="3"/>
    <n v="3"/>
    <n v="482.58"/>
    <n v="0.28000000000000003"/>
    <x v="1"/>
    <n v="1042.3728000000001"/>
    <s v="High"/>
    <s v="John Scott"/>
    <x v="0"/>
    <x v="82"/>
    <x v="0"/>
    <x v="3"/>
    <s v="Normal order"/>
  </r>
  <r>
    <s v="SALE433"/>
    <d v="2025-02-11T00:00:00"/>
    <x v="2"/>
    <s v="CUST1114"/>
    <s v="PROD59"/>
    <s v="STORE2"/>
    <n v="2"/>
    <n v="2"/>
    <n v="64.7"/>
    <n v="0"/>
    <x v="0"/>
    <n v="129.4"/>
    <s v="Low"/>
    <s v="Ryan Hernandez"/>
    <x v="3"/>
    <x v="4"/>
    <x v="1"/>
    <x v="3"/>
    <s v="Normal order"/>
  </r>
  <r>
    <s v="SALE434"/>
    <d v="2023-12-06T00:00:00"/>
    <x v="1"/>
    <s v="CUST1148"/>
    <s v="PROD5"/>
    <s v="STORE5"/>
    <n v="3"/>
    <n v="3"/>
    <n v="589.83000000000004"/>
    <n v="0.26"/>
    <x v="0"/>
    <n v="1309.4226000000001"/>
    <s v="High"/>
    <s v="Theresa Campbell"/>
    <x v="4"/>
    <x v="91"/>
    <x v="0"/>
    <x v="3"/>
    <s v="Normal order"/>
  </r>
  <r>
    <s v="SALE435"/>
    <d v="2025-08-20T00:00:00"/>
    <x v="10"/>
    <s v="CUST1288"/>
    <s v="PROD3"/>
    <s v="STORE9"/>
    <n v="4"/>
    <n v="4"/>
    <n v="758.49"/>
    <n v="0.16"/>
    <x v="2"/>
    <n v="2548.5264000000002"/>
    <s v="High"/>
    <s v="Misty Ferguson"/>
    <x v="4"/>
    <x v="84"/>
    <x v="1"/>
    <x v="0"/>
    <s v="Bulk order"/>
  </r>
  <r>
    <s v="SALE436"/>
    <d v="2024-09-20T00:00:00"/>
    <x v="7"/>
    <s v="CUST1053"/>
    <s v="PROD37"/>
    <s v="STORE12"/>
    <n v="4"/>
    <n v="4"/>
    <n v="747.56"/>
    <n v="0.09"/>
    <x v="2"/>
    <n v="2721.1183999999998"/>
    <s v="High"/>
    <s v="Sharon Brown"/>
    <x v="4"/>
    <x v="16"/>
    <x v="0"/>
    <x v="0"/>
    <s v="Bulk order"/>
  </r>
  <r>
    <s v="SALE437"/>
    <d v="2025-06-05T00:00:00"/>
    <x v="4"/>
    <s v="CUST1253"/>
    <s v="PROD40"/>
    <s v="STORE17"/>
    <n v="3"/>
    <n v="3"/>
    <n v="551.22"/>
    <n v="0.12"/>
    <x v="1"/>
    <n v="1455.2208000000001"/>
    <s v="High"/>
    <s v="Dr. Ashley Yates Md"/>
    <x v="1"/>
    <x v="50"/>
    <x v="0"/>
    <x v="3"/>
    <s v="Normal order"/>
  </r>
  <r>
    <s v="SALE438"/>
    <d v="2025-06-03T00:00:00"/>
    <x v="4"/>
    <s v="CUST1159"/>
    <s v="PROD69"/>
    <s v="STORE14"/>
    <n v="2"/>
    <n v="2"/>
    <n v="527.05999999999995"/>
    <n v="0.17"/>
    <x v="1"/>
    <n v="874.91959999999983"/>
    <s v="Low"/>
    <s v="Brian Choi"/>
    <x v="4"/>
    <x v="5"/>
    <x v="1"/>
    <x v="0"/>
    <s v="Normal order"/>
  </r>
  <r>
    <s v="SALE439"/>
    <d v="2025-01-13T00:00:00"/>
    <x v="3"/>
    <s v="CUST1098"/>
    <s v="PROD62"/>
    <s v="STORE5"/>
    <n v="4"/>
    <n v="4"/>
    <n v="875.41"/>
    <n v="0.27"/>
    <x v="0"/>
    <n v="2556.1972000000001"/>
    <s v="High"/>
    <s v="Brittney Morgan"/>
    <x v="1"/>
    <x v="19"/>
    <x v="0"/>
    <x v="0"/>
    <s v="Bulk order"/>
  </r>
  <r>
    <s v="SALE44"/>
    <d v="2024-09-03T00:00:00"/>
    <x v="7"/>
    <s v="CUST1203"/>
    <s v="PROD43"/>
    <s v="STORE12"/>
    <n v="2"/>
    <n v="2"/>
    <n v="209.32"/>
    <n v="0.23"/>
    <x v="2"/>
    <n v="322.3528"/>
    <s v="Low"/>
    <s v="Sarah Brady"/>
    <x v="1"/>
    <x v="34"/>
    <x v="0"/>
    <x v="2"/>
    <s v="Normal order"/>
  </r>
  <r>
    <s v="SALE440"/>
    <d v="2025-03-20T00:00:00"/>
    <x v="9"/>
    <s v="CUST1007"/>
    <s v="PROD85"/>
    <s v="STORE0"/>
    <n v="2"/>
    <n v="2"/>
    <n v="226.43"/>
    <n v="0.03"/>
    <x v="0"/>
    <n v="439.27420000000001"/>
    <s v="Low"/>
    <s v="Daniel Boyd"/>
    <x v="4"/>
    <x v="70"/>
    <x v="2"/>
    <x v="3"/>
    <s v="Normal order"/>
  </r>
  <r>
    <s v="SALE441"/>
    <d v="2024-07-07T00:00:00"/>
    <x v="0"/>
    <s v="CUST1035"/>
    <s v="PROD79"/>
    <s v="STORE5"/>
    <n v="2"/>
    <n v="2"/>
    <n v="285.39"/>
    <n v="0.1"/>
    <x v="0"/>
    <n v="513.702"/>
    <s v="Low"/>
    <s v="Rachel Myers"/>
    <x v="2"/>
    <x v="14"/>
    <x v="0"/>
    <x v="1"/>
    <s v="Normal order"/>
  </r>
  <r>
    <s v="SALE442"/>
    <d v="2025-09-29T00:00:00"/>
    <x v="7"/>
    <s v="CUST1334"/>
    <s v="PROD11"/>
    <s v="STORE15"/>
    <n v="2"/>
    <n v="2"/>
    <n v="298.01"/>
    <n v="0.05"/>
    <x v="0"/>
    <n v="566.21899999999994"/>
    <s v="Low"/>
    <s v="Mr. Christopher Sims"/>
    <x v="1"/>
    <x v="68"/>
    <x v="0"/>
    <x v="1"/>
    <s v="Normal order"/>
  </r>
  <r>
    <s v="SALE443"/>
    <d v="2024-11-30T00:00:00"/>
    <x v="8"/>
    <s v="CUST1159"/>
    <s v="PROD40"/>
    <s v="STORE4"/>
    <n v="4"/>
    <n v="4"/>
    <n v="753.49"/>
    <n v="0.26"/>
    <x v="2"/>
    <n v="2230.3303999999998"/>
    <s v="High"/>
    <s v="Brian Choi"/>
    <x v="1"/>
    <x v="50"/>
    <x v="1"/>
    <x v="0"/>
    <s v="Bulk order"/>
  </r>
  <r>
    <s v="SALE444"/>
    <d v="2024-06-17T00:00:00"/>
    <x v="4"/>
    <s v="CUST1488"/>
    <s v="PROD78"/>
    <s v="STORE12"/>
    <n v="2"/>
    <n v="2"/>
    <n v="130.38999999999999"/>
    <n v="0.17"/>
    <x v="1"/>
    <n v="216.44739999999999"/>
    <s v="Low"/>
    <s v="Zachary Andrade"/>
    <x v="2"/>
    <x v="33"/>
    <x v="0"/>
    <x v="2"/>
    <s v="Normal order"/>
  </r>
  <r>
    <s v="SALE445"/>
    <d v="2025-02-21T00:00:00"/>
    <x v="2"/>
    <s v="CUST1345"/>
    <s v="PROD22"/>
    <s v="STORE9"/>
    <n v="4"/>
    <n v="4"/>
    <n v="164.02"/>
    <n v="0.01"/>
    <x v="1"/>
    <n v="649.51920000000007"/>
    <s v="Low"/>
    <s v="Daniel Nelson"/>
    <x v="0"/>
    <x v="59"/>
    <x v="1"/>
    <x v="3"/>
    <s v="Bulk order"/>
  </r>
  <r>
    <s v="SALE446"/>
    <d v="2024-09-16T00:00:00"/>
    <x v="7"/>
    <s v="CUST1164"/>
    <s v="PROD29"/>
    <s v="STORE4"/>
    <n v="2"/>
    <n v="2"/>
    <n v="527.51"/>
    <n v="0.18"/>
    <x v="1"/>
    <n v="865.1164"/>
    <s v="Low"/>
    <s v="Daniel Rivas"/>
    <x v="2"/>
    <x v="62"/>
    <x v="1"/>
    <x v="1"/>
    <s v="Normal order"/>
  </r>
  <r>
    <s v="SALE447"/>
    <d v="2025-10-09T00:00:00"/>
    <x v="6"/>
    <s v="CUST1253"/>
    <s v="PROD57"/>
    <s v="STORE13"/>
    <n v="3"/>
    <n v="3"/>
    <n v="628.17999999999995"/>
    <n v="0.26"/>
    <x v="0"/>
    <n v="1394.5596"/>
    <s v="High"/>
    <s v="Dr. Ashley Yates Md"/>
    <x v="0"/>
    <x v="64"/>
    <x v="2"/>
    <x v="3"/>
    <s v="Normal order"/>
  </r>
  <r>
    <s v="SALE448"/>
    <d v="2024-09-18T00:00:00"/>
    <x v="7"/>
    <s v="CUST1269"/>
    <s v="PROD56"/>
    <s v="STORE3"/>
    <n v="1"/>
    <n v="1"/>
    <n v="862.31"/>
    <n v="0.06"/>
    <x v="0"/>
    <n v="810.57139999999993"/>
    <s v="Low"/>
    <s v="Tyrone Olson"/>
    <x v="2"/>
    <x v="87"/>
    <x v="0"/>
    <x v="1"/>
    <s v="Normal order"/>
  </r>
  <r>
    <s v="SALE449"/>
    <d v="2025-05-29T00:00:00"/>
    <x v="11"/>
    <s v="CUST1071"/>
    <s v="PROD83"/>
    <s v="STORE14"/>
    <n v="2"/>
    <n v="2"/>
    <n v="541.39"/>
    <n v="0.03"/>
    <x v="2"/>
    <n v="1050.2965999999999"/>
    <s v="High"/>
    <s v="Andrea Perez"/>
    <x v="3"/>
    <x v="61"/>
    <x v="1"/>
    <x v="0"/>
    <s v="Normal order"/>
  </r>
  <r>
    <s v="SALE45"/>
    <d v="2024-11-10T00:00:00"/>
    <x v="8"/>
    <s v="CUST1470"/>
    <s v="PROD59"/>
    <s v="STORE8"/>
    <n v="4"/>
    <n v="4"/>
    <n v="288.60000000000002"/>
    <n v="0.09"/>
    <x v="1"/>
    <n v="1050.5039999999999"/>
    <s v="High"/>
    <s v="Manuel Fisher"/>
    <x v="3"/>
    <x v="4"/>
    <x v="3"/>
    <x v="0"/>
    <s v="Bulk order"/>
  </r>
  <r>
    <s v="SALE450"/>
    <d v="2025-06-03T00:00:00"/>
    <x v="4"/>
    <s v="CUST1477"/>
    <s v="PROD76"/>
    <s v="STORE16"/>
    <n v="3"/>
    <n v="3"/>
    <n v="761.8"/>
    <n v="0.06"/>
    <x v="2"/>
    <n v="2148.2759999999989"/>
    <s v="High"/>
    <s v="Andrea Harris"/>
    <x v="1"/>
    <x v="45"/>
    <x v="3"/>
    <x v="2"/>
    <s v="Normal order"/>
  </r>
  <r>
    <s v="SALE451"/>
    <d v="2024-08-04T00:00:00"/>
    <x v="10"/>
    <s v="CUST1422"/>
    <s v="PROD49"/>
    <s v="STORE2"/>
    <n v="4"/>
    <n v="4"/>
    <n v="829.36"/>
    <n v="0.11"/>
    <x v="1"/>
    <n v="2952.5216"/>
    <s v="High"/>
    <s v="Brittany Edwards Dds"/>
    <x v="3"/>
    <x v="80"/>
    <x v="1"/>
    <x v="2"/>
    <s v="Bulk order"/>
  </r>
  <r>
    <s v="SALE452"/>
    <d v="2024-06-17T00:00:00"/>
    <x v="4"/>
    <s v="CUST1404"/>
    <s v="PROD23"/>
    <s v="STORE16"/>
    <n v="2"/>
    <n v="2"/>
    <n v="425.06"/>
    <n v="0.09"/>
    <x v="1"/>
    <n v="773.60919999999999"/>
    <s v="Low"/>
    <s v="David Ross"/>
    <x v="4"/>
    <x v="9"/>
    <x v="3"/>
    <x v="1"/>
    <s v="Normal order"/>
  </r>
  <r>
    <s v="SALE453"/>
    <d v="2024-01-20T00:00:00"/>
    <x v="3"/>
    <s v="CUST1127"/>
    <s v="PROD55"/>
    <s v="STORE0"/>
    <n v="2"/>
    <n v="2"/>
    <n v="911.14"/>
    <n v="0.1"/>
    <x v="0"/>
    <n v="1640.0519999999999"/>
    <s v="High"/>
    <s v="John Mcknight"/>
    <x v="2"/>
    <x v="25"/>
    <x v="2"/>
    <x v="2"/>
    <s v="Normal order"/>
  </r>
  <r>
    <s v="SALE454"/>
    <d v="2025-09-06T00:00:00"/>
    <x v="7"/>
    <s v="CUST1084"/>
    <s v="PROD68"/>
    <s v="STORE8"/>
    <n v="3"/>
    <n v="3"/>
    <n v="811.96"/>
    <n v="0.28999999999999998"/>
    <x v="0"/>
    <n v="1729.4748"/>
    <s v="High"/>
    <s v="Christy Hoffman"/>
    <x v="2"/>
    <x v="97"/>
    <x v="3"/>
    <x v="2"/>
    <s v="Normal order"/>
  </r>
  <r>
    <s v="SALE455"/>
    <d v="2024-03-29T00:00:00"/>
    <x v="9"/>
    <s v="CUST1273"/>
    <s v="PROD31"/>
    <s v="STORE10"/>
    <n v="2"/>
    <n v="2"/>
    <n v="780.05"/>
    <n v="0.12"/>
    <x v="2"/>
    <n v="1372.8879999999999"/>
    <s v="High"/>
    <s v="Samantha Robinson"/>
    <x v="0"/>
    <x v="72"/>
    <x v="2"/>
    <x v="3"/>
    <s v="Normal order"/>
  </r>
  <r>
    <s v="SALE456"/>
    <d v="2024-08-23T00:00:00"/>
    <x v="10"/>
    <s v="CUST1215"/>
    <s v="PROD32"/>
    <s v="STORE9"/>
    <n v="4"/>
    <n v="4"/>
    <n v="315.95"/>
    <n v="0.19"/>
    <x v="2"/>
    <n v="1023.678"/>
    <s v="High"/>
    <s v="Steve Medina"/>
    <x v="3"/>
    <x v="96"/>
    <x v="1"/>
    <x v="0"/>
    <s v="Bulk order"/>
  </r>
  <r>
    <s v="SALE457"/>
    <d v="2025-05-19T00:00:00"/>
    <x v="11"/>
    <s v="CUST1229"/>
    <s v="PROD52"/>
    <s v="STORE9"/>
    <n v="2"/>
    <n v="2"/>
    <n v="810.17"/>
    <n v="0.27"/>
    <x v="0"/>
    <n v="1182.8481999999999"/>
    <s v="High"/>
    <s v="Tanner Thompson"/>
    <x v="0"/>
    <x v="22"/>
    <x v="1"/>
    <x v="3"/>
    <s v="Normal order"/>
  </r>
  <r>
    <s v="SALE458"/>
    <d v="2024-04-07T00:00:00"/>
    <x v="5"/>
    <s v="CUST1205"/>
    <s v="PROD84"/>
    <s v="STORE4"/>
    <n v="3"/>
    <n v="3"/>
    <n v="505.01"/>
    <n v="0.02"/>
    <x v="1"/>
    <n v="1484.7293999999999"/>
    <s v="High"/>
    <s v="Michelle Carpenter"/>
    <x v="2"/>
    <x v="56"/>
    <x v="1"/>
    <x v="0"/>
    <s v="Normal order"/>
  </r>
  <r>
    <s v="SALE459"/>
    <d v="2024-01-24T00:00:00"/>
    <x v="3"/>
    <s v="CUST1467"/>
    <s v="PROD72"/>
    <s v="STORE17"/>
    <n v="2"/>
    <n v="2"/>
    <n v="736.75"/>
    <n v="0.18"/>
    <x v="0"/>
    <n v="1208.27"/>
    <s v="High"/>
    <s v="Michael Foley"/>
    <x v="0"/>
    <x v="35"/>
    <x v="0"/>
    <x v="0"/>
    <s v="Normal order"/>
  </r>
  <r>
    <s v="SALE46"/>
    <d v="2024-10-05T00:00:00"/>
    <x v="6"/>
    <s v="CUST1070"/>
    <s v="PROD78"/>
    <s v="STORE16"/>
    <n v="1"/>
    <n v="1"/>
    <n v="418.69"/>
    <n v="0.06"/>
    <x v="1"/>
    <n v="393.5686"/>
    <s v="Low"/>
    <s v="Eric Singh"/>
    <x v="2"/>
    <x v="33"/>
    <x v="3"/>
    <x v="0"/>
    <s v="Normal order"/>
  </r>
  <r>
    <s v="SALE460"/>
    <d v="2024-01-20T00:00:00"/>
    <x v="3"/>
    <s v="CUST1027"/>
    <s v="PROD77"/>
    <s v="STORE9"/>
    <n v="4"/>
    <n v="4"/>
    <n v="700.31"/>
    <n v="0.2"/>
    <x v="1"/>
    <n v="2240.9920000000002"/>
    <s v="High"/>
    <s v="Leslie Johnson"/>
    <x v="1"/>
    <x v="79"/>
    <x v="1"/>
    <x v="4"/>
    <s v="Bulk order"/>
  </r>
  <r>
    <s v="SALE461"/>
    <d v="2023-12-10T00:00:00"/>
    <x v="1"/>
    <s v="CUST1129"/>
    <s v="PROD91"/>
    <s v="STORE11"/>
    <n v="4"/>
    <n v="4"/>
    <n v="202.46"/>
    <n v="0.24"/>
    <x v="0"/>
    <n v="615.47840000000008"/>
    <s v="Low"/>
    <s v="Jessica Mitchell"/>
    <x v="4"/>
    <x v="67"/>
    <x v="1"/>
    <x v="1"/>
    <s v="Bulk order"/>
  </r>
  <r>
    <s v="SALE462"/>
    <d v="2023-12-19T00:00:00"/>
    <x v="1"/>
    <s v="CUST1265"/>
    <s v="PROD87"/>
    <s v="STORE1"/>
    <n v="2"/>
    <n v="2"/>
    <n v="291.83999999999997"/>
    <n v="0.25"/>
    <x v="1"/>
    <n v="437.76"/>
    <s v="Low"/>
    <s v="Tracy Kelly"/>
    <x v="2"/>
    <x v="48"/>
    <x v="0"/>
    <x v="1"/>
    <s v="Normal order"/>
  </r>
  <r>
    <s v="SALE463"/>
    <d v="2023-11-22T00:00:00"/>
    <x v="8"/>
    <s v="CUST1163"/>
    <s v="PROD97"/>
    <s v="STORE5"/>
    <n v="2"/>
    <n v="2"/>
    <n v="261.48"/>
    <n v="0.17"/>
    <x v="0"/>
    <n v="434.05680000000001"/>
    <s v="Low"/>
    <s v="Joseph Jones"/>
    <x v="0"/>
    <x v="0"/>
    <x v="0"/>
    <x v="3"/>
    <s v="Normal order"/>
  </r>
  <r>
    <s v="SALE464"/>
    <d v="2025-10-08T00:00:00"/>
    <x v="6"/>
    <s v="CUST1300"/>
    <s v="PROD36"/>
    <s v="STORE14"/>
    <n v="1"/>
    <n v="1"/>
    <n v="850.83"/>
    <n v="0.28000000000000003"/>
    <x v="1"/>
    <n v="612.59760000000006"/>
    <s v="Low"/>
    <s v="Matthew Avery"/>
    <x v="4"/>
    <x v="88"/>
    <x v="1"/>
    <x v="1"/>
    <s v="Normal order"/>
  </r>
  <r>
    <s v="SALE465"/>
    <d v="2025-02-23T00:00:00"/>
    <x v="2"/>
    <s v="CUST1405"/>
    <s v="PROD46"/>
    <s v="STORE9"/>
    <n v="1"/>
    <n v="1"/>
    <n v="83.83"/>
    <n v="0.05"/>
    <x v="0"/>
    <n v="79.638499999999993"/>
    <s v="Low"/>
    <s v="Eric Wolfe"/>
    <x v="4"/>
    <x v="41"/>
    <x v="1"/>
    <x v="0"/>
    <s v="Normal order"/>
  </r>
  <r>
    <s v="SALE466"/>
    <d v="2025-02-25T00:00:00"/>
    <x v="2"/>
    <s v="CUST1006"/>
    <s v="PROD88"/>
    <s v="STORE16"/>
    <n v="3"/>
    <n v="3"/>
    <n v="649.95000000000005"/>
    <n v="0.28000000000000003"/>
    <x v="2"/>
    <n v="1403.8920000000001"/>
    <s v="High"/>
    <s v="Amber Jackson"/>
    <x v="0"/>
    <x v="90"/>
    <x v="3"/>
    <x v="2"/>
    <s v="Normal order"/>
  </r>
  <r>
    <s v="SALE467"/>
    <d v="2024-09-30T00:00:00"/>
    <x v="7"/>
    <s v="CUST1366"/>
    <s v="PROD73"/>
    <s v="STORE6"/>
    <n v="4"/>
    <n v="4"/>
    <n v="934.96"/>
    <n v="0.18"/>
    <x v="1"/>
    <n v="3066.6687999999999"/>
    <s v="High"/>
    <s v="Mallory Allen"/>
    <x v="0"/>
    <x v="6"/>
    <x v="2"/>
    <x v="2"/>
    <s v="Bulk order"/>
  </r>
  <r>
    <s v="SALE468"/>
    <d v="2023-12-19T00:00:00"/>
    <x v="1"/>
    <s v="CUST1206"/>
    <s v="PROD17"/>
    <s v="STORE14"/>
    <n v="1"/>
    <n v="1"/>
    <n v="880.89"/>
    <n v="0.13"/>
    <x v="2"/>
    <n v="766.37429999999995"/>
    <s v="Low"/>
    <s v="Ronald Jones"/>
    <x v="0"/>
    <x v="29"/>
    <x v="1"/>
    <x v="1"/>
    <s v="Normal order"/>
  </r>
  <r>
    <s v="SALE469"/>
    <d v="2024-11-18T00:00:00"/>
    <x v="8"/>
    <s v="CUST1477"/>
    <s v="PROD98"/>
    <s v="STORE8"/>
    <n v="4"/>
    <n v="4"/>
    <n v="610.6"/>
    <n v="0.1"/>
    <x v="1"/>
    <n v="2198.16"/>
    <s v="High"/>
    <s v="Andrea Harris"/>
    <x v="1"/>
    <x v="51"/>
    <x v="3"/>
    <x v="2"/>
    <s v="Bulk order"/>
  </r>
  <r>
    <s v="SALE47"/>
    <d v="2024-06-23T00:00:00"/>
    <x v="4"/>
    <s v="CUST1008"/>
    <s v="PROD30"/>
    <s v="STORE11"/>
    <n v="1"/>
    <n v="1"/>
    <n v="135.78"/>
    <n v="0.14000000000000001"/>
    <x v="1"/>
    <n v="116.77079999999999"/>
    <s v="Low"/>
    <s v="Melissa Howard"/>
    <x v="2"/>
    <x v="38"/>
    <x v="1"/>
    <x v="0"/>
    <s v="Normal order"/>
  </r>
  <r>
    <s v="SALE470"/>
    <d v="2025-09-12T00:00:00"/>
    <x v="7"/>
    <s v="CUST1075"/>
    <s v="PROD28"/>
    <s v="STORE18"/>
    <n v="1"/>
    <n v="1"/>
    <n v="514.19000000000005"/>
    <n v="0.2"/>
    <x v="0"/>
    <n v="411.35200000000009"/>
    <s v="Low"/>
    <s v="Rhonda Morales"/>
    <x v="0"/>
    <x v="40"/>
    <x v="2"/>
    <x v="0"/>
    <s v="Normal order"/>
  </r>
  <r>
    <s v="SALE471"/>
    <d v="2025-01-31T00:00:00"/>
    <x v="3"/>
    <s v="CUST1399"/>
    <s v="PROD37"/>
    <s v="STORE13"/>
    <n v="1"/>
    <n v="1"/>
    <n v="546.20000000000005"/>
    <n v="0.22"/>
    <x v="1"/>
    <n v="426.03600000000012"/>
    <s v="Low"/>
    <s v="John Donaldson"/>
    <x v="4"/>
    <x v="16"/>
    <x v="2"/>
    <x v="3"/>
    <s v="Normal order"/>
  </r>
  <r>
    <s v="SALE472"/>
    <d v="2024-10-26T00:00:00"/>
    <x v="6"/>
    <s v="CUST1197"/>
    <s v="PROD37"/>
    <s v="STORE0"/>
    <n v="3"/>
    <n v="3"/>
    <n v="416.01"/>
    <n v="0.02"/>
    <x v="0"/>
    <n v="1223.0694000000001"/>
    <s v="High"/>
    <s v="Andrea Jacobs"/>
    <x v="4"/>
    <x v="16"/>
    <x v="2"/>
    <x v="2"/>
    <s v="Normal order"/>
  </r>
  <r>
    <s v="SALE473"/>
    <d v="2025-07-26T00:00:00"/>
    <x v="0"/>
    <s v="CUST1384"/>
    <s v="PROD74"/>
    <s v="STORE10"/>
    <n v="1"/>
    <n v="1"/>
    <n v="30.94"/>
    <n v="0.21"/>
    <x v="2"/>
    <n v="24.442599999999999"/>
    <s v="Low"/>
    <s v="Andrew Mason"/>
    <x v="1"/>
    <x v="1"/>
    <x v="2"/>
    <x v="3"/>
    <s v="Normal order"/>
  </r>
  <r>
    <s v="SALE474"/>
    <d v="2025-08-06T00:00:00"/>
    <x v="10"/>
    <s v="CUST1200"/>
    <s v="PROD58"/>
    <s v="STORE16"/>
    <n v="3"/>
    <n v="3"/>
    <n v="666.39"/>
    <n v="0.21"/>
    <x v="2"/>
    <n v="1579.3443"/>
    <s v="High"/>
    <s v="Anna Perez"/>
    <x v="4"/>
    <x v="36"/>
    <x v="3"/>
    <x v="2"/>
    <s v="Normal order"/>
  </r>
  <r>
    <s v="SALE475"/>
    <d v="2025-05-20T00:00:00"/>
    <x v="11"/>
    <s v="CUST1166"/>
    <s v="PROD81"/>
    <s v="STORE10"/>
    <n v="2"/>
    <n v="2"/>
    <n v="145.26"/>
    <n v="0.19"/>
    <x v="1"/>
    <n v="235.3212"/>
    <s v="Low"/>
    <s v="Patricia Gardner"/>
    <x v="0"/>
    <x v="15"/>
    <x v="2"/>
    <x v="1"/>
    <s v="Normal order"/>
  </r>
  <r>
    <s v="SALE476"/>
    <d v="2024-03-13T00:00:00"/>
    <x v="9"/>
    <s v="CUST1118"/>
    <s v="PROD91"/>
    <s v="STORE5"/>
    <n v="4"/>
    <n v="4"/>
    <n v="940.77"/>
    <n v="0.24"/>
    <x v="2"/>
    <n v="2859.9407999999999"/>
    <s v="High"/>
    <s v="Earl Allen"/>
    <x v="4"/>
    <x v="67"/>
    <x v="0"/>
    <x v="2"/>
    <s v="Bulk order"/>
  </r>
  <r>
    <s v="SALE477"/>
    <d v="2025-02-12T00:00:00"/>
    <x v="2"/>
    <s v="CUST1469"/>
    <s v="PROD46"/>
    <s v="STORE17"/>
    <n v="1"/>
    <n v="1"/>
    <n v="708.88"/>
    <n v="0.09"/>
    <x v="0"/>
    <n v="645.08080000000007"/>
    <s v="Low"/>
    <s v="James Foster"/>
    <x v="4"/>
    <x v="41"/>
    <x v="0"/>
    <x v="0"/>
    <s v="Normal order"/>
  </r>
  <r>
    <s v="SALE478"/>
    <d v="2025-09-24T00:00:00"/>
    <x v="7"/>
    <s v="CUST1307"/>
    <s v="PROD30"/>
    <s v="STORE2"/>
    <n v="1"/>
    <n v="1"/>
    <n v="790.73"/>
    <n v="0.24"/>
    <x v="1"/>
    <n v="600.95479999999998"/>
    <s v="Low"/>
    <s v="Brandy Thompson"/>
    <x v="2"/>
    <x v="38"/>
    <x v="1"/>
    <x v="3"/>
    <s v="Normal order"/>
  </r>
  <r>
    <s v="SALE479"/>
    <d v="2024-10-09T00:00:00"/>
    <x v="6"/>
    <s v="CUST1449"/>
    <s v="PROD15"/>
    <s v="STORE9"/>
    <n v="3"/>
    <n v="3"/>
    <n v="635.13"/>
    <n v="0.09"/>
    <x v="1"/>
    <n v="1733.9049"/>
    <s v="High"/>
    <s v="William Cortez"/>
    <x v="1"/>
    <x v="42"/>
    <x v="1"/>
    <x v="3"/>
    <s v="Normal order"/>
  </r>
  <r>
    <s v="SALE48"/>
    <d v="2023-10-19T00:00:00"/>
    <x v="6"/>
    <s v="CUST1203"/>
    <s v="PROD44"/>
    <s v="STORE17"/>
    <n v="1"/>
    <n v="1"/>
    <n v="517.13"/>
    <n v="0.28000000000000003"/>
    <x v="0"/>
    <n v="372.33359999999999"/>
    <s v="Low"/>
    <s v="Sarah Brady"/>
    <x v="0"/>
    <x v="31"/>
    <x v="0"/>
    <x v="2"/>
    <s v="Normal order"/>
  </r>
  <r>
    <s v="SALE480"/>
    <d v="2023-11-03T00:00:00"/>
    <x v="8"/>
    <s v="CUST1266"/>
    <s v="PROD93"/>
    <s v="STORE14"/>
    <n v="1"/>
    <n v="1"/>
    <n v="744.88"/>
    <n v="0.15"/>
    <x v="2"/>
    <n v="633.14800000000002"/>
    <s v="Low"/>
    <s v="Cynthia Payne"/>
    <x v="1"/>
    <x v="27"/>
    <x v="1"/>
    <x v="3"/>
    <s v="Normal order"/>
  </r>
  <r>
    <s v="SALE481"/>
    <d v="2025-03-29T00:00:00"/>
    <x v="9"/>
    <s v="CUST1183"/>
    <s v="PROD28"/>
    <s v="STORE1"/>
    <n v="3"/>
    <n v="3"/>
    <n v="205.34"/>
    <n v="0.25"/>
    <x v="0"/>
    <n v="462.01499999999999"/>
    <s v="Low"/>
    <s v="Mario Jacobs"/>
    <x v="0"/>
    <x v="40"/>
    <x v="0"/>
    <x v="2"/>
    <s v="Normal order"/>
  </r>
  <r>
    <s v="SALE482"/>
    <d v="2025-07-13T00:00:00"/>
    <x v="0"/>
    <s v="CUST1419"/>
    <s v="PROD29"/>
    <s v="STORE8"/>
    <n v="2"/>
    <n v="2"/>
    <n v="756.8"/>
    <n v="0.15"/>
    <x v="0"/>
    <n v="1286.56"/>
    <s v="High"/>
    <s v="Monica Miller"/>
    <x v="2"/>
    <x v="62"/>
    <x v="3"/>
    <x v="0"/>
    <s v="Normal order"/>
  </r>
  <r>
    <s v="SALE483"/>
    <d v="2024-01-17T00:00:00"/>
    <x v="3"/>
    <s v="CUST1044"/>
    <s v="PROD21"/>
    <s v="STORE10"/>
    <n v="1"/>
    <n v="1"/>
    <n v="771.73"/>
    <n v="0.2"/>
    <x v="0"/>
    <n v="617.38400000000001"/>
    <s v="Low"/>
    <s v="Denise Williams"/>
    <x v="2"/>
    <x v="54"/>
    <x v="2"/>
    <x v="3"/>
    <s v="Normal order"/>
  </r>
  <r>
    <s v="SALE484"/>
    <d v="2024-12-13T00:00:00"/>
    <x v="1"/>
    <s v="CUST1479"/>
    <s v="PROD66"/>
    <s v="STORE17"/>
    <n v="1"/>
    <n v="1"/>
    <n v="440.19"/>
    <n v="0.03"/>
    <x v="1"/>
    <n v="426.98430000000002"/>
    <s v="Low"/>
    <s v="Dylan Gutierrez"/>
    <x v="3"/>
    <x v="46"/>
    <x v="0"/>
    <x v="3"/>
    <s v="Normal order"/>
  </r>
  <r>
    <s v="SALE485"/>
    <d v="2025-09-19T00:00:00"/>
    <x v="7"/>
    <s v="CUST1047"/>
    <s v="PROD4"/>
    <s v="STORE2"/>
    <n v="2"/>
    <n v="2"/>
    <n v="409"/>
    <n v="0.17"/>
    <x v="0"/>
    <n v="678.93999999999994"/>
    <s v="Low"/>
    <s v="Gina Knight"/>
    <x v="4"/>
    <x v="58"/>
    <x v="1"/>
    <x v="1"/>
    <s v="Normal order"/>
  </r>
  <r>
    <s v="SALE486"/>
    <d v="2024-02-11T00:00:00"/>
    <x v="2"/>
    <s v="CUST1343"/>
    <s v="PROD38"/>
    <s v="STORE19"/>
    <n v="3"/>
    <n v="3"/>
    <n v="134.58000000000001"/>
    <n v="0.04"/>
    <x v="2"/>
    <n v="387.59039999999999"/>
    <s v="Low"/>
    <s v="Ryan Moore"/>
    <x v="0"/>
    <x v="43"/>
    <x v="2"/>
    <x v="3"/>
    <s v="Normal order"/>
  </r>
  <r>
    <s v="SALE487"/>
    <d v="2025-06-03T00:00:00"/>
    <x v="4"/>
    <s v="CUST1348"/>
    <s v="PROD39"/>
    <s v="STORE7"/>
    <n v="4"/>
    <n v="4"/>
    <n v="284.44"/>
    <n v="0.02"/>
    <x v="0"/>
    <n v="1115.0047999999999"/>
    <s v="High"/>
    <s v="Sherry Cabrera"/>
    <x v="1"/>
    <x v="65"/>
    <x v="1"/>
    <x v="1"/>
    <s v="Bulk order"/>
  </r>
  <r>
    <s v="SALE488"/>
    <d v="2025-03-10T00:00:00"/>
    <x v="9"/>
    <s v="CUST1405"/>
    <s v="PROD73"/>
    <s v="STORE13"/>
    <n v="4"/>
    <n v="4"/>
    <n v="922.69"/>
    <n v="0.16"/>
    <x v="0"/>
    <n v="3100.2384000000002"/>
    <s v="High"/>
    <s v="Eric Wolfe"/>
    <x v="0"/>
    <x v="6"/>
    <x v="2"/>
    <x v="0"/>
    <s v="Bulk order"/>
  </r>
  <r>
    <s v="SALE489"/>
    <d v="2024-12-18T00:00:00"/>
    <x v="1"/>
    <s v="CUST1275"/>
    <s v="PROD36"/>
    <s v="STORE6"/>
    <n v="2"/>
    <n v="2"/>
    <n v="992.55"/>
    <n v="0.28000000000000003"/>
    <x v="0"/>
    <n v="1429.2719999999999"/>
    <s v="High"/>
    <s v="Shannon Miller"/>
    <x v="4"/>
    <x v="88"/>
    <x v="2"/>
    <x v="0"/>
    <s v="Normal order"/>
  </r>
  <r>
    <s v="SALE49"/>
    <d v="2024-11-11T00:00:00"/>
    <x v="8"/>
    <s v="CUST1420"/>
    <s v="PROD21"/>
    <s v="STORE16"/>
    <n v="2"/>
    <n v="2"/>
    <n v="384.66"/>
    <n v="0.08"/>
    <x v="2"/>
    <n v="707.77440000000013"/>
    <s v="Low"/>
    <s v="Dr. Tamara White Md"/>
    <x v="2"/>
    <x v="54"/>
    <x v="3"/>
    <x v="3"/>
    <s v="Normal order"/>
  </r>
  <r>
    <s v="SALE490"/>
    <d v="2024-03-20T00:00:00"/>
    <x v="9"/>
    <s v="CUST1418"/>
    <s v="PROD89"/>
    <s v="STORE18"/>
    <n v="1"/>
    <n v="1"/>
    <n v="170.43"/>
    <n v="0.03"/>
    <x v="0"/>
    <n v="165.31710000000001"/>
    <s v="Low"/>
    <s v="Luke Parks"/>
    <x v="3"/>
    <x v="53"/>
    <x v="2"/>
    <x v="1"/>
    <s v="Normal order"/>
  </r>
  <r>
    <s v="SALE491"/>
    <d v="2024-06-19T00:00:00"/>
    <x v="4"/>
    <s v="CUST1223"/>
    <s v="PROD72"/>
    <s v="STORE2"/>
    <n v="3"/>
    <n v="3"/>
    <n v="480.51"/>
    <n v="0.03"/>
    <x v="0"/>
    <n v="1398.2841000000001"/>
    <s v="High"/>
    <s v="Robert Harris"/>
    <x v="0"/>
    <x v="35"/>
    <x v="1"/>
    <x v="2"/>
    <s v="Normal order"/>
  </r>
  <r>
    <s v="SALE492"/>
    <d v="2024-12-06T00:00:00"/>
    <x v="1"/>
    <s v="CUST1156"/>
    <s v="PROD49"/>
    <s v="STORE7"/>
    <n v="2"/>
    <n v="2"/>
    <n v="955.66"/>
    <n v="0.28999999999999998"/>
    <x v="2"/>
    <n v="1357.0372"/>
    <s v="High"/>
    <s v="Maria Sanchez"/>
    <x v="3"/>
    <x v="80"/>
    <x v="1"/>
    <x v="3"/>
    <s v="Normal order"/>
  </r>
  <r>
    <s v="SALE493"/>
    <d v="2025-07-25T00:00:00"/>
    <x v="0"/>
    <s v="CUST1451"/>
    <s v="PROD72"/>
    <s v="STORE0"/>
    <n v="2"/>
    <n v="2"/>
    <n v="488.02"/>
    <n v="0.27"/>
    <x v="1"/>
    <n v="712.50919999999996"/>
    <s v="Low"/>
    <s v="Ashley Roberts"/>
    <x v="0"/>
    <x v="35"/>
    <x v="2"/>
    <x v="0"/>
    <s v="Normal order"/>
  </r>
  <r>
    <s v="SALE494"/>
    <d v="2024-07-28T00:00:00"/>
    <x v="0"/>
    <s v="CUST1240"/>
    <s v="PROD18"/>
    <s v="STORE0"/>
    <n v="1"/>
    <n v="1"/>
    <n v="917.17"/>
    <n v="0.13"/>
    <x v="2"/>
    <n v="797.93790000000001"/>
    <s v="Low"/>
    <s v="William Hull"/>
    <x v="4"/>
    <x v="83"/>
    <x v="2"/>
    <x v="2"/>
    <s v="Normal order"/>
  </r>
  <r>
    <s v="SALE495"/>
    <d v="2024-10-03T00:00:00"/>
    <x v="6"/>
    <s v="CUST1324"/>
    <s v="PROD8"/>
    <s v="STORE5"/>
    <n v="2"/>
    <n v="2"/>
    <n v="406.46"/>
    <n v="0.3"/>
    <x v="1"/>
    <n v="569.04399999999998"/>
    <s v="Low"/>
    <s v="Alex Mann Ii"/>
    <x v="1"/>
    <x v="12"/>
    <x v="0"/>
    <x v="3"/>
    <s v="Normal order"/>
  </r>
  <r>
    <s v="SALE496"/>
    <d v="2023-11-08T00:00:00"/>
    <x v="8"/>
    <s v="CUST1232"/>
    <s v="PROD95"/>
    <s v="STORE0"/>
    <n v="2"/>
    <n v="2"/>
    <n v="264.39"/>
    <n v="0.11"/>
    <x v="2"/>
    <n v="470.61419999999998"/>
    <s v="Low"/>
    <s v="Christy Hill"/>
    <x v="0"/>
    <x v="28"/>
    <x v="2"/>
    <x v="2"/>
    <s v="Normal order"/>
  </r>
  <r>
    <s v="SALE497"/>
    <d v="2025-04-07T00:00:00"/>
    <x v="5"/>
    <s v="CUST1191"/>
    <s v="PROD68"/>
    <s v="STORE16"/>
    <n v="1"/>
    <n v="1"/>
    <n v="414.97"/>
    <n v="0.22"/>
    <x v="1"/>
    <n v="323.67660000000001"/>
    <s v="Low"/>
    <s v="Todd Poole"/>
    <x v="2"/>
    <x v="97"/>
    <x v="3"/>
    <x v="3"/>
    <s v="Normal order"/>
  </r>
  <r>
    <s v="SALE498"/>
    <d v="2023-12-20T00:00:00"/>
    <x v="1"/>
    <s v="CUST1146"/>
    <s v="PROD25"/>
    <s v="STORE12"/>
    <n v="2"/>
    <n v="2"/>
    <n v="583.51"/>
    <n v="0.2"/>
    <x v="2"/>
    <n v="933.61599999999999"/>
    <s v="Low"/>
    <s v="Edward Rivera"/>
    <x v="4"/>
    <x v="13"/>
    <x v="0"/>
    <x v="0"/>
    <s v="Normal order"/>
  </r>
  <r>
    <s v="SALE499"/>
    <d v="2025-09-11T00:00:00"/>
    <x v="7"/>
    <s v="CUST1011"/>
    <s v="PROD31"/>
    <s v="STORE17"/>
    <n v="1"/>
    <n v="1"/>
    <n v="659.27"/>
    <n v="0.15"/>
    <x v="1"/>
    <n v="560.37950000000001"/>
    <s v="Low"/>
    <s v="Brian Lopez"/>
    <x v="0"/>
    <x v="72"/>
    <x v="0"/>
    <x v="0"/>
    <s v="Normal order"/>
  </r>
  <r>
    <s v="SALE5"/>
    <d v="2024-07-26T00:00:00"/>
    <x v="0"/>
    <s v="CUST1116"/>
    <s v="PROD15"/>
    <s v="STORE7"/>
    <n v="3"/>
    <n v="3"/>
    <n v="147.01"/>
    <n v="0.19"/>
    <x v="2"/>
    <n v="357.23430000000002"/>
    <s v="Low"/>
    <s v="Anthony Phillips"/>
    <x v="1"/>
    <x v="42"/>
    <x v="1"/>
    <x v="2"/>
    <s v="Normal order"/>
  </r>
  <r>
    <s v="SALE50"/>
    <d v="2023-12-31T00:00:00"/>
    <x v="1"/>
    <s v="CUST1070"/>
    <s v="PROD52"/>
    <s v="STORE9"/>
    <n v="3"/>
    <n v="3"/>
    <n v="83.7"/>
    <n v="0.24"/>
    <x v="1"/>
    <n v="190.83600000000001"/>
    <s v="Low"/>
    <s v="Eric Singh"/>
    <x v="0"/>
    <x v="22"/>
    <x v="1"/>
    <x v="0"/>
    <s v="Normal order"/>
  </r>
  <r>
    <s v="SALE500"/>
    <d v="2024-12-01T00:00:00"/>
    <x v="1"/>
    <s v="CUST1445"/>
    <s v="PROD2"/>
    <s v="STORE4"/>
    <n v="4"/>
    <n v="4"/>
    <n v="106.66"/>
    <n v="0.2"/>
    <x v="2"/>
    <n v="341.31200000000001"/>
    <s v="Low"/>
    <s v="Gene Lee"/>
    <x v="4"/>
    <x v="60"/>
    <x v="1"/>
    <x v="2"/>
    <s v="Bulk order"/>
  </r>
  <r>
    <s v="SALE501"/>
    <d v="2024-11-21T00:00:00"/>
    <x v="8"/>
    <s v="CUST1163"/>
    <s v="PROD10"/>
    <s v="STORE5"/>
    <n v="4"/>
    <n v="4"/>
    <n v="168.55"/>
    <n v="0.15"/>
    <x v="1"/>
    <n v="573.07000000000005"/>
    <s v="Low"/>
    <s v="Joseph Jones"/>
    <x v="2"/>
    <x v="47"/>
    <x v="0"/>
    <x v="3"/>
    <s v="Bulk order"/>
  </r>
  <r>
    <s v="SALE502"/>
    <d v="2025-08-30T00:00:00"/>
    <x v="10"/>
    <s v="CUST1488"/>
    <s v="PROD44"/>
    <s v="STORE2"/>
    <n v="1"/>
    <n v="1"/>
    <n v="230.53"/>
    <n v="0.06"/>
    <x v="2"/>
    <n v="216.69820000000001"/>
    <s v="Low"/>
    <s v="Zachary Andrade"/>
    <x v="0"/>
    <x v="31"/>
    <x v="1"/>
    <x v="2"/>
    <s v="Normal order"/>
  </r>
  <r>
    <s v="SALE503"/>
    <d v="2025-08-20T00:00:00"/>
    <x v="10"/>
    <s v="CUST1007"/>
    <s v="PROD54"/>
    <s v="STORE1"/>
    <n v="2"/>
    <n v="2"/>
    <n v="355.41"/>
    <n v="0.13"/>
    <x v="2"/>
    <n v="618.41340000000002"/>
    <s v="Low"/>
    <s v="Daniel Boyd"/>
    <x v="0"/>
    <x v="8"/>
    <x v="0"/>
    <x v="3"/>
    <s v="Normal order"/>
  </r>
  <r>
    <s v="SALE504"/>
    <d v="2025-10-13T00:00:00"/>
    <x v="6"/>
    <s v="CUST1167"/>
    <s v="PROD47"/>
    <s v="STORE2"/>
    <n v="3"/>
    <n v="3"/>
    <n v="843.44"/>
    <n v="0.22"/>
    <x v="0"/>
    <n v="1973.6496"/>
    <s v="High"/>
    <s v="Antonio Wade"/>
    <x v="3"/>
    <x v="37"/>
    <x v="1"/>
    <x v="0"/>
    <s v="Normal order"/>
  </r>
  <r>
    <s v="SALE505"/>
    <d v="2024-01-15T00:00:00"/>
    <x v="3"/>
    <s v="CUST1163"/>
    <s v="PROD95"/>
    <s v="STORE1"/>
    <n v="1"/>
    <n v="1"/>
    <n v="301.60000000000002"/>
    <n v="0.27"/>
    <x v="0"/>
    <n v="220.16800000000001"/>
    <s v="Low"/>
    <s v="Joseph Jones"/>
    <x v="0"/>
    <x v="28"/>
    <x v="0"/>
    <x v="3"/>
    <s v="Normal order"/>
  </r>
  <r>
    <s v="SALE506"/>
    <d v="2025-04-25T00:00:00"/>
    <x v="5"/>
    <s v="CUST1042"/>
    <s v="PROD89"/>
    <s v="STORE2"/>
    <n v="3"/>
    <n v="3"/>
    <n v="21.59"/>
    <n v="0.16"/>
    <x v="2"/>
    <n v="54.406799999999997"/>
    <s v="Low"/>
    <s v="William Martin"/>
    <x v="3"/>
    <x v="53"/>
    <x v="1"/>
    <x v="2"/>
    <s v="Normal order"/>
  </r>
  <r>
    <s v="SALE507"/>
    <d v="2024-02-24T00:00:00"/>
    <x v="2"/>
    <s v="CUST1212"/>
    <s v="PROD13"/>
    <s v="STORE2"/>
    <n v="4"/>
    <n v="4"/>
    <n v="284.24"/>
    <n v="0.09"/>
    <x v="0"/>
    <n v="1034.6335999999999"/>
    <s v="High"/>
    <s v="Blake Harrison"/>
    <x v="1"/>
    <x v="75"/>
    <x v="1"/>
    <x v="2"/>
    <s v="Bulk order"/>
  </r>
  <r>
    <s v="SALE508"/>
    <d v="2024-12-30T00:00:00"/>
    <x v="1"/>
    <s v="CUST1368"/>
    <s v="PROD5"/>
    <s v="STORE9"/>
    <n v="1"/>
    <n v="1"/>
    <n v="191.6"/>
    <n v="0.27"/>
    <x v="1"/>
    <n v="139.86799999999999"/>
    <s v="Low"/>
    <s v="Miranda King"/>
    <x v="4"/>
    <x v="91"/>
    <x v="1"/>
    <x v="2"/>
    <s v="Normal order"/>
  </r>
  <r>
    <s v="SALE509"/>
    <d v="2025-04-15T00:00:00"/>
    <x v="5"/>
    <s v="CUST1311"/>
    <s v="PROD78"/>
    <s v="STORE12"/>
    <n v="2"/>
    <n v="2"/>
    <n v="616.97"/>
    <n v="0.22"/>
    <x v="0"/>
    <n v="962.47320000000002"/>
    <s v="Low"/>
    <s v="Kevin Larson"/>
    <x v="2"/>
    <x v="33"/>
    <x v="0"/>
    <x v="2"/>
    <s v="Normal order"/>
  </r>
  <r>
    <s v="SALE51"/>
    <d v="2025-02-01T00:00:00"/>
    <x v="2"/>
    <s v="CUST1142"/>
    <s v="PROD69"/>
    <s v="STORE7"/>
    <n v="3"/>
    <n v="3"/>
    <n v="76.569999999999993"/>
    <n v="0.26"/>
    <x v="0"/>
    <n v="169.9854"/>
    <s v="Low"/>
    <s v="Maria Ramirez"/>
    <x v="4"/>
    <x v="5"/>
    <x v="1"/>
    <x v="3"/>
    <s v="Normal order"/>
  </r>
  <r>
    <s v="SALE510"/>
    <d v="2024-10-15T00:00:00"/>
    <x v="6"/>
    <s v="CUST1168"/>
    <s v="PROD28"/>
    <s v="STORE10"/>
    <n v="3"/>
    <n v="3"/>
    <n v="125.68"/>
    <n v="0.26"/>
    <x v="2"/>
    <n v="279.00959999999998"/>
    <s v="Low"/>
    <s v="Daniel Contreras"/>
    <x v="0"/>
    <x v="40"/>
    <x v="2"/>
    <x v="2"/>
    <s v="Normal order"/>
  </r>
  <r>
    <s v="SALE511"/>
    <d v="2025-01-19T00:00:00"/>
    <x v="3"/>
    <s v="CUST1352"/>
    <s v="PROD43"/>
    <s v="STORE4"/>
    <n v="3"/>
    <n v="3"/>
    <n v="307.48"/>
    <n v="0.24"/>
    <x v="0"/>
    <n v="701.0544000000001"/>
    <s v="Low"/>
    <s v="Michael Greene"/>
    <x v="1"/>
    <x v="34"/>
    <x v="1"/>
    <x v="1"/>
    <s v="Normal order"/>
  </r>
  <r>
    <s v="SALE512"/>
    <d v="2024-07-22T00:00:00"/>
    <x v="0"/>
    <s v="CUST1298"/>
    <s v="PROD2"/>
    <s v="STORE19"/>
    <n v="1"/>
    <n v="1"/>
    <n v="505.23"/>
    <n v="0.11"/>
    <x v="0"/>
    <n v="449.65469999999999"/>
    <s v="Low"/>
    <s v="Tracy Stephens"/>
    <x v="4"/>
    <x v="60"/>
    <x v="2"/>
    <x v="2"/>
    <s v="Normal order"/>
  </r>
  <r>
    <s v="SALE513"/>
    <d v="2025-03-19T00:00:00"/>
    <x v="9"/>
    <s v="CUST1365"/>
    <s v="PROD45"/>
    <s v="STORE16"/>
    <n v="1"/>
    <n v="1"/>
    <n v="853.12"/>
    <n v="0.19"/>
    <x v="2"/>
    <n v="691.02719999999999"/>
    <s v="Low"/>
    <s v="Brandon Mcbride"/>
    <x v="0"/>
    <x v="23"/>
    <x v="3"/>
    <x v="2"/>
    <s v="Normal order"/>
  </r>
  <r>
    <s v="SALE514"/>
    <d v="2024-01-21T00:00:00"/>
    <x v="3"/>
    <s v="CUST1129"/>
    <s v="PROD0"/>
    <s v="STORE7"/>
    <n v="4"/>
    <n v="4"/>
    <n v="191.65"/>
    <n v="0.19"/>
    <x v="1"/>
    <n v="620.94600000000003"/>
    <s v="Low"/>
    <s v="Jessica Mitchell"/>
    <x v="1"/>
    <x v="7"/>
    <x v="1"/>
    <x v="1"/>
    <s v="Bulk order"/>
  </r>
  <r>
    <s v="SALE515"/>
    <d v="2023-12-26T00:00:00"/>
    <x v="1"/>
    <s v="CUST1160"/>
    <s v="PROD47"/>
    <s v="STORE3"/>
    <n v="1"/>
    <n v="1"/>
    <n v="169.69"/>
    <n v="0.22"/>
    <x v="0"/>
    <n v="132.35820000000001"/>
    <s v="Low"/>
    <s v="John Lawson"/>
    <x v="3"/>
    <x v="37"/>
    <x v="0"/>
    <x v="2"/>
    <s v="Normal order"/>
  </r>
  <r>
    <s v="SALE516"/>
    <d v="2024-03-21T00:00:00"/>
    <x v="9"/>
    <s v="CUST1175"/>
    <s v="PROD62"/>
    <s v="STORE14"/>
    <n v="1"/>
    <n v="1"/>
    <n v="145.43"/>
    <n v="0.08"/>
    <x v="0"/>
    <n v="133.79560000000001"/>
    <s v="Low"/>
    <s v="Michelle Rogers"/>
    <x v="1"/>
    <x v="19"/>
    <x v="1"/>
    <x v="2"/>
    <s v="Normal order"/>
  </r>
  <r>
    <s v="SALE517"/>
    <d v="2024-12-07T00:00:00"/>
    <x v="1"/>
    <s v="CUST1084"/>
    <s v="PROD93"/>
    <s v="STORE12"/>
    <n v="4"/>
    <n v="4"/>
    <n v="828.35"/>
    <n v="0.17"/>
    <x v="0"/>
    <n v="2750.1219999999998"/>
    <s v="High"/>
    <s v="Christy Hoffman"/>
    <x v="1"/>
    <x v="27"/>
    <x v="0"/>
    <x v="2"/>
    <s v="Bulk order"/>
  </r>
  <r>
    <s v="SALE518"/>
    <d v="2024-11-02T00:00:00"/>
    <x v="8"/>
    <s v="CUST1362"/>
    <s v="PROD95"/>
    <s v="STORE7"/>
    <n v="3"/>
    <n v="3"/>
    <n v="268.76"/>
    <n v="0.01"/>
    <x v="1"/>
    <n v="798.21719999999993"/>
    <s v="Low"/>
    <s v="Joshua Smith Dvm"/>
    <x v="0"/>
    <x v="28"/>
    <x v="1"/>
    <x v="0"/>
    <s v="Normal order"/>
  </r>
  <r>
    <s v="SALE519"/>
    <d v="2024-07-22T00:00:00"/>
    <x v="0"/>
    <s v="CUST1233"/>
    <s v="PROD88"/>
    <s v="STORE0"/>
    <n v="4"/>
    <n v="4"/>
    <n v="370.09"/>
    <n v="0.22"/>
    <x v="2"/>
    <n v="1154.6808000000001"/>
    <s v="High"/>
    <s v="Michelle Gonzalez"/>
    <x v="0"/>
    <x v="90"/>
    <x v="2"/>
    <x v="1"/>
    <s v="Bulk order"/>
  </r>
  <r>
    <s v="SALE52"/>
    <d v="2025-08-25T00:00:00"/>
    <x v="10"/>
    <s v="CUST1148"/>
    <s v="PROD89"/>
    <s v="STORE6"/>
    <n v="3"/>
    <n v="3"/>
    <m/>
    <m/>
    <x v="0"/>
    <n v="486.06330000000003"/>
    <s v="Low"/>
    <s v="Theresa Campbell"/>
    <x v="3"/>
    <x v="53"/>
    <x v="2"/>
    <x v="3"/>
    <s v="Normal order"/>
  </r>
  <r>
    <s v="SALE520"/>
    <d v="2023-10-30T00:00:00"/>
    <x v="6"/>
    <s v="CUST1253"/>
    <s v="PROD78"/>
    <s v="STORE6"/>
    <n v="3"/>
    <n v="3"/>
    <n v="679.22"/>
    <n v="0.11"/>
    <x v="1"/>
    <n v="1813.5174"/>
    <s v="High"/>
    <s v="Dr. Ashley Yates Md"/>
    <x v="2"/>
    <x v="33"/>
    <x v="2"/>
    <x v="3"/>
    <s v="Normal order"/>
  </r>
  <r>
    <s v="SALE521"/>
    <d v="2024-05-21T00:00:00"/>
    <x v="11"/>
    <s v="CUST1373"/>
    <s v="PROD73"/>
    <s v="STORE0"/>
    <n v="3"/>
    <n v="3"/>
    <n v="780.69"/>
    <n v="0.1"/>
    <x v="2"/>
    <n v="2107.8629999999998"/>
    <s v="High"/>
    <s v="James Orozco"/>
    <x v="0"/>
    <x v="6"/>
    <x v="2"/>
    <x v="0"/>
    <s v="Normal order"/>
  </r>
  <r>
    <s v="SALE522"/>
    <d v="2025-04-19T00:00:00"/>
    <x v="5"/>
    <s v="CUST1261"/>
    <s v="PROD42"/>
    <s v="STORE2"/>
    <n v="2"/>
    <n v="2"/>
    <n v="42.97"/>
    <n v="0.18"/>
    <x v="1"/>
    <n v="70.470799999999997"/>
    <s v="Low"/>
    <s v="Carol Bishop"/>
    <x v="1"/>
    <x v="71"/>
    <x v="1"/>
    <x v="1"/>
    <s v="Normal order"/>
  </r>
  <r>
    <s v="SALE523"/>
    <d v="2024-12-13T00:00:00"/>
    <x v="1"/>
    <s v="CUST1286"/>
    <s v="PROD82"/>
    <s v="STORE0"/>
    <n v="4"/>
    <n v="4"/>
    <n v="854.37"/>
    <n v="7.0000000000000007E-2"/>
    <x v="1"/>
    <n v="3178.2564000000002"/>
    <s v="High"/>
    <s v="Tommy Roberts"/>
    <x v="0"/>
    <x v="26"/>
    <x v="2"/>
    <x v="1"/>
    <s v="Bulk order"/>
  </r>
  <r>
    <s v="SALE524"/>
    <d v="2025-04-27T00:00:00"/>
    <x v="5"/>
    <s v="CUST1100"/>
    <s v="PROD24"/>
    <s v="STORE16"/>
    <n v="2"/>
    <n v="2"/>
    <n v="409.52"/>
    <n v="0.06"/>
    <x v="2"/>
    <n v="769.8975999999999"/>
    <s v="Low"/>
    <s v="Diane Watson"/>
    <x v="0"/>
    <x v="2"/>
    <x v="3"/>
    <x v="2"/>
    <s v="Normal order"/>
  </r>
  <r>
    <s v="SALE525"/>
    <d v="2024-10-04T00:00:00"/>
    <x v="6"/>
    <s v="CUST1164"/>
    <s v="PROD74"/>
    <s v="STORE10"/>
    <n v="2"/>
    <n v="2"/>
    <n v="407.46"/>
    <n v="0.21"/>
    <x v="0"/>
    <n v="643.78679999999997"/>
    <s v="Low"/>
    <s v="Daniel Rivas"/>
    <x v="1"/>
    <x v="1"/>
    <x v="2"/>
    <x v="1"/>
    <s v="Normal order"/>
  </r>
  <r>
    <s v="SALE526"/>
    <d v="2025-07-18T00:00:00"/>
    <x v="0"/>
    <s v="CUST1228"/>
    <s v="PROD4"/>
    <s v="STORE8"/>
    <n v="1"/>
    <n v="1"/>
    <n v="728.84"/>
    <n v="0.28000000000000003"/>
    <x v="1"/>
    <n v="524.76480000000004"/>
    <s v="Low"/>
    <s v="Casey Flores"/>
    <x v="4"/>
    <x v="58"/>
    <x v="3"/>
    <x v="0"/>
    <s v="Normal order"/>
  </r>
  <r>
    <s v="SALE527"/>
    <d v="2024-03-11T00:00:00"/>
    <x v="9"/>
    <s v="CUST1453"/>
    <s v="PROD78"/>
    <s v="STORE6"/>
    <n v="4"/>
    <n v="4"/>
    <n v="467.24"/>
    <n v="0.08"/>
    <x v="1"/>
    <n v="1719.4431999999999"/>
    <s v="High"/>
    <s v="April Phillips"/>
    <x v="2"/>
    <x v="33"/>
    <x v="2"/>
    <x v="2"/>
    <s v="Bulk order"/>
  </r>
  <r>
    <s v="SALE528"/>
    <d v="2024-06-14T00:00:00"/>
    <x v="4"/>
    <s v="CUST1092"/>
    <s v="PROD10"/>
    <s v="STORE11"/>
    <n v="1"/>
    <n v="1"/>
    <n v="57.94"/>
    <n v="0.13"/>
    <x v="1"/>
    <n v="50.407799999999988"/>
    <s v="Low"/>
    <s v="Robert Jackson"/>
    <x v="2"/>
    <x v="47"/>
    <x v="1"/>
    <x v="2"/>
    <s v="Normal order"/>
  </r>
  <r>
    <s v="SALE529"/>
    <d v="2024-02-16T00:00:00"/>
    <x v="2"/>
    <s v="CUST1344"/>
    <s v="PROD49"/>
    <s v="STORE17"/>
    <n v="1"/>
    <n v="1"/>
    <n v="540.1"/>
    <n v="0.22"/>
    <x v="0"/>
    <n v="421.27800000000002"/>
    <s v="Low"/>
    <s v="Evelyn Brown"/>
    <x v="3"/>
    <x v="80"/>
    <x v="0"/>
    <x v="0"/>
    <s v="Normal order"/>
  </r>
  <r>
    <s v="SALE53"/>
    <d v="2025-01-20T00:00:00"/>
    <x v="3"/>
    <s v="CUST1324"/>
    <s v="PROD20"/>
    <s v="STORE8"/>
    <n v="1"/>
    <n v="1"/>
    <n v="900.35"/>
    <n v="0.13"/>
    <x v="2"/>
    <n v="783.30449999999996"/>
    <s v="Low"/>
    <s v="Alex Mann Ii"/>
    <x v="0"/>
    <x v="69"/>
    <x v="3"/>
    <x v="3"/>
    <s v="Normal order"/>
  </r>
  <r>
    <s v="SALE530"/>
    <d v="2024-09-17T00:00:00"/>
    <x v="7"/>
    <s v="CUST1077"/>
    <s v="PROD8"/>
    <s v="STORE19"/>
    <n v="4"/>
    <n v="4"/>
    <n v="816.28"/>
    <n v="0.15"/>
    <x v="2"/>
    <n v="2775.3519999999999"/>
    <s v="High"/>
    <s v="Katherine Young"/>
    <x v="1"/>
    <x v="12"/>
    <x v="2"/>
    <x v="0"/>
    <s v="Bulk order"/>
  </r>
  <r>
    <s v="SALE531"/>
    <d v="2025-08-26T00:00:00"/>
    <x v="10"/>
    <s v="CUST1178"/>
    <s v="PROD42"/>
    <s v="STORE8"/>
    <n v="4"/>
    <n v="4"/>
    <n v="727.49"/>
    <n v="0.11"/>
    <x v="0"/>
    <n v="2589.8643999999999"/>
    <s v="High"/>
    <s v="Michelle Myers"/>
    <x v="1"/>
    <x v="71"/>
    <x v="3"/>
    <x v="3"/>
    <s v="Bulk order"/>
  </r>
  <r>
    <s v="SALE532"/>
    <d v="2024-06-04T00:00:00"/>
    <x v="4"/>
    <s v="CUST1171"/>
    <s v="PROD86"/>
    <s v="STORE13"/>
    <n v="4"/>
    <n v="4"/>
    <n v="817.92"/>
    <n v="0.21"/>
    <x v="0"/>
    <n v="2584.6271999999999"/>
    <s v="High"/>
    <s v="Amy Wilson"/>
    <x v="2"/>
    <x v="30"/>
    <x v="2"/>
    <x v="2"/>
    <s v="Bulk order"/>
  </r>
  <r>
    <s v="SALE533"/>
    <d v="2024-10-13T00:00:00"/>
    <x v="6"/>
    <s v="CUST1325"/>
    <s v="PROD38"/>
    <s v="STORE7"/>
    <n v="2"/>
    <n v="2"/>
    <n v="358.45"/>
    <n v="7.0000000000000007E-2"/>
    <x v="2"/>
    <n v="666.71699999999998"/>
    <s v="Low"/>
    <s v="Andrew Smith"/>
    <x v="0"/>
    <x v="43"/>
    <x v="1"/>
    <x v="3"/>
    <s v="Normal order"/>
  </r>
  <r>
    <s v="SALE534"/>
    <d v="2025-02-09T00:00:00"/>
    <x v="2"/>
    <s v="CUST1201"/>
    <s v="PROD87"/>
    <s v="STORE9"/>
    <n v="1"/>
    <n v="1"/>
    <n v="972.06"/>
    <n v="0.3"/>
    <x v="2"/>
    <n v="680.44199999999989"/>
    <s v="Low"/>
    <s v="Mary Boyd"/>
    <x v="2"/>
    <x v="48"/>
    <x v="1"/>
    <x v="3"/>
    <s v="Normal order"/>
  </r>
  <r>
    <s v="SALE535"/>
    <d v="2023-12-21T00:00:00"/>
    <x v="1"/>
    <s v="CUST1032"/>
    <s v="PROD16"/>
    <s v="STORE0"/>
    <n v="1"/>
    <n v="1"/>
    <n v="791.36"/>
    <n v="0.06"/>
    <x v="1"/>
    <n v="743.87839999999994"/>
    <s v="Low"/>
    <s v="Mike Jennings"/>
    <x v="3"/>
    <x v="63"/>
    <x v="2"/>
    <x v="0"/>
    <s v="Normal order"/>
  </r>
  <r>
    <s v="SALE536"/>
    <d v="2025-07-17T00:00:00"/>
    <x v="0"/>
    <s v="CUST1314"/>
    <s v="PROD64"/>
    <s v="STORE5"/>
    <n v="4"/>
    <n v="4"/>
    <n v="839.65"/>
    <n v="0.26"/>
    <x v="2"/>
    <n v="2485.364"/>
    <s v="High"/>
    <s v="Elizabeth Johnson"/>
    <x v="3"/>
    <x v="55"/>
    <x v="0"/>
    <x v="1"/>
    <s v="Bulk order"/>
  </r>
  <r>
    <s v="SALE537"/>
    <d v="2025-05-16T00:00:00"/>
    <x v="11"/>
    <s v="CUST1255"/>
    <s v="PROD72"/>
    <s v="STORE2"/>
    <n v="2"/>
    <n v="2"/>
    <n v="245.52"/>
    <n v="0.11"/>
    <x v="2"/>
    <n v="437.0256"/>
    <s v="Low"/>
    <s v="Damon Perez"/>
    <x v="0"/>
    <x v="35"/>
    <x v="1"/>
    <x v="0"/>
    <s v="Normal order"/>
  </r>
  <r>
    <s v="SALE538"/>
    <d v="2025-08-12T00:00:00"/>
    <x v="10"/>
    <s v="CUST1388"/>
    <s v="PROD82"/>
    <s v="STORE8"/>
    <n v="3"/>
    <n v="3"/>
    <n v="787.91"/>
    <n v="0.06"/>
    <x v="1"/>
    <n v="2221.9061999999999"/>
    <s v="High"/>
    <s v="Timothy Valenzuela"/>
    <x v="0"/>
    <x v="26"/>
    <x v="3"/>
    <x v="2"/>
    <s v="Normal order"/>
  </r>
  <r>
    <s v="SALE539"/>
    <d v="2025-08-21T00:00:00"/>
    <x v="10"/>
    <s v="CUST1053"/>
    <s v="PROD75"/>
    <s v="STORE4"/>
    <n v="2"/>
    <n v="2"/>
    <n v="709.17"/>
    <n v="0.22"/>
    <x v="0"/>
    <n v="1106.3052"/>
    <s v="High"/>
    <s v="Sharon Brown"/>
    <x v="4"/>
    <x v="10"/>
    <x v="1"/>
    <x v="0"/>
    <s v="Normal order"/>
  </r>
  <r>
    <s v="SALE54"/>
    <d v="2025-02-18T00:00:00"/>
    <x v="2"/>
    <s v="CUST1095"/>
    <s v="PROD40"/>
    <s v="STORE10"/>
    <n v="4"/>
    <n v="4"/>
    <n v="428.09"/>
    <n v="7.0000000000000007E-2"/>
    <x v="0"/>
    <n v="1592.4947999999999"/>
    <s v="High"/>
    <s v="Amy Fowler"/>
    <x v="1"/>
    <x v="50"/>
    <x v="2"/>
    <x v="2"/>
    <s v="Bulk order"/>
  </r>
  <r>
    <s v="SALE540"/>
    <d v="2023-11-21T00:00:00"/>
    <x v="8"/>
    <s v="CUST1235"/>
    <s v="PROD91"/>
    <s v="STORE7"/>
    <n v="2"/>
    <n v="2"/>
    <n v="533.91999999999996"/>
    <n v="0.13"/>
    <x v="0"/>
    <n v="929.02079999999989"/>
    <s v="Low"/>
    <s v="Jon Ortiz"/>
    <x v="4"/>
    <x v="67"/>
    <x v="1"/>
    <x v="3"/>
    <s v="Normal order"/>
  </r>
  <r>
    <s v="SALE541"/>
    <d v="2025-02-07T00:00:00"/>
    <x v="2"/>
    <s v="CUST1492"/>
    <s v="PROD42"/>
    <s v="STORE0"/>
    <n v="1"/>
    <n v="1"/>
    <n v="878.84"/>
    <n v="0.28000000000000003"/>
    <x v="2"/>
    <n v="632.76480000000004"/>
    <s v="Low"/>
    <s v="Darrell Miller"/>
    <x v="1"/>
    <x v="71"/>
    <x v="2"/>
    <x v="2"/>
    <s v="Normal order"/>
  </r>
  <r>
    <s v="SALE542"/>
    <d v="2023-12-27T00:00:00"/>
    <x v="1"/>
    <s v="CUST1204"/>
    <s v="PROD44"/>
    <s v="STORE16"/>
    <n v="1"/>
    <n v="1"/>
    <n v="442.36"/>
    <n v="0.14000000000000001"/>
    <x v="0"/>
    <n v="380.42959999999999"/>
    <s v="Low"/>
    <s v="Tiffany Herrera"/>
    <x v="0"/>
    <x v="31"/>
    <x v="3"/>
    <x v="2"/>
    <s v="Normal order"/>
  </r>
  <r>
    <s v="SALE543"/>
    <d v="2025-02-23T00:00:00"/>
    <x v="2"/>
    <s v="CUST1333"/>
    <s v="PROD35"/>
    <s v="STORE6"/>
    <n v="1"/>
    <n v="1"/>
    <n v="763.34"/>
    <n v="0.11"/>
    <x v="2"/>
    <n v="679.37260000000003"/>
    <s v="Low"/>
    <s v="Teresa Johnson"/>
    <x v="2"/>
    <x v="44"/>
    <x v="2"/>
    <x v="0"/>
    <s v="Normal order"/>
  </r>
  <r>
    <s v="SALE544"/>
    <d v="2025-07-04T00:00:00"/>
    <x v="0"/>
    <s v="CUST1166"/>
    <s v="PROD59"/>
    <s v="STORE18"/>
    <n v="3"/>
    <n v="3"/>
    <n v="178.22"/>
    <n v="0.15"/>
    <x v="2"/>
    <n v="454.46100000000001"/>
    <s v="Low"/>
    <s v="Patricia Gardner"/>
    <x v="3"/>
    <x v="4"/>
    <x v="2"/>
    <x v="1"/>
    <s v="Normal order"/>
  </r>
  <r>
    <s v="SALE545"/>
    <d v="2023-11-25T00:00:00"/>
    <x v="8"/>
    <s v="CUST1103"/>
    <s v="PROD26"/>
    <s v="STORE1"/>
    <n v="4"/>
    <n v="4"/>
    <n v="90.32"/>
    <n v="0.08"/>
    <x v="1"/>
    <n v="332.37759999999997"/>
    <s v="Low"/>
    <s v="Steven Stein"/>
    <x v="1"/>
    <x v="81"/>
    <x v="0"/>
    <x v="3"/>
    <s v="Bulk order"/>
  </r>
  <r>
    <s v="SALE546"/>
    <d v="2025-02-07T00:00:00"/>
    <x v="2"/>
    <s v="CUST1378"/>
    <s v="PROD10"/>
    <s v="STORE6"/>
    <n v="3"/>
    <n v="3"/>
    <n v="370.93"/>
    <n v="0"/>
    <x v="0"/>
    <n v="1112.79"/>
    <s v="High"/>
    <s v="Frank Stewart"/>
    <x v="2"/>
    <x v="47"/>
    <x v="2"/>
    <x v="3"/>
    <s v="Normal order"/>
  </r>
  <r>
    <s v="SALE547"/>
    <d v="2023-12-21T00:00:00"/>
    <x v="1"/>
    <s v="CUST1046"/>
    <s v="PROD23"/>
    <s v="STORE15"/>
    <n v="1"/>
    <n v="1"/>
    <n v="352.43"/>
    <n v="0.14000000000000001"/>
    <x v="1"/>
    <n v="303.08980000000003"/>
    <s v="Low"/>
    <s v="Michelle Garcia Dds"/>
    <x v="4"/>
    <x v="9"/>
    <x v="0"/>
    <x v="2"/>
    <s v="Normal order"/>
  </r>
  <r>
    <s v="SALE548"/>
    <d v="2024-01-04T00:00:00"/>
    <x v="3"/>
    <s v="CUST1123"/>
    <s v="PROD12"/>
    <s v="STORE15"/>
    <n v="2"/>
    <n v="2"/>
    <n v="562.97"/>
    <n v="0.2"/>
    <x v="0"/>
    <n v="900.75200000000007"/>
    <s v="Low"/>
    <s v="Erin Hopkins"/>
    <x v="3"/>
    <x v="85"/>
    <x v="0"/>
    <x v="1"/>
    <s v="Normal order"/>
  </r>
  <r>
    <s v="SALE549"/>
    <d v="2023-11-30T00:00:00"/>
    <x v="8"/>
    <s v="CUST1157"/>
    <s v="PROD55"/>
    <s v="STORE7"/>
    <n v="1"/>
    <n v="1"/>
    <n v="522.85"/>
    <n v="0.12"/>
    <x v="1"/>
    <n v="460.108"/>
    <s v="Low"/>
    <s v="Paul Zamora"/>
    <x v="2"/>
    <x v="25"/>
    <x v="1"/>
    <x v="2"/>
    <s v="Normal order"/>
  </r>
  <r>
    <s v="SALE55"/>
    <d v="2024-10-24T00:00:00"/>
    <x v="6"/>
    <s v="CUST1416"/>
    <s v="PROD49"/>
    <s v="STORE11"/>
    <n v="2"/>
    <n v="2"/>
    <n v="559.71"/>
    <n v="0.3"/>
    <x v="2"/>
    <n v="783.59400000000005"/>
    <s v="Low"/>
    <s v="Jennifer Myers"/>
    <x v="3"/>
    <x v="80"/>
    <x v="1"/>
    <x v="2"/>
    <s v="Normal order"/>
  </r>
  <r>
    <s v="SALE550"/>
    <d v="2025-07-13T00:00:00"/>
    <x v="0"/>
    <s v="CUST1349"/>
    <s v="PROD21"/>
    <s v="STORE16"/>
    <n v="4"/>
    <n v="4"/>
    <n v="714.89"/>
    <n v="0.15"/>
    <x v="0"/>
    <n v="2430.6260000000002"/>
    <s v="High"/>
    <s v="Heather Valenzuela"/>
    <x v="2"/>
    <x v="54"/>
    <x v="3"/>
    <x v="3"/>
    <s v="Bulk order"/>
  </r>
  <r>
    <s v="SALE551"/>
    <d v="2023-10-23T00:00:00"/>
    <x v="6"/>
    <s v="CUST1187"/>
    <s v="PROD43"/>
    <s v="STORE2"/>
    <n v="3"/>
    <n v="3"/>
    <n v="137.77000000000001"/>
    <n v="0.26"/>
    <x v="1"/>
    <n v="305.84940000000012"/>
    <s v="Low"/>
    <s v="Dr. Suzanne Bullock"/>
    <x v="1"/>
    <x v="34"/>
    <x v="1"/>
    <x v="2"/>
    <s v="Normal order"/>
  </r>
  <r>
    <s v="SALE552"/>
    <d v="2025-10-10T00:00:00"/>
    <x v="6"/>
    <s v="CUST1027"/>
    <s v="PROD92"/>
    <s v="STORE11"/>
    <n v="3"/>
    <n v="3"/>
    <n v="862.18"/>
    <n v="0.22"/>
    <x v="1"/>
    <n v="2017.5011999999999"/>
    <s v="High"/>
    <s v="Leslie Johnson"/>
    <x v="2"/>
    <x v="39"/>
    <x v="1"/>
    <x v="4"/>
    <s v="Normal order"/>
  </r>
  <r>
    <s v="SALE553"/>
    <d v="2025-06-14T00:00:00"/>
    <x v="4"/>
    <s v="CUST1057"/>
    <s v="PROD38"/>
    <s v="STORE14"/>
    <n v="2"/>
    <n v="2"/>
    <n v="833.64"/>
    <n v="0.24"/>
    <x v="1"/>
    <n v="1267.1328000000001"/>
    <s v="High"/>
    <s v="Jay Patel"/>
    <x v="0"/>
    <x v="43"/>
    <x v="1"/>
    <x v="2"/>
    <s v="Normal order"/>
  </r>
  <r>
    <s v="SALE554"/>
    <d v="2025-04-05T00:00:00"/>
    <x v="5"/>
    <s v="CUST1270"/>
    <s v="PROD19"/>
    <s v="STORE15"/>
    <n v="3"/>
    <n v="3"/>
    <n v="543.22"/>
    <n v="0.05"/>
    <x v="2"/>
    <n v="1548.1769999999999"/>
    <s v="High"/>
    <s v="Brian Garcia"/>
    <x v="0"/>
    <x v="32"/>
    <x v="0"/>
    <x v="0"/>
    <s v="Normal order"/>
  </r>
  <r>
    <s v="SALE555"/>
    <d v="2025-01-20T00:00:00"/>
    <x v="3"/>
    <s v="CUST1278"/>
    <s v="PROD88"/>
    <s v="STORE2"/>
    <n v="3"/>
    <n v="3"/>
    <n v="691.02"/>
    <n v="0.12"/>
    <x v="2"/>
    <n v="1824.2927999999999"/>
    <s v="High"/>
    <s v="Stephen Fowler"/>
    <x v="0"/>
    <x v="90"/>
    <x v="1"/>
    <x v="2"/>
    <s v="Normal order"/>
  </r>
  <r>
    <s v="SALE556"/>
    <d v="2023-11-23T00:00:00"/>
    <x v="8"/>
    <s v="CUST1087"/>
    <s v="PROD86"/>
    <s v="STORE17"/>
    <n v="4"/>
    <n v="4"/>
    <n v="338.73"/>
    <n v="0.18"/>
    <x v="0"/>
    <n v="1111.0344"/>
    <s v="High"/>
    <s v="Melissa Duffy Md"/>
    <x v="2"/>
    <x v="30"/>
    <x v="0"/>
    <x v="3"/>
    <s v="Bulk order"/>
  </r>
  <r>
    <s v="SALE557"/>
    <d v="2024-04-07T00:00:00"/>
    <x v="5"/>
    <s v="CUST1062"/>
    <s v="PROD84"/>
    <s v="STORE16"/>
    <n v="3"/>
    <n v="3"/>
    <n v="366.08"/>
    <n v="0.05"/>
    <x v="0"/>
    <n v="1043.328"/>
    <s v="High"/>
    <s v="James Bean"/>
    <x v="2"/>
    <x v="56"/>
    <x v="3"/>
    <x v="3"/>
    <s v="Normal order"/>
  </r>
  <r>
    <s v="SALE558"/>
    <d v="2025-07-02T00:00:00"/>
    <x v="0"/>
    <s v="CUST1105"/>
    <s v="PROD13"/>
    <s v="STORE13"/>
    <n v="4"/>
    <n v="4"/>
    <n v="539.48"/>
    <n v="0.28000000000000003"/>
    <x v="2"/>
    <n v="1553.7023999999999"/>
    <s v="High"/>
    <s v="Lance Baker"/>
    <x v="1"/>
    <x v="75"/>
    <x v="2"/>
    <x v="0"/>
    <s v="Bulk order"/>
  </r>
  <r>
    <s v="SALE559"/>
    <d v="2023-11-26T00:00:00"/>
    <x v="8"/>
    <s v="CUST1389"/>
    <s v="PROD91"/>
    <s v="STORE16"/>
    <n v="1"/>
    <n v="1"/>
    <n v="499.59"/>
    <n v="0.03"/>
    <x v="2"/>
    <n v="484.60230000000001"/>
    <s v="Low"/>
    <s v="Cynthia Lopez"/>
    <x v="4"/>
    <x v="67"/>
    <x v="3"/>
    <x v="2"/>
    <s v="Normal order"/>
  </r>
  <r>
    <s v="SALE56"/>
    <d v="2023-12-22T00:00:00"/>
    <x v="1"/>
    <s v="CUST1080"/>
    <s v="PROD34"/>
    <s v="STORE6"/>
    <n v="2"/>
    <n v="2"/>
    <n v="833.7"/>
    <n v="0.06"/>
    <x v="1"/>
    <n v="1567.356"/>
    <s v="High"/>
    <s v="Jennifer Garcia"/>
    <x v="1"/>
    <x v="21"/>
    <x v="2"/>
    <x v="3"/>
    <s v="Normal order"/>
  </r>
  <r>
    <s v="SALE560"/>
    <d v="2024-02-04T00:00:00"/>
    <x v="2"/>
    <s v="CUST1188"/>
    <s v="PROD30"/>
    <s v="STORE8"/>
    <n v="3"/>
    <n v="3"/>
    <n v="330.04"/>
    <n v="0.2"/>
    <x v="0"/>
    <n v="792.09600000000012"/>
    <s v="Low"/>
    <s v="Kimberly Brooks"/>
    <x v="2"/>
    <x v="38"/>
    <x v="3"/>
    <x v="1"/>
    <s v="Normal order"/>
  </r>
  <r>
    <s v="SALE561"/>
    <d v="2024-06-16T00:00:00"/>
    <x v="4"/>
    <s v="CUST1182"/>
    <s v="PROD11"/>
    <s v="STORE17"/>
    <n v="2"/>
    <n v="2"/>
    <n v="813.01"/>
    <n v="0.06"/>
    <x v="1"/>
    <n v="1528.4588000000001"/>
    <s v="High"/>
    <s v="Melissa Hamilton"/>
    <x v="1"/>
    <x v="68"/>
    <x v="0"/>
    <x v="1"/>
    <s v="Normal order"/>
  </r>
  <r>
    <s v="SALE562"/>
    <d v="2025-02-27T00:00:00"/>
    <x v="2"/>
    <s v="CUST1026"/>
    <s v="PROD1"/>
    <s v="STORE2"/>
    <n v="4"/>
    <n v="4"/>
    <n v="204.8"/>
    <n v="0.03"/>
    <x v="1"/>
    <n v="794.62400000000002"/>
    <s v="Low"/>
    <s v="Amber Carlson"/>
    <x v="4"/>
    <x v="93"/>
    <x v="1"/>
    <x v="0"/>
    <s v="Bulk order"/>
  </r>
  <r>
    <s v="SALE563"/>
    <d v="2023-10-24T00:00:00"/>
    <x v="6"/>
    <s v="CUST1011"/>
    <s v="PROD3"/>
    <s v="STORE3"/>
    <n v="3"/>
    <n v="3"/>
    <n v="728.32"/>
    <n v="0.01"/>
    <x v="0"/>
    <n v="2163.1104"/>
    <s v="High"/>
    <s v="Brian Lopez"/>
    <x v="4"/>
    <x v="84"/>
    <x v="0"/>
    <x v="0"/>
    <s v="Normal order"/>
  </r>
  <r>
    <s v="SALE564"/>
    <d v="2024-08-03T00:00:00"/>
    <x v="10"/>
    <s v="CUST1452"/>
    <s v="PROD59"/>
    <s v="STORE7"/>
    <n v="3"/>
    <n v="3"/>
    <n v="836.4"/>
    <n v="0"/>
    <x v="0"/>
    <n v="2509.1999999999998"/>
    <s v="High"/>
    <s v="Jeffery Wolf"/>
    <x v="3"/>
    <x v="4"/>
    <x v="1"/>
    <x v="3"/>
    <s v="Normal order"/>
  </r>
  <r>
    <s v="SALE565"/>
    <d v="2025-07-05T00:00:00"/>
    <x v="0"/>
    <s v="CUST1149"/>
    <s v="PROD90"/>
    <s v="STORE12"/>
    <n v="1"/>
    <n v="1"/>
    <n v="780.16"/>
    <n v="0.02"/>
    <x v="2"/>
    <n v="764.55679999999995"/>
    <s v="Low"/>
    <s v="Denise Griffin"/>
    <x v="1"/>
    <x v="73"/>
    <x v="0"/>
    <x v="2"/>
    <s v="Normal order"/>
  </r>
  <r>
    <s v="SALE566"/>
    <d v="2025-05-27T00:00:00"/>
    <x v="11"/>
    <s v="CUST1470"/>
    <s v="PROD46"/>
    <s v="STORE13"/>
    <n v="4"/>
    <n v="4"/>
    <n v="354.12"/>
    <n v="0.06"/>
    <x v="1"/>
    <n v="1331.4911999999999"/>
    <s v="High"/>
    <s v="Manuel Fisher"/>
    <x v="4"/>
    <x v="41"/>
    <x v="2"/>
    <x v="0"/>
    <s v="Bulk order"/>
  </r>
  <r>
    <s v="SALE567"/>
    <d v="2024-11-06T00:00:00"/>
    <x v="8"/>
    <s v="CUST1452"/>
    <s v="PROD63"/>
    <s v="STORE2"/>
    <n v="4"/>
    <n v="4"/>
    <n v="282.48"/>
    <n v="0.11"/>
    <x v="1"/>
    <n v="1005.6288"/>
    <s v="High"/>
    <s v="Jeffery Wolf"/>
    <x v="3"/>
    <x v="11"/>
    <x v="1"/>
    <x v="3"/>
    <s v="Bulk order"/>
  </r>
  <r>
    <s v="SALE568"/>
    <d v="2024-06-03T00:00:00"/>
    <x v="4"/>
    <s v="CUST1328"/>
    <s v="PROD20"/>
    <s v="STORE6"/>
    <n v="2"/>
    <n v="2"/>
    <n v="740.68"/>
    <n v="0.02"/>
    <x v="1"/>
    <n v="1451.7328"/>
    <s v="High"/>
    <s v="Mario Harvey Jr."/>
    <x v="0"/>
    <x v="69"/>
    <x v="2"/>
    <x v="2"/>
    <s v="Normal order"/>
  </r>
  <r>
    <s v="SALE569"/>
    <d v="2024-04-02T00:00:00"/>
    <x v="5"/>
    <s v="CUST1105"/>
    <s v="PROD56"/>
    <s v="STORE9"/>
    <n v="3"/>
    <n v="3"/>
    <n v="600.58000000000004"/>
    <n v="0.28999999999999998"/>
    <x v="2"/>
    <n v="1279.2354"/>
    <s v="High"/>
    <s v="Lance Baker"/>
    <x v="2"/>
    <x v="87"/>
    <x v="1"/>
    <x v="0"/>
    <s v="Normal order"/>
  </r>
  <r>
    <s v="SALE57"/>
    <d v="2024-06-19T00:00:00"/>
    <x v="4"/>
    <s v="CUST1467"/>
    <s v="PROD47"/>
    <s v="STORE14"/>
    <n v="2"/>
    <n v="2"/>
    <n v="680.16"/>
    <n v="0.28000000000000003"/>
    <x v="0"/>
    <n v="979.43039999999996"/>
    <s v="Low"/>
    <s v="Michael Foley"/>
    <x v="3"/>
    <x v="37"/>
    <x v="1"/>
    <x v="0"/>
    <s v="Normal order"/>
  </r>
  <r>
    <s v="SALE570"/>
    <d v="2024-02-26T00:00:00"/>
    <x v="2"/>
    <s v="CUST1461"/>
    <s v="PROD65"/>
    <s v="STORE3"/>
    <n v="3"/>
    <n v="3"/>
    <n v="345.58"/>
    <n v="0.22"/>
    <x v="0"/>
    <n v="808.65719999999999"/>
    <s v="Low"/>
    <s v="Paul Cox"/>
    <x v="0"/>
    <x v="74"/>
    <x v="0"/>
    <x v="1"/>
    <s v="Normal order"/>
  </r>
  <r>
    <s v="SALE571"/>
    <d v="2025-01-31T00:00:00"/>
    <x v="3"/>
    <s v="CUST1284"/>
    <s v="PROD18"/>
    <s v="STORE11"/>
    <n v="1"/>
    <n v="1"/>
    <n v="974.52"/>
    <n v="0.01"/>
    <x v="1"/>
    <n v="964.77480000000003"/>
    <s v="Low"/>
    <s v="Hunter Sutton"/>
    <x v="4"/>
    <x v="83"/>
    <x v="1"/>
    <x v="0"/>
    <s v="Normal order"/>
  </r>
  <r>
    <s v="SALE572"/>
    <d v="2023-11-19T00:00:00"/>
    <x v="8"/>
    <s v="CUST1040"/>
    <s v="PROD17"/>
    <s v="STORE1"/>
    <n v="3"/>
    <n v="3"/>
    <n v="282.33"/>
    <n v="7.0000000000000007E-2"/>
    <x v="0"/>
    <n v="787.70069999999998"/>
    <s v="Low"/>
    <s v="Eric Vega"/>
    <x v="0"/>
    <x v="29"/>
    <x v="0"/>
    <x v="0"/>
    <s v="Normal order"/>
  </r>
  <r>
    <s v="SALE573"/>
    <d v="2025-03-10T00:00:00"/>
    <x v="9"/>
    <s v="CUST1382"/>
    <s v="PROD76"/>
    <s v="STORE19"/>
    <n v="4"/>
    <n v="4"/>
    <n v="158.46"/>
    <n v="0.09"/>
    <x v="1"/>
    <n v="576.7944"/>
    <s v="Low"/>
    <s v="Martha Brown"/>
    <x v="1"/>
    <x v="45"/>
    <x v="2"/>
    <x v="0"/>
    <s v="Bulk order"/>
  </r>
  <r>
    <s v="SALE574"/>
    <d v="2023-12-23T00:00:00"/>
    <x v="1"/>
    <s v="CUST1343"/>
    <s v="PROD55"/>
    <s v="STORE7"/>
    <n v="2"/>
    <n v="2"/>
    <n v="778.56"/>
    <n v="0.11"/>
    <x v="2"/>
    <n v="1385.8368"/>
    <s v="High"/>
    <s v="Ryan Moore"/>
    <x v="2"/>
    <x v="25"/>
    <x v="1"/>
    <x v="3"/>
    <s v="Normal order"/>
  </r>
  <r>
    <s v="SALE575"/>
    <d v="2024-03-02T00:00:00"/>
    <x v="9"/>
    <s v="CUST1237"/>
    <s v="PROD50"/>
    <s v="STORE19"/>
    <n v="4"/>
    <n v="4"/>
    <n v="280.16000000000003"/>
    <n v="0.18"/>
    <x v="2"/>
    <n v="918.92480000000012"/>
    <s v="Low"/>
    <s v="Wesley Short"/>
    <x v="0"/>
    <x v="52"/>
    <x v="2"/>
    <x v="0"/>
    <s v="Bulk order"/>
  </r>
  <r>
    <s v="SALE576"/>
    <d v="2024-10-27T00:00:00"/>
    <x v="6"/>
    <s v="CUST1287"/>
    <s v="PROD71"/>
    <s v="STORE13"/>
    <n v="2"/>
    <n v="2"/>
    <n v="649.54999999999995"/>
    <n v="0.28999999999999998"/>
    <x v="1"/>
    <n v="922.36099999999988"/>
    <s v="Low"/>
    <s v="Cynthia Roberts"/>
    <x v="3"/>
    <x v="57"/>
    <x v="2"/>
    <x v="0"/>
    <s v="Normal order"/>
  </r>
  <r>
    <s v="SALE577"/>
    <d v="2024-03-09T00:00:00"/>
    <x v="9"/>
    <s v="CUST1007"/>
    <s v="PROD88"/>
    <s v="STORE2"/>
    <n v="2"/>
    <n v="2"/>
    <n v="994.32"/>
    <n v="0.27"/>
    <x v="1"/>
    <n v="1451.7072000000001"/>
    <s v="High"/>
    <s v="Daniel Boyd"/>
    <x v="0"/>
    <x v="90"/>
    <x v="1"/>
    <x v="3"/>
    <s v="Normal order"/>
  </r>
  <r>
    <s v="SALE578"/>
    <d v="2024-12-23T00:00:00"/>
    <x v="1"/>
    <s v="CUST1223"/>
    <s v="PROD81"/>
    <s v="STORE12"/>
    <n v="1"/>
    <n v="1"/>
    <n v="64.94"/>
    <n v="0.21"/>
    <x v="1"/>
    <n v="51.302599999999998"/>
    <s v="Low"/>
    <s v="Robert Harris"/>
    <x v="0"/>
    <x v="15"/>
    <x v="0"/>
    <x v="2"/>
    <s v="Normal order"/>
  </r>
  <r>
    <s v="SALE579"/>
    <d v="2025-02-21T00:00:00"/>
    <x v="2"/>
    <s v="CUST1136"/>
    <s v="PROD39"/>
    <s v="STORE7"/>
    <n v="2"/>
    <n v="2"/>
    <n v="507.66"/>
    <n v="0"/>
    <x v="2"/>
    <n v="1015.32"/>
    <s v="High"/>
    <s v="Patrick Coleman"/>
    <x v="1"/>
    <x v="65"/>
    <x v="1"/>
    <x v="1"/>
    <s v="Normal order"/>
  </r>
  <r>
    <s v="SALE58"/>
    <d v="2024-12-07T00:00:00"/>
    <x v="1"/>
    <s v="CUST1404"/>
    <s v="PROD15"/>
    <s v="STORE7"/>
    <n v="4"/>
    <n v="4"/>
    <n v="733.42"/>
    <m/>
    <x v="1"/>
    <n v="2552.3015999999998"/>
    <s v="High"/>
    <s v="David Ross"/>
    <x v="1"/>
    <x v="42"/>
    <x v="1"/>
    <x v="1"/>
    <s v="Bulk order"/>
  </r>
  <r>
    <s v="SALE580"/>
    <d v="2023-12-13T00:00:00"/>
    <x v="1"/>
    <s v="CUST1242"/>
    <s v="PROD81"/>
    <s v="STORE4"/>
    <n v="4"/>
    <n v="4"/>
    <n v="968.27"/>
    <n v="0.03"/>
    <x v="1"/>
    <n v="3756.8876"/>
    <s v="High"/>
    <s v="William Jackson"/>
    <x v="0"/>
    <x v="15"/>
    <x v="1"/>
    <x v="1"/>
    <s v="Bulk order"/>
  </r>
  <r>
    <s v="SALE581"/>
    <d v="2023-11-20T00:00:00"/>
    <x v="8"/>
    <s v="CUST1017"/>
    <s v="PROD88"/>
    <s v="STORE5"/>
    <n v="4"/>
    <n v="4"/>
    <n v="510.33"/>
    <n v="0.2"/>
    <x v="1"/>
    <n v="1633.056"/>
    <s v="High"/>
    <s v="Adam Cruz"/>
    <x v="0"/>
    <x v="90"/>
    <x v="0"/>
    <x v="2"/>
    <s v="Bulk order"/>
  </r>
  <r>
    <s v="SALE582"/>
    <d v="2024-09-04T00:00:00"/>
    <x v="7"/>
    <s v="CUST1011"/>
    <s v="PROD44"/>
    <s v="STORE19"/>
    <n v="2"/>
    <n v="2"/>
    <n v="156.72999999999999"/>
    <n v="0.18"/>
    <x v="2"/>
    <n v="257.03719999999998"/>
    <s v="Low"/>
    <s v="Brian Lopez"/>
    <x v="0"/>
    <x v="31"/>
    <x v="2"/>
    <x v="0"/>
    <s v="Normal order"/>
  </r>
  <r>
    <s v="SALE583"/>
    <d v="2025-06-02T00:00:00"/>
    <x v="4"/>
    <s v="CUST1142"/>
    <s v="PROD99"/>
    <s v="STORE10"/>
    <n v="3"/>
    <n v="3"/>
    <n v="53.83"/>
    <n v="0.24"/>
    <x v="0"/>
    <n v="122.7324"/>
    <s v="Low"/>
    <s v="Maria Ramirez"/>
    <x v="2"/>
    <x v="86"/>
    <x v="2"/>
    <x v="3"/>
    <s v="Normal order"/>
  </r>
  <r>
    <s v="SALE584"/>
    <d v="2024-02-28T00:00:00"/>
    <x v="2"/>
    <s v="CUST1377"/>
    <s v="PROD78"/>
    <s v="STORE4"/>
    <n v="1"/>
    <n v="1"/>
    <n v="34.71"/>
    <n v="0.1"/>
    <x v="2"/>
    <n v="31.239000000000001"/>
    <s v="Low"/>
    <s v="Charles Conley"/>
    <x v="2"/>
    <x v="33"/>
    <x v="1"/>
    <x v="0"/>
    <s v="Normal order"/>
  </r>
  <r>
    <s v="SALE585"/>
    <d v="2024-12-07T00:00:00"/>
    <x v="1"/>
    <s v="CUST1229"/>
    <s v="PROD77"/>
    <s v="STORE1"/>
    <n v="2"/>
    <n v="2"/>
    <n v="829.15"/>
    <n v="0.11"/>
    <x v="1"/>
    <n v="1475.8869999999999"/>
    <s v="High"/>
    <s v="Tanner Thompson"/>
    <x v="1"/>
    <x v="79"/>
    <x v="0"/>
    <x v="3"/>
    <s v="Normal order"/>
  </r>
  <r>
    <s v="SALE586"/>
    <d v="2025-05-21T00:00:00"/>
    <x v="11"/>
    <s v="CUST1264"/>
    <s v="PROD98"/>
    <s v="STORE3"/>
    <n v="2"/>
    <n v="2"/>
    <n v="481.86"/>
    <n v="0.1"/>
    <x v="2"/>
    <n v="867.34800000000007"/>
    <s v="Low"/>
    <s v="Matthew Payne"/>
    <x v="1"/>
    <x v="51"/>
    <x v="0"/>
    <x v="0"/>
    <s v="Normal order"/>
  </r>
  <r>
    <s v="SALE587"/>
    <d v="2024-03-03T00:00:00"/>
    <x v="9"/>
    <s v="CUST1147"/>
    <s v="PROD52"/>
    <s v="STORE7"/>
    <n v="4"/>
    <n v="4"/>
    <n v="915.17"/>
    <n v="0.19"/>
    <x v="2"/>
    <n v="2965.1507999999999"/>
    <s v="High"/>
    <s v="Rhonda Young"/>
    <x v="0"/>
    <x v="22"/>
    <x v="1"/>
    <x v="2"/>
    <s v="Bulk order"/>
  </r>
  <r>
    <s v="SALE588"/>
    <d v="2024-03-06T00:00:00"/>
    <x v="9"/>
    <s v="CUST1214"/>
    <s v="PROD71"/>
    <s v="STORE18"/>
    <n v="1"/>
    <n v="1"/>
    <n v="250.95"/>
    <n v="0.03"/>
    <x v="1"/>
    <n v="243.42150000000001"/>
    <s v="Low"/>
    <s v="Eric Todd"/>
    <x v="3"/>
    <x v="57"/>
    <x v="2"/>
    <x v="0"/>
    <s v="Normal order"/>
  </r>
  <r>
    <s v="SALE589"/>
    <d v="2023-11-27T00:00:00"/>
    <x v="8"/>
    <s v="CUST1325"/>
    <s v="PROD96"/>
    <s v="STORE5"/>
    <n v="3"/>
    <n v="3"/>
    <n v="882.84"/>
    <n v="0.1"/>
    <x v="0"/>
    <n v="2383.6680000000001"/>
    <s v="High"/>
    <s v="Andrew Smith"/>
    <x v="4"/>
    <x v="76"/>
    <x v="0"/>
    <x v="3"/>
    <s v="Normal order"/>
  </r>
  <r>
    <s v="SALE59"/>
    <d v="2023-11-27T00:00:00"/>
    <x v="8"/>
    <s v="CUST1367"/>
    <s v="PROD89"/>
    <s v="STORE11"/>
    <n v="1"/>
    <n v="1"/>
    <n v="996.33"/>
    <n v="0.23"/>
    <x v="1"/>
    <n v="767.17410000000007"/>
    <s v="Low"/>
    <s v="Melinda Johnson"/>
    <x v="3"/>
    <x v="53"/>
    <x v="1"/>
    <x v="3"/>
    <s v="Normal order"/>
  </r>
  <r>
    <s v="SALE590"/>
    <d v="2025-02-14T00:00:00"/>
    <x v="2"/>
    <s v="CUST1138"/>
    <s v="PROD19"/>
    <s v="STORE18"/>
    <n v="4"/>
    <n v="4"/>
    <n v="573.37"/>
    <n v="0.04"/>
    <x v="2"/>
    <n v="2201.7408"/>
    <s v="High"/>
    <s v="Sean Roth"/>
    <x v="0"/>
    <x v="32"/>
    <x v="2"/>
    <x v="0"/>
    <s v="Bulk order"/>
  </r>
  <r>
    <s v="SALE591"/>
    <d v="2024-01-27T00:00:00"/>
    <x v="3"/>
    <s v="CUST1058"/>
    <s v="PROD32"/>
    <s v="STORE12"/>
    <n v="3"/>
    <n v="3"/>
    <n v="622.72"/>
    <n v="0.04"/>
    <x v="0"/>
    <n v="1793.4336000000001"/>
    <s v="High"/>
    <s v="Cheryl Copeland"/>
    <x v="3"/>
    <x v="96"/>
    <x v="0"/>
    <x v="2"/>
    <s v="Normal order"/>
  </r>
  <r>
    <s v="SALE592"/>
    <d v="2025-10-13T00:00:00"/>
    <x v="6"/>
    <s v="CUST1388"/>
    <s v="PROD92"/>
    <s v="STORE17"/>
    <n v="3"/>
    <n v="3"/>
    <n v="259.74"/>
    <n v="0.24"/>
    <x v="0"/>
    <n v="592.20720000000006"/>
    <s v="Low"/>
    <s v="Timothy Valenzuela"/>
    <x v="2"/>
    <x v="39"/>
    <x v="0"/>
    <x v="2"/>
    <s v="Normal order"/>
  </r>
  <r>
    <s v="SALE593"/>
    <d v="2025-04-22T00:00:00"/>
    <x v="5"/>
    <s v="CUST1054"/>
    <s v="PROD28"/>
    <s v="STORE13"/>
    <n v="4"/>
    <n v="4"/>
    <n v="951.09"/>
    <n v="0.14000000000000001"/>
    <x v="2"/>
    <n v="3271.7496000000001"/>
    <s v="High"/>
    <s v="Katherine Dorsey"/>
    <x v="0"/>
    <x v="40"/>
    <x v="2"/>
    <x v="2"/>
    <s v="Bulk order"/>
  </r>
  <r>
    <s v="SALE594"/>
    <d v="2025-04-18T00:00:00"/>
    <x v="5"/>
    <s v="CUST1199"/>
    <s v="PROD99"/>
    <s v="STORE2"/>
    <n v="1"/>
    <n v="1"/>
    <n v="71.709999999999994"/>
    <n v="0.23"/>
    <x v="2"/>
    <n v="55.216700000000003"/>
    <s v="Low"/>
    <s v="Carmen Price"/>
    <x v="2"/>
    <x v="86"/>
    <x v="1"/>
    <x v="3"/>
    <s v="Normal order"/>
  </r>
  <r>
    <s v="SALE595"/>
    <d v="2025-08-22T00:00:00"/>
    <x v="10"/>
    <s v="CUST1173"/>
    <s v="PROD20"/>
    <s v="STORE7"/>
    <n v="4"/>
    <n v="4"/>
    <n v="894.93"/>
    <n v="0.05"/>
    <x v="2"/>
    <n v="3400.733999999999"/>
    <s v="High"/>
    <s v="Teresa Stokes"/>
    <x v="0"/>
    <x v="69"/>
    <x v="1"/>
    <x v="2"/>
    <s v="Bulk order"/>
  </r>
  <r>
    <s v="SALE596"/>
    <d v="2025-07-04T00:00:00"/>
    <x v="0"/>
    <s v="CUST1202"/>
    <s v="PROD78"/>
    <s v="STORE8"/>
    <n v="4"/>
    <n v="4"/>
    <n v="870.18"/>
    <n v="0.13"/>
    <x v="2"/>
    <n v="3028.2264"/>
    <s v="High"/>
    <s v="Christina Garcia"/>
    <x v="2"/>
    <x v="33"/>
    <x v="3"/>
    <x v="2"/>
    <s v="Bulk order"/>
  </r>
  <r>
    <s v="SALE597"/>
    <d v="2024-03-31T00:00:00"/>
    <x v="9"/>
    <s v="CUST1278"/>
    <s v="PROD64"/>
    <s v="STORE2"/>
    <n v="2"/>
    <n v="2"/>
    <n v="552.72"/>
    <n v="0.06"/>
    <x v="1"/>
    <n v="1039.1135999999999"/>
    <s v="High"/>
    <s v="Stephen Fowler"/>
    <x v="3"/>
    <x v="55"/>
    <x v="1"/>
    <x v="2"/>
    <s v="Normal order"/>
  </r>
  <r>
    <s v="SALE598"/>
    <d v="2023-11-06T00:00:00"/>
    <x v="8"/>
    <s v="CUST1246"/>
    <s v="PROD39"/>
    <s v="STORE8"/>
    <n v="3"/>
    <n v="3"/>
    <n v="700.43"/>
    <n v="0.01"/>
    <x v="2"/>
    <n v="2080.2770999999998"/>
    <s v="High"/>
    <s v="Mary Russell"/>
    <x v="1"/>
    <x v="65"/>
    <x v="3"/>
    <x v="3"/>
    <s v="Normal order"/>
  </r>
  <r>
    <s v="SALE599"/>
    <d v="2025-05-29T00:00:00"/>
    <x v="11"/>
    <s v="CUST1339"/>
    <s v="PROD9"/>
    <s v="STORE2"/>
    <n v="2"/>
    <n v="2"/>
    <n v="823.03"/>
    <n v="0.18"/>
    <x v="1"/>
    <n v="1349.7692"/>
    <s v="High"/>
    <s v="Mrs. Susan Buckley"/>
    <x v="0"/>
    <x v="98"/>
    <x v="1"/>
    <x v="2"/>
    <s v="Normal order"/>
  </r>
  <r>
    <s v="SALE6"/>
    <d v="2025-07-12T00:00:00"/>
    <x v="0"/>
    <s v="CUST1016"/>
    <s v="PROD56"/>
    <s v="STORE4"/>
    <n v="2"/>
    <n v="2"/>
    <n v="785.31"/>
    <n v="0.15"/>
    <x v="1"/>
    <n v="1335.027"/>
    <s v="High"/>
    <s v="John Scott"/>
    <x v="2"/>
    <x v="87"/>
    <x v="1"/>
    <x v="3"/>
    <s v="Normal order"/>
  </r>
  <r>
    <s v="SALE60"/>
    <d v="2025-07-16T00:00:00"/>
    <x v="0"/>
    <s v="CUST1408"/>
    <s v="PROD31"/>
    <s v="STORE10"/>
    <n v="1"/>
    <n v="1"/>
    <n v="198.83"/>
    <n v="0.09"/>
    <x v="2"/>
    <n v="180.93530000000001"/>
    <s v="Low"/>
    <s v="Isabel Foster"/>
    <x v="0"/>
    <x v="72"/>
    <x v="2"/>
    <x v="0"/>
    <s v="Normal order"/>
  </r>
  <r>
    <s v="SALE600"/>
    <d v="2024-04-19T00:00:00"/>
    <x v="5"/>
    <s v="CUST1255"/>
    <s v="PROD92"/>
    <s v="STORE6"/>
    <n v="1"/>
    <n v="1"/>
    <n v="117.37"/>
    <n v="0.21"/>
    <x v="0"/>
    <n v="92.722300000000004"/>
    <s v="Low"/>
    <s v="Damon Perez"/>
    <x v="2"/>
    <x v="39"/>
    <x v="2"/>
    <x v="0"/>
    <s v="Normal order"/>
  </r>
  <r>
    <s v="SALE601"/>
    <d v="2025-02-28T00:00:00"/>
    <x v="2"/>
    <s v="CUST1104"/>
    <s v="PROD56"/>
    <s v="STORE1"/>
    <n v="4"/>
    <n v="4"/>
    <n v="165.37"/>
    <n v="0.28999999999999998"/>
    <x v="0"/>
    <n v="469.6508"/>
    <s v="Low"/>
    <s v="Christopher Lester"/>
    <x v="2"/>
    <x v="87"/>
    <x v="0"/>
    <x v="1"/>
    <s v="Bulk order"/>
  </r>
  <r>
    <s v="SALE602"/>
    <d v="2025-03-02T00:00:00"/>
    <x v="9"/>
    <s v="CUST1378"/>
    <s v="PROD6"/>
    <s v="STORE10"/>
    <n v="3"/>
    <n v="3"/>
    <n v="483.06"/>
    <n v="0.05"/>
    <x v="0"/>
    <n v="1376.721"/>
    <s v="High"/>
    <s v="Frank Stewart"/>
    <x v="3"/>
    <x v="95"/>
    <x v="2"/>
    <x v="3"/>
    <s v="Normal order"/>
  </r>
  <r>
    <s v="SALE603"/>
    <d v="2024-03-28T00:00:00"/>
    <x v="9"/>
    <s v="CUST1293"/>
    <s v="PROD81"/>
    <s v="STORE7"/>
    <n v="4"/>
    <n v="4"/>
    <n v="262.05"/>
    <n v="0.24"/>
    <x v="1"/>
    <n v="796.63200000000006"/>
    <s v="Low"/>
    <s v="Gloria Taylor"/>
    <x v="0"/>
    <x v="15"/>
    <x v="1"/>
    <x v="2"/>
    <s v="Bulk order"/>
  </r>
  <r>
    <s v="SALE604"/>
    <d v="2024-12-09T00:00:00"/>
    <x v="1"/>
    <s v="CUST1463"/>
    <s v="PROD14"/>
    <s v="STORE14"/>
    <n v="3"/>
    <n v="3"/>
    <n v="970.89"/>
    <n v="0.11"/>
    <x v="2"/>
    <n v="2592.2763"/>
    <s v="High"/>
    <s v="Samantha Lee"/>
    <x v="2"/>
    <x v="94"/>
    <x v="1"/>
    <x v="3"/>
    <s v="Normal order"/>
  </r>
  <r>
    <s v="SALE605"/>
    <d v="2023-10-23T00:00:00"/>
    <x v="6"/>
    <s v="CUST1216"/>
    <s v="PROD72"/>
    <s v="STORE0"/>
    <n v="1"/>
    <n v="1"/>
    <n v="61.11"/>
    <n v="0.1"/>
    <x v="1"/>
    <n v="54.999000000000002"/>
    <s v="Low"/>
    <s v="Kathryn Garcia"/>
    <x v="0"/>
    <x v="35"/>
    <x v="2"/>
    <x v="2"/>
    <s v="Normal order"/>
  </r>
  <r>
    <s v="SALE606"/>
    <d v="2024-09-20T00:00:00"/>
    <x v="7"/>
    <s v="CUST1029"/>
    <s v="PROD27"/>
    <s v="STORE8"/>
    <n v="3"/>
    <n v="3"/>
    <n v="827.88"/>
    <n v="0.19"/>
    <x v="1"/>
    <n v="2011.7483999999999"/>
    <s v="High"/>
    <s v="David Arnold"/>
    <x v="2"/>
    <x v="77"/>
    <x v="3"/>
    <x v="1"/>
    <s v="Normal order"/>
  </r>
  <r>
    <s v="SALE607"/>
    <d v="2024-10-18T00:00:00"/>
    <x v="6"/>
    <s v="CUST1430"/>
    <s v="PROD87"/>
    <s v="STORE13"/>
    <n v="3"/>
    <n v="3"/>
    <n v="926.85"/>
    <n v="0.18"/>
    <x v="2"/>
    <n v="2280.0509999999999"/>
    <s v="High"/>
    <s v="Kimberly Roberts"/>
    <x v="2"/>
    <x v="48"/>
    <x v="2"/>
    <x v="0"/>
    <s v="Normal order"/>
  </r>
  <r>
    <s v="SALE608"/>
    <d v="2025-01-05T00:00:00"/>
    <x v="3"/>
    <s v="CUST1317"/>
    <s v="PROD10"/>
    <s v="STORE14"/>
    <n v="1"/>
    <n v="1"/>
    <n v="874.59"/>
    <n v="0.28999999999999998"/>
    <x v="1"/>
    <n v="620.95889999999997"/>
    <s v="Low"/>
    <s v="Tiffany Williams"/>
    <x v="2"/>
    <x v="47"/>
    <x v="1"/>
    <x v="0"/>
    <s v="Normal order"/>
  </r>
  <r>
    <s v="SALE609"/>
    <d v="2025-09-21T00:00:00"/>
    <x v="7"/>
    <s v="CUST1470"/>
    <s v="PROD15"/>
    <s v="STORE1"/>
    <n v="4"/>
    <n v="4"/>
    <n v="479.11"/>
    <n v="0.24"/>
    <x v="1"/>
    <n v="1456.4944"/>
    <s v="High"/>
    <s v="Manuel Fisher"/>
    <x v="1"/>
    <x v="42"/>
    <x v="0"/>
    <x v="0"/>
    <s v="Bulk order"/>
  </r>
  <r>
    <s v="SALE61"/>
    <d v="2025-02-28T00:00:00"/>
    <x v="2"/>
    <s v="CUST1239"/>
    <s v="PROD19"/>
    <s v="STORE7"/>
    <n v="1"/>
    <n v="1"/>
    <n v="374.92"/>
    <n v="0.18"/>
    <x v="1"/>
    <n v="307.43439999999998"/>
    <s v="Low"/>
    <s v="Maria Hill"/>
    <x v="0"/>
    <x v="32"/>
    <x v="1"/>
    <x v="2"/>
    <s v="Normal order"/>
  </r>
  <r>
    <s v="SALE610"/>
    <d v="2024-07-17T00:00:00"/>
    <x v="0"/>
    <s v="CUST1213"/>
    <s v="PROD32"/>
    <s v="STORE17"/>
    <n v="3"/>
    <n v="3"/>
    <n v="182.91"/>
    <n v="0.28999999999999998"/>
    <x v="0"/>
    <n v="389.59829999999999"/>
    <s v="Low"/>
    <s v="Stuart Johnson"/>
    <x v="3"/>
    <x v="96"/>
    <x v="0"/>
    <x v="2"/>
    <s v="Normal order"/>
  </r>
  <r>
    <s v="SALE611"/>
    <d v="2024-12-26T00:00:00"/>
    <x v="1"/>
    <s v="CUST1272"/>
    <s v="PROD34"/>
    <s v="STORE5"/>
    <n v="4"/>
    <n v="4"/>
    <n v="745.51"/>
    <n v="0.05"/>
    <x v="0"/>
    <n v="2832.9380000000001"/>
    <s v="High"/>
    <s v="Adam Rowland"/>
    <x v="1"/>
    <x v="21"/>
    <x v="0"/>
    <x v="0"/>
    <s v="Bulk order"/>
  </r>
  <r>
    <s v="SALE612"/>
    <d v="2024-11-02T00:00:00"/>
    <x v="8"/>
    <s v="CUST1481"/>
    <s v="PROD88"/>
    <s v="STORE15"/>
    <n v="3"/>
    <n v="3"/>
    <n v="920.61"/>
    <n v="0.04"/>
    <x v="0"/>
    <n v="2651.3568"/>
    <s v="High"/>
    <s v="Bryan Tran"/>
    <x v="0"/>
    <x v="90"/>
    <x v="0"/>
    <x v="0"/>
    <s v="Normal order"/>
  </r>
  <r>
    <s v="SALE613"/>
    <d v="2025-04-25T00:00:00"/>
    <x v="5"/>
    <s v="CUST1425"/>
    <s v="PROD75"/>
    <s v="STORE10"/>
    <n v="4"/>
    <n v="4"/>
    <n v="659.03"/>
    <n v="0.15"/>
    <x v="0"/>
    <n v="2240.7020000000002"/>
    <s v="High"/>
    <s v="Bryce Hawkins"/>
    <x v="4"/>
    <x v="10"/>
    <x v="2"/>
    <x v="3"/>
    <s v="Bulk order"/>
  </r>
  <r>
    <s v="SALE614"/>
    <d v="2024-02-16T00:00:00"/>
    <x v="2"/>
    <s v="CUST1491"/>
    <s v="PROD9"/>
    <s v="STORE2"/>
    <n v="1"/>
    <n v="1"/>
    <n v="312.91000000000003"/>
    <n v="0.12"/>
    <x v="1"/>
    <n v="275.36079999999998"/>
    <s v="Low"/>
    <s v="Kaitlin Brown"/>
    <x v="0"/>
    <x v="98"/>
    <x v="1"/>
    <x v="0"/>
    <s v="Normal order"/>
  </r>
  <r>
    <s v="SALE615"/>
    <d v="2024-08-20T00:00:00"/>
    <x v="10"/>
    <s v="CUST1228"/>
    <s v="PROD12"/>
    <s v="STORE18"/>
    <n v="4"/>
    <n v="4"/>
    <n v="705.64"/>
    <n v="0.11"/>
    <x v="1"/>
    <n v="2512.0783999999999"/>
    <s v="High"/>
    <s v="Casey Flores"/>
    <x v="3"/>
    <x v="85"/>
    <x v="2"/>
    <x v="0"/>
    <s v="Bulk order"/>
  </r>
  <r>
    <s v="SALE616"/>
    <d v="2024-07-24T00:00:00"/>
    <x v="0"/>
    <s v="CUST1144"/>
    <s v="PROD9"/>
    <s v="STORE10"/>
    <n v="4"/>
    <n v="4"/>
    <n v="386.41"/>
    <n v="0.13"/>
    <x v="2"/>
    <n v="1344.7067999999999"/>
    <s v="High"/>
    <s v="Justin Cross"/>
    <x v="0"/>
    <x v="98"/>
    <x v="2"/>
    <x v="3"/>
    <s v="Bulk order"/>
  </r>
  <r>
    <s v="SALE617"/>
    <d v="2024-08-30T00:00:00"/>
    <x v="10"/>
    <s v="CUST1029"/>
    <s v="PROD94"/>
    <s v="STORE11"/>
    <n v="3"/>
    <n v="3"/>
    <n v="265.89"/>
    <n v="0.08"/>
    <x v="2"/>
    <n v="733.85640000000001"/>
    <s v="Low"/>
    <s v="David Arnold"/>
    <x v="3"/>
    <x v="89"/>
    <x v="1"/>
    <x v="1"/>
    <s v="Normal order"/>
  </r>
  <r>
    <s v="SALE618"/>
    <d v="2025-09-25T00:00:00"/>
    <x v="7"/>
    <s v="CUST1075"/>
    <s v="PROD30"/>
    <s v="STORE16"/>
    <n v="1"/>
    <n v="1"/>
    <n v="703.16"/>
    <n v="0.28999999999999998"/>
    <x v="0"/>
    <n v="499.24360000000001"/>
    <s v="Low"/>
    <s v="Rhonda Morales"/>
    <x v="2"/>
    <x v="38"/>
    <x v="3"/>
    <x v="0"/>
    <s v="Normal order"/>
  </r>
  <r>
    <s v="SALE619"/>
    <d v="2025-04-18T00:00:00"/>
    <x v="5"/>
    <s v="CUST1471"/>
    <s v="PROD97"/>
    <s v="STORE13"/>
    <n v="2"/>
    <n v="2"/>
    <n v="394.5"/>
    <n v="0.28999999999999998"/>
    <x v="2"/>
    <n v="560.18999999999994"/>
    <s v="Low"/>
    <s v="Debra Mccullough"/>
    <x v="0"/>
    <x v="0"/>
    <x v="2"/>
    <x v="2"/>
    <s v="Normal order"/>
  </r>
  <r>
    <s v="SALE62"/>
    <d v="2024-08-11T00:00:00"/>
    <x v="10"/>
    <s v="CUST1464"/>
    <s v="PROD93"/>
    <s v="STORE16"/>
    <n v="1"/>
    <n v="1"/>
    <n v="468.94"/>
    <n v="0.12"/>
    <x v="0"/>
    <n v="412.66719999999998"/>
    <s v="Low"/>
    <s v="David Pierce"/>
    <x v="1"/>
    <x v="27"/>
    <x v="3"/>
    <x v="2"/>
    <s v="Normal order"/>
  </r>
  <r>
    <s v="SALE620"/>
    <d v="2025-08-13T00:00:00"/>
    <x v="10"/>
    <s v="CUST1117"/>
    <s v="PROD97"/>
    <s v="STORE7"/>
    <n v="3"/>
    <n v="3"/>
    <n v="411.25"/>
    <n v="0.05"/>
    <x v="0"/>
    <n v="1172.0625"/>
    <s v="High"/>
    <s v="Colleen Mccarthy"/>
    <x v="0"/>
    <x v="0"/>
    <x v="1"/>
    <x v="2"/>
    <s v="Normal order"/>
  </r>
  <r>
    <s v="SALE621"/>
    <d v="2025-09-23T00:00:00"/>
    <x v="7"/>
    <s v="CUST1353"/>
    <s v="PROD48"/>
    <s v="STORE2"/>
    <n v="4"/>
    <n v="4"/>
    <n v="395.45"/>
    <n v="0.01"/>
    <x v="0"/>
    <n v="1565.982"/>
    <s v="High"/>
    <s v="Laura Green"/>
    <x v="1"/>
    <x v="66"/>
    <x v="1"/>
    <x v="2"/>
    <s v="Bulk order"/>
  </r>
  <r>
    <s v="SALE622"/>
    <d v="2024-05-09T00:00:00"/>
    <x v="11"/>
    <s v="CUST1036"/>
    <s v="PROD90"/>
    <s v="STORE5"/>
    <n v="2"/>
    <n v="2"/>
    <n v="678.98"/>
    <n v="0.23"/>
    <x v="0"/>
    <n v="1045.6292000000001"/>
    <s v="High"/>
    <s v="Thomas Phillips"/>
    <x v="1"/>
    <x v="73"/>
    <x v="0"/>
    <x v="0"/>
    <s v="Normal order"/>
  </r>
  <r>
    <s v="SALE623"/>
    <d v="2024-11-12T00:00:00"/>
    <x v="8"/>
    <s v="CUST1072"/>
    <s v="PROD27"/>
    <s v="STORE14"/>
    <n v="4"/>
    <n v="4"/>
    <n v="757.71"/>
    <n v="0.26"/>
    <x v="2"/>
    <n v="2242.8216000000002"/>
    <s v="High"/>
    <s v="Tonya Burch"/>
    <x v="2"/>
    <x v="77"/>
    <x v="1"/>
    <x v="0"/>
    <s v="Bulk order"/>
  </r>
  <r>
    <s v="SALE624"/>
    <d v="2024-12-18T00:00:00"/>
    <x v="1"/>
    <s v="CUST1059"/>
    <s v="PROD94"/>
    <s v="STORE4"/>
    <n v="1"/>
    <n v="1"/>
    <n v="647.86"/>
    <n v="0.05"/>
    <x v="2"/>
    <n v="615.46699999999998"/>
    <s v="Low"/>
    <s v="Alyssa Vargas"/>
    <x v="3"/>
    <x v="89"/>
    <x v="1"/>
    <x v="2"/>
    <s v="Normal order"/>
  </r>
  <r>
    <s v="SALE625"/>
    <d v="2024-08-13T00:00:00"/>
    <x v="10"/>
    <s v="CUST1135"/>
    <s v="PROD12"/>
    <s v="STORE6"/>
    <n v="2"/>
    <n v="2"/>
    <n v="179.64"/>
    <n v="0.1"/>
    <x v="1"/>
    <n v="323.35199999999998"/>
    <s v="Low"/>
    <s v="Matthew Hanna"/>
    <x v="3"/>
    <x v="85"/>
    <x v="2"/>
    <x v="2"/>
    <s v="Normal order"/>
  </r>
  <r>
    <s v="SALE626"/>
    <d v="2024-09-10T00:00:00"/>
    <x v="7"/>
    <s v="CUST1396"/>
    <s v="PROD62"/>
    <s v="STORE4"/>
    <n v="3"/>
    <n v="3"/>
    <n v="392.65"/>
    <n v="0.17"/>
    <x v="1"/>
    <n v="977.69849999999985"/>
    <s v="Low"/>
    <s v="Alexander Byrd"/>
    <x v="1"/>
    <x v="19"/>
    <x v="1"/>
    <x v="1"/>
    <s v="Normal order"/>
  </r>
  <r>
    <s v="SALE627"/>
    <d v="2024-09-12T00:00:00"/>
    <x v="7"/>
    <s v="CUST1176"/>
    <s v="PROD91"/>
    <s v="STORE16"/>
    <n v="4"/>
    <n v="4"/>
    <n v="969.55"/>
    <n v="0.09"/>
    <x v="2"/>
    <n v="3529.1619999999998"/>
    <s v="High"/>
    <s v="John Bradford"/>
    <x v="4"/>
    <x v="67"/>
    <x v="3"/>
    <x v="1"/>
    <s v="Bulk order"/>
  </r>
  <r>
    <s v="SALE628"/>
    <d v="2024-05-21T00:00:00"/>
    <x v="11"/>
    <s v="CUST1462"/>
    <s v="PROD74"/>
    <s v="STORE12"/>
    <n v="3"/>
    <n v="3"/>
    <n v="322.94"/>
    <n v="0.01"/>
    <x v="0"/>
    <n v="959.13179999999988"/>
    <s v="Low"/>
    <s v="Beth Martin"/>
    <x v="1"/>
    <x v="1"/>
    <x v="0"/>
    <x v="1"/>
    <s v="Normal order"/>
  </r>
  <r>
    <s v="SALE629"/>
    <d v="2025-05-15T00:00:00"/>
    <x v="11"/>
    <s v="CUST1362"/>
    <s v="PROD83"/>
    <s v="STORE0"/>
    <n v="1"/>
    <n v="1"/>
    <n v="92.83"/>
    <n v="0.26"/>
    <x v="1"/>
    <n v="68.694199999999995"/>
    <s v="Low"/>
    <s v="Joshua Smith Dvm"/>
    <x v="3"/>
    <x v="61"/>
    <x v="2"/>
    <x v="0"/>
    <s v="Normal order"/>
  </r>
  <r>
    <s v="SALE63"/>
    <d v="2025-09-27T00:00:00"/>
    <x v="7"/>
    <s v="CUST1126"/>
    <s v="PROD89"/>
    <s v="STORE12"/>
    <n v="2"/>
    <n v="2"/>
    <n v="121.37"/>
    <n v="0.05"/>
    <x v="0"/>
    <n v="230.60300000000001"/>
    <s v="Low"/>
    <s v="James Wolfe"/>
    <x v="3"/>
    <x v="53"/>
    <x v="0"/>
    <x v="0"/>
    <s v="Normal order"/>
  </r>
  <r>
    <s v="SALE630"/>
    <d v="2025-05-27T00:00:00"/>
    <x v="11"/>
    <s v="CUST1420"/>
    <s v="PROD8"/>
    <s v="STORE3"/>
    <n v="4"/>
    <n v="4"/>
    <n v="432.29"/>
    <n v="0.16"/>
    <x v="2"/>
    <n v="1452.4944"/>
    <s v="High"/>
    <s v="Dr. Tamara White Md"/>
    <x v="1"/>
    <x v="12"/>
    <x v="0"/>
    <x v="3"/>
    <s v="Bulk order"/>
  </r>
  <r>
    <s v="SALE631"/>
    <d v="2024-01-20T00:00:00"/>
    <x v="3"/>
    <s v="CUST1080"/>
    <s v="PROD39"/>
    <s v="STORE13"/>
    <n v="2"/>
    <n v="2"/>
    <n v="925.78"/>
    <n v="0.14000000000000001"/>
    <x v="2"/>
    <n v="1592.3416"/>
    <s v="High"/>
    <s v="Jennifer Garcia"/>
    <x v="1"/>
    <x v="65"/>
    <x v="2"/>
    <x v="3"/>
    <s v="Normal order"/>
  </r>
  <r>
    <s v="SALE632"/>
    <d v="2024-11-09T00:00:00"/>
    <x v="8"/>
    <s v="CUST1477"/>
    <s v="PROD25"/>
    <s v="STORE11"/>
    <n v="2"/>
    <n v="2"/>
    <n v="151.47"/>
    <n v="0.21"/>
    <x v="1"/>
    <n v="239.32259999999999"/>
    <s v="Low"/>
    <s v="Andrea Harris"/>
    <x v="4"/>
    <x v="13"/>
    <x v="1"/>
    <x v="2"/>
    <s v="Normal order"/>
  </r>
  <r>
    <s v="SALE633"/>
    <d v="2024-02-16T00:00:00"/>
    <x v="2"/>
    <s v="CUST1449"/>
    <s v="PROD83"/>
    <s v="STORE10"/>
    <n v="1"/>
    <n v="1"/>
    <n v="343.05"/>
    <n v="0.28000000000000003"/>
    <x v="1"/>
    <n v="246.99600000000001"/>
    <s v="Low"/>
    <s v="William Cortez"/>
    <x v="3"/>
    <x v="61"/>
    <x v="2"/>
    <x v="3"/>
    <s v="Normal order"/>
  </r>
  <r>
    <s v="SALE634"/>
    <d v="2024-12-16T00:00:00"/>
    <x v="1"/>
    <s v="CUST1066"/>
    <s v="PROD17"/>
    <s v="STORE4"/>
    <n v="1"/>
    <n v="1"/>
    <n v="373.06"/>
    <n v="0.11"/>
    <x v="1"/>
    <n v="332.02339999999998"/>
    <s v="Low"/>
    <s v="Cody Diaz"/>
    <x v="0"/>
    <x v="29"/>
    <x v="1"/>
    <x v="1"/>
    <s v="Normal order"/>
  </r>
  <r>
    <s v="SALE635"/>
    <d v="2025-02-05T00:00:00"/>
    <x v="2"/>
    <s v="CUST1411"/>
    <s v="PROD18"/>
    <s v="STORE15"/>
    <n v="1"/>
    <n v="1"/>
    <n v="124.98"/>
    <n v="7.0000000000000007E-2"/>
    <x v="2"/>
    <n v="116.23139999999999"/>
    <s v="Low"/>
    <s v="Katrina Perez"/>
    <x v="4"/>
    <x v="83"/>
    <x v="0"/>
    <x v="1"/>
    <s v="Normal order"/>
  </r>
  <r>
    <s v="SALE636"/>
    <d v="2025-04-16T00:00:00"/>
    <x v="5"/>
    <s v="CUST1272"/>
    <s v="PROD73"/>
    <s v="STORE19"/>
    <n v="4"/>
    <n v="4"/>
    <n v="221.49"/>
    <n v="0.26"/>
    <x v="1"/>
    <n v="655.61040000000003"/>
    <s v="Low"/>
    <s v="Adam Rowland"/>
    <x v="0"/>
    <x v="6"/>
    <x v="2"/>
    <x v="0"/>
    <s v="Bulk order"/>
  </r>
  <r>
    <s v="SALE637"/>
    <d v="2024-10-07T00:00:00"/>
    <x v="6"/>
    <s v="CUST1170"/>
    <s v="PROD23"/>
    <s v="STORE15"/>
    <n v="1"/>
    <n v="1"/>
    <n v="563.32000000000005"/>
    <n v="0.01"/>
    <x v="1"/>
    <n v="557.68680000000006"/>
    <s v="Low"/>
    <s v="Christopher Garcia Dds"/>
    <x v="4"/>
    <x v="9"/>
    <x v="0"/>
    <x v="0"/>
    <s v="Normal order"/>
  </r>
  <r>
    <s v="SALE638"/>
    <d v="2024-02-16T00:00:00"/>
    <x v="2"/>
    <s v="CUST1390"/>
    <s v="PROD11"/>
    <s v="STORE0"/>
    <n v="1"/>
    <n v="1"/>
    <n v="362.93"/>
    <n v="0.27"/>
    <x v="0"/>
    <n v="264.93889999999999"/>
    <s v="Low"/>
    <s v="Daniel Bell"/>
    <x v="1"/>
    <x v="68"/>
    <x v="2"/>
    <x v="1"/>
    <s v="Normal order"/>
  </r>
  <r>
    <s v="SALE639"/>
    <d v="2024-03-22T00:00:00"/>
    <x v="9"/>
    <s v="CUST1336"/>
    <s v="PROD11"/>
    <s v="STORE15"/>
    <n v="4"/>
    <n v="4"/>
    <n v="369.22"/>
    <n v="0.18"/>
    <x v="2"/>
    <n v="1211.0416"/>
    <s v="High"/>
    <s v="John Jones"/>
    <x v="1"/>
    <x v="68"/>
    <x v="0"/>
    <x v="1"/>
    <s v="Bulk order"/>
  </r>
  <r>
    <s v="SALE64"/>
    <d v="2025-09-14T00:00:00"/>
    <x v="7"/>
    <s v="CUST1255"/>
    <s v="PROD53"/>
    <s v="STORE10"/>
    <n v="3"/>
    <n v="3"/>
    <n v="480.06"/>
    <n v="0.01"/>
    <x v="0"/>
    <m/>
    <s v="Low"/>
    <s v="Damon Perez"/>
    <x v="4"/>
    <x v="20"/>
    <x v="2"/>
    <x v="0"/>
    <s v="Normal order"/>
  </r>
  <r>
    <s v="SALE640"/>
    <d v="2024-10-25T00:00:00"/>
    <x v="6"/>
    <s v="CUST1410"/>
    <s v="PROD96"/>
    <s v="STORE14"/>
    <n v="3"/>
    <n v="3"/>
    <n v="950.83"/>
    <n v="0.06"/>
    <x v="1"/>
    <n v="2681.3406"/>
    <s v="High"/>
    <s v="Jackie Thompson"/>
    <x v="4"/>
    <x v="76"/>
    <x v="1"/>
    <x v="3"/>
    <s v="Normal order"/>
  </r>
  <r>
    <s v="SALE641"/>
    <d v="2024-03-14T00:00:00"/>
    <x v="9"/>
    <s v="CUST1143"/>
    <s v="PROD37"/>
    <s v="STORE13"/>
    <n v="3"/>
    <n v="3"/>
    <n v="338.79"/>
    <n v="0.01"/>
    <x v="0"/>
    <n v="1006.2063000000001"/>
    <s v="High"/>
    <s v="Carlos Skinner"/>
    <x v="4"/>
    <x v="16"/>
    <x v="2"/>
    <x v="3"/>
    <s v="Normal order"/>
  </r>
  <r>
    <s v="SALE642"/>
    <d v="2025-02-23T00:00:00"/>
    <x v="2"/>
    <s v="CUST1146"/>
    <s v="PROD90"/>
    <s v="STORE1"/>
    <n v="3"/>
    <n v="3"/>
    <n v="853.32"/>
    <n v="7.0000000000000007E-2"/>
    <x v="2"/>
    <n v="2380.7628"/>
    <s v="High"/>
    <s v="Edward Rivera"/>
    <x v="1"/>
    <x v="73"/>
    <x v="0"/>
    <x v="0"/>
    <s v="Normal order"/>
  </r>
  <r>
    <s v="SALE643"/>
    <d v="2024-10-21T00:00:00"/>
    <x v="6"/>
    <s v="CUST1149"/>
    <s v="PROD76"/>
    <s v="STORE6"/>
    <n v="3"/>
    <n v="3"/>
    <n v="89.78"/>
    <n v="0.2"/>
    <x v="2"/>
    <n v="215.47200000000001"/>
    <s v="Low"/>
    <s v="Denise Griffin"/>
    <x v="1"/>
    <x v="45"/>
    <x v="2"/>
    <x v="2"/>
    <s v="Normal order"/>
  </r>
  <r>
    <s v="SALE644"/>
    <d v="2024-02-12T00:00:00"/>
    <x v="2"/>
    <s v="CUST1191"/>
    <s v="PROD55"/>
    <s v="STORE1"/>
    <n v="1"/>
    <n v="1"/>
    <n v="172.04"/>
    <n v="0.04"/>
    <x v="1"/>
    <n v="165.1584"/>
    <s v="Low"/>
    <s v="Todd Poole"/>
    <x v="2"/>
    <x v="25"/>
    <x v="0"/>
    <x v="3"/>
    <s v="Normal order"/>
  </r>
  <r>
    <s v="SALE645"/>
    <d v="2024-02-11T00:00:00"/>
    <x v="2"/>
    <s v="CUST1467"/>
    <s v="PROD54"/>
    <s v="STORE1"/>
    <n v="1"/>
    <n v="1"/>
    <n v="389.2"/>
    <n v="0.05"/>
    <x v="0"/>
    <n v="369.74"/>
    <s v="Low"/>
    <s v="Michael Foley"/>
    <x v="0"/>
    <x v="8"/>
    <x v="0"/>
    <x v="0"/>
    <s v="Normal order"/>
  </r>
  <r>
    <s v="SALE646"/>
    <d v="2025-05-01T00:00:00"/>
    <x v="11"/>
    <s v="CUST1461"/>
    <s v="PROD77"/>
    <s v="STORE13"/>
    <n v="3"/>
    <n v="3"/>
    <n v="865.96"/>
    <n v="0.12"/>
    <x v="1"/>
    <n v="2286.1343999999999"/>
    <s v="High"/>
    <s v="Paul Cox"/>
    <x v="1"/>
    <x v="79"/>
    <x v="2"/>
    <x v="1"/>
    <s v="Normal order"/>
  </r>
  <r>
    <s v="SALE647"/>
    <d v="2024-10-27T00:00:00"/>
    <x v="6"/>
    <s v="CUST1169"/>
    <s v="PROD19"/>
    <s v="STORE1"/>
    <n v="3"/>
    <n v="3"/>
    <n v="79.95"/>
    <n v="0.2"/>
    <x v="2"/>
    <n v="191.88"/>
    <s v="Low"/>
    <s v="Steve Mclaughlin"/>
    <x v="0"/>
    <x v="32"/>
    <x v="0"/>
    <x v="3"/>
    <s v="Normal order"/>
  </r>
  <r>
    <s v="SALE648"/>
    <d v="2023-11-29T00:00:00"/>
    <x v="8"/>
    <s v="CUST1381"/>
    <s v="PROD26"/>
    <s v="STORE7"/>
    <n v="1"/>
    <n v="1"/>
    <n v="566.5"/>
    <n v="0.25"/>
    <x v="2"/>
    <n v="424.875"/>
    <s v="Low"/>
    <s v="Erika Padilla"/>
    <x v="1"/>
    <x v="81"/>
    <x v="1"/>
    <x v="1"/>
    <s v="Normal order"/>
  </r>
  <r>
    <s v="SALE649"/>
    <d v="2025-05-24T00:00:00"/>
    <x v="11"/>
    <s v="CUST1402"/>
    <s v="PROD21"/>
    <s v="STORE0"/>
    <n v="2"/>
    <n v="2"/>
    <n v="347.95"/>
    <n v="0.13"/>
    <x v="2"/>
    <n v="605.43299999999999"/>
    <s v="Low"/>
    <s v="Cassandra Perez"/>
    <x v="2"/>
    <x v="54"/>
    <x v="2"/>
    <x v="3"/>
    <s v="Normal order"/>
  </r>
  <r>
    <s v="SALE65"/>
    <d v="2023-12-30T00:00:00"/>
    <x v="1"/>
    <s v="CUST1162"/>
    <s v="PROD99"/>
    <s v="STORE17"/>
    <n v="2"/>
    <n v="2"/>
    <n v="856.57"/>
    <n v="0.24"/>
    <x v="0"/>
    <n v="1301.9864"/>
    <s v="High"/>
    <s v="Mariah Brown"/>
    <x v="2"/>
    <x v="86"/>
    <x v="0"/>
    <x v="1"/>
    <s v="Normal order"/>
  </r>
  <r>
    <s v="SALE650"/>
    <d v="2024-02-25T00:00:00"/>
    <x v="2"/>
    <s v="CUST1209"/>
    <s v="PROD58"/>
    <s v="STORE3"/>
    <n v="2"/>
    <n v="2"/>
    <n v="250.83"/>
    <n v="0.15"/>
    <x v="1"/>
    <n v="426.411"/>
    <s v="Low"/>
    <s v="Joan Johnson"/>
    <x v="4"/>
    <x v="36"/>
    <x v="0"/>
    <x v="2"/>
    <s v="Normal order"/>
  </r>
  <r>
    <s v="SALE651"/>
    <d v="2025-03-05T00:00:00"/>
    <x v="9"/>
    <s v="CUST1149"/>
    <s v="PROD71"/>
    <s v="STORE1"/>
    <n v="1"/>
    <n v="1"/>
    <n v="888.05"/>
    <n v="0.2"/>
    <x v="1"/>
    <n v="710.44"/>
    <s v="Low"/>
    <s v="Denise Griffin"/>
    <x v="3"/>
    <x v="57"/>
    <x v="0"/>
    <x v="2"/>
    <s v="Normal order"/>
  </r>
  <r>
    <s v="SALE652"/>
    <d v="2024-08-27T00:00:00"/>
    <x v="10"/>
    <s v="CUST1006"/>
    <s v="PROD39"/>
    <s v="STORE18"/>
    <n v="2"/>
    <n v="2"/>
    <n v="673.02"/>
    <n v="0.11"/>
    <x v="1"/>
    <n v="1197.9756"/>
    <s v="High"/>
    <s v="Amber Jackson"/>
    <x v="1"/>
    <x v="65"/>
    <x v="2"/>
    <x v="2"/>
    <s v="Normal order"/>
  </r>
  <r>
    <s v="SALE653"/>
    <d v="2024-02-10T00:00:00"/>
    <x v="2"/>
    <s v="CUST1440"/>
    <s v="PROD64"/>
    <s v="STORE3"/>
    <n v="2"/>
    <n v="2"/>
    <n v="492.62"/>
    <n v="0.26"/>
    <x v="2"/>
    <n v="729.07759999999996"/>
    <s v="Low"/>
    <s v="Tammy Trevino"/>
    <x v="3"/>
    <x v="55"/>
    <x v="0"/>
    <x v="1"/>
    <s v="Normal order"/>
  </r>
  <r>
    <s v="SALE654"/>
    <d v="2024-02-22T00:00:00"/>
    <x v="2"/>
    <s v="CUST1376"/>
    <s v="PROD85"/>
    <s v="STORE3"/>
    <n v="4"/>
    <n v="4"/>
    <n v="986.93"/>
    <n v="0.01"/>
    <x v="0"/>
    <n v="3908.2428"/>
    <s v="High"/>
    <s v="Michele Burke"/>
    <x v="4"/>
    <x v="70"/>
    <x v="0"/>
    <x v="3"/>
    <s v="Bulk order"/>
  </r>
  <r>
    <s v="SALE655"/>
    <d v="2024-04-06T00:00:00"/>
    <x v="5"/>
    <s v="CUST1479"/>
    <s v="PROD22"/>
    <s v="STORE12"/>
    <n v="4"/>
    <n v="4"/>
    <n v="411.68"/>
    <n v="0.06"/>
    <x v="1"/>
    <n v="1547.9168"/>
    <s v="High"/>
    <s v="Dylan Gutierrez"/>
    <x v="0"/>
    <x v="59"/>
    <x v="0"/>
    <x v="3"/>
    <s v="Bulk order"/>
  </r>
  <r>
    <s v="SALE656"/>
    <d v="2024-04-15T00:00:00"/>
    <x v="5"/>
    <s v="CUST1219"/>
    <s v="PROD36"/>
    <s v="STORE17"/>
    <n v="2"/>
    <n v="2"/>
    <n v="637.55999999999995"/>
    <n v="0.05"/>
    <x v="2"/>
    <n v="1211.364"/>
    <s v="High"/>
    <s v="Jordan Wells"/>
    <x v="4"/>
    <x v="88"/>
    <x v="0"/>
    <x v="0"/>
    <s v="Normal order"/>
  </r>
  <r>
    <s v="SALE657"/>
    <d v="2024-12-07T00:00:00"/>
    <x v="1"/>
    <s v="CUST1014"/>
    <s v="PROD13"/>
    <s v="STORE3"/>
    <n v="3"/>
    <n v="3"/>
    <n v="706.87"/>
    <n v="0.27"/>
    <x v="0"/>
    <n v="1548.0453"/>
    <s v="High"/>
    <s v="Ashley Cohen"/>
    <x v="1"/>
    <x v="75"/>
    <x v="0"/>
    <x v="1"/>
    <s v="Normal order"/>
  </r>
  <r>
    <s v="SALE658"/>
    <d v="2024-12-03T00:00:00"/>
    <x v="1"/>
    <s v="CUST1055"/>
    <s v="PROD15"/>
    <s v="STORE6"/>
    <n v="2"/>
    <n v="2"/>
    <n v="884.48"/>
    <n v="0"/>
    <x v="2"/>
    <n v="1768.96"/>
    <s v="High"/>
    <s v="Wayne Mcpherson"/>
    <x v="1"/>
    <x v="42"/>
    <x v="2"/>
    <x v="3"/>
    <s v="Normal order"/>
  </r>
  <r>
    <s v="SALE659"/>
    <d v="2023-12-31T00:00:00"/>
    <x v="1"/>
    <s v="CUST1047"/>
    <s v="PROD92"/>
    <s v="STORE4"/>
    <n v="3"/>
    <n v="3"/>
    <n v="718.23"/>
    <n v="0.19"/>
    <x v="1"/>
    <n v="1745.2989"/>
    <s v="High"/>
    <s v="Gina Knight"/>
    <x v="2"/>
    <x v="39"/>
    <x v="1"/>
    <x v="1"/>
    <s v="Normal order"/>
  </r>
  <r>
    <s v="SALE66"/>
    <d v="2023-10-14T00:00:00"/>
    <x v="6"/>
    <s v="CUST1269"/>
    <s v="PROD77"/>
    <s v="STORE2"/>
    <n v="4"/>
    <n v="4"/>
    <n v="814.25"/>
    <n v="0.18"/>
    <x v="0"/>
    <n v="2670.74"/>
    <s v="High"/>
    <s v="Tyrone Olson"/>
    <x v="1"/>
    <x v="79"/>
    <x v="1"/>
    <x v="1"/>
    <s v="Bulk order"/>
  </r>
  <r>
    <s v="SALE660"/>
    <d v="2025-09-14T00:00:00"/>
    <x v="7"/>
    <s v="CUST1180"/>
    <s v="PROD90"/>
    <s v="STORE18"/>
    <n v="3"/>
    <n v="3"/>
    <n v="107.44"/>
    <n v="0.27"/>
    <x v="1"/>
    <n v="235.2936"/>
    <s v="Low"/>
    <s v="Wesley Thompson"/>
    <x v="1"/>
    <x v="73"/>
    <x v="2"/>
    <x v="3"/>
    <s v="Normal order"/>
  </r>
  <r>
    <s v="SALE661"/>
    <d v="2025-01-16T00:00:00"/>
    <x v="3"/>
    <s v="CUST1056"/>
    <s v="PROD46"/>
    <s v="STORE3"/>
    <n v="4"/>
    <n v="4"/>
    <n v="608.97"/>
    <n v="0.14000000000000001"/>
    <x v="2"/>
    <n v="2094.8568"/>
    <s v="High"/>
    <s v="Christopher Sutton"/>
    <x v="4"/>
    <x v="41"/>
    <x v="0"/>
    <x v="0"/>
    <s v="Bulk order"/>
  </r>
  <r>
    <s v="SALE662"/>
    <d v="2025-02-01T00:00:00"/>
    <x v="2"/>
    <s v="CUST1354"/>
    <s v="PROD61"/>
    <s v="STORE6"/>
    <n v="3"/>
    <n v="3"/>
    <n v="260.45999999999998"/>
    <n v="0.09"/>
    <x v="0"/>
    <n v="711.05579999999986"/>
    <s v="Low"/>
    <s v="Ryan Torres"/>
    <x v="0"/>
    <x v="49"/>
    <x v="2"/>
    <x v="1"/>
    <s v="Normal order"/>
  </r>
  <r>
    <s v="SALE663"/>
    <d v="2024-12-20T00:00:00"/>
    <x v="1"/>
    <s v="CUST1123"/>
    <s v="PROD22"/>
    <s v="STORE6"/>
    <n v="1"/>
    <n v="1"/>
    <n v="747.03"/>
    <n v="0.01"/>
    <x v="0"/>
    <n v="739.55970000000002"/>
    <s v="Low"/>
    <s v="Erin Hopkins"/>
    <x v="0"/>
    <x v="59"/>
    <x v="2"/>
    <x v="1"/>
    <s v="Normal order"/>
  </r>
  <r>
    <s v="SALE664"/>
    <d v="2024-07-02T00:00:00"/>
    <x v="0"/>
    <s v="CUST1404"/>
    <s v="PROD16"/>
    <s v="STORE8"/>
    <n v="4"/>
    <n v="4"/>
    <n v="700.88"/>
    <n v="0.23"/>
    <x v="1"/>
    <n v="2158.7103999999999"/>
    <s v="High"/>
    <s v="David Ross"/>
    <x v="3"/>
    <x v="63"/>
    <x v="3"/>
    <x v="1"/>
    <s v="Bulk order"/>
  </r>
  <r>
    <s v="SALE665"/>
    <d v="2025-05-04T00:00:00"/>
    <x v="11"/>
    <s v="CUST1048"/>
    <s v="PROD95"/>
    <s v="STORE14"/>
    <n v="4"/>
    <n v="4"/>
    <n v="20.09"/>
    <n v="0.16"/>
    <x v="1"/>
    <n v="67.502399999999994"/>
    <s v="Low"/>
    <s v="April Mullins"/>
    <x v="0"/>
    <x v="28"/>
    <x v="1"/>
    <x v="2"/>
    <s v="Bulk order"/>
  </r>
  <r>
    <s v="SALE666"/>
    <d v="2024-12-28T00:00:00"/>
    <x v="1"/>
    <s v="CUST1062"/>
    <s v="PROD37"/>
    <s v="STORE11"/>
    <n v="3"/>
    <n v="3"/>
    <n v="917.64"/>
    <n v="0.24"/>
    <x v="1"/>
    <n v="2092.2192"/>
    <s v="High"/>
    <s v="James Bean"/>
    <x v="4"/>
    <x v="16"/>
    <x v="1"/>
    <x v="3"/>
    <s v="Normal order"/>
  </r>
  <r>
    <s v="SALE667"/>
    <d v="2024-10-29T00:00:00"/>
    <x v="6"/>
    <s v="CUST1051"/>
    <s v="PROD21"/>
    <s v="STORE0"/>
    <n v="1"/>
    <n v="1"/>
    <n v="242.08"/>
    <n v="0.18"/>
    <x v="1"/>
    <n v="198.50559999999999"/>
    <s v="Low"/>
    <s v="Sarah Rodgers"/>
    <x v="2"/>
    <x v="54"/>
    <x v="2"/>
    <x v="0"/>
    <s v="Normal order"/>
  </r>
  <r>
    <s v="SALE668"/>
    <d v="2024-10-16T00:00:00"/>
    <x v="6"/>
    <s v="CUST1057"/>
    <s v="PROD63"/>
    <s v="STORE7"/>
    <n v="1"/>
    <n v="1"/>
    <n v="536.67999999999995"/>
    <n v="0.27"/>
    <x v="0"/>
    <n v="391.77640000000002"/>
    <s v="Low"/>
    <s v="Jay Patel"/>
    <x v="3"/>
    <x v="11"/>
    <x v="1"/>
    <x v="2"/>
    <s v="Normal order"/>
  </r>
  <r>
    <s v="SALE669"/>
    <d v="2025-04-01T00:00:00"/>
    <x v="5"/>
    <s v="CUST1094"/>
    <s v="PROD29"/>
    <s v="STORE4"/>
    <n v="2"/>
    <n v="2"/>
    <n v="145.18"/>
    <n v="0.26"/>
    <x v="1"/>
    <n v="214.8664"/>
    <s v="Low"/>
    <s v="David Patterson"/>
    <x v="2"/>
    <x v="62"/>
    <x v="1"/>
    <x v="0"/>
    <s v="Normal order"/>
  </r>
  <r>
    <s v="SALE67"/>
    <d v="2023-11-25T00:00:00"/>
    <x v="8"/>
    <s v="CUST1483"/>
    <s v="PROD12"/>
    <s v="STORE2"/>
    <n v="1"/>
    <n v="1"/>
    <n v="989.17"/>
    <n v="0.2"/>
    <x v="1"/>
    <n v="791.33600000000001"/>
    <s v="Low"/>
    <s v="Sarah Smith"/>
    <x v="3"/>
    <x v="85"/>
    <x v="1"/>
    <x v="0"/>
    <s v="Normal order"/>
  </r>
  <r>
    <s v="SALE670"/>
    <d v="2024-03-18T00:00:00"/>
    <x v="9"/>
    <s v="CUST1221"/>
    <s v="PROD67"/>
    <s v="STORE4"/>
    <n v="2"/>
    <n v="2"/>
    <n v="132.77000000000001"/>
    <n v="0.13"/>
    <x v="2"/>
    <n v="231.0198"/>
    <s v="Low"/>
    <s v="Lisa Young"/>
    <x v="1"/>
    <x v="99"/>
    <x v="1"/>
    <x v="2"/>
    <s v="Normal order"/>
  </r>
  <r>
    <s v="SALE671"/>
    <d v="2025-02-13T00:00:00"/>
    <x v="2"/>
    <s v="CUST1013"/>
    <s v="PROD41"/>
    <s v="STORE9"/>
    <n v="4"/>
    <n v="4"/>
    <n v="682.11"/>
    <n v="0.14000000000000001"/>
    <x v="0"/>
    <n v="2346.4584"/>
    <s v="High"/>
    <s v="Nathan Hernandez"/>
    <x v="0"/>
    <x v="82"/>
    <x v="1"/>
    <x v="1"/>
    <s v="Bulk order"/>
  </r>
  <r>
    <s v="SALE672"/>
    <d v="2024-08-06T00:00:00"/>
    <x v="10"/>
    <s v="CUST1486"/>
    <s v="PROD40"/>
    <s v="STORE17"/>
    <n v="4"/>
    <n v="4"/>
    <n v="502.95"/>
    <n v="0.14000000000000001"/>
    <x v="2"/>
    <n v="1730.1479999999999"/>
    <s v="High"/>
    <s v="Eric Lee"/>
    <x v="1"/>
    <x v="50"/>
    <x v="0"/>
    <x v="3"/>
    <s v="Bulk order"/>
  </r>
  <r>
    <s v="SALE673"/>
    <d v="2024-09-03T00:00:00"/>
    <x v="7"/>
    <s v="CUST1234"/>
    <s v="PROD37"/>
    <s v="STORE16"/>
    <n v="2"/>
    <n v="2"/>
    <n v="472.08"/>
    <n v="7.0000000000000007E-2"/>
    <x v="0"/>
    <n v="878.0687999999999"/>
    <s v="Low"/>
    <s v="Nathaniel Hill"/>
    <x v="4"/>
    <x v="16"/>
    <x v="3"/>
    <x v="0"/>
    <s v="Normal order"/>
  </r>
  <r>
    <s v="SALE674"/>
    <d v="2025-01-08T00:00:00"/>
    <x v="3"/>
    <s v="CUST1473"/>
    <s v="PROD57"/>
    <s v="STORE17"/>
    <n v="2"/>
    <n v="2"/>
    <n v="218.11"/>
    <n v="0.02"/>
    <x v="2"/>
    <n v="427.49560000000002"/>
    <s v="Low"/>
    <s v="Laura Mathews"/>
    <x v="0"/>
    <x v="64"/>
    <x v="0"/>
    <x v="3"/>
    <s v="Normal order"/>
  </r>
  <r>
    <s v="SALE675"/>
    <d v="2025-07-21T00:00:00"/>
    <x v="0"/>
    <s v="CUST1057"/>
    <s v="PROD1"/>
    <s v="STORE6"/>
    <n v="4"/>
    <n v="4"/>
    <n v="845.58"/>
    <n v="0.06"/>
    <x v="1"/>
    <n v="3179.3807999999999"/>
    <s v="High"/>
    <s v="Jay Patel"/>
    <x v="4"/>
    <x v="93"/>
    <x v="2"/>
    <x v="2"/>
    <s v="Bulk order"/>
  </r>
  <r>
    <s v="SALE676"/>
    <d v="2023-11-25T00:00:00"/>
    <x v="8"/>
    <s v="CUST1128"/>
    <s v="PROD80"/>
    <s v="STORE2"/>
    <n v="2"/>
    <n v="2"/>
    <n v="111.28"/>
    <n v="0.14000000000000001"/>
    <x v="0"/>
    <n v="191.4016"/>
    <s v="Low"/>
    <s v="Susan Mcdonald"/>
    <x v="2"/>
    <x v="24"/>
    <x v="1"/>
    <x v="1"/>
    <s v="Normal order"/>
  </r>
  <r>
    <s v="SALE677"/>
    <d v="2025-07-04T00:00:00"/>
    <x v="0"/>
    <s v="CUST1177"/>
    <s v="PROD59"/>
    <s v="STORE14"/>
    <n v="2"/>
    <n v="2"/>
    <n v="37.21"/>
    <n v="0.19"/>
    <x v="0"/>
    <n v="60.280200000000008"/>
    <s v="Low"/>
    <s v="Curtis Lam"/>
    <x v="3"/>
    <x v="4"/>
    <x v="1"/>
    <x v="2"/>
    <s v="Normal order"/>
  </r>
  <r>
    <s v="SALE678"/>
    <d v="2023-10-21T00:00:00"/>
    <x v="6"/>
    <s v="CUST1417"/>
    <s v="PROD62"/>
    <s v="STORE13"/>
    <n v="1"/>
    <n v="1"/>
    <n v="331.73"/>
    <n v="0.04"/>
    <x v="0"/>
    <n v="318.46080000000001"/>
    <s v="Low"/>
    <s v="Karen King"/>
    <x v="1"/>
    <x v="19"/>
    <x v="2"/>
    <x v="3"/>
    <s v="Normal order"/>
  </r>
  <r>
    <s v="SALE679"/>
    <d v="2023-12-13T00:00:00"/>
    <x v="1"/>
    <s v="CUST1364"/>
    <s v="PROD70"/>
    <s v="STORE12"/>
    <n v="3"/>
    <n v="3"/>
    <n v="306.70999999999998"/>
    <n v="0.09"/>
    <x v="1"/>
    <n v="837.31829999999991"/>
    <s v="Low"/>
    <s v="Chloe Aguilar"/>
    <x v="2"/>
    <x v="92"/>
    <x v="0"/>
    <x v="3"/>
    <s v="Normal order"/>
  </r>
  <r>
    <s v="SALE68"/>
    <d v="2023-12-10T00:00:00"/>
    <x v="1"/>
    <s v="CUST1372"/>
    <s v="PROD72"/>
    <s v="STORE10"/>
    <n v="4"/>
    <n v="4"/>
    <n v="62.48"/>
    <n v="0.18"/>
    <x v="0"/>
    <n v="204.93440000000001"/>
    <s v="Low"/>
    <s v="Jacqueline Anthony"/>
    <x v="0"/>
    <x v="35"/>
    <x v="2"/>
    <x v="3"/>
    <s v="Bulk order"/>
  </r>
  <r>
    <s v="SALE680"/>
    <d v="2024-06-13T00:00:00"/>
    <x v="4"/>
    <s v="CUST1270"/>
    <s v="PROD25"/>
    <s v="STORE6"/>
    <n v="4"/>
    <n v="4"/>
    <n v="484.92"/>
    <n v="0.28000000000000003"/>
    <x v="1"/>
    <n v="1396.5696"/>
    <s v="High"/>
    <s v="Brian Garcia"/>
    <x v="4"/>
    <x v="13"/>
    <x v="2"/>
    <x v="0"/>
    <s v="Bulk order"/>
  </r>
  <r>
    <s v="SALE681"/>
    <d v="2024-01-01T00:00:00"/>
    <x v="3"/>
    <s v="CUST1043"/>
    <s v="PROD50"/>
    <s v="STORE5"/>
    <n v="2"/>
    <n v="2"/>
    <n v="42.04"/>
    <n v="7.0000000000000007E-2"/>
    <x v="0"/>
    <n v="78.194399999999987"/>
    <s v="Low"/>
    <s v="Joseph Snow"/>
    <x v="0"/>
    <x v="52"/>
    <x v="0"/>
    <x v="0"/>
    <s v="Normal order"/>
  </r>
  <r>
    <s v="SALE682"/>
    <d v="2023-12-18T00:00:00"/>
    <x v="1"/>
    <s v="CUST1281"/>
    <s v="PROD55"/>
    <s v="STORE6"/>
    <n v="3"/>
    <n v="3"/>
    <n v="599.48"/>
    <n v="0.22"/>
    <x v="1"/>
    <n v="1402.7832000000001"/>
    <s v="High"/>
    <s v="Brittany Watson"/>
    <x v="2"/>
    <x v="25"/>
    <x v="2"/>
    <x v="2"/>
    <s v="Normal order"/>
  </r>
  <r>
    <s v="SALE683"/>
    <d v="2023-11-02T00:00:00"/>
    <x v="8"/>
    <s v="CUST1357"/>
    <s v="PROD17"/>
    <s v="STORE1"/>
    <n v="3"/>
    <n v="3"/>
    <n v="401.42"/>
    <n v="0.01"/>
    <x v="2"/>
    <n v="1192.2174"/>
    <s v="High"/>
    <s v="Manuel Castillo"/>
    <x v="0"/>
    <x v="29"/>
    <x v="0"/>
    <x v="0"/>
    <s v="Normal order"/>
  </r>
  <r>
    <s v="SALE684"/>
    <d v="2025-09-07T00:00:00"/>
    <x v="7"/>
    <s v="CUST1192"/>
    <s v="PROD46"/>
    <s v="STORE8"/>
    <n v="4"/>
    <n v="4"/>
    <n v="442.54"/>
    <n v="0.06"/>
    <x v="0"/>
    <n v="1663.9503999999999"/>
    <s v="High"/>
    <s v="Jacob Wood"/>
    <x v="4"/>
    <x v="41"/>
    <x v="3"/>
    <x v="0"/>
    <s v="Bulk order"/>
  </r>
  <r>
    <s v="SALE685"/>
    <d v="2023-12-10T00:00:00"/>
    <x v="1"/>
    <s v="CUST1456"/>
    <s v="PROD88"/>
    <s v="STORE13"/>
    <n v="4"/>
    <n v="4"/>
    <n v="451.41"/>
    <n v="0.06"/>
    <x v="1"/>
    <n v="1697.3016"/>
    <s v="High"/>
    <s v="Julie Powell"/>
    <x v="0"/>
    <x v="90"/>
    <x v="2"/>
    <x v="0"/>
    <s v="Bulk order"/>
  </r>
  <r>
    <s v="SALE686"/>
    <d v="2025-10-12T00:00:00"/>
    <x v="6"/>
    <s v="CUST1265"/>
    <s v="PROD91"/>
    <s v="STORE9"/>
    <n v="4"/>
    <n v="4"/>
    <n v="547.21"/>
    <n v="0.25"/>
    <x v="0"/>
    <n v="1641.63"/>
    <s v="High"/>
    <s v="Tracy Kelly"/>
    <x v="4"/>
    <x v="67"/>
    <x v="1"/>
    <x v="1"/>
    <s v="Bulk order"/>
  </r>
  <r>
    <s v="SALE687"/>
    <d v="2025-04-03T00:00:00"/>
    <x v="5"/>
    <s v="CUST1203"/>
    <s v="PROD87"/>
    <s v="STORE4"/>
    <n v="1"/>
    <n v="1"/>
    <n v="979.28"/>
    <n v="0.2"/>
    <x v="1"/>
    <n v="783.42399999999998"/>
    <s v="Low"/>
    <s v="Sarah Brady"/>
    <x v="2"/>
    <x v="48"/>
    <x v="1"/>
    <x v="2"/>
    <s v="Normal order"/>
  </r>
  <r>
    <s v="SALE688"/>
    <d v="2024-01-09T00:00:00"/>
    <x v="3"/>
    <s v="CUST1464"/>
    <s v="PROD56"/>
    <s v="STORE7"/>
    <n v="4"/>
    <n v="4"/>
    <n v="263.58999999999997"/>
    <n v="0.04"/>
    <x v="0"/>
    <n v="1012.1856"/>
    <s v="High"/>
    <s v="David Pierce"/>
    <x v="2"/>
    <x v="87"/>
    <x v="1"/>
    <x v="2"/>
    <s v="Bulk order"/>
  </r>
  <r>
    <s v="SALE689"/>
    <d v="2025-08-07T00:00:00"/>
    <x v="10"/>
    <s v="CUST1002"/>
    <s v="PROD54"/>
    <s v="STORE5"/>
    <n v="1"/>
    <n v="1"/>
    <n v="692.75"/>
    <n v="0.11"/>
    <x v="2"/>
    <n v="616.54750000000001"/>
    <s v="Low"/>
    <s v="Dr. Benjamin Price"/>
    <x v="0"/>
    <x v="8"/>
    <x v="0"/>
    <x v="2"/>
    <s v="Normal order"/>
  </r>
  <r>
    <s v="SALE69"/>
    <d v="2025-08-28T00:00:00"/>
    <x v="10"/>
    <s v="CUST1423"/>
    <s v="PROD13"/>
    <s v="STORE16"/>
    <n v="4"/>
    <n v="4"/>
    <n v="561.24"/>
    <n v="0.24"/>
    <x v="0"/>
    <n v="1706.1695999999999"/>
    <s v="High"/>
    <s v="Rebecca Baker"/>
    <x v="1"/>
    <x v="75"/>
    <x v="3"/>
    <x v="1"/>
    <s v="Bulk order"/>
  </r>
  <r>
    <s v="SALE690"/>
    <d v="2024-01-10T00:00:00"/>
    <x v="3"/>
    <s v="CUST1163"/>
    <s v="PROD63"/>
    <s v="STORE3"/>
    <n v="3"/>
    <n v="3"/>
    <n v="142.83000000000001"/>
    <n v="0.01"/>
    <x v="0"/>
    <n v="424.20510000000002"/>
    <s v="Low"/>
    <s v="Joseph Jones"/>
    <x v="3"/>
    <x v="11"/>
    <x v="0"/>
    <x v="3"/>
    <s v="Normal order"/>
  </r>
  <r>
    <s v="SALE691"/>
    <d v="2025-07-19T00:00:00"/>
    <x v="0"/>
    <s v="CUST1124"/>
    <s v="PROD22"/>
    <s v="STORE2"/>
    <n v="2"/>
    <n v="2"/>
    <n v="419.25"/>
    <n v="0.17"/>
    <x v="1"/>
    <n v="695.95499999999993"/>
    <s v="Low"/>
    <s v="Donald Lee"/>
    <x v="0"/>
    <x v="59"/>
    <x v="1"/>
    <x v="3"/>
    <s v="Normal order"/>
  </r>
  <r>
    <s v="SALE692"/>
    <d v="2024-12-24T00:00:00"/>
    <x v="1"/>
    <s v="CUST1240"/>
    <s v="PROD26"/>
    <s v="STORE19"/>
    <n v="2"/>
    <n v="2"/>
    <n v="800.84"/>
    <n v="0.27"/>
    <x v="2"/>
    <n v="1169.2264"/>
    <s v="High"/>
    <s v="William Hull"/>
    <x v="1"/>
    <x v="81"/>
    <x v="2"/>
    <x v="2"/>
    <s v="Normal order"/>
  </r>
  <r>
    <s v="SALE693"/>
    <d v="2024-08-16T00:00:00"/>
    <x v="10"/>
    <s v="CUST1001"/>
    <s v="PROD48"/>
    <s v="STORE2"/>
    <n v="1"/>
    <n v="1"/>
    <n v="301.24"/>
    <n v="0.11"/>
    <x v="1"/>
    <n v="268.10359999999997"/>
    <s v="Low"/>
    <s v="Eugene Nelson"/>
    <x v="1"/>
    <x v="66"/>
    <x v="1"/>
    <x v="2"/>
    <s v="Normal order"/>
  </r>
  <r>
    <s v="SALE694"/>
    <d v="2024-07-24T00:00:00"/>
    <x v="0"/>
    <s v="CUST1288"/>
    <s v="PROD85"/>
    <s v="STORE5"/>
    <n v="2"/>
    <n v="2"/>
    <n v="701.49"/>
    <n v="0.09"/>
    <x v="1"/>
    <n v="1276.7118"/>
    <s v="High"/>
    <s v="Misty Ferguson"/>
    <x v="4"/>
    <x v="70"/>
    <x v="0"/>
    <x v="0"/>
    <s v="Normal order"/>
  </r>
  <r>
    <s v="SALE695"/>
    <d v="2024-11-19T00:00:00"/>
    <x v="8"/>
    <s v="CUST1351"/>
    <s v="PROD26"/>
    <s v="STORE10"/>
    <n v="4"/>
    <n v="4"/>
    <n v="413.48"/>
    <n v="0.02"/>
    <x v="1"/>
    <n v="1620.8416"/>
    <s v="High"/>
    <s v="Jeffrey Mccarthy"/>
    <x v="1"/>
    <x v="81"/>
    <x v="2"/>
    <x v="3"/>
    <s v="Bulk order"/>
  </r>
  <r>
    <s v="SALE696"/>
    <d v="2024-03-14T00:00:00"/>
    <x v="9"/>
    <s v="CUST1197"/>
    <s v="PROD8"/>
    <s v="STORE1"/>
    <n v="4"/>
    <n v="4"/>
    <n v="167.83"/>
    <n v="0.15"/>
    <x v="0"/>
    <n v="570.62200000000007"/>
    <s v="Low"/>
    <s v="Andrea Jacobs"/>
    <x v="1"/>
    <x v="12"/>
    <x v="0"/>
    <x v="2"/>
    <s v="Bulk order"/>
  </r>
  <r>
    <s v="SALE697"/>
    <d v="2025-06-24T00:00:00"/>
    <x v="4"/>
    <s v="CUST1139"/>
    <s v="PROD15"/>
    <s v="STORE18"/>
    <n v="2"/>
    <n v="2"/>
    <n v="669.12"/>
    <n v="0.22"/>
    <x v="0"/>
    <n v="1043.8271999999999"/>
    <s v="High"/>
    <s v="Brian Holder"/>
    <x v="1"/>
    <x v="42"/>
    <x v="2"/>
    <x v="3"/>
    <s v="Normal order"/>
  </r>
  <r>
    <s v="SALE698"/>
    <d v="2024-08-26T00:00:00"/>
    <x v="10"/>
    <s v="CUST1039"/>
    <s v="PROD37"/>
    <s v="STORE7"/>
    <n v="3"/>
    <n v="3"/>
    <n v="346.77"/>
    <n v="0.18"/>
    <x v="1"/>
    <n v="853.05420000000004"/>
    <s v="Low"/>
    <s v="Tonya Reynolds"/>
    <x v="4"/>
    <x v="16"/>
    <x v="1"/>
    <x v="0"/>
    <s v="Normal order"/>
  </r>
  <r>
    <s v="SALE699"/>
    <d v="2025-10-09T00:00:00"/>
    <x v="6"/>
    <s v="CUST1059"/>
    <s v="PROD23"/>
    <s v="STORE19"/>
    <n v="3"/>
    <n v="3"/>
    <n v="648.33000000000004"/>
    <n v="0.2"/>
    <x v="2"/>
    <n v="1555.992"/>
    <s v="High"/>
    <s v="Alyssa Vargas"/>
    <x v="4"/>
    <x v="9"/>
    <x v="2"/>
    <x v="2"/>
    <s v="Normal order"/>
  </r>
  <r>
    <s v="SALE7"/>
    <d v="2023-11-18T00:00:00"/>
    <x v="8"/>
    <s v="CUST1152"/>
    <s v="PROD70"/>
    <s v="STORE8"/>
    <n v="4"/>
    <n v="4"/>
    <n v="342.39"/>
    <n v="0.23"/>
    <x v="1"/>
    <n v="1054.5612000000001"/>
    <s v="High"/>
    <s v="Patrick Roberts"/>
    <x v="2"/>
    <x v="92"/>
    <x v="3"/>
    <x v="2"/>
    <s v="Bulk order"/>
  </r>
  <r>
    <s v="SALE70"/>
    <d v="2025-07-11T00:00:00"/>
    <x v="0"/>
    <s v="CUST1058"/>
    <s v="PROD60"/>
    <s v="STORE5"/>
    <n v="3"/>
    <n v="3"/>
    <n v="92.24"/>
    <n v="0.28000000000000003"/>
    <x v="2"/>
    <m/>
    <s v="Low"/>
    <s v="Cheryl Copeland"/>
    <x v="3"/>
    <x v="18"/>
    <x v="0"/>
    <x v="2"/>
    <s v="Normal order"/>
  </r>
  <r>
    <s v="SALE700"/>
    <d v="2024-04-19T00:00:00"/>
    <x v="5"/>
    <s v="CUST1285"/>
    <s v="PROD6"/>
    <s v="STORE2"/>
    <n v="4"/>
    <n v="4"/>
    <n v="254.94"/>
    <n v="0.06"/>
    <x v="1"/>
    <n v="958.57439999999997"/>
    <s v="Low"/>
    <s v="Donna Guerra"/>
    <x v="3"/>
    <x v="95"/>
    <x v="1"/>
    <x v="1"/>
    <s v="Bulk order"/>
  </r>
  <r>
    <s v="SALE701"/>
    <d v="2024-05-08T00:00:00"/>
    <x v="11"/>
    <s v="CUST1338"/>
    <s v="PROD81"/>
    <s v="STORE4"/>
    <n v="1"/>
    <n v="1"/>
    <n v="445.5"/>
    <n v="0.28000000000000003"/>
    <x v="0"/>
    <n v="320.76"/>
    <s v="Low"/>
    <s v="Jasmine Snyder"/>
    <x v="0"/>
    <x v="15"/>
    <x v="1"/>
    <x v="1"/>
    <s v="Normal order"/>
  </r>
  <r>
    <s v="SALE702"/>
    <d v="2024-06-16T00:00:00"/>
    <x v="4"/>
    <s v="CUST1221"/>
    <s v="PROD90"/>
    <s v="STORE4"/>
    <n v="1"/>
    <n v="1"/>
    <n v="900.94"/>
    <n v="0.1"/>
    <x v="0"/>
    <n v="810.84600000000012"/>
    <s v="Low"/>
    <s v="Lisa Young"/>
    <x v="1"/>
    <x v="73"/>
    <x v="1"/>
    <x v="2"/>
    <s v="Normal order"/>
  </r>
  <r>
    <s v="SALE703"/>
    <d v="2024-05-17T00:00:00"/>
    <x v="11"/>
    <s v="CUST1196"/>
    <s v="PROD15"/>
    <s v="STORE16"/>
    <n v="3"/>
    <n v="3"/>
    <n v="262.69"/>
    <n v="0.04"/>
    <x v="1"/>
    <n v="756.54719999999986"/>
    <s v="Low"/>
    <s v="Megan Greer"/>
    <x v="1"/>
    <x v="42"/>
    <x v="3"/>
    <x v="2"/>
    <s v="Normal order"/>
  </r>
  <r>
    <s v="SALE704"/>
    <d v="2024-04-04T00:00:00"/>
    <x v="5"/>
    <s v="CUST1482"/>
    <s v="PROD68"/>
    <s v="STORE2"/>
    <n v="3"/>
    <n v="3"/>
    <n v="212.72"/>
    <n v="0.22"/>
    <x v="1"/>
    <n v="497.76479999999998"/>
    <s v="Low"/>
    <s v="Sheri Joyce"/>
    <x v="2"/>
    <x v="97"/>
    <x v="1"/>
    <x v="2"/>
    <s v="Normal order"/>
  </r>
  <r>
    <s v="SALE705"/>
    <d v="2025-05-26T00:00:00"/>
    <x v="11"/>
    <s v="CUST1151"/>
    <s v="PROD24"/>
    <s v="STORE18"/>
    <n v="4"/>
    <n v="4"/>
    <n v="757.9"/>
    <n v="0.22"/>
    <x v="1"/>
    <n v="2364.6480000000001"/>
    <s v="High"/>
    <s v="Michael Davies"/>
    <x v="0"/>
    <x v="2"/>
    <x v="2"/>
    <x v="0"/>
    <s v="Bulk order"/>
  </r>
  <r>
    <s v="SALE706"/>
    <d v="2024-02-24T00:00:00"/>
    <x v="2"/>
    <s v="CUST1017"/>
    <s v="PROD80"/>
    <s v="STORE17"/>
    <n v="1"/>
    <n v="1"/>
    <n v="846.04"/>
    <n v="0.08"/>
    <x v="1"/>
    <n v="778.35680000000002"/>
    <s v="Low"/>
    <s v="Adam Cruz"/>
    <x v="2"/>
    <x v="24"/>
    <x v="0"/>
    <x v="2"/>
    <s v="Normal order"/>
  </r>
  <r>
    <s v="SALE707"/>
    <d v="2023-12-07T00:00:00"/>
    <x v="1"/>
    <s v="CUST1159"/>
    <s v="PROD38"/>
    <s v="STORE7"/>
    <n v="3"/>
    <n v="3"/>
    <n v="179.7"/>
    <n v="0.17"/>
    <x v="2"/>
    <n v="447.45299999999992"/>
    <s v="Low"/>
    <s v="Brian Choi"/>
    <x v="0"/>
    <x v="43"/>
    <x v="1"/>
    <x v="0"/>
    <s v="Normal order"/>
  </r>
  <r>
    <s v="SALE708"/>
    <d v="2024-10-07T00:00:00"/>
    <x v="6"/>
    <s v="CUST1446"/>
    <s v="PROD31"/>
    <s v="STORE4"/>
    <n v="4"/>
    <n v="4"/>
    <n v="681.08"/>
    <n v="0"/>
    <x v="1"/>
    <n v="2724.32"/>
    <s v="High"/>
    <s v="Shannon Turner"/>
    <x v="0"/>
    <x v="72"/>
    <x v="1"/>
    <x v="1"/>
    <s v="Bulk order"/>
  </r>
  <r>
    <s v="SALE709"/>
    <d v="2023-11-22T00:00:00"/>
    <x v="8"/>
    <s v="CUST1403"/>
    <s v="PROD4"/>
    <s v="STORE7"/>
    <n v="4"/>
    <n v="4"/>
    <n v="723.44"/>
    <n v="0.14000000000000001"/>
    <x v="1"/>
    <n v="2488.6336000000001"/>
    <s v="High"/>
    <s v="Justin Ingram"/>
    <x v="4"/>
    <x v="58"/>
    <x v="1"/>
    <x v="3"/>
    <s v="Bulk order"/>
  </r>
  <r>
    <s v="SALE71"/>
    <d v="2025-08-20T00:00:00"/>
    <x v="10"/>
    <s v="CUST1168"/>
    <s v="PROD72"/>
    <s v="STORE1"/>
    <n v="2"/>
    <n v="2"/>
    <n v="668.3"/>
    <n v="7.0000000000000007E-2"/>
    <x v="0"/>
    <n v="1243.038"/>
    <s v="High"/>
    <s v="Daniel Contreras"/>
    <x v="0"/>
    <x v="35"/>
    <x v="0"/>
    <x v="2"/>
    <s v="Normal order"/>
  </r>
  <r>
    <s v="SALE710"/>
    <d v="2025-10-09T00:00:00"/>
    <x v="6"/>
    <s v="CUST1126"/>
    <s v="PROD31"/>
    <s v="STORE14"/>
    <n v="4"/>
    <n v="4"/>
    <n v="471.89"/>
    <n v="0.12"/>
    <x v="2"/>
    <n v="1661.0527999999999"/>
    <s v="High"/>
    <s v="James Wolfe"/>
    <x v="0"/>
    <x v="72"/>
    <x v="1"/>
    <x v="0"/>
    <s v="Bulk order"/>
  </r>
  <r>
    <s v="SALE711"/>
    <d v="2024-09-24T00:00:00"/>
    <x v="7"/>
    <s v="CUST1366"/>
    <s v="PROD71"/>
    <s v="STORE17"/>
    <n v="1"/>
    <n v="1"/>
    <n v="613.17999999999995"/>
    <n v="0.14000000000000001"/>
    <x v="2"/>
    <n v="527.33479999999997"/>
    <s v="Low"/>
    <s v="Mallory Allen"/>
    <x v="3"/>
    <x v="57"/>
    <x v="0"/>
    <x v="2"/>
    <s v="Normal order"/>
  </r>
  <r>
    <s v="SALE712"/>
    <d v="2023-10-30T00:00:00"/>
    <x v="6"/>
    <s v="CUST1051"/>
    <s v="PROD43"/>
    <s v="STORE4"/>
    <n v="1"/>
    <n v="1"/>
    <n v="651.30999999999995"/>
    <n v="0.24"/>
    <x v="1"/>
    <n v="494.99560000000002"/>
    <s v="Low"/>
    <s v="Sarah Rodgers"/>
    <x v="1"/>
    <x v="34"/>
    <x v="1"/>
    <x v="0"/>
    <s v="Normal order"/>
  </r>
  <r>
    <s v="SALE713"/>
    <d v="2024-02-11T00:00:00"/>
    <x v="2"/>
    <s v="CUST1024"/>
    <s v="PROD3"/>
    <s v="STORE6"/>
    <n v="2"/>
    <n v="2"/>
    <n v="635.14"/>
    <n v="0.1"/>
    <x v="2"/>
    <n v="1143.252"/>
    <s v="High"/>
    <s v="Heather Collins"/>
    <x v="4"/>
    <x v="84"/>
    <x v="2"/>
    <x v="2"/>
    <s v="Normal order"/>
  </r>
  <r>
    <s v="SALE714"/>
    <d v="2025-04-05T00:00:00"/>
    <x v="5"/>
    <s v="CUST1380"/>
    <s v="PROD98"/>
    <s v="STORE14"/>
    <n v="4"/>
    <n v="4"/>
    <n v="912.61"/>
    <n v="0.14000000000000001"/>
    <x v="0"/>
    <n v="3139.3784000000001"/>
    <s v="High"/>
    <s v="Shelley Ponce"/>
    <x v="1"/>
    <x v="51"/>
    <x v="1"/>
    <x v="0"/>
    <s v="Bulk order"/>
  </r>
  <r>
    <s v="SALE715"/>
    <d v="2025-05-18T00:00:00"/>
    <x v="11"/>
    <s v="CUST1274"/>
    <s v="PROD47"/>
    <s v="STORE7"/>
    <n v="3"/>
    <n v="3"/>
    <n v="79.77"/>
    <n v="0.09"/>
    <x v="0"/>
    <n v="217.77209999999999"/>
    <s v="Low"/>
    <s v="Sarah Lane"/>
    <x v="3"/>
    <x v="37"/>
    <x v="1"/>
    <x v="1"/>
    <s v="Normal order"/>
  </r>
  <r>
    <s v="SALE716"/>
    <d v="2025-04-08T00:00:00"/>
    <x v="5"/>
    <s v="CUST1277"/>
    <s v="PROD94"/>
    <s v="STORE15"/>
    <n v="4"/>
    <n v="4"/>
    <n v="603.52"/>
    <n v="0.25"/>
    <x v="0"/>
    <n v="1810.56"/>
    <s v="High"/>
    <s v="Jeffrey Gomez"/>
    <x v="3"/>
    <x v="89"/>
    <x v="0"/>
    <x v="2"/>
    <s v="Bulk order"/>
  </r>
  <r>
    <s v="SALE717"/>
    <d v="2024-11-29T00:00:00"/>
    <x v="8"/>
    <s v="CUST1077"/>
    <s v="PROD77"/>
    <s v="STORE12"/>
    <n v="4"/>
    <n v="4"/>
    <n v="453.12"/>
    <n v="0.23"/>
    <x v="2"/>
    <n v="1395.6096"/>
    <s v="High"/>
    <s v="Katherine Young"/>
    <x v="1"/>
    <x v="79"/>
    <x v="0"/>
    <x v="0"/>
    <s v="Bulk order"/>
  </r>
  <r>
    <s v="SALE718"/>
    <d v="2024-12-30T00:00:00"/>
    <x v="1"/>
    <s v="CUST1497"/>
    <s v="PROD33"/>
    <s v="STORE9"/>
    <n v="2"/>
    <n v="2"/>
    <n v="974.35"/>
    <n v="0.15"/>
    <x v="0"/>
    <n v="1656.395"/>
    <s v="High"/>
    <s v="Sarah Marsh"/>
    <x v="2"/>
    <x v="3"/>
    <x v="1"/>
    <x v="0"/>
    <s v="Normal order"/>
  </r>
  <r>
    <s v="SALE719"/>
    <d v="2025-06-16T00:00:00"/>
    <x v="4"/>
    <s v="CUST1476"/>
    <s v="PROD95"/>
    <s v="STORE17"/>
    <n v="4"/>
    <n v="4"/>
    <n v="52.35"/>
    <n v="0.23"/>
    <x v="2"/>
    <n v="161.238"/>
    <s v="Low"/>
    <s v="Elizabeth Foster"/>
    <x v="0"/>
    <x v="28"/>
    <x v="0"/>
    <x v="0"/>
    <s v="Bulk order"/>
  </r>
  <r>
    <s v="SALE72"/>
    <d v="2024-08-29T00:00:00"/>
    <x v="10"/>
    <s v="CUST1409"/>
    <s v="PROD38"/>
    <s v="STORE5"/>
    <n v="1"/>
    <n v="1"/>
    <n v="553.82000000000005"/>
    <n v="0.09"/>
    <x v="0"/>
    <n v="503.97620000000012"/>
    <s v="Low"/>
    <s v="Sarah Smith"/>
    <x v="0"/>
    <x v="43"/>
    <x v="0"/>
    <x v="0"/>
    <s v="Normal order"/>
  </r>
  <r>
    <s v="SALE720"/>
    <d v="2025-06-16T00:00:00"/>
    <x v="4"/>
    <s v="CUST1370"/>
    <s v="PROD65"/>
    <s v="STORE17"/>
    <n v="3"/>
    <n v="3"/>
    <n v="681.58"/>
    <n v="0.23"/>
    <x v="0"/>
    <n v="1574.4498000000001"/>
    <s v="High"/>
    <s v="James Holloway Jr."/>
    <x v="0"/>
    <x v="74"/>
    <x v="0"/>
    <x v="1"/>
    <s v="Normal order"/>
  </r>
  <r>
    <s v="SALE721"/>
    <d v="2024-04-02T00:00:00"/>
    <x v="5"/>
    <s v="CUST1177"/>
    <s v="PROD83"/>
    <s v="STORE15"/>
    <n v="3"/>
    <n v="3"/>
    <n v="71.23"/>
    <n v="0.03"/>
    <x v="0"/>
    <n v="207.27930000000001"/>
    <s v="Low"/>
    <s v="Curtis Lam"/>
    <x v="3"/>
    <x v="61"/>
    <x v="0"/>
    <x v="2"/>
    <s v="Normal order"/>
  </r>
  <r>
    <s v="SALE722"/>
    <d v="2024-03-28T00:00:00"/>
    <x v="9"/>
    <s v="CUST1241"/>
    <s v="PROD15"/>
    <s v="STORE14"/>
    <n v="1"/>
    <n v="1"/>
    <n v="31.36"/>
    <n v="0.21"/>
    <x v="2"/>
    <n v="24.7744"/>
    <s v="Low"/>
    <s v="Mr. William Horton"/>
    <x v="1"/>
    <x v="42"/>
    <x v="1"/>
    <x v="2"/>
    <s v="Normal order"/>
  </r>
  <r>
    <s v="SALE723"/>
    <d v="2025-01-17T00:00:00"/>
    <x v="3"/>
    <s v="CUST1341"/>
    <s v="PROD41"/>
    <s v="STORE13"/>
    <n v="2"/>
    <n v="2"/>
    <n v="555.54999999999995"/>
    <n v="0.14000000000000001"/>
    <x v="0"/>
    <n v="955.54599999999994"/>
    <s v="Low"/>
    <s v="Angela Williams"/>
    <x v="0"/>
    <x v="82"/>
    <x v="2"/>
    <x v="3"/>
    <s v="Normal order"/>
  </r>
  <r>
    <s v="SALE724"/>
    <d v="2025-04-13T00:00:00"/>
    <x v="5"/>
    <s v="CUST1251"/>
    <s v="PROD66"/>
    <s v="STORE16"/>
    <n v="4"/>
    <n v="4"/>
    <n v="805.99"/>
    <n v="0.06"/>
    <x v="0"/>
    <n v="3030.5223999999998"/>
    <s v="High"/>
    <s v="Tyler Garner"/>
    <x v="3"/>
    <x v="46"/>
    <x v="3"/>
    <x v="1"/>
    <s v="Bulk order"/>
  </r>
  <r>
    <s v="SALE725"/>
    <d v="2024-07-01T00:00:00"/>
    <x v="0"/>
    <s v="CUST1388"/>
    <s v="PROD71"/>
    <s v="STORE1"/>
    <n v="1"/>
    <n v="1"/>
    <n v="506.55"/>
    <n v="0.28000000000000003"/>
    <x v="0"/>
    <n v="364.71600000000001"/>
    <s v="Low"/>
    <s v="Timothy Valenzuela"/>
    <x v="3"/>
    <x v="57"/>
    <x v="0"/>
    <x v="2"/>
    <s v="Normal order"/>
  </r>
  <r>
    <s v="SALE726"/>
    <d v="2024-12-14T00:00:00"/>
    <x v="1"/>
    <s v="CUST1130"/>
    <s v="PROD41"/>
    <s v="STORE11"/>
    <n v="3"/>
    <n v="3"/>
    <n v="28.69"/>
    <n v="0.02"/>
    <x v="0"/>
    <n v="84.348600000000005"/>
    <s v="Low"/>
    <s v="Jamie Reyes"/>
    <x v="0"/>
    <x v="82"/>
    <x v="1"/>
    <x v="2"/>
    <s v="Normal order"/>
  </r>
  <r>
    <s v="SALE727"/>
    <d v="2023-11-23T00:00:00"/>
    <x v="8"/>
    <s v="CUST1387"/>
    <s v="PROD76"/>
    <s v="STORE4"/>
    <n v="1"/>
    <n v="1"/>
    <n v="106.07"/>
    <n v="0.23"/>
    <x v="2"/>
    <n v="81.673900000000003"/>
    <s v="Low"/>
    <s v="Timothy Gardner"/>
    <x v="1"/>
    <x v="45"/>
    <x v="1"/>
    <x v="1"/>
    <s v="Normal order"/>
  </r>
  <r>
    <s v="SALE728"/>
    <d v="2023-10-26T00:00:00"/>
    <x v="6"/>
    <s v="CUST1260"/>
    <s v="PROD91"/>
    <s v="STORE0"/>
    <n v="4"/>
    <n v="4"/>
    <n v="289.77"/>
    <n v="0.06"/>
    <x v="1"/>
    <n v="1089.5352"/>
    <s v="High"/>
    <s v="Russell Lamb"/>
    <x v="4"/>
    <x v="67"/>
    <x v="2"/>
    <x v="2"/>
    <s v="Bulk order"/>
  </r>
  <r>
    <s v="SALE729"/>
    <d v="2023-12-03T00:00:00"/>
    <x v="1"/>
    <s v="CUST1156"/>
    <s v="PROD83"/>
    <s v="STORE18"/>
    <n v="2"/>
    <n v="2"/>
    <n v="354.26"/>
    <n v="0.01"/>
    <x v="2"/>
    <n v="701.4348"/>
    <s v="Low"/>
    <s v="Maria Sanchez"/>
    <x v="3"/>
    <x v="61"/>
    <x v="2"/>
    <x v="3"/>
    <s v="Normal order"/>
  </r>
  <r>
    <s v="SALE73"/>
    <d v="2024-11-30T00:00:00"/>
    <x v="8"/>
    <s v="CUST1037"/>
    <s v="PROD45"/>
    <s v="STORE11"/>
    <n v="2"/>
    <n v="2"/>
    <n v="556.42999999999995"/>
    <n v="0.13"/>
    <x v="0"/>
    <n v="968.18819999999994"/>
    <s v="Low"/>
    <s v="Christopher Carter"/>
    <x v="0"/>
    <x v="23"/>
    <x v="1"/>
    <x v="4"/>
    <s v="Normal order"/>
  </r>
  <r>
    <s v="SALE730"/>
    <d v="2024-09-19T00:00:00"/>
    <x v="7"/>
    <s v="CUST1385"/>
    <s v="PROD68"/>
    <s v="STORE14"/>
    <n v="1"/>
    <n v="1"/>
    <n v="522.72"/>
    <n v="0.25"/>
    <x v="1"/>
    <n v="392.04"/>
    <s v="Low"/>
    <s v="Tammy Brennan"/>
    <x v="2"/>
    <x v="97"/>
    <x v="1"/>
    <x v="0"/>
    <s v="Normal order"/>
  </r>
  <r>
    <s v="SALE731"/>
    <d v="2024-10-04T00:00:00"/>
    <x v="6"/>
    <s v="CUST1057"/>
    <s v="PROD5"/>
    <s v="STORE9"/>
    <n v="3"/>
    <n v="3"/>
    <n v="966.02"/>
    <n v="0.03"/>
    <x v="2"/>
    <n v="2811.1181999999999"/>
    <s v="High"/>
    <s v="Jay Patel"/>
    <x v="4"/>
    <x v="91"/>
    <x v="1"/>
    <x v="2"/>
    <s v="Normal order"/>
  </r>
  <r>
    <s v="SALE732"/>
    <d v="2023-10-18T00:00:00"/>
    <x v="6"/>
    <s v="CUST1224"/>
    <s v="PROD50"/>
    <s v="STORE17"/>
    <n v="1"/>
    <n v="1"/>
    <n v="498.61"/>
    <n v="0.04"/>
    <x v="1"/>
    <n v="478.66559999999998"/>
    <s v="Low"/>
    <s v="Anthony Morgan"/>
    <x v="0"/>
    <x v="52"/>
    <x v="0"/>
    <x v="1"/>
    <s v="Normal order"/>
  </r>
  <r>
    <s v="SALE733"/>
    <d v="2025-05-06T00:00:00"/>
    <x v="11"/>
    <s v="CUST1330"/>
    <s v="PROD42"/>
    <s v="STORE6"/>
    <n v="4"/>
    <n v="4"/>
    <n v="758.27"/>
    <n v="0.05"/>
    <x v="1"/>
    <n v="2881.4259999999999"/>
    <s v="High"/>
    <s v="Pamela Mcguire"/>
    <x v="1"/>
    <x v="71"/>
    <x v="2"/>
    <x v="2"/>
    <s v="Bulk order"/>
  </r>
  <r>
    <s v="SALE734"/>
    <d v="2024-03-20T00:00:00"/>
    <x v="9"/>
    <s v="CUST1198"/>
    <s v="PROD3"/>
    <s v="STORE2"/>
    <n v="2"/>
    <n v="2"/>
    <n v="371.03"/>
    <n v="0.23"/>
    <x v="1"/>
    <n v="571.38619999999992"/>
    <s v="Low"/>
    <s v="Wanda Snyder"/>
    <x v="4"/>
    <x v="84"/>
    <x v="1"/>
    <x v="3"/>
    <s v="Normal order"/>
  </r>
  <r>
    <s v="SALE735"/>
    <d v="2024-06-10T00:00:00"/>
    <x v="4"/>
    <s v="CUST1355"/>
    <s v="PROD91"/>
    <s v="STORE17"/>
    <n v="1"/>
    <n v="1"/>
    <n v="230.32"/>
    <n v="0.05"/>
    <x v="2"/>
    <n v="218.804"/>
    <s v="Low"/>
    <s v="Carlos Flores"/>
    <x v="4"/>
    <x v="67"/>
    <x v="0"/>
    <x v="0"/>
    <s v="Normal order"/>
  </r>
  <r>
    <s v="SALE736"/>
    <d v="2024-08-22T00:00:00"/>
    <x v="10"/>
    <s v="CUST1342"/>
    <s v="PROD61"/>
    <s v="STORE6"/>
    <n v="2"/>
    <n v="2"/>
    <n v="985.43"/>
    <n v="0.28000000000000003"/>
    <x v="2"/>
    <n v="1419.0192"/>
    <s v="High"/>
    <s v="Michelle Cunningham"/>
    <x v="0"/>
    <x v="49"/>
    <x v="2"/>
    <x v="3"/>
    <s v="Normal order"/>
  </r>
  <r>
    <s v="SALE737"/>
    <d v="2025-04-09T00:00:00"/>
    <x v="5"/>
    <s v="CUST1422"/>
    <s v="PROD9"/>
    <s v="STORE4"/>
    <n v="2"/>
    <n v="2"/>
    <n v="492.5"/>
    <n v="0.3"/>
    <x v="1"/>
    <n v="689.5"/>
    <s v="Low"/>
    <s v="Brittany Edwards Dds"/>
    <x v="0"/>
    <x v="98"/>
    <x v="1"/>
    <x v="2"/>
    <s v="Normal order"/>
  </r>
  <r>
    <s v="SALE738"/>
    <d v="2024-12-31T00:00:00"/>
    <x v="1"/>
    <s v="CUST1364"/>
    <s v="PROD46"/>
    <s v="STORE11"/>
    <n v="2"/>
    <n v="2"/>
    <n v="213.69"/>
    <n v="0.28000000000000003"/>
    <x v="1"/>
    <n v="307.71359999999999"/>
    <s v="Low"/>
    <s v="Chloe Aguilar"/>
    <x v="4"/>
    <x v="41"/>
    <x v="1"/>
    <x v="3"/>
    <s v="Normal order"/>
  </r>
  <r>
    <s v="SALE739"/>
    <d v="2025-02-28T00:00:00"/>
    <x v="2"/>
    <s v="CUST1065"/>
    <s v="PROD20"/>
    <s v="STORE8"/>
    <n v="4"/>
    <n v="4"/>
    <n v="618.83000000000004"/>
    <n v="0.08"/>
    <x v="1"/>
    <n v="2277.2944000000002"/>
    <s v="High"/>
    <s v="Michael Thomas"/>
    <x v="0"/>
    <x v="69"/>
    <x v="3"/>
    <x v="1"/>
    <s v="Bulk order"/>
  </r>
  <r>
    <s v="SALE74"/>
    <d v="2025-10-12T00:00:00"/>
    <x v="6"/>
    <s v="CUST1273"/>
    <s v="PROD20"/>
    <s v="STORE8"/>
    <n v="1"/>
    <n v="1"/>
    <n v="184.98"/>
    <n v="0.1"/>
    <x v="2"/>
    <n v="166.482"/>
    <s v="Low"/>
    <s v="Samantha Robinson"/>
    <x v="0"/>
    <x v="69"/>
    <x v="3"/>
    <x v="3"/>
    <s v="Normal order"/>
  </r>
  <r>
    <s v="SALE740"/>
    <d v="2024-01-22T00:00:00"/>
    <x v="3"/>
    <s v="CUST1093"/>
    <s v="PROD59"/>
    <s v="STORE11"/>
    <n v="2"/>
    <n v="2"/>
    <n v="81.16"/>
    <n v="0.16"/>
    <x v="1"/>
    <n v="136.34880000000001"/>
    <s v="Low"/>
    <s v="Christy Vasquez"/>
    <x v="3"/>
    <x v="4"/>
    <x v="1"/>
    <x v="0"/>
    <s v="Normal order"/>
  </r>
  <r>
    <s v="SALE741"/>
    <d v="2024-03-21T00:00:00"/>
    <x v="9"/>
    <s v="CUST1002"/>
    <s v="PROD86"/>
    <s v="STORE9"/>
    <n v="1"/>
    <n v="1"/>
    <n v="431.69"/>
    <n v="0.09"/>
    <x v="0"/>
    <n v="392.83789999999999"/>
    <s v="Low"/>
    <s v="Dr. Benjamin Price"/>
    <x v="2"/>
    <x v="30"/>
    <x v="1"/>
    <x v="2"/>
    <s v="Normal order"/>
  </r>
  <r>
    <s v="SALE742"/>
    <d v="2024-12-22T00:00:00"/>
    <x v="1"/>
    <s v="CUST1405"/>
    <s v="PROD18"/>
    <s v="STORE5"/>
    <n v="3"/>
    <n v="3"/>
    <n v="438.65"/>
    <n v="0.28999999999999998"/>
    <x v="1"/>
    <n v="934.32449999999983"/>
    <s v="Low"/>
    <s v="Eric Wolfe"/>
    <x v="4"/>
    <x v="83"/>
    <x v="0"/>
    <x v="0"/>
    <s v="Normal order"/>
  </r>
  <r>
    <s v="SALE743"/>
    <d v="2024-04-02T00:00:00"/>
    <x v="5"/>
    <s v="CUST1172"/>
    <s v="PROD79"/>
    <s v="STORE3"/>
    <n v="3"/>
    <n v="3"/>
    <n v="339.41"/>
    <n v="0.26"/>
    <x v="0"/>
    <n v="753.49019999999996"/>
    <s v="Low"/>
    <s v="Thomas Rhodes"/>
    <x v="2"/>
    <x v="14"/>
    <x v="0"/>
    <x v="3"/>
    <s v="Normal order"/>
  </r>
  <r>
    <s v="SALE744"/>
    <d v="2025-01-30T00:00:00"/>
    <x v="3"/>
    <s v="CUST1470"/>
    <s v="PROD79"/>
    <s v="STORE9"/>
    <n v="4"/>
    <n v="4"/>
    <n v="848.47"/>
    <n v="0.21"/>
    <x v="2"/>
    <n v="2681.1651999999999"/>
    <s v="High"/>
    <s v="Manuel Fisher"/>
    <x v="2"/>
    <x v="14"/>
    <x v="1"/>
    <x v="0"/>
    <s v="Bulk order"/>
  </r>
  <r>
    <s v="SALE745"/>
    <d v="2025-03-31T00:00:00"/>
    <x v="9"/>
    <s v="CUST1192"/>
    <s v="PROD67"/>
    <s v="STORE8"/>
    <n v="1"/>
    <n v="1"/>
    <n v="664.87"/>
    <n v="0.08"/>
    <x v="1"/>
    <n v="611.68040000000008"/>
    <s v="Low"/>
    <s v="Jacob Wood"/>
    <x v="1"/>
    <x v="99"/>
    <x v="3"/>
    <x v="0"/>
    <s v="Normal order"/>
  </r>
  <r>
    <s v="SALE746"/>
    <d v="2025-01-30T00:00:00"/>
    <x v="3"/>
    <s v="CUST1099"/>
    <s v="PROD24"/>
    <s v="STORE7"/>
    <n v="1"/>
    <n v="1"/>
    <n v="412.11"/>
    <n v="0.23"/>
    <x v="1"/>
    <n v="317.32470000000001"/>
    <s v="Low"/>
    <s v="Sheila Wilson"/>
    <x v="0"/>
    <x v="2"/>
    <x v="1"/>
    <x v="1"/>
    <s v="Normal order"/>
  </r>
  <r>
    <s v="SALE747"/>
    <d v="2025-09-16T00:00:00"/>
    <x v="7"/>
    <s v="CUST1122"/>
    <s v="PROD94"/>
    <s v="STORE1"/>
    <n v="1"/>
    <n v="1"/>
    <n v="126.09"/>
    <n v="0.05"/>
    <x v="2"/>
    <n v="119.7855"/>
    <s v="Low"/>
    <s v="Michael Chang"/>
    <x v="3"/>
    <x v="89"/>
    <x v="0"/>
    <x v="2"/>
    <s v="Normal order"/>
  </r>
  <r>
    <s v="SALE748"/>
    <d v="2025-09-17T00:00:00"/>
    <x v="7"/>
    <s v="CUST1198"/>
    <s v="PROD67"/>
    <s v="STORE10"/>
    <n v="4"/>
    <n v="4"/>
    <n v="602.39"/>
    <n v="0.19"/>
    <x v="2"/>
    <n v="1951.7436"/>
    <s v="High"/>
    <s v="Wanda Snyder"/>
    <x v="1"/>
    <x v="99"/>
    <x v="2"/>
    <x v="3"/>
    <s v="Bulk order"/>
  </r>
  <r>
    <s v="SALE749"/>
    <d v="2025-10-11T00:00:00"/>
    <x v="6"/>
    <s v="CUST1325"/>
    <s v="PROD82"/>
    <s v="STORE3"/>
    <n v="3"/>
    <n v="3"/>
    <n v="447.69"/>
    <n v="0.02"/>
    <x v="2"/>
    <n v="1316.2085999999999"/>
    <s v="High"/>
    <s v="Andrew Smith"/>
    <x v="0"/>
    <x v="26"/>
    <x v="0"/>
    <x v="3"/>
    <s v="Normal order"/>
  </r>
  <r>
    <s v="SALE75"/>
    <d v="2024-07-27T00:00:00"/>
    <x v="0"/>
    <s v="CUST1035"/>
    <s v="PROD97"/>
    <s v="STORE12"/>
    <n v="4"/>
    <n v="4"/>
    <n v="700.18"/>
    <n v="0.23"/>
    <x v="0"/>
    <n v="2156.5544"/>
    <s v="High"/>
    <s v="Rachel Myers"/>
    <x v="0"/>
    <x v="0"/>
    <x v="0"/>
    <x v="1"/>
    <s v="Bulk order"/>
  </r>
  <r>
    <s v="SALE750"/>
    <d v="2025-05-01T00:00:00"/>
    <x v="11"/>
    <s v="CUST1248"/>
    <s v="PROD34"/>
    <s v="STORE3"/>
    <n v="3"/>
    <n v="3"/>
    <n v="35.159999999999997"/>
    <n v="0.04"/>
    <x v="2"/>
    <n v="101.2608"/>
    <s v="Low"/>
    <s v="Nicholas Webb"/>
    <x v="1"/>
    <x v="21"/>
    <x v="0"/>
    <x v="0"/>
    <s v="Normal order"/>
  </r>
  <r>
    <s v="SALE751"/>
    <d v="2025-03-24T00:00:00"/>
    <x v="9"/>
    <s v="CUST1330"/>
    <s v="PROD72"/>
    <s v="STORE11"/>
    <n v="2"/>
    <n v="2"/>
    <n v="838.59"/>
    <n v="0.18"/>
    <x v="2"/>
    <n v="1375.2876000000001"/>
    <s v="High"/>
    <s v="Pamela Mcguire"/>
    <x v="0"/>
    <x v="35"/>
    <x v="1"/>
    <x v="2"/>
    <s v="Normal order"/>
  </r>
  <r>
    <s v="SALE752"/>
    <d v="2024-11-02T00:00:00"/>
    <x v="8"/>
    <s v="CUST1089"/>
    <s v="PROD59"/>
    <s v="STORE6"/>
    <n v="4"/>
    <n v="4"/>
    <n v="867.94"/>
    <n v="0.26"/>
    <x v="1"/>
    <n v="2569.1024000000002"/>
    <s v="High"/>
    <s v="Jamie Yoder"/>
    <x v="3"/>
    <x v="4"/>
    <x v="2"/>
    <x v="2"/>
    <s v="Bulk order"/>
  </r>
  <r>
    <s v="SALE753"/>
    <d v="2024-10-26T00:00:00"/>
    <x v="6"/>
    <s v="CUST1196"/>
    <s v="PROD39"/>
    <s v="STORE17"/>
    <n v="1"/>
    <n v="1"/>
    <n v="623.88"/>
    <n v="0.25"/>
    <x v="0"/>
    <n v="467.91"/>
    <s v="Low"/>
    <s v="Megan Greer"/>
    <x v="1"/>
    <x v="65"/>
    <x v="0"/>
    <x v="2"/>
    <s v="Normal order"/>
  </r>
  <r>
    <s v="SALE754"/>
    <d v="2024-09-11T00:00:00"/>
    <x v="7"/>
    <s v="CUST1177"/>
    <s v="PROD42"/>
    <s v="STORE14"/>
    <n v="2"/>
    <n v="2"/>
    <n v="567.95000000000005"/>
    <n v="0.12"/>
    <x v="1"/>
    <n v="999.5920000000001"/>
    <s v="Low"/>
    <s v="Curtis Lam"/>
    <x v="1"/>
    <x v="71"/>
    <x v="1"/>
    <x v="2"/>
    <s v="Normal order"/>
  </r>
  <r>
    <s v="SALE755"/>
    <d v="2024-07-10T00:00:00"/>
    <x v="0"/>
    <s v="CUST1323"/>
    <s v="PROD31"/>
    <s v="STORE18"/>
    <n v="2"/>
    <n v="2"/>
    <n v="671.69"/>
    <n v="0.19"/>
    <x v="0"/>
    <n v="1088.1378"/>
    <s v="High"/>
    <s v="Kristy Dunlap"/>
    <x v="0"/>
    <x v="72"/>
    <x v="2"/>
    <x v="2"/>
    <s v="Normal order"/>
  </r>
  <r>
    <s v="SALE756"/>
    <d v="2025-05-09T00:00:00"/>
    <x v="11"/>
    <s v="CUST1206"/>
    <s v="PROD6"/>
    <s v="STORE7"/>
    <n v="2"/>
    <n v="2"/>
    <n v="257.95999999999998"/>
    <n v="0.21"/>
    <x v="1"/>
    <n v="407.57679999999999"/>
    <s v="Low"/>
    <s v="Ronald Jones"/>
    <x v="3"/>
    <x v="95"/>
    <x v="1"/>
    <x v="1"/>
    <s v="Normal order"/>
  </r>
  <r>
    <s v="SALE757"/>
    <d v="2024-07-02T00:00:00"/>
    <x v="0"/>
    <s v="CUST1204"/>
    <s v="PROD98"/>
    <s v="STORE19"/>
    <n v="4"/>
    <n v="4"/>
    <n v="281.48"/>
    <n v="0.27"/>
    <x v="1"/>
    <n v="821.92160000000001"/>
    <s v="Low"/>
    <s v="Tiffany Herrera"/>
    <x v="1"/>
    <x v="51"/>
    <x v="2"/>
    <x v="2"/>
    <s v="Bulk order"/>
  </r>
  <r>
    <s v="SALE758"/>
    <d v="2024-06-27T00:00:00"/>
    <x v="4"/>
    <s v="CUST1316"/>
    <s v="PROD20"/>
    <s v="STORE11"/>
    <n v="1"/>
    <n v="1"/>
    <n v="202.13"/>
    <n v="0.13"/>
    <x v="2"/>
    <n v="175.85310000000001"/>
    <s v="Low"/>
    <s v="Robert House"/>
    <x v="0"/>
    <x v="69"/>
    <x v="1"/>
    <x v="0"/>
    <s v="Normal order"/>
  </r>
  <r>
    <s v="SALE759"/>
    <d v="2023-11-13T00:00:00"/>
    <x v="8"/>
    <s v="CUST1271"/>
    <s v="PROD74"/>
    <s v="STORE5"/>
    <n v="1"/>
    <n v="1"/>
    <n v="370.66"/>
    <n v="0.01"/>
    <x v="1"/>
    <n v="366.95339999999999"/>
    <s v="Low"/>
    <s v="Daisy Johnson Dds"/>
    <x v="1"/>
    <x v="1"/>
    <x v="0"/>
    <x v="2"/>
    <s v="Normal order"/>
  </r>
  <r>
    <s v="SALE76"/>
    <d v="2023-12-25T00:00:00"/>
    <x v="1"/>
    <s v="CUST1019"/>
    <s v="PROD76"/>
    <s v="STORE10"/>
    <n v="2"/>
    <n v="2"/>
    <n v="686.31"/>
    <n v="0.25"/>
    <x v="0"/>
    <n v="1029.4649999999999"/>
    <s v="High"/>
    <s v="Michael Torres"/>
    <x v="1"/>
    <x v="45"/>
    <x v="2"/>
    <x v="2"/>
    <s v="Normal order"/>
  </r>
  <r>
    <s v="SALE760"/>
    <d v="2024-02-19T00:00:00"/>
    <x v="2"/>
    <s v="CUST1005"/>
    <s v="PROD61"/>
    <s v="STORE12"/>
    <n v="4"/>
    <n v="4"/>
    <n v="731.53"/>
    <n v="0.12"/>
    <x v="0"/>
    <n v="2574.9856"/>
    <s v="High"/>
    <s v="Christine Vaughn"/>
    <x v="0"/>
    <x v="49"/>
    <x v="0"/>
    <x v="3"/>
    <s v="Bulk order"/>
  </r>
  <r>
    <s v="SALE761"/>
    <d v="2024-03-20T00:00:00"/>
    <x v="9"/>
    <s v="CUST1165"/>
    <s v="PROD78"/>
    <s v="STORE1"/>
    <n v="3"/>
    <n v="3"/>
    <n v="468.25"/>
    <n v="7.0000000000000007E-2"/>
    <x v="1"/>
    <n v="1306.4175"/>
    <s v="High"/>
    <s v="Jason Wheeler"/>
    <x v="2"/>
    <x v="33"/>
    <x v="0"/>
    <x v="2"/>
    <s v="Normal order"/>
  </r>
  <r>
    <s v="SALE762"/>
    <d v="2024-03-09T00:00:00"/>
    <x v="9"/>
    <s v="CUST1001"/>
    <s v="PROD67"/>
    <s v="STORE0"/>
    <n v="1"/>
    <n v="1"/>
    <n v="928.72"/>
    <n v="0.1"/>
    <x v="2"/>
    <n v="835.84800000000007"/>
    <s v="Low"/>
    <s v="Eugene Nelson"/>
    <x v="1"/>
    <x v="99"/>
    <x v="2"/>
    <x v="2"/>
    <s v="Normal order"/>
  </r>
  <r>
    <s v="SALE763"/>
    <d v="2024-07-26T00:00:00"/>
    <x v="0"/>
    <s v="CUST1101"/>
    <s v="PROD4"/>
    <s v="STORE18"/>
    <n v="3"/>
    <n v="3"/>
    <n v="217.22"/>
    <n v="0.06"/>
    <x v="1"/>
    <n v="612.56039999999996"/>
    <s v="Low"/>
    <s v="Colleen Maynard"/>
    <x v="4"/>
    <x v="58"/>
    <x v="2"/>
    <x v="0"/>
    <s v="Normal order"/>
  </r>
  <r>
    <s v="SALE764"/>
    <d v="2025-03-29T00:00:00"/>
    <x v="9"/>
    <s v="CUST1405"/>
    <s v="PROD24"/>
    <s v="STORE3"/>
    <n v="1"/>
    <n v="1"/>
    <n v="387.99"/>
    <n v="0.3"/>
    <x v="0"/>
    <n v="271.59300000000002"/>
    <s v="Low"/>
    <s v="Eric Wolfe"/>
    <x v="0"/>
    <x v="2"/>
    <x v="0"/>
    <x v="0"/>
    <s v="Normal order"/>
  </r>
  <r>
    <s v="SALE765"/>
    <d v="2025-03-02T00:00:00"/>
    <x v="9"/>
    <s v="CUST1476"/>
    <s v="PROD18"/>
    <s v="STORE6"/>
    <n v="4"/>
    <n v="4"/>
    <n v="186.24"/>
    <n v="0.23"/>
    <x v="0"/>
    <n v="573.61920000000009"/>
    <s v="Low"/>
    <s v="Elizabeth Foster"/>
    <x v="4"/>
    <x v="83"/>
    <x v="2"/>
    <x v="0"/>
    <s v="Bulk order"/>
  </r>
  <r>
    <s v="SALE766"/>
    <d v="2024-06-11T00:00:00"/>
    <x v="4"/>
    <s v="CUST1296"/>
    <s v="PROD40"/>
    <s v="STORE8"/>
    <n v="4"/>
    <n v="4"/>
    <n v="609.05999999999995"/>
    <n v="0.22"/>
    <x v="2"/>
    <n v="1900.2672"/>
    <s v="High"/>
    <s v="Jared Moran"/>
    <x v="1"/>
    <x v="50"/>
    <x v="3"/>
    <x v="3"/>
    <s v="Bulk order"/>
  </r>
  <r>
    <s v="SALE767"/>
    <d v="2024-05-22T00:00:00"/>
    <x v="11"/>
    <s v="CUST1437"/>
    <s v="PROD33"/>
    <s v="STORE11"/>
    <n v="1"/>
    <n v="1"/>
    <n v="827.91"/>
    <n v="0.21"/>
    <x v="1"/>
    <n v="654.0489"/>
    <s v="Low"/>
    <s v="Melinda Rivera"/>
    <x v="2"/>
    <x v="3"/>
    <x v="1"/>
    <x v="2"/>
    <s v="Normal order"/>
  </r>
  <r>
    <s v="SALE768"/>
    <d v="2024-07-13T00:00:00"/>
    <x v="0"/>
    <s v="CUST1176"/>
    <s v="PROD83"/>
    <s v="STORE0"/>
    <n v="1"/>
    <n v="1"/>
    <n v="303.79000000000002"/>
    <n v="0.24"/>
    <x v="1"/>
    <n v="230.88040000000001"/>
    <s v="Low"/>
    <s v="John Bradford"/>
    <x v="3"/>
    <x v="61"/>
    <x v="2"/>
    <x v="1"/>
    <s v="Normal order"/>
  </r>
  <r>
    <s v="SALE769"/>
    <d v="2025-09-02T00:00:00"/>
    <x v="7"/>
    <s v="CUST1104"/>
    <s v="PROD37"/>
    <s v="STORE6"/>
    <n v="2"/>
    <n v="2"/>
    <n v="365.91"/>
    <n v="0.14000000000000001"/>
    <x v="2"/>
    <n v="629.36520000000007"/>
    <s v="Low"/>
    <s v="Christopher Lester"/>
    <x v="4"/>
    <x v="16"/>
    <x v="2"/>
    <x v="1"/>
    <s v="Normal order"/>
  </r>
  <r>
    <s v="SALE77"/>
    <d v="2025-05-23T00:00:00"/>
    <x v="11"/>
    <s v="CUST1007"/>
    <s v="PROD67"/>
    <s v="STORE15"/>
    <n v="1"/>
    <n v="1"/>
    <n v="687.82"/>
    <n v="0.27"/>
    <x v="2"/>
    <n v="502.10860000000002"/>
    <s v="Low"/>
    <s v="Daniel Boyd"/>
    <x v="1"/>
    <x v="99"/>
    <x v="0"/>
    <x v="3"/>
    <s v="Normal order"/>
  </r>
  <r>
    <s v="SALE770"/>
    <d v="2025-04-15T00:00:00"/>
    <x v="5"/>
    <s v="CUST1069"/>
    <s v="PROD25"/>
    <s v="STORE17"/>
    <n v="3"/>
    <n v="3"/>
    <n v="852.72"/>
    <n v="0.16"/>
    <x v="0"/>
    <n v="2148.8544000000002"/>
    <s v="High"/>
    <s v="Roy Cole"/>
    <x v="4"/>
    <x v="13"/>
    <x v="0"/>
    <x v="2"/>
    <s v="Normal order"/>
  </r>
  <r>
    <s v="SALE771"/>
    <d v="2025-04-05T00:00:00"/>
    <x v="5"/>
    <s v="CUST1247"/>
    <s v="PROD10"/>
    <s v="STORE4"/>
    <n v="1"/>
    <n v="1"/>
    <n v="768.25"/>
    <n v="0.18"/>
    <x v="0"/>
    <n v="629.96500000000003"/>
    <s v="Low"/>
    <s v="Douglas Rhodes"/>
    <x v="2"/>
    <x v="47"/>
    <x v="1"/>
    <x v="2"/>
    <s v="Normal order"/>
  </r>
  <r>
    <s v="SALE772"/>
    <d v="2023-11-24T00:00:00"/>
    <x v="8"/>
    <s v="CUST1350"/>
    <s v="PROD92"/>
    <s v="STORE19"/>
    <n v="2"/>
    <n v="2"/>
    <n v="318.62"/>
    <n v="0.02"/>
    <x v="2"/>
    <n v="624.49519999999995"/>
    <s v="Low"/>
    <s v="Charles Miller"/>
    <x v="2"/>
    <x v="39"/>
    <x v="2"/>
    <x v="1"/>
    <s v="Normal order"/>
  </r>
  <r>
    <s v="SALE773"/>
    <d v="2025-01-26T00:00:00"/>
    <x v="3"/>
    <s v="CUST1049"/>
    <s v="PROD76"/>
    <s v="STORE2"/>
    <n v="4"/>
    <n v="4"/>
    <n v="402.11"/>
    <n v="0.14000000000000001"/>
    <x v="1"/>
    <n v="1383.2583999999999"/>
    <s v="High"/>
    <s v="Timothy Weaver"/>
    <x v="1"/>
    <x v="45"/>
    <x v="1"/>
    <x v="0"/>
    <s v="Bulk order"/>
  </r>
  <r>
    <s v="SALE774"/>
    <d v="2025-05-27T00:00:00"/>
    <x v="11"/>
    <s v="CUST1408"/>
    <s v="PROD84"/>
    <s v="STORE17"/>
    <n v="3"/>
    <n v="3"/>
    <n v="846.31"/>
    <n v="0.18"/>
    <x v="2"/>
    <n v="2081.9225999999999"/>
    <s v="High"/>
    <s v="Isabel Foster"/>
    <x v="2"/>
    <x v="56"/>
    <x v="0"/>
    <x v="0"/>
    <s v="Normal order"/>
  </r>
  <r>
    <s v="SALE775"/>
    <d v="2025-06-13T00:00:00"/>
    <x v="4"/>
    <s v="CUST1168"/>
    <s v="PROD94"/>
    <s v="STORE14"/>
    <n v="1"/>
    <n v="1"/>
    <n v="269.94"/>
    <n v="7.0000000000000007E-2"/>
    <x v="2"/>
    <n v="251.04419999999999"/>
    <s v="Low"/>
    <s v="Daniel Contreras"/>
    <x v="3"/>
    <x v="89"/>
    <x v="1"/>
    <x v="2"/>
    <s v="Normal order"/>
  </r>
  <r>
    <s v="SALE776"/>
    <d v="2024-06-29T00:00:00"/>
    <x v="4"/>
    <s v="CUST1241"/>
    <s v="PROD20"/>
    <s v="STORE4"/>
    <n v="3"/>
    <n v="3"/>
    <n v="909.25"/>
    <n v="0.28999999999999998"/>
    <x v="2"/>
    <n v="1936.7025000000001"/>
    <s v="High"/>
    <s v="Mr. William Horton"/>
    <x v="0"/>
    <x v="69"/>
    <x v="1"/>
    <x v="2"/>
    <s v="Normal order"/>
  </r>
  <r>
    <s v="SALE777"/>
    <d v="2024-02-09T00:00:00"/>
    <x v="2"/>
    <s v="CUST1363"/>
    <s v="PROD91"/>
    <s v="STORE12"/>
    <n v="2"/>
    <n v="2"/>
    <n v="229.81"/>
    <n v="0.21"/>
    <x v="2"/>
    <n v="363.09980000000002"/>
    <s v="Low"/>
    <s v="Elizabeth Smith"/>
    <x v="4"/>
    <x v="67"/>
    <x v="0"/>
    <x v="3"/>
    <s v="Normal order"/>
  </r>
  <r>
    <s v="SALE778"/>
    <d v="2024-06-08T00:00:00"/>
    <x v="4"/>
    <s v="CUST1037"/>
    <s v="PROD78"/>
    <s v="STORE15"/>
    <n v="3"/>
    <n v="3"/>
    <n v="442.36"/>
    <n v="0.06"/>
    <x v="1"/>
    <n v="1247.4552000000001"/>
    <s v="High"/>
    <s v="Christopher Carter"/>
    <x v="2"/>
    <x v="33"/>
    <x v="0"/>
    <x v="4"/>
    <s v="Normal order"/>
  </r>
  <r>
    <s v="SALE779"/>
    <d v="2024-04-04T00:00:00"/>
    <x v="5"/>
    <s v="CUST1239"/>
    <s v="PROD86"/>
    <s v="STORE3"/>
    <n v="3"/>
    <n v="3"/>
    <n v="413.74"/>
    <n v="0.01"/>
    <x v="0"/>
    <n v="1228.8078"/>
    <s v="High"/>
    <s v="Maria Hill"/>
    <x v="2"/>
    <x v="30"/>
    <x v="0"/>
    <x v="2"/>
    <s v="Normal order"/>
  </r>
  <r>
    <s v="SALE78"/>
    <d v="2024-11-13T00:00:00"/>
    <x v="8"/>
    <s v="CUST1221"/>
    <s v="PROD83"/>
    <s v="STORE8"/>
    <n v="2"/>
    <n v="2"/>
    <n v="900.55"/>
    <n v="0.16"/>
    <x v="0"/>
    <n v="1512.924"/>
    <s v="High"/>
    <s v="Lisa Young"/>
    <x v="3"/>
    <x v="61"/>
    <x v="3"/>
    <x v="2"/>
    <s v="Normal order"/>
  </r>
  <r>
    <s v="SALE780"/>
    <d v="2024-07-04T00:00:00"/>
    <x v="0"/>
    <s v="CUST1496"/>
    <s v="PROD89"/>
    <s v="STORE14"/>
    <n v="4"/>
    <n v="4"/>
    <n v="79.75"/>
    <n v="0.18"/>
    <x v="1"/>
    <n v="261.58"/>
    <s v="Low"/>
    <s v="Christopher Ford"/>
    <x v="3"/>
    <x v="53"/>
    <x v="1"/>
    <x v="3"/>
    <s v="Bulk order"/>
  </r>
  <r>
    <s v="SALE781"/>
    <d v="2024-05-21T00:00:00"/>
    <x v="11"/>
    <s v="CUST1495"/>
    <s v="PROD40"/>
    <s v="STORE12"/>
    <n v="4"/>
    <n v="4"/>
    <n v="95.06"/>
    <n v="0.03"/>
    <x v="0"/>
    <n v="368.83280000000002"/>
    <s v="Low"/>
    <s v="James Berger"/>
    <x v="1"/>
    <x v="50"/>
    <x v="0"/>
    <x v="3"/>
    <s v="Bulk order"/>
  </r>
  <r>
    <s v="SALE782"/>
    <d v="2025-04-12T00:00:00"/>
    <x v="5"/>
    <s v="CUST1416"/>
    <s v="PROD98"/>
    <s v="STORE7"/>
    <n v="4"/>
    <n v="4"/>
    <n v="107.08"/>
    <n v="0.27"/>
    <x v="2"/>
    <n v="312.67360000000002"/>
    <s v="Low"/>
    <s v="Jennifer Myers"/>
    <x v="1"/>
    <x v="51"/>
    <x v="1"/>
    <x v="2"/>
    <s v="Bulk order"/>
  </r>
  <r>
    <s v="SALE783"/>
    <d v="2025-05-17T00:00:00"/>
    <x v="11"/>
    <s v="CUST1474"/>
    <s v="PROD99"/>
    <s v="STORE18"/>
    <n v="1"/>
    <n v="1"/>
    <n v="873.18"/>
    <n v="0.03"/>
    <x v="2"/>
    <n v="846.98459999999989"/>
    <s v="Low"/>
    <s v="Joshua Howard"/>
    <x v="2"/>
    <x v="86"/>
    <x v="2"/>
    <x v="2"/>
    <s v="Normal order"/>
  </r>
  <r>
    <s v="SALE784"/>
    <d v="2025-04-17T00:00:00"/>
    <x v="5"/>
    <s v="CUST1377"/>
    <s v="PROD70"/>
    <s v="STORE18"/>
    <n v="1"/>
    <n v="1"/>
    <n v="914.75"/>
    <n v="0.1"/>
    <x v="2"/>
    <n v="823.27499999999998"/>
    <s v="Low"/>
    <s v="Charles Conley"/>
    <x v="2"/>
    <x v="92"/>
    <x v="2"/>
    <x v="0"/>
    <s v="Normal order"/>
  </r>
  <r>
    <s v="SALE785"/>
    <d v="2023-12-19T00:00:00"/>
    <x v="1"/>
    <s v="CUST1049"/>
    <s v="PROD73"/>
    <s v="STORE13"/>
    <n v="4"/>
    <n v="4"/>
    <n v="457.33"/>
    <n v="0.1"/>
    <x v="0"/>
    <n v="1646.3879999999999"/>
    <s v="High"/>
    <s v="Timothy Weaver"/>
    <x v="0"/>
    <x v="6"/>
    <x v="2"/>
    <x v="0"/>
    <s v="Bulk order"/>
  </r>
  <r>
    <s v="SALE786"/>
    <d v="2024-11-06T00:00:00"/>
    <x v="8"/>
    <s v="CUST1292"/>
    <s v="PROD99"/>
    <s v="STORE3"/>
    <n v="3"/>
    <n v="3"/>
    <n v="761.88"/>
    <n v="0.23"/>
    <x v="1"/>
    <n v="1759.9428"/>
    <s v="High"/>
    <s v="Ricardo Jones"/>
    <x v="2"/>
    <x v="86"/>
    <x v="0"/>
    <x v="1"/>
    <s v="Normal order"/>
  </r>
  <r>
    <s v="SALE787"/>
    <d v="2025-05-16T00:00:00"/>
    <x v="11"/>
    <s v="CUST1177"/>
    <s v="PROD37"/>
    <s v="STORE19"/>
    <n v="4"/>
    <n v="4"/>
    <n v="122.87"/>
    <n v="0.13"/>
    <x v="0"/>
    <n v="427.58760000000001"/>
    <s v="Low"/>
    <s v="Curtis Lam"/>
    <x v="4"/>
    <x v="16"/>
    <x v="2"/>
    <x v="2"/>
    <s v="Bulk order"/>
  </r>
  <r>
    <s v="SALE788"/>
    <d v="2025-05-01T00:00:00"/>
    <x v="11"/>
    <s v="CUST1475"/>
    <s v="PROD73"/>
    <s v="STORE4"/>
    <n v="4"/>
    <n v="4"/>
    <n v="753"/>
    <n v="0.28000000000000003"/>
    <x v="2"/>
    <n v="2168.64"/>
    <s v="High"/>
    <s v="Barbara Berry"/>
    <x v="0"/>
    <x v="6"/>
    <x v="1"/>
    <x v="2"/>
    <s v="Bulk order"/>
  </r>
  <r>
    <s v="SALE789"/>
    <d v="2024-02-03T00:00:00"/>
    <x v="2"/>
    <s v="CUST1370"/>
    <s v="PROD5"/>
    <s v="STORE5"/>
    <n v="2"/>
    <n v="2"/>
    <n v="788.05"/>
    <n v="0.21"/>
    <x v="0"/>
    <n v="1245.1189999999999"/>
    <s v="High"/>
    <s v="James Holloway Jr."/>
    <x v="4"/>
    <x v="91"/>
    <x v="0"/>
    <x v="1"/>
    <s v="Normal order"/>
  </r>
  <r>
    <s v="SALE79"/>
    <d v="2023-12-08T00:00:00"/>
    <x v="1"/>
    <s v="CUST1115"/>
    <s v="PROD21"/>
    <s v="STORE2"/>
    <n v="1"/>
    <n v="1"/>
    <n v="341.17"/>
    <n v="0.15"/>
    <x v="0"/>
    <n v="289.99450000000002"/>
    <s v="Low"/>
    <s v="Tyler Conrad"/>
    <x v="2"/>
    <x v="54"/>
    <x v="1"/>
    <x v="2"/>
    <s v="Normal order"/>
  </r>
  <r>
    <s v="SALE790"/>
    <d v="2025-08-06T00:00:00"/>
    <x v="10"/>
    <s v="CUST1462"/>
    <s v="PROD82"/>
    <s v="STORE10"/>
    <n v="2"/>
    <n v="2"/>
    <n v="807.1"/>
    <n v="0.28999999999999998"/>
    <x v="0"/>
    <n v="1146.0820000000001"/>
    <s v="High"/>
    <s v="Beth Martin"/>
    <x v="0"/>
    <x v="26"/>
    <x v="2"/>
    <x v="1"/>
    <s v="Normal order"/>
  </r>
  <r>
    <s v="SALE791"/>
    <d v="2024-01-29T00:00:00"/>
    <x v="3"/>
    <s v="CUST1134"/>
    <s v="PROD8"/>
    <s v="STORE1"/>
    <n v="2"/>
    <n v="2"/>
    <n v="443.09"/>
    <n v="0.02"/>
    <x v="1"/>
    <n v="868.45639999999992"/>
    <s v="Low"/>
    <s v="Morgan Bowen"/>
    <x v="1"/>
    <x v="12"/>
    <x v="0"/>
    <x v="0"/>
    <s v="Normal order"/>
  </r>
  <r>
    <s v="SALE792"/>
    <d v="2025-08-01T00:00:00"/>
    <x v="10"/>
    <s v="CUST1468"/>
    <s v="PROD19"/>
    <s v="STORE15"/>
    <n v="1"/>
    <n v="1"/>
    <n v="512.16"/>
    <n v="0.02"/>
    <x v="2"/>
    <n v="501.91680000000002"/>
    <s v="Low"/>
    <s v="Gregory Curtis"/>
    <x v="0"/>
    <x v="32"/>
    <x v="0"/>
    <x v="3"/>
    <s v="Normal order"/>
  </r>
  <r>
    <s v="SALE793"/>
    <d v="2024-10-12T00:00:00"/>
    <x v="6"/>
    <s v="CUST1208"/>
    <s v="PROD41"/>
    <s v="STORE18"/>
    <n v="2"/>
    <n v="2"/>
    <n v="602.54999999999995"/>
    <n v="0.23"/>
    <x v="2"/>
    <n v="927.92699999999991"/>
    <s v="Low"/>
    <s v="John Perez"/>
    <x v="0"/>
    <x v="82"/>
    <x v="2"/>
    <x v="2"/>
    <s v="Normal order"/>
  </r>
  <r>
    <s v="SALE794"/>
    <d v="2025-03-29T00:00:00"/>
    <x v="9"/>
    <s v="CUST1164"/>
    <s v="PROD42"/>
    <s v="STORE0"/>
    <n v="3"/>
    <n v="3"/>
    <n v="846.19"/>
    <n v="0.09"/>
    <x v="2"/>
    <n v="2310.0987"/>
    <s v="High"/>
    <s v="Daniel Rivas"/>
    <x v="1"/>
    <x v="71"/>
    <x v="2"/>
    <x v="1"/>
    <s v="Normal order"/>
  </r>
  <r>
    <s v="SALE795"/>
    <d v="2025-04-25T00:00:00"/>
    <x v="5"/>
    <s v="CUST1326"/>
    <s v="PROD69"/>
    <s v="STORE8"/>
    <n v="1"/>
    <n v="1"/>
    <n v="506.73"/>
    <n v="0.28999999999999998"/>
    <x v="0"/>
    <n v="359.7783"/>
    <s v="Low"/>
    <s v="Robert King"/>
    <x v="4"/>
    <x v="5"/>
    <x v="3"/>
    <x v="0"/>
    <s v="Normal order"/>
  </r>
  <r>
    <s v="SALE796"/>
    <d v="2024-01-08T00:00:00"/>
    <x v="3"/>
    <s v="CUST1052"/>
    <s v="PROD51"/>
    <s v="STORE16"/>
    <n v="1"/>
    <n v="1"/>
    <n v="408.66"/>
    <n v="0.13"/>
    <x v="2"/>
    <n v="355.5342"/>
    <s v="Low"/>
    <s v="Debra Liu"/>
    <x v="1"/>
    <x v="78"/>
    <x v="3"/>
    <x v="3"/>
    <s v="Normal order"/>
  </r>
  <r>
    <s v="SALE797"/>
    <d v="2024-06-04T00:00:00"/>
    <x v="4"/>
    <s v="CUST1110"/>
    <s v="PROD8"/>
    <s v="STORE17"/>
    <n v="3"/>
    <n v="3"/>
    <n v="170.48"/>
    <n v="0.06"/>
    <x v="2"/>
    <n v="480.75359999999989"/>
    <s v="Low"/>
    <s v="Ashley Griffin"/>
    <x v="1"/>
    <x v="12"/>
    <x v="0"/>
    <x v="0"/>
    <s v="Normal order"/>
  </r>
  <r>
    <s v="SALE798"/>
    <d v="2025-03-01T00:00:00"/>
    <x v="9"/>
    <s v="CUST1097"/>
    <s v="PROD18"/>
    <s v="STORE9"/>
    <n v="1"/>
    <n v="1"/>
    <n v="423.48"/>
    <n v="0.18"/>
    <x v="1"/>
    <n v="347.25360000000012"/>
    <s v="Low"/>
    <s v="David Cobb"/>
    <x v="4"/>
    <x v="83"/>
    <x v="1"/>
    <x v="1"/>
    <s v="Normal order"/>
  </r>
  <r>
    <s v="SALE799"/>
    <d v="2023-10-14T00:00:00"/>
    <x v="6"/>
    <s v="CUST1235"/>
    <s v="PROD92"/>
    <s v="STORE11"/>
    <n v="4"/>
    <n v="4"/>
    <n v="23.57"/>
    <n v="0.1"/>
    <x v="0"/>
    <n v="84.852000000000004"/>
    <s v="Low"/>
    <s v="Jon Ortiz"/>
    <x v="2"/>
    <x v="39"/>
    <x v="1"/>
    <x v="3"/>
    <s v="Bulk order"/>
  </r>
  <r>
    <s v="SALE8"/>
    <d v="2025-05-04T00:00:00"/>
    <x v="11"/>
    <s v="CUST1187"/>
    <s v="PROD99"/>
    <s v="STORE5"/>
    <m/>
    <n v="2.25"/>
    <n v="448.25"/>
    <n v="7.0000000000000007E-2"/>
    <x v="1"/>
    <n v="1250.6175000000001"/>
    <s v="High"/>
    <s v="Dr. Suzanne Bullock"/>
    <x v="2"/>
    <x v="86"/>
    <x v="0"/>
    <x v="2"/>
    <s v="Normal order"/>
  </r>
  <r>
    <s v="SALE80"/>
    <d v="2025-08-16T00:00:00"/>
    <x v="10"/>
    <s v="CUST1176"/>
    <s v="PROD52"/>
    <s v="STORE8"/>
    <n v="1"/>
    <n v="1"/>
    <n v="442.27"/>
    <n v="0.06"/>
    <x v="2"/>
    <n v="415.73379999999997"/>
    <s v="Low"/>
    <s v="John Bradford"/>
    <x v="0"/>
    <x v="22"/>
    <x v="3"/>
    <x v="1"/>
    <s v="Normal order"/>
  </r>
  <r>
    <s v="SALE800"/>
    <d v="2025-06-29T00:00:00"/>
    <x v="4"/>
    <s v="CUST1381"/>
    <s v="PROD42"/>
    <s v="STORE18"/>
    <n v="2"/>
    <n v="2"/>
    <n v="953.26"/>
    <n v="0.1"/>
    <x v="2"/>
    <n v="1715.8679999999999"/>
    <s v="High"/>
    <s v="Erika Padilla"/>
    <x v="1"/>
    <x v="71"/>
    <x v="2"/>
    <x v="1"/>
    <s v="Normal order"/>
  </r>
  <r>
    <s v="SALE801"/>
    <d v="2023-12-17T00:00:00"/>
    <x v="1"/>
    <s v="CUST1347"/>
    <s v="PROD73"/>
    <s v="STORE7"/>
    <n v="3"/>
    <n v="3"/>
    <n v="405.13"/>
    <n v="0.14000000000000001"/>
    <x v="2"/>
    <n v="1045.2354"/>
    <s v="High"/>
    <s v="Justin Mason Dds"/>
    <x v="0"/>
    <x v="6"/>
    <x v="1"/>
    <x v="0"/>
    <s v="Normal order"/>
  </r>
  <r>
    <s v="SALE802"/>
    <d v="2023-11-18T00:00:00"/>
    <x v="8"/>
    <s v="CUST1339"/>
    <s v="PROD2"/>
    <s v="STORE4"/>
    <n v="2"/>
    <n v="2"/>
    <n v="333.83"/>
    <n v="0.26"/>
    <x v="1"/>
    <n v="494.0684"/>
    <s v="Low"/>
    <s v="Mrs. Susan Buckley"/>
    <x v="4"/>
    <x v="60"/>
    <x v="1"/>
    <x v="2"/>
    <s v="Normal order"/>
  </r>
  <r>
    <s v="SALE803"/>
    <d v="2025-03-25T00:00:00"/>
    <x v="9"/>
    <s v="CUST1333"/>
    <s v="PROD91"/>
    <s v="STORE3"/>
    <n v="2"/>
    <n v="2"/>
    <n v="727.18"/>
    <n v="0.22"/>
    <x v="1"/>
    <n v="1134.4007999999999"/>
    <s v="High"/>
    <s v="Teresa Johnson"/>
    <x v="4"/>
    <x v="67"/>
    <x v="0"/>
    <x v="0"/>
    <s v="Normal order"/>
  </r>
  <r>
    <s v="SALE804"/>
    <d v="2025-05-01T00:00:00"/>
    <x v="11"/>
    <s v="CUST1306"/>
    <s v="PROD5"/>
    <s v="STORE10"/>
    <n v="2"/>
    <n v="2"/>
    <n v="516.02"/>
    <n v="0.19"/>
    <x v="2"/>
    <n v="835.95240000000001"/>
    <s v="Low"/>
    <s v="Angela Robinson"/>
    <x v="4"/>
    <x v="91"/>
    <x v="2"/>
    <x v="2"/>
    <s v="Normal order"/>
  </r>
  <r>
    <s v="SALE805"/>
    <d v="2024-03-10T00:00:00"/>
    <x v="9"/>
    <s v="CUST1294"/>
    <s v="PROD42"/>
    <s v="STORE11"/>
    <n v="2"/>
    <n v="2"/>
    <n v="705.61"/>
    <n v="0.28000000000000003"/>
    <x v="0"/>
    <n v="1016.0784"/>
    <s v="High"/>
    <s v="Lisa Chandler"/>
    <x v="1"/>
    <x v="71"/>
    <x v="1"/>
    <x v="2"/>
    <s v="Normal order"/>
  </r>
  <r>
    <s v="SALE806"/>
    <d v="2024-05-02T00:00:00"/>
    <x v="11"/>
    <s v="CUST1275"/>
    <s v="PROD84"/>
    <s v="STORE8"/>
    <n v="3"/>
    <n v="3"/>
    <n v="654.47"/>
    <n v="0.18"/>
    <x v="2"/>
    <n v="1609.9962"/>
    <s v="High"/>
    <s v="Shannon Miller"/>
    <x v="2"/>
    <x v="56"/>
    <x v="3"/>
    <x v="0"/>
    <s v="Normal order"/>
  </r>
  <r>
    <s v="SALE807"/>
    <d v="2025-03-18T00:00:00"/>
    <x v="9"/>
    <s v="CUST1171"/>
    <s v="PROD88"/>
    <s v="STORE15"/>
    <n v="2"/>
    <n v="2"/>
    <n v="315.27"/>
    <n v="0.23"/>
    <x v="0"/>
    <n v="485.51580000000001"/>
    <s v="Low"/>
    <s v="Amy Wilson"/>
    <x v="0"/>
    <x v="90"/>
    <x v="0"/>
    <x v="2"/>
    <s v="Normal order"/>
  </r>
  <r>
    <s v="SALE808"/>
    <d v="2024-11-27T00:00:00"/>
    <x v="8"/>
    <s v="CUST1222"/>
    <s v="PROD28"/>
    <s v="STORE2"/>
    <n v="1"/>
    <n v="1"/>
    <n v="974.47"/>
    <n v="0.05"/>
    <x v="0"/>
    <n v="925.74649999999997"/>
    <s v="Low"/>
    <s v="Alejandro Doyle"/>
    <x v="0"/>
    <x v="40"/>
    <x v="1"/>
    <x v="2"/>
    <s v="Normal order"/>
  </r>
  <r>
    <s v="SALE809"/>
    <d v="2024-02-18T00:00:00"/>
    <x v="2"/>
    <s v="CUST1067"/>
    <s v="PROD2"/>
    <s v="STORE4"/>
    <n v="2"/>
    <n v="2"/>
    <n v="803.3"/>
    <n v="0.17"/>
    <x v="0"/>
    <n v="1333.4780000000001"/>
    <s v="High"/>
    <s v="Amber Mcclain"/>
    <x v="4"/>
    <x v="60"/>
    <x v="1"/>
    <x v="1"/>
    <s v="Normal order"/>
  </r>
  <r>
    <s v="SALE81"/>
    <d v="2024-11-20T00:00:00"/>
    <x v="8"/>
    <s v="CUST1253"/>
    <s v="PROD71"/>
    <s v="STORE9"/>
    <n v="1"/>
    <n v="1"/>
    <n v="363.73"/>
    <n v="0.25"/>
    <x v="1"/>
    <n v="272.79750000000001"/>
    <s v="Low"/>
    <s v="Dr. Ashley Yates Md"/>
    <x v="3"/>
    <x v="57"/>
    <x v="1"/>
    <x v="3"/>
    <s v="Normal order"/>
  </r>
  <r>
    <s v="SALE810"/>
    <d v="2024-06-04T00:00:00"/>
    <x v="4"/>
    <s v="CUST1013"/>
    <s v="PROD2"/>
    <s v="STORE10"/>
    <n v="4"/>
    <n v="4"/>
    <n v="863.87"/>
    <n v="0.21"/>
    <x v="2"/>
    <n v="2729.8292000000001"/>
    <s v="High"/>
    <s v="Nathan Hernandez"/>
    <x v="4"/>
    <x v="60"/>
    <x v="2"/>
    <x v="1"/>
    <s v="Bulk order"/>
  </r>
  <r>
    <s v="SALE811"/>
    <d v="2024-08-09T00:00:00"/>
    <x v="10"/>
    <s v="CUST1469"/>
    <s v="PROD80"/>
    <s v="STORE18"/>
    <n v="1"/>
    <n v="1"/>
    <n v="450.11"/>
    <n v="0.17"/>
    <x v="0"/>
    <n v="373.59129999999999"/>
    <s v="Low"/>
    <s v="James Foster"/>
    <x v="2"/>
    <x v="24"/>
    <x v="2"/>
    <x v="0"/>
    <s v="Normal order"/>
  </r>
  <r>
    <s v="SALE812"/>
    <d v="2024-07-13T00:00:00"/>
    <x v="0"/>
    <s v="CUST1230"/>
    <s v="PROD68"/>
    <s v="STORE13"/>
    <n v="1"/>
    <n v="1"/>
    <n v="289.82"/>
    <n v="0.18"/>
    <x v="2"/>
    <n v="237.6524"/>
    <s v="Low"/>
    <s v="Timothy Sanders"/>
    <x v="2"/>
    <x v="97"/>
    <x v="2"/>
    <x v="3"/>
    <s v="Normal order"/>
  </r>
  <r>
    <s v="SALE813"/>
    <d v="2025-08-21T00:00:00"/>
    <x v="10"/>
    <s v="CUST1334"/>
    <s v="PROD54"/>
    <s v="STORE10"/>
    <n v="4"/>
    <n v="4"/>
    <n v="250.64"/>
    <n v="0.1"/>
    <x v="1"/>
    <n v="902.30399999999997"/>
    <s v="Low"/>
    <s v="Mr. Christopher Sims"/>
    <x v="0"/>
    <x v="8"/>
    <x v="2"/>
    <x v="1"/>
    <s v="Bulk order"/>
  </r>
  <r>
    <s v="SALE814"/>
    <d v="2025-08-07T00:00:00"/>
    <x v="10"/>
    <s v="CUST1287"/>
    <s v="PROD69"/>
    <s v="STORE19"/>
    <n v="4"/>
    <n v="4"/>
    <n v="373.49"/>
    <n v="0.16"/>
    <x v="2"/>
    <n v="1254.9264000000001"/>
    <s v="High"/>
    <s v="Cynthia Roberts"/>
    <x v="4"/>
    <x v="5"/>
    <x v="2"/>
    <x v="0"/>
    <s v="Bulk order"/>
  </r>
  <r>
    <s v="SALE815"/>
    <d v="2024-04-16T00:00:00"/>
    <x v="5"/>
    <s v="CUST1066"/>
    <s v="PROD3"/>
    <s v="STORE9"/>
    <n v="4"/>
    <n v="4"/>
    <n v="348.91"/>
    <n v="0.18"/>
    <x v="1"/>
    <n v="1144.4248"/>
    <s v="High"/>
    <s v="Cody Diaz"/>
    <x v="4"/>
    <x v="84"/>
    <x v="1"/>
    <x v="1"/>
    <s v="Bulk order"/>
  </r>
  <r>
    <s v="SALE816"/>
    <d v="2024-04-08T00:00:00"/>
    <x v="5"/>
    <s v="CUST1110"/>
    <s v="PROD94"/>
    <s v="STORE17"/>
    <n v="4"/>
    <n v="4"/>
    <n v="212.96"/>
    <n v="0.17"/>
    <x v="0"/>
    <n v="707.02719999999999"/>
    <s v="Low"/>
    <s v="Ashley Griffin"/>
    <x v="3"/>
    <x v="89"/>
    <x v="0"/>
    <x v="0"/>
    <s v="Bulk order"/>
  </r>
  <r>
    <s v="SALE817"/>
    <d v="2024-04-24T00:00:00"/>
    <x v="5"/>
    <s v="CUST1190"/>
    <s v="PROD27"/>
    <s v="STORE19"/>
    <n v="3"/>
    <n v="3"/>
    <n v="871.34"/>
    <n v="0.11"/>
    <x v="2"/>
    <n v="2326.4778000000001"/>
    <s v="High"/>
    <s v="Christopher Stewart"/>
    <x v="2"/>
    <x v="77"/>
    <x v="2"/>
    <x v="3"/>
    <s v="Normal order"/>
  </r>
  <r>
    <s v="SALE818"/>
    <d v="2025-07-06T00:00:00"/>
    <x v="0"/>
    <s v="CUST1100"/>
    <s v="PROD94"/>
    <s v="STORE0"/>
    <n v="2"/>
    <n v="2"/>
    <n v="698.94"/>
    <n v="0.06"/>
    <x v="0"/>
    <n v="1314.0072"/>
    <s v="High"/>
    <s v="Diane Watson"/>
    <x v="3"/>
    <x v="89"/>
    <x v="2"/>
    <x v="2"/>
    <s v="Normal order"/>
  </r>
  <r>
    <s v="SALE819"/>
    <d v="2025-02-09T00:00:00"/>
    <x v="2"/>
    <s v="CUST1316"/>
    <s v="PROD74"/>
    <s v="STORE0"/>
    <n v="1"/>
    <n v="1"/>
    <n v="719.94"/>
    <n v="0.23"/>
    <x v="2"/>
    <n v="554.35380000000009"/>
    <s v="Low"/>
    <s v="Robert House"/>
    <x v="1"/>
    <x v="1"/>
    <x v="2"/>
    <x v="0"/>
    <s v="Normal order"/>
  </r>
  <r>
    <s v="SALE82"/>
    <d v="2024-08-14T00:00:00"/>
    <x v="10"/>
    <s v="CUST1378"/>
    <s v="PROD91"/>
    <s v="STORE17"/>
    <n v="2"/>
    <n v="2"/>
    <n v="601.33000000000004"/>
    <n v="0.16"/>
    <x v="1"/>
    <n v="1010.2344000000001"/>
    <s v="High"/>
    <s v="Frank Stewart"/>
    <x v="4"/>
    <x v="67"/>
    <x v="0"/>
    <x v="3"/>
    <s v="Normal order"/>
  </r>
  <r>
    <s v="SALE820"/>
    <d v="2024-11-11T00:00:00"/>
    <x v="8"/>
    <s v="CUST1006"/>
    <s v="PROD28"/>
    <s v="STORE4"/>
    <n v="2"/>
    <n v="2"/>
    <n v="278.16000000000003"/>
    <n v="0.22"/>
    <x v="1"/>
    <n v="433.92960000000011"/>
    <s v="Low"/>
    <s v="Amber Jackson"/>
    <x v="0"/>
    <x v="40"/>
    <x v="1"/>
    <x v="2"/>
    <s v="Normal order"/>
  </r>
  <r>
    <s v="SALE821"/>
    <d v="2024-01-16T00:00:00"/>
    <x v="3"/>
    <s v="CUST1053"/>
    <s v="PROD49"/>
    <s v="STORE5"/>
    <n v="1"/>
    <n v="1"/>
    <n v="678.9"/>
    <n v="0.17"/>
    <x v="0"/>
    <n v="563.48699999999997"/>
    <s v="Low"/>
    <s v="Sharon Brown"/>
    <x v="3"/>
    <x v="80"/>
    <x v="0"/>
    <x v="0"/>
    <s v="Normal order"/>
  </r>
  <r>
    <s v="SALE822"/>
    <d v="2024-08-16T00:00:00"/>
    <x v="10"/>
    <s v="CUST1015"/>
    <s v="PROD25"/>
    <s v="STORE15"/>
    <n v="4"/>
    <n v="4"/>
    <n v="94.13"/>
    <n v="0.15"/>
    <x v="0"/>
    <n v="320.04199999999997"/>
    <s v="Low"/>
    <s v="Laura Alvarez"/>
    <x v="4"/>
    <x v="13"/>
    <x v="0"/>
    <x v="2"/>
    <s v="Bulk order"/>
  </r>
  <r>
    <s v="SALE823"/>
    <d v="2025-10-03T00:00:00"/>
    <x v="6"/>
    <s v="CUST1441"/>
    <s v="PROD44"/>
    <s v="STORE1"/>
    <n v="4"/>
    <n v="4"/>
    <n v="415.02"/>
    <n v="0.01"/>
    <x v="1"/>
    <n v="1643.4792"/>
    <s v="High"/>
    <s v="Dalton Walters"/>
    <x v="0"/>
    <x v="31"/>
    <x v="0"/>
    <x v="1"/>
    <s v="Bulk order"/>
  </r>
  <r>
    <s v="SALE824"/>
    <d v="2025-07-03T00:00:00"/>
    <x v="0"/>
    <s v="CUST1051"/>
    <s v="PROD11"/>
    <s v="STORE4"/>
    <n v="4"/>
    <n v="4"/>
    <n v="780.07"/>
    <n v="0.03"/>
    <x v="0"/>
    <n v="3026.6716000000001"/>
    <s v="High"/>
    <s v="Sarah Rodgers"/>
    <x v="1"/>
    <x v="68"/>
    <x v="1"/>
    <x v="0"/>
    <s v="Bulk order"/>
  </r>
  <r>
    <s v="SALE825"/>
    <d v="2025-08-08T00:00:00"/>
    <x v="10"/>
    <s v="CUST1428"/>
    <s v="PROD37"/>
    <s v="STORE15"/>
    <n v="4"/>
    <n v="4"/>
    <n v="184.57"/>
    <n v="0.28000000000000003"/>
    <x v="0"/>
    <n v="531.5616"/>
    <s v="Low"/>
    <s v="Samuel Mullins"/>
    <x v="4"/>
    <x v="16"/>
    <x v="0"/>
    <x v="3"/>
    <s v="Bulk order"/>
  </r>
  <r>
    <s v="SALE826"/>
    <d v="2024-08-28T00:00:00"/>
    <x v="10"/>
    <s v="CUST1287"/>
    <s v="PROD65"/>
    <s v="STORE4"/>
    <n v="4"/>
    <n v="4"/>
    <n v="277.58"/>
    <n v="0.22"/>
    <x v="1"/>
    <n v="866.04959999999994"/>
    <s v="Low"/>
    <s v="Cynthia Roberts"/>
    <x v="0"/>
    <x v="74"/>
    <x v="1"/>
    <x v="0"/>
    <s v="Bulk order"/>
  </r>
  <r>
    <s v="SALE827"/>
    <d v="2025-03-18T00:00:00"/>
    <x v="9"/>
    <s v="CUST1104"/>
    <s v="PROD31"/>
    <s v="STORE3"/>
    <n v="1"/>
    <n v="1"/>
    <n v="36.799999999999997"/>
    <n v="0.18"/>
    <x v="0"/>
    <n v="30.175999999999998"/>
    <s v="Low"/>
    <s v="Christopher Lester"/>
    <x v="0"/>
    <x v="72"/>
    <x v="0"/>
    <x v="1"/>
    <s v="Normal order"/>
  </r>
  <r>
    <s v="SALE828"/>
    <d v="2025-06-01T00:00:00"/>
    <x v="4"/>
    <s v="CUST1356"/>
    <s v="PROD88"/>
    <s v="STORE6"/>
    <n v="1"/>
    <n v="1"/>
    <n v="539.37"/>
    <n v="0.14000000000000001"/>
    <x v="0"/>
    <n v="463.85820000000001"/>
    <s v="Low"/>
    <s v="Steve Hunt"/>
    <x v="0"/>
    <x v="90"/>
    <x v="2"/>
    <x v="3"/>
    <s v="Normal order"/>
  </r>
  <r>
    <s v="SALE829"/>
    <d v="2025-04-13T00:00:00"/>
    <x v="5"/>
    <s v="CUST1089"/>
    <s v="PROD20"/>
    <s v="STORE18"/>
    <n v="1"/>
    <n v="1"/>
    <n v="27.83"/>
    <n v="0.3"/>
    <x v="1"/>
    <n v="19.481000000000002"/>
    <s v="Low"/>
    <s v="Jamie Yoder"/>
    <x v="0"/>
    <x v="69"/>
    <x v="2"/>
    <x v="2"/>
    <s v="Normal order"/>
  </r>
  <r>
    <s v="SALE83"/>
    <d v="2024-05-15T00:00:00"/>
    <x v="11"/>
    <s v="CUST1403"/>
    <s v="PROD17"/>
    <s v="STORE18"/>
    <n v="4"/>
    <n v="4"/>
    <n v="34.39"/>
    <n v="0.03"/>
    <x v="1"/>
    <n v="133.4332"/>
    <s v="Low"/>
    <s v="Justin Ingram"/>
    <x v="0"/>
    <x v="29"/>
    <x v="2"/>
    <x v="3"/>
    <s v="Bulk order"/>
  </r>
  <r>
    <s v="SALE830"/>
    <d v="2024-06-13T00:00:00"/>
    <x v="4"/>
    <s v="CUST1283"/>
    <s v="PROD70"/>
    <s v="STORE4"/>
    <n v="3"/>
    <n v="3"/>
    <n v="698.72"/>
    <n v="0.28000000000000003"/>
    <x v="2"/>
    <n v="1509.2352000000001"/>
    <s v="High"/>
    <s v="Bryan Garcia"/>
    <x v="2"/>
    <x v="92"/>
    <x v="1"/>
    <x v="1"/>
    <s v="Normal order"/>
  </r>
  <r>
    <s v="SALE831"/>
    <d v="2025-02-10T00:00:00"/>
    <x v="2"/>
    <s v="CUST1012"/>
    <s v="PROD76"/>
    <s v="STORE13"/>
    <n v="4"/>
    <n v="4"/>
    <n v="528.23"/>
    <n v="0.15"/>
    <x v="2"/>
    <n v="1795.982"/>
    <s v="High"/>
    <s v="Kenneth Lambert"/>
    <x v="1"/>
    <x v="45"/>
    <x v="2"/>
    <x v="2"/>
    <s v="Bulk order"/>
  </r>
  <r>
    <s v="SALE832"/>
    <d v="2024-09-13T00:00:00"/>
    <x v="7"/>
    <s v="CUST1492"/>
    <s v="PROD46"/>
    <s v="STORE16"/>
    <n v="2"/>
    <n v="2"/>
    <n v="780.9"/>
    <n v="0.24"/>
    <x v="1"/>
    <n v="1186.9680000000001"/>
    <s v="High"/>
    <s v="Darrell Miller"/>
    <x v="4"/>
    <x v="41"/>
    <x v="3"/>
    <x v="2"/>
    <s v="Normal order"/>
  </r>
  <r>
    <s v="SALE833"/>
    <d v="2023-11-06T00:00:00"/>
    <x v="8"/>
    <s v="CUST1180"/>
    <s v="PROD21"/>
    <s v="STORE14"/>
    <n v="1"/>
    <n v="1"/>
    <n v="977.97"/>
    <n v="0.06"/>
    <x v="2"/>
    <n v="919.29179999999997"/>
    <s v="Low"/>
    <s v="Wesley Thompson"/>
    <x v="2"/>
    <x v="54"/>
    <x v="1"/>
    <x v="3"/>
    <s v="Normal order"/>
  </r>
  <r>
    <s v="SALE834"/>
    <d v="2024-01-19T00:00:00"/>
    <x v="3"/>
    <s v="CUST1369"/>
    <s v="PROD83"/>
    <s v="STORE12"/>
    <n v="4"/>
    <n v="4"/>
    <n v="354.65"/>
    <n v="0.19"/>
    <x v="0"/>
    <n v="1149.066"/>
    <s v="High"/>
    <s v="Gregory Allen"/>
    <x v="3"/>
    <x v="61"/>
    <x v="0"/>
    <x v="2"/>
    <s v="Bulk order"/>
  </r>
  <r>
    <s v="SALE835"/>
    <d v="2024-03-25T00:00:00"/>
    <x v="9"/>
    <s v="CUST1283"/>
    <s v="PROD68"/>
    <s v="STORE19"/>
    <n v="1"/>
    <n v="1"/>
    <n v="671.62"/>
    <n v="0.09"/>
    <x v="2"/>
    <n v="611.17420000000004"/>
    <s v="Low"/>
    <s v="Bryan Garcia"/>
    <x v="2"/>
    <x v="97"/>
    <x v="2"/>
    <x v="1"/>
    <s v="Normal order"/>
  </r>
  <r>
    <s v="SALE836"/>
    <d v="2025-09-14T00:00:00"/>
    <x v="7"/>
    <s v="CUST1317"/>
    <s v="PROD82"/>
    <s v="STORE3"/>
    <n v="1"/>
    <n v="1"/>
    <n v="867.32"/>
    <n v="0.28999999999999998"/>
    <x v="1"/>
    <n v="615.79719999999998"/>
    <s v="Low"/>
    <s v="Tiffany Williams"/>
    <x v="0"/>
    <x v="26"/>
    <x v="0"/>
    <x v="0"/>
    <s v="Normal order"/>
  </r>
  <r>
    <s v="SALE837"/>
    <d v="2024-02-14T00:00:00"/>
    <x v="2"/>
    <s v="CUST1081"/>
    <s v="PROD10"/>
    <s v="STORE12"/>
    <n v="3"/>
    <n v="3"/>
    <n v="240.27"/>
    <n v="0.15"/>
    <x v="1"/>
    <n v="612.68850000000009"/>
    <s v="Low"/>
    <s v="Krystal Ford"/>
    <x v="2"/>
    <x v="47"/>
    <x v="0"/>
    <x v="2"/>
    <s v="Normal order"/>
  </r>
  <r>
    <s v="SALE838"/>
    <d v="2025-03-12T00:00:00"/>
    <x v="9"/>
    <s v="CUST1075"/>
    <s v="PROD28"/>
    <s v="STORE16"/>
    <n v="2"/>
    <n v="2"/>
    <n v="619.12"/>
    <n v="0.28000000000000003"/>
    <x v="2"/>
    <n v="891.53279999999995"/>
    <s v="Low"/>
    <s v="Rhonda Morales"/>
    <x v="0"/>
    <x v="40"/>
    <x v="3"/>
    <x v="0"/>
    <s v="Normal order"/>
  </r>
  <r>
    <s v="SALE839"/>
    <d v="2025-04-08T00:00:00"/>
    <x v="5"/>
    <s v="CUST1213"/>
    <s v="PROD87"/>
    <s v="STORE0"/>
    <n v="3"/>
    <n v="3"/>
    <n v="693.42"/>
    <n v="0.08"/>
    <x v="1"/>
    <n v="1913.8391999999999"/>
    <s v="High"/>
    <s v="Stuart Johnson"/>
    <x v="2"/>
    <x v="48"/>
    <x v="2"/>
    <x v="2"/>
    <s v="Normal order"/>
  </r>
  <r>
    <s v="SALE84"/>
    <d v="2023-12-08T00:00:00"/>
    <x v="1"/>
    <s v="CUST1423"/>
    <s v="PROD46"/>
    <s v="STORE17"/>
    <n v="1"/>
    <n v="1"/>
    <n v="773.57"/>
    <n v="0.05"/>
    <x v="2"/>
    <m/>
    <s v="Low"/>
    <s v="Rebecca Baker"/>
    <x v="4"/>
    <x v="41"/>
    <x v="0"/>
    <x v="1"/>
    <s v="Normal order"/>
  </r>
  <r>
    <s v="SALE840"/>
    <d v="2025-02-07T00:00:00"/>
    <x v="2"/>
    <s v="CUST1108"/>
    <s v="PROD48"/>
    <s v="STORE10"/>
    <n v="4"/>
    <n v="4"/>
    <n v="751.63"/>
    <n v="0.28000000000000003"/>
    <x v="2"/>
    <n v="2164.6943999999999"/>
    <s v="High"/>
    <s v="Travis Holland"/>
    <x v="1"/>
    <x v="66"/>
    <x v="2"/>
    <x v="3"/>
    <s v="Bulk order"/>
  </r>
  <r>
    <s v="SALE841"/>
    <d v="2024-03-29T00:00:00"/>
    <x v="9"/>
    <s v="CUST1110"/>
    <s v="PROD31"/>
    <s v="STORE15"/>
    <n v="3"/>
    <n v="3"/>
    <n v="108.14"/>
    <n v="0.19"/>
    <x v="2"/>
    <n v="262.78019999999998"/>
    <s v="Low"/>
    <s v="Ashley Griffin"/>
    <x v="0"/>
    <x v="72"/>
    <x v="0"/>
    <x v="0"/>
    <s v="Normal order"/>
  </r>
  <r>
    <s v="SALE842"/>
    <d v="2024-06-03T00:00:00"/>
    <x v="4"/>
    <s v="CUST1256"/>
    <s v="PROD27"/>
    <s v="STORE4"/>
    <n v="1"/>
    <n v="1"/>
    <n v="964.11"/>
    <n v="0.17"/>
    <x v="2"/>
    <n v="800.21129999999994"/>
    <s v="Low"/>
    <s v="Kristen Fischer"/>
    <x v="2"/>
    <x v="77"/>
    <x v="1"/>
    <x v="2"/>
    <s v="Normal order"/>
  </r>
  <r>
    <s v="SALE843"/>
    <d v="2024-08-21T00:00:00"/>
    <x v="10"/>
    <s v="CUST1131"/>
    <s v="PROD19"/>
    <s v="STORE0"/>
    <n v="1"/>
    <n v="1"/>
    <n v="346.2"/>
    <n v="0.28999999999999998"/>
    <x v="0"/>
    <n v="245.80199999999999"/>
    <s v="Low"/>
    <s v="Joseph Richards"/>
    <x v="0"/>
    <x v="32"/>
    <x v="2"/>
    <x v="3"/>
    <s v="Normal order"/>
  </r>
  <r>
    <s v="SALE844"/>
    <d v="2024-08-23T00:00:00"/>
    <x v="10"/>
    <s v="CUST1457"/>
    <s v="PROD43"/>
    <s v="STORE15"/>
    <n v="3"/>
    <n v="3"/>
    <n v="791.75"/>
    <n v="0.28999999999999998"/>
    <x v="0"/>
    <n v="1686.4275"/>
    <s v="High"/>
    <s v="Christina Robertson"/>
    <x v="1"/>
    <x v="34"/>
    <x v="0"/>
    <x v="2"/>
    <s v="Normal order"/>
  </r>
  <r>
    <s v="SALE845"/>
    <d v="2023-12-05T00:00:00"/>
    <x v="1"/>
    <s v="CUST1319"/>
    <s v="PROD39"/>
    <s v="STORE13"/>
    <n v="1"/>
    <n v="1"/>
    <n v="529.84"/>
    <n v="0.13"/>
    <x v="1"/>
    <n v="460.96080000000001"/>
    <s v="Low"/>
    <s v="Casey Simpson"/>
    <x v="1"/>
    <x v="65"/>
    <x v="2"/>
    <x v="2"/>
    <s v="Normal order"/>
  </r>
  <r>
    <s v="SALE846"/>
    <d v="2025-10-06T00:00:00"/>
    <x v="6"/>
    <s v="CUST1471"/>
    <s v="PROD54"/>
    <s v="STORE3"/>
    <n v="3"/>
    <n v="3"/>
    <n v="582.57000000000005"/>
    <n v="0.11"/>
    <x v="1"/>
    <n v="1555.4619"/>
    <s v="High"/>
    <s v="Debra Mccullough"/>
    <x v="0"/>
    <x v="8"/>
    <x v="0"/>
    <x v="2"/>
    <s v="Normal order"/>
  </r>
  <r>
    <s v="SALE847"/>
    <d v="2023-11-12T00:00:00"/>
    <x v="8"/>
    <s v="CUST1211"/>
    <s v="PROD95"/>
    <s v="STORE17"/>
    <n v="1"/>
    <n v="1"/>
    <n v="219.81"/>
    <n v="0.22"/>
    <x v="2"/>
    <n v="171.45179999999999"/>
    <s v="Low"/>
    <s v="Rodney Huffman"/>
    <x v="0"/>
    <x v="28"/>
    <x v="0"/>
    <x v="1"/>
    <s v="Normal order"/>
  </r>
  <r>
    <s v="SALE848"/>
    <d v="2024-05-25T00:00:00"/>
    <x v="11"/>
    <s v="CUST1497"/>
    <s v="PROD70"/>
    <s v="STORE18"/>
    <n v="4"/>
    <n v="4"/>
    <n v="883.31"/>
    <n v="0.27"/>
    <x v="0"/>
    <n v="2579.2651999999998"/>
    <s v="High"/>
    <s v="Sarah Marsh"/>
    <x v="2"/>
    <x v="92"/>
    <x v="2"/>
    <x v="0"/>
    <s v="Bulk order"/>
  </r>
  <r>
    <s v="SALE849"/>
    <d v="2024-12-01T00:00:00"/>
    <x v="1"/>
    <s v="CUST1234"/>
    <s v="PROD17"/>
    <s v="STORE14"/>
    <n v="4"/>
    <n v="4"/>
    <n v="329.06"/>
    <n v="0.04"/>
    <x v="2"/>
    <n v="1263.5904"/>
    <s v="High"/>
    <s v="Nathaniel Hill"/>
    <x v="0"/>
    <x v="29"/>
    <x v="1"/>
    <x v="0"/>
    <s v="Bulk order"/>
  </r>
  <r>
    <s v="SALE85"/>
    <d v="2023-12-22T00:00:00"/>
    <x v="1"/>
    <s v="CUST1054"/>
    <s v="PROD88"/>
    <s v="STORE7"/>
    <n v="4"/>
    <n v="4"/>
    <n v="127.1"/>
    <n v="0.24"/>
    <x v="2"/>
    <n v="386.38400000000001"/>
    <s v="Low"/>
    <s v="Katherine Dorsey"/>
    <x v="0"/>
    <x v="90"/>
    <x v="1"/>
    <x v="2"/>
    <s v="Bulk order"/>
  </r>
  <r>
    <s v="SALE850"/>
    <d v="2025-01-21T00:00:00"/>
    <x v="3"/>
    <s v="CUST1105"/>
    <s v="PROD68"/>
    <s v="STORE11"/>
    <n v="1"/>
    <n v="1"/>
    <n v="935.78"/>
    <n v="0.03"/>
    <x v="1"/>
    <n v="907.70659999999998"/>
    <s v="Low"/>
    <s v="Lance Baker"/>
    <x v="2"/>
    <x v="97"/>
    <x v="1"/>
    <x v="0"/>
    <s v="Normal order"/>
  </r>
  <r>
    <s v="SALE851"/>
    <d v="2024-07-11T00:00:00"/>
    <x v="0"/>
    <s v="CUST1320"/>
    <s v="PROD60"/>
    <s v="STORE10"/>
    <n v="4"/>
    <n v="4"/>
    <n v="597.79999999999995"/>
    <n v="0.2"/>
    <x v="0"/>
    <n v="1912.96"/>
    <s v="High"/>
    <s v="Jessica Gonzalez"/>
    <x v="3"/>
    <x v="18"/>
    <x v="2"/>
    <x v="3"/>
    <s v="Bulk order"/>
  </r>
  <r>
    <s v="SALE852"/>
    <d v="2025-02-12T00:00:00"/>
    <x v="2"/>
    <s v="CUST1259"/>
    <s v="PROD13"/>
    <s v="STORE18"/>
    <n v="4"/>
    <n v="4"/>
    <n v="266.98"/>
    <n v="0.16"/>
    <x v="0"/>
    <n v="897.05280000000005"/>
    <s v="Low"/>
    <s v="Beth Allen"/>
    <x v="1"/>
    <x v="75"/>
    <x v="2"/>
    <x v="1"/>
    <s v="Bulk order"/>
  </r>
  <r>
    <s v="SALE853"/>
    <d v="2025-08-04T00:00:00"/>
    <x v="10"/>
    <s v="CUST1407"/>
    <s v="PROD70"/>
    <s v="STORE15"/>
    <n v="3"/>
    <n v="3"/>
    <n v="360.18"/>
    <n v="0.03"/>
    <x v="0"/>
    <n v="1048.1238000000001"/>
    <s v="High"/>
    <s v="Joseph Mendoza"/>
    <x v="2"/>
    <x v="92"/>
    <x v="0"/>
    <x v="0"/>
    <s v="Normal order"/>
  </r>
  <r>
    <s v="SALE854"/>
    <d v="2025-07-22T00:00:00"/>
    <x v="0"/>
    <s v="CUST1363"/>
    <s v="PROD56"/>
    <s v="STORE0"/>
    <n v="3"/>
    <n v="3"/>
    <n v="247.41"/>
    <n v="0.05"/>
    <x v="2"/>
    <n v="705.11850000000004"/>
    <s v="Low"/>
    <s v="Elizabeth Smith"/>
    <x v="2"/>
    <x v="87"/>
    <x v="2"/>
    <x v="3"/>
    <s v="Normal order"/>
  </r>
  <r>
    <s v="SALE855"/>
    <d v="2023-11-05T00:00:00"/>
    <x v="8"/>
    <s v="CUST1078"/>
    <s v="PROD45"/>
    <s v="STORE15"/>
    <n v="3"/>
    <n v="3"/>
    <n v="674.66"/>
    <n v="0.23"/>
    <x v="0"/>
    <n v="1558.4646"/>
    <s v="High"/>
    <s v="Cody Blake"/>
    <x v="0"/>
    <x v="23"/>
    <x v="0"/>
    <x v="0"/>
    <s v="Normal order"/>
  </r>
  <r>
    <s v="SALE856"/>
    <d v="2025-08-05T00:00:00"/>
    <x v="10"/>
    <s v="CUST1415"/>
    <s v="PROD42"/>
    <s v="STORE4"/>
    <n v="1"/>
    <n v="1"/>
    <n v="913.98"/>
    <n v="0.27"/>
    <x v="1"/>
    <n v="667.20539999999994"/>
    <s v="Low"/>
    <s v="Tyler Cook"/>
    <x v="1"/>
    <x v="71"/>
    <x v="1"/>
    <x v="1"/>
    <s v="Normal order"/>
  </r>
  <r>
    <s v="SALE857"/>
    <d v="2025-04-22T00:00:00"/>
    <x v="5"/>
    <s v="CUST1314"/>
    <s v="PROD93"/>
    <s v="STORE10"/>
    <n v="4"/>
    <n v="4"/>
    <n v="370.5"/>
    <n v="0.13"/>
    <x v="1"/>
    <n v="1289.3399999999999"/>
    <s v="High"/>
    <s v="Elizabeth Johnson"/>
    <x v="1"/>
    <x v="27"/>
    <x v="2"/>
    <x v="1"/>
    <s v="Bulk order"/>
  </r>
  <r>
    <s v="SALE858"/>
    <d v="2024-11-23T00:00:00"/>
    <x v="8"/>
    <s v="CUST1358"/>
    <s v="PROD72"/>
    <s v="STORE13"/>
    <n v="1"/>
    <n v="1"/>
    <n v="735.1"/>
    <n v="0.1"/>
    <x v="1"/>
    <n v="661.59"/>
    <s v="Low"/>
    <s v="Ashley Anderson"/>
    <x v="0"/>
    <x v="35"/>
    <x v="2"/>
    <x v="0"/>
    <s v="Normal order"/>
  </r>
  <r>
    <s v="SALE859"/>
    <d v="2024-11-18T00:00:00"/>
    <x v="8"/>
    <s v="CUST1135"/>
    <s v="PROD79"/>
    <s v="STORE2"/>
    <n v="3"/>
    <n v="3"/>
    <n v="448.55"/>
    <n v="0.05"/>
    <x v="0"/>
    <n v="1278.3675000000001"/>
    <s v="High"/>
    <s v="Matthew Hanna"/>
    <x v="2"/>
    <x v="14"/>
    <x v="1"/>
    <x v="2"/>
    <s v="Normal order"/>
  </r>
  <r>
    <s v="SALE86"/>
    <d v="2024-09-10T00:00:00"/>
    <x v="7"/>
    <s v="CUST1303"/>
    <s v="PROD20"/>
    <s v="STORE3"/>
    <n v="3"/>
    <n v="3"/>
    <n v="899.58"/>
    <n v="0.28000000000000003"/>
    <x v="1"/>
    <n v="1943.0927999999999"/>
    <s v="High"/>
    <s v="John Sloan"/>
    <x v="0"/>
    <x v="69"/>
    <x v="0"/>
    <x v="2"/>
    <s v="Normal order"/>
  </r>
  <r>
    <s v="SALE860"/>
    <d v="2025-02-03T00:00:00"/>
    <x v="2"/>
    <s v="CUST1059"/>
    <s v="PROD84"/>
    <s v="STORE13"/>
    <n v="3"/>
    <n v="3"/>
    <n v="904.96"/>
    <n v="7.0000000000000007E-2"/>
    <x v="2"/>
    <n v="2524.8384000000001"/>
    <s v="High"/>
    <s v="Alyssa Vargas"/>
    <x v="2"/>
    <x v="56"/>
    <x v="2"/>
    <x v="2"/>
    <s v="Normal order"/>
  </r>
  <r>
    <s v="SALE861"/>
    <d v="2024-11-12T00:00:00"/>
    <x v="8"/>
    <s v="CUST1380"/>
    <s v="PROD68"/>
    <s v="STORE13"/>
    <n v="4"/>
    <n v="4"/>
    <n v="408.72"/>
    <n v="0.16"/>
    <x v="2"/>
    <n v="1373.2991999999999"/>
    <s v="High"/>
    <s v="Shelley Ponce"/>
    <x v="2"/>
    <x v="97"/>
    <x v="2"/>
    <x v="0"/>
    <s v="Bulk order"/>
  </r>
  <r>
    <s v="SALE862"/>
    <d v="2024-04-30T00:00:00"/>
    <x v="5"/>
    <s v="CUST1282"/>
    <s v="PROD71"/>
    <s v="STORE3"/>
    <n v="4"/>
    <n v="4"/>
    <n v="770.65"/>
    <n v="0.27"/>
    <x v="0"/>
    <n v="2250.2979999999998"/>
    <s v="High"/>
    <s v="Kristi Lopez"/>
    <x v="3"/>
    <x v="57"/>
    <x v="0"/>
    <x v="0"/>
    <s v="Bulk order"/>
  </r>
  <r>
    <s v="SALE863"/>
    <d v="2025-04-20T00:00:00"/>
    <x v="5"/>
    <s v="CUST1203"/>
    <s v="PROD30"/>
    <s v="STORE6"/>
    <n v="1"/>
    <n v="1"/>
    <n v="649.22"/>
    <n v="0.03"/>
    <x v="2"/>
    <n v="629.74340000000007"/>
    <s v="Low"/>
    <s v="Sarah Brady"/>
    <x v="2"/>
    <x v="38"/>
    <x v="2"/>
    <x v="2"/>
    <s v="Normal order"/>
  </r>
  <r>
    <s v="SALE864"/>
    <d v="2024-05-16T00:00:00"/>
    <x v="11"/>
    <s v="CUST1348"/>
    <s v="PROD33"/>
    <s v="STORE10"/>
    <n v="2"/>
    <n v="2"/>
    <n v="379.78"/>
    <n v="0.2"/>
    <x v="0"/>
    <n v="607.64800000000002"/>
    <s v="Low"/>
    <s v="Sherry Cabrera"/>
    <x v="2"/>
    <x v="3"/>
    <x v="2"/>
    <x v="1"/>
    <s v="Normal order"/>
  </r>
  <r>
    <s v="SALE865"/>
    <d v="2025-04-23T00:00:00"/>
    <x v="5"/>
    <s v="CUST1248"/>
    <s v="PROD43"/>
    <s v="STORE8"/>
    <n v="3"/>
    <n v="3"/>
    <n v="924.15"/>
    <n v="0.1"/>
    <x v="1"/>
    <n v="2495.2049999999999"/>
    <s v="High"/>
    <s v="Nicholas Webb"/>
    <x v="1"/>
    <x v="34"/>
    <x v="3"/>
    <x v="0"/>
    <s v="Normal order"/>
  </r>
  <r>
    <s v="SALE866"/>
    <d v="2024-10-06T00:00:00"/>
    <x v="6"/>
    <s v="CUST1469"/>
    <s v="PROD45"/>
    <s v="STORE17"/>
    <n v="3"/>
    <n v="3"/>
    <n v="144.66999999999999"/>
    <n v="0.28999999999999998"/>
    <x v="2"/>
    <n v="308.14710000000002"/>
    <s v="Low"/>
    <s v="James Foster"/>
    <x v="0"/>
    <x v="23"/>
    <x v="0"/>
    <x v="0"/>
    <s v="Normal order"/>
  </r>
  <r>
    <s v="SALE867"/>
    <d v="2025-02-12T00:00:00"/>
    <x v="2"/>
    <s v="CUST1121"/>
    <s v="PROD33"/>
    <s v="STORE15"/>
    <n v="2"/>
    <n v="2"/>
    <n v="667.17"/>
    <n v="0.1"/>
    <x v="1"/>
    <n v="1200.9059999999999"/>
    <s v="High"/>
    <s v="Joel Robinson"/>
    <x v="2"/>
    <x v="3"/>
    <x v="0"/>
    <x v="2"/>
    <s v="Normal order"/>
  </r>
  <r>
    <s v="SALE868"/>
    <d v="2024-03-31T00:00:00"/>
    <x v="9"/>
    <s v="CUST1402"/>
    <s v="PROD66"/>
    <s v="STORE3"/>
    <n v="1"/>
    <n v="1"/>
    <n v="984.6"/>
    <n v="0.22"/>
    <x v="0"/>
    <n v="767.98800000000006"/>
    <s v="Low"/>
    <s v="Cassandra Perez"/>
    <x v="3"/>
    <x v="46"/>
    <x v="0"/>
    <x v="3"/>
    <s v="Normal order"/>
  </r>
  <r>
    <s v="SALE869"/>
    <d v="2023-11-30T00:00:00"/>
    <x v="8"/>
    <s v="CUST1279"/>
    <s v="PROD13"/>
    <s v="STORE8"/>
    <n v="1"/>
    <n v="1"/>
    <n v="139.29"/>
    <n v="0"/>
    <x v="0"/>
    <n v="139.29"/>
    <s v="Low"/>
    <s v="Aaron Luna"/>
    <x v="1"/>
    <x v="75"/>
    <x v="3"/>
    <x v="3"/>
    <s v="Normal order"/>
  </r>
  <r>
    <s v="SALE87"/>
    <d v="2025-04-08T00:00:00"/>
    <x v="5"/>
    <s v="CUST1327"/>
    <s v="PROD1"/>
    <s v="STORE10"/>
    <n v="3"/>
    <n v="3"/>
    <n v="964.39"/>
    <n v="0.04"/>
    <x v="0"/>
    <n v="2777.4432000000002"/>
    <s v="High"/>
    <s v="Reginald Willis"/>
    <x v="4"/>
    <x v="93"/>
    <x v="2"/>
    <x v="3"/>
    <s v="Normal order"/>
  </r>
  <r>
    <s v="SALE870"/>
    <d v="2025-02-14T00:00:00"/>
    <x v="2"/>
    <s v="CUST1033"/>
    <s v="PROD16"/>
    <s v="STORE8"/>
    <n v="3"/>
    <n v="3"/>
    <n v="459.57"/>
    <n v="0.1"/>
    <x v="2"/>
    <n v="1240.8389999999999"/>
    <s v="High"/>
    <s v="Robert Jones Dds"/>
    <x v="3"/>
    <x v="63"/>
    <x v="3"/>
    <x v="2"/>
    <s v="Normal order"/>
  </r>
  <r>
    <s v="SALE871"/>
    <d v="2024-01-11T00:00:00"/>
    <x v="3"/>
    <s v="CUST1066"/>
    <s v="PROD40"/>
    <s v="STORE15"/>
    <n v="1"/>
    <n v="1"/>
    <n v="517.82000000000005"/>
    <n v="0.28999999999999998"/>
    <x v="0"/>
    <n v="367.65219999999999"/>
    <s v="Low"/>
    <s v="Cody Diaz"/>
    <x v="1"/>
    <x v="50"/>
    <x v="0"/>
    <x v="1"/>
    <s v="Normal order"/>
  </r>
  <r>
    <s v="SALE872"/>
    <d v="2024-12-27T00:00:00"/>
    <x v="1"/>
    <s v="CUST1379"/>
    <s v="PROD76"/>
    <s v="STORE6"/>
    <n v="4"/>
    <n v="4"/>
    <n v="282.45"/>
    <n v="0.28999999999999998"/>
    <x v="2"/>
    <n v="802.1579999999999"/>
    <s v="Low"/>
    <s v="Tanya Lopez"/>
    <x v="1"/>
    <x v="45"/>
    <x v="2"/>
    <x v="0"/>
    <s v="Bulk order"/>
  </r>
  <r>
    <s v="SALE873"/>
    <d v="2023-11-20T00:00:00"/>
    <x v="8"/>
    <s v="CUST1455"/>
    <s v="PROD87"/>
    <s v="STORE7"/>
    <n v="2"/>
    <n v="2"/>
    <n v="386.46"/>
    <n v="0.23"/>
    <x v="2"/>
    <n v="595.14840000000004"/>
    <s v="Low"/>
    <s v="Tyler Weber"/>
    <x v="2"/>
    <x v="48"/>
    <x v="1"/>
    <x v="0"/>
    <s v="Normal order"/>
  </r>
  <r>
    <s v="SALE874"/>
    <d v="2025-01-04T00:00:00"/>
    <x v="3"/>
    <s v="CUST1195"/>
    <s v="PROD19"/>
    <s v="STORE3"/>
    <n v="1"/>
    <n v="1"/>
    <n v="270.45"/>
    <n v="0.15"/>
    <x v="2"/>
    <n v="229.88249999999999"/>
    <s v="Low"/>
    <s v="Anthony Garcia"/>
    <x v="0"/>
    <x v="32"/>
    <x v="0"/>
    <x v="1"/>
    <s v="Normal order"/>
  </r>
  <r>
    <s v="SALE875"/>
    <d v="2024-07-20T00:00:00"/>
    <x v="0"/>
    <s v="CUST1041"/>
    <s v="PROD76"/>
    <s v="STORE10"/>
    <n v="4"/>
    <n v="4"/>
    <n v="762.94"/>
    <n v="0.09"/>
    <x v="2"/>
    <n v="2777.1016"/>
    <s v="High"/>
    <s v="James Gibbs"/>
    <x v="1"/>
    <x v="45"/>
    <x v="2"/>
    <x v="2"/>
    <s v="Bulk order"/>
  </r>
  <r>
    <s v="SALE876"/>
    <d v="2023-11-12T00:00:00"/>
    <x v="8"/>
    <s v="CUST1494"/>
    <s v="PROD41"/>
    <s v="STORE13"/>
    <n v="1"/>
    <n v="1"/>
    <n v="409.03"/>
    <n v="0.25"/>
    <x v="2"/>
    <n v="306.77249999999998"/>
    <s v="Low"/>
    <s v="Justin Lopez"/>
    <x v="0"/>
    <x v="82"/>
    <x v="2"/>
    <x v="0"/>
    <s v="Normal order"/>
  </r>
  <r>
    <s v="SALE877"/>
    <d v="2024-04-29T00:00:00"/>
    <x v="5"/>
    <s v="CUST1219"/>
    <s v="PROD96"/>
    <s v="STORE18"/>
    <n v="2"/>
    <n v="2"/>
    <n v="891.13"/>
    <n v="0.13"/>
    <x v="0"/>
    <n v="1550.5662"/>
    <s v="High"/>
    <s v="Jordan Wells"/>
    <x v="4"/>
    <x v="76"/>
    <x v="2"/>
    <x v="0"/>
    <s v="Normal order"/>
  </r>
  <r>
    <s v="SALE878"/>
    <d v="2024-10-28T00:00:00"/>
    <x v="6"/>
    <s v="CUST1032"/>
    <s v="PROD92"/>
    <s v="STORE16"/>
    <n v="1"/>
    <n v="1"/>
    <n v="553.38"/>
    <n v="0.21"/>
    <x v="1"/>
    <n v="437.17020000000002"/>
    <s v="Low"/>
    <s v="Mike Jennings"/>
    <x v="2"/>
    <x v="39"/>
    <x v="3"/>
    <x v="0"/>
    <s v="Normal order"/>
  </r>
  <r>
    <s v="SALE879"/>
    <d v="2023-12-21T00:00:00"/>
    <x v="1"/>
    <s v="CUST1160"/>
    <s v="PROD85"/>
    <s v="STORE13"/>
    <n v="2"/>
    <n v="2"/>
    <n v="652.29999999999995"/>
    <n v="0.16"/>
    <x v="2"/>
    <n v="1095.864"/>
    <s v="High"/>
    <s v="John Lawson"/>
    <x v="4"/>
    <x v="70"/>
    <x v="2"/>
    <x v="2"/>
    <s v="Normal order"/>
  </r>
  <r>
    <s v="SALE88"/>
    <d v="2024-10-23T00:00:00"/>
    <x v="6"/>
    <s v="CUST1183"/>
    <s v="PROD38"/>
    <s v="STORE0"/>
    <n v="2"/>
    <n v="2"/>
    <n v="217.83"/>
    <n v="0.14000000000000001"/>
    <x v="1"/>
    <n v="374.66759999999999"/>
    <s v="Low"/>
    <s v="Mario Jacobs"/>
    <x v="0"/>
    <x v="43"/>
    <x v="2"/>
    <x v="2"/>
    <s v="Normal order"/>
  </r>
  <r>
    <s v="SALE880"/>
    <d v="2024-10-10T00:00:00"/>
    <x v="6"/>
    <s v="CUST1122"/>
    <s v="PROD42"/>
    <s v="STORE9"/>
    <n v="4"/>
    <n v="4"/>
    <n v="194.36"/>
    <n v="0.18"/>
    <x v="2"/>
    <n v="637.50080000000014"/>
    <s v="Low"/>
    <s v="Michael Chang"/>
    <x v="1"/>
    <x v="71"/>
    <x v="1"/>
    <x v="2"/>
    <s v="Bulk order"/>
  </r>
  <r>
    <s v="SALE881"/>
    <d v="2025-01-03T00:00:00"/>
    <x v="3"/>
    <s v="CUST1153"/>
    <s v="PROD92"/>
    <s v="STORE1"/>
    <n v="3"/>
    <n v="3"/>
    <n v="476.37"/>
    <n v="0.21"/>
    <x v="2"/>
    <n v="1128.9969000000001"/>
    <s v="High"/>
    <s v="Joseph Faulkner"/>
    <x v="2"/>
    <x v="39"/>
    <x v="0"/>
    <x v="3"/>
    <s v="Normal order"/>
  </r>
  <r>
    <s v="SALE882"/>
    <d v="2024-03-09T00:00:00"/>
    <x v="9"/>
    <s v="CUST1365"/>
    <s v="PROD40"/>
    <s v="STORE5"/>
    <n v="3"/>
    <n v="3"/>
    <n v="174.57"/>
    <n v="0"/>
    <x v="1"/>
    <n v="523.71"/>
    <s v="Low"/>
    <s v="Brandon Mcbride"/>
    <x v="1"/>
    <x v="50"/>
    <x v="0"/>
    <x v="2"/>
    <s v="Normal order"/>
  </r>
  <r>
    <s v="SALE883"/>
    <d v="2024-08-22T00:00:00"/>
    <x v="10"/>
    <s v="CUST1119"/>
    <s v="PROD85"/>
    <s v="STORE0"/>
    <n v="3"/>
    <n v="3"/>
    <n v="762"/>
    <n v="0.02"/>
    <x v="1"/>
    <n v="2240.2800000000002"/>
    <s v="High"/>
    <s v="Michael Jones"/>
    <x v="4"/>
    <x v="70"/>
    <x v="2"/>
    <x v="3"/>
    <s v="Normal order"/>
  </r>
  <r>
    <s v="SALE884"/>
    <d v="2024-04-13T00:00:00"/>
    <x v="5"/>
    <s v="CUST1425"/>
    <s v="PROD72"/>
    <s v="STORE19"/>
    <n v="1"/>
    <n v="1"/>
    <n v="44.08"/>
    <n v="0.05"/>
    <x v="0"/>
    <n v="41.875999999999998"/>
    <s v="Low"/>
    <s v="Bryce Hawkins"/>
    <x v="0"/>
    <x v="35"/>
    <x v="2"/>
    <x v="3"/>
    <s v="Normal order"/>
  </r>
  <r>
    <s v="SALE885"/>
    <d v="2024-06-23T00:00:00"/>
    <x v="4"/>
    <s v="CUST1495"/>
    <s v="PROD59"/>
    <s v="STORE13"/>
    <n v="1"/>
    <n v="1"/>
    <n v="992.37"/>
    <n v="0.24"/>
    <x v="2"/>
    <n v="754.20119999999997"/>
    <s v="Low"/>
    <s v="James Berger"/>
    <x v="3"/>
    <x v="4"/>
    <x v="2"/>
    <x v="3"/>
    <s v="Normal order"/>
  </r>
  <r>
    <s v="SALE886"/>
    <d v="2025-08-07T00:00:00"/>
    <x v="10"/>
    <s v="CUST1201"/>
    <s v="PROD31"/>
    <s v="STORE10"/>
    <n v="3"/>
    <n v="3"/>
    <n v="465.4"/>
    <n v="0.28999999999999998"/>
    <x v="2"/>
    <n v="991.30199999999979"/>
    <s v="Low"/>
    <s v="Mary Boyd"/>
    <x v="0"/>
    <x v="72"/>
    <x v="2"/>
    <x v="3"/>
    <s v="Normal order"/>
  </r>
  <r>
    <s v="SALE887"/>
    <d v="2025-03-08T00:00:00"/>
    <x v="9"/>
    <s v="CUST1337"/>
    <s v="PROD16"/>
    <s v="STORE10"/>
    <n v="2"/>
    <n v="2"/>
    <n v="693.61"/>
    <n v="0.15"/>
    <x v="1"/>
    <n v="1179.1369999999999"/>
    <s v="High"/>
    <s v="Carol Lewis"/>
    <x v="3"/>
    <x v="63"/>
    <x v="2"/>
    <x v="3"/>
    <s v="Normal order"/>
  </r>
  <r>
    <s v="SALE888"/>
    <d v="2025-05-24T00:00:00"/>
    <x v="11"/>
    <s v="CUST1465"/>
    <s v="PROD67"/>
    <s v="STORE8"/>
    <n v="2"/>
    <n v="2"/>
    <n v="995.11"/>
    <n v="0.13"/>
    <x v="1"/>
    <n v="1731.4914000000001"/>
    <s v="High"/>
    <s v="Ronald Ross"/>
    <x v="1"/>
    <x v="99"/>
    <x v="3"/>
    <x v="1"/>
    <s v="Normal order"/>
  </r>
  <r>
    <s v="SALE889"/>
    <d v="2025-04-02T00:00:00"/>
    <x v="5"/>
    <s v="CUST1381"/>
    <s v="PROD23"/>
    <s v="STORE4"/>
    <n v="3"/>
    <n v="3"/>
    <n v="70.97"/>
    <n v="0.06"/>
    <x v="2"/>
    <n v="200.1354"/>
    <s v="Low"/>
    <s v="Erika Padilla"/>
    <x v="4"/>
    <x v="9"/>
    <x v="1"/>
    <x v="1"/>
    <s v="Normal order"/>
  </r>
  <r>
    <s v="SALE89"/>
    <d v="2025-07-10T00:00:00"/>
    <x v="0"/>
    <s v="CUST1143"/>
    <s v="PROD17"/>
    <s v="STORE1"/>
    <n v="4"/>
    <n v="4"/>
    <n v="187.71"/>
    <n v="0.06"/>
    <x v="2"/>
    <n v="705.78959999999995"/>
    <s v="Low"/>
    <s v="Carlos Skinner"/>
    <x v="0"/>
    <x v="29"/>
    <x v="0"/>
    <x v="3"/>
    <s v="Bulk order"/>
  </r>
  <r>
    <s v="SALE890"/>
    <d v="2024-02-03T00:00:00"/>
    <x v="2"/>
    <s v="CUST1113"/>
    <s v="PROD83"/>
    <s v="STORE9"/>
    <n v="3"/>
    <n v="3"/>
    <n v="470.42"/>
    <n v="0.16"/>
    <x v="0"/>
    <n v="1185.4584"/>
    <s v="High"/>
    <s v="Edward Hall"/>
    <x v="3"/>
    <x v="61"/>
    <x v="1"/>
    <x v="0"/>
    <s v="Normal order"/>
  </r>
  <r>
    <s v="SALE891"/>
    <d v="2025-10-02T00:00:00"/>
    <x v="6"/>
    <s v="CUST1314"/>
    <s v="PROD86"/>
    <s v="STORE16"/>
    <n v="2"/>
    <n v="2"/>
    <n v="215.59"/>
    <n v="0.18"/>
    <x v="0"/>
    <n v="353.56760000000003"/>
    <s v="Low"/>
    <s v="Elizabeth Johnson"/>
    <x v="2"/>
    <x v="30"/>
    <x v="3"/>
    <x v="1"/>
    <s v="Normal order"/>
  </r>
  <r>
    <s v="SALE892"/>
    <d v="2025-08-26T00:00:00"/>
    <x v="10"/>
    <s v="CUST1239"/>
    <s v="PROD92"/>
    <s v="STORE0"/>
    <n v="1"/>
    <n v="1"/>
    <n v="533.79999999999995"/>
    <n v="0.27"/>
    <x v="2"/>
    <n v="389.67399999999998"/>
    <s v="Low"/>
    <s v="Maria Hill"/>
    <x v="2"/>
    <x v="39"/>
    <x v="2"/>
    <x v="2"/>
    <s v="Normal order"/>
  </r>
  <r>
    <s v="SALE893"/>
    <d v="2024-11-18T00:00:00"/>
    <x v="8"/>
    <s v="CUST1093"/>
    <s v="PROD32"/>
    <s v="STORE3"/>
    <n v="2"/>
    <n v="2"/>
    <n v="732.67"/>
    <n v="0.24"/>
    <x v="1"/>
    <n v="1113.6584"/>
    <s v="High"/>
    <s v="Christy Vasquez"/>
    <x v="3"/>
    <x v="96"/>
    <x v="0"/>
    <x v="0"/>
    <s v="Normal order"/>
  </r>
  <r>
    <s v="SALE894"/>
    <d v="2023-11-17T00:00:00"/>
    <x v="8"/>
    <s v="CUST1489"/>
    <s v="PROD60"/>
    <s v="STORE13"/>
    <n v="4"/>
    <n v="4"/>
    <n v="106.48"/>
    <n v="0.1"/>
    <x v="2"/>
    <n v="383.32799999999997"/>
    <s v="Low"/>
    <s v="Melinda Thomas"/>
    <x v="3"/>
    <x v="18"/>
    <x v="2"/>
    <x v="1"/>
    <s v="Bulk order"/>
  </r>
  <r>
    <s v="SALE895"/>
    <d v="2025-02-08T00:00:00"/>
    <x v="2"/>
    <s v="CUST1105"/>
    <s v="PROD57"/>
    <s v="STORE3"/>
    <n v="1"/>
    <n v="1"/>
    <n v="38.950000000000003"/>
    <n v="0.28000000000000003"/>
    <x v="0"/>
    <n v="28.044"/>
    <s v="Low"/>
    <s v="Lance Baker"/>
    <x v="0"/>
    <x v="64"/>
    <x v="0"/>
    <x v="0"/>
    <s v="Normal order"/>
  </r>
  <r>
    <s v="SALE896"/>
    <d v="2024-01-03T00:00:00"/>
    <x v="3"/>
    <s v="CUST1431"/>
    <s v="PROD96"/>
    <s v="STORE16"/>
    <n v="1"/>
    <n v="1"/>
    <n v="835.17"/>
    <n v="0.02"/>
    <x v="2"/>
    <n v="818.46659999999997"/>
    <s v="Low"/>
    <s v="John Smith"/>
    <x v="4"/>
    <x v="76"/>
    <x v="3"/>
    <x v="2"/>
    <s v="Normal order"/>
  </r>
  <r>
    <s v="SALE897"/>
    <d v="2024-04-07T00:00:00"/>
    <x v="5"/>
    <s v="CUST1134"/>
    <s v="PROD83"/>
    <s v="STORE3"/>
    <n v="1"/>
    <n v="1"/>
    <n v="113.07"/>
    <n v="0.24"/>
    <x v="0"/>
    <n v="85.933199999999999"/>
    <s v="Low"/>
    <s v="Morgan Bowen"/>
    <x v="3"/>
    <x v="61"/>
    <x v="0"/>
    <x v="0"/>
    <s v="Normal order"/>
  </r>
  <r>
    <s v="SALE898"/>
    <d v="2025-09-30T00:00:00"/>
    <x v="7"/>
    <s v="CUST1466"/>
    <s v="PROD94"/>
    <s v="STORE12"/>
    <n v="2"/>
    <n v="2"/>
    <n v="451.33"/>
    <n v="0.23"/>
    <x v="2"/>
    <n v="695.04819999999995"/>
    <s v="Low"/>
    <s v="Cynthia Parrish"/>
    <x v="3"/>
    <x v="89"/>
    <x v="0"/>
    <x v="1"/>
    <s v="Normal order"/>
  </r>
  <r>
    <s v="SALE899"/>
    <d v="2024-06-13T00:00:00"/>
    <x v="4"/>
    <s v="CUST1372"/>
    <s v="PROD86"/>
    <s v="STORE6"/>
    <n v="3"/>
    <n v="3"/>
    <n v="619.80999999999995"/>
    <n v="0.16"/>
    <x v="2"/>
    <n v="1561.9212"/>
    <s v="High"/>
    <s v="Jacqueline Anthony"/>
    <x v="2"/>
    <x v="30"/>
    <x v="2"/>
    <x v="3"/>
    <s v="Normal order"/>
  </r>
  <r>
    <s v="SALE9"/>
    <d v="2025-07-31T00:00:00"/>
    <x v="0"/>
    <s v="CUST1464"/>
    <s v="PROD33"/>
    <s v="STORE0"/>
    <n v="2"/>
    <n v="2"/>
    <n v="873.17"/>
    <n v="0.23"/>
    <x v="1"/>
    <n v="1344.6818000000001"/>
    <s v="High"/>
    <s v="David Pierce"/>
    <x v="2"/>
    <x v="3"/>
    <x v="2"/>
    <x v="2"/>
    <s v="Normal order"/>
  </r>
  <r>
    <s v="SALE90"/>
    <d v="2024-10-12T00:00:00"/>
    <x v="6"/>
    <s v="CUST1010"/>
    <s v="PROD33"/>
    <s v="STORE18"/>
    <n v="2"/>
    <n v="2"/>
    <n v="350.12"/>
    <n v="0.12"/>
    <x v="2"/>
    <n v="616.21119999999996"/>
    <s v="Low"/>
    <s v="Dominic Page"/>
    <x v="2"/>
    <x v="3"/>
    <x v="2"/>
    <x v="3"/>
    <s v="Normal order"/>
  </r>
  <r>
    <s v="SALE900"/>
    <d v="2025-02-25T00:00:00"/>
    <x v="2"/>
    <s v="CUST1108"/>
    <s v="PROD62"/>
    <s v="STORE7"/>
    <n v="4"/>
    <n v="4"/>
    <n v="46.97"/>
    <n v="0.26"/>
    <x v="1"/>
    <n v="139.03120000000001"/>
    <s v="Low"/>
    <s v="Travis Holland"/>
    <x v="1"/>
    <x v="19"/>
    <x v="1"/>
    <x v="3"/>
    <s v="Bulk order"/>
  </r>
  <r>
    <s v="SALE901"/>
    <d v="2025-05-07T00:00:00"/>
    <x v="11"/>
    <s v="CUST1184"/>
    <s v="PROD46"/>
    <s v="STORE2"/>
    <n v="2"/>
    <n v="2"/>
    <n v="71.48"/>
    <n v="0.14000000000000001"/>
    <x v="2"/>
    <n v="122.9456"/>
    <s v="Low"/>
    <s v="Leonard Cochran"/>
    <x v="4"/>
    <x v="41"/>
    <x v="1"/>
    <x v="1"/>
    <s v="Normal order"/>
  </r>
  <r>
    <s v="SALE902"/>
    <d v="2025-06-04T00:00:00"/>
    <x v="4"/>
    <s v="CUST1000"/>
    <s v="PROD56"/>
    <s v="STORE19"/>
    <n v="2"/>
    <n v="2"/>
    <n v="404.08"/>
    <n v="7.0000000000000007E-2"/>
    <x v="0"/>
    <n v="751.58879999999988"/>
    <s v="Low"/>
    <s v="Sheena Bonilla"/>
    <x v="2"/>
    <x v="87"/>
    <x v="2"/>
    <x v="4"/>
    <s v="Normal order"/>
  </r>
  <r>
    <s v="SALE903"/>
    <d v="2024-12-27T00:00:00"/>
    <x v="1"/>
    <s v="CUST1264"/>
    <s v="PROD17"/>
    <s v="STORE16"/>
    <n v="1"/>
    <n v="1"/>
    <n v="519.91"/>
    <n v="0.05"/>
    <x v="2"/>
    <n v="493.91449999999992"/>
    <s v="Low"/>
    <s v="Matthew Payne"/>
    <x v="0"/>
    <x v="29"/>
    <x v="3"/>
    <x v="0"/>
    <s v="Normal order"/>
  </r>
  <r>
    <s v="SALE904"/>
    <d v="2025-01-15T00:00:00"/>
    <x v="3"/>
    <s v="CUST1145"/>
    <s v="PROD48"/>
    <s v="STORE13"/>
    <n v="3"/>
    <n v="3"/>
    <n v="566.16"/>
    <n v="0.05"/>
    <x v="1"/>
    <n v="1613.556"/>
    <s v="High"/>
    <s v="Cameron Simpson"/>
    <x v="1"/>
    <x v="66"/>
    <x v="2"/>
    <x v="2"/>
    <s v="Normal order"/>
  </r>
  <r>
    <s v="SALE905"/>
    <d v="2025-05-22T00:00:00"/>
    <x v="11"/>
    <s v="CUST1392"/>
    <s v="PROD52"/>
    <s v="STORE10"/>
    <n v="2"/>
    <n v="2"/>
    <n v="295.12"/>
    <n v="0.09"/>
    <x v="2"/>
    <n v="537.11840000000007"/>
    <s v="Low"/>
    <s v="Jacqueline Payne"/>
    <x v="0"/>
    <x v="22"/>
    <x v="2"/>
    <x v="0"/>
    <s v="Normal order"/>
  </r>
  <r>
    <s v="SALE906"/>
    <d v="2025-07-10T00:00:00"/>
    <x v="0"/>
    <s v="CUST1109"/>
    <s v="PROD34"/>
    <s v="STORE11"/>
    <n v="2"/>
    <n v="2"/>
    <n v="414.18"/>
    <n v="0.25"/>
    <x v="1"/>
    <n v="621.27"/>
    <s v="Low"/>
    <s v="Amy Walker"/>
    <x v="1"/>
    <x v="21"/>
    <x v="1"/>
    <x v="1"/>
    <s v="Normal order"/>
  </r>
  <r>
    <s v="SALE907"/>
    <d v="2025-09-18T00:00:00"/>
    <x v="7"/>
    <s v="CUST1268"/>
    <s v="PROD58"/>
    <s v="STORE8"/>
    <n v="2"/>
    <n v="2"/>
    <n v="433.75"/>
    <n v="0"/>
    <x v="0"/>
    <n v="867.5"/>
    <s v="Low"/>
    <s v="Kevin Orr"/>
    <x v="4"/>
    <x v="36"/>
    <x v="3"/>
    <x v="3"/>
    <s v="Normal order"/>
  </r>
  <r>
    <s v="SALE908"/>
    <d v="2023-12-28T00:00:00"/>
    <x v="1"/>
    <s v="CUST1281"/>
    <s v="PROD85"/>
    <s v="STORE19"/>
    <n v="3"/>
    <n v="3"/>
    <n v="104.33"/>
    <n v="0.13"/>
    <x v="2"/>
    <n v="272.30130000000003"/>
    <s v="Low"/>
    <s v="Brittany Watson"/>
    <x v="4"/>
    <x v="70"/>
    <x v="2"/>
    <x v="2"/>
    <s v="Normal order"/>
  </r>
  <r>
    <s v="SALE909"/>
    <d v="2024-07-04T00:00:00"/>
    <x v="0"/>
    <s v="CUST1464"/>
    <s v="PROD4"/>
    <s v="STORE12"/>
    <n v="1"/>
    <n v="1"/>
    <n v="221.7"/>
    <n v="0.04"/>
    <x v="0"/>
    <n v="212.83199999999999"/>
    <s v="Low"/>
    <s v="David Pierce"/>
    <x v="4"/>
    <x v="58"/>
    <x v="0"/>
    <x v="2"/>
    <s v="Normal order"/>
  </r>
  <r>
    <s v="SALE91"/>
    <d v="2024-01-21T00:00:00"/>
    <x v="3"/>
    <s v="CUST1406"/>
    <s v="PROD16"/>
    <s v="STORE1"/>
    <n v="4"/>
    <n v="4"/>
    <n v="102.19"/>
    <n v="0.17"/>
    <x v="1"/>
    <n v="339.27080000000001"/>
    <s v="Low"/>
    <s v="David Lozano"/>
    <x v="3"/>
    <x v="63"/>
    <x v="0"/>
    <x v="0"/>
    <s v="Bulk order"/>
  </r>
  <r>
    <s v="SALE910"/>
    <d v="2025-05-19T00:00:00"/>
    <x v="11"/>
    <s v="CUST1211"/>
    <s v="PROD67"/>
    <s v="STORE5"/>
    <n v="2"/>
    <n v="2"/>
    <n v="491.26"/>
    <n v="0.14000000000000001"/>
    <x v="2"/>
    <n v="844.96719999999993"/>
    <s v="Low"/>
    <s v="Rodney Huffman"/>
    <x v="1"/>
    <x v="99"/>
    <x v="0"/>
    <x v="1"/>
    <s v="Normal order"/>
  </r>
  <r>
    <s v="SALE911"/>
    <d v="2024-12-04T00:00:00"/>
    <x v="1"/>
    <s v="CUST1181"/>
    <s v="PROD37"/>
    <s v="STORE8"/>
    <n v="4"/>
    <n v="4"/>
    <n v="923.14"/>
    <n v="0.15"/>
    <x v="0"/>
    <n v="3138.6759999999999"/>
    <s v="High"/>
    <s v="Erin Ward"/>
    <x v="4"/>
    <x v="16"/>
    <x v="3"/>
    <x v="3"/>
    <s v="Bulk order"/>
  </r>
  <r>
    <s v="SALE912"/>
    <d v="2024-11-29T00:00:00"/>
    <x v="8"/>
    <s v="CUST1193"/>
    <s v="PROD64"/>
    <s v="STORE7"/>
    <n v="2"/>
    <n v="2"/>
    <n v="747.65"/>
    <n v="0.08"/>
    <x v="0"/>
    <n v="1375.6759999999999"/>
    <s v="High"/>
    <s v="David Roberts"/>
    <x v="3"/>
    <x v="55"/>
    <x v="1"/>
    <x v="0"/>
    <s v="Normal order"/>
  </r>
  <r>
    <s v="SALE913"/>
    <d v="2025-04-26T00:00:00"/>
    <x v="5"/>
    <s v="CUST1109"/>
    <s v="PROD42"/>
    <s v="STORE7"/>
    <n v="3"/>
    <n v="3"/>
    <n v="94.55"/>
    <n v="0.13"/>
    <x v="2"/>
    <n v="246.77549999999999"/>
    <s v="Low"/>
    <s v="Amy Walker"/>
    <x v="1"/>
    <x v="71"/>
    <x v="1"/>
    <x v="1"/>
    <s v="Normal order"/>
  </r>
  <r>
    <s v="SALE914"/>
    <d v="2024-01-17T00:00:00"/>
    <x v="3"/>
    <s v="CUST1039"/>
    <s v="PROD15"/>
    <s v="STORE19"/>
    <n v="3"/>
    <n v="3"/>
    <n v="620.12"/>
    <n v="0.06"/>
    <x v="0"/>
    <n v="1748.7384"/>
    <s v="High"/>
    <s v="Tonya Reynolds"/>
    <x v="1"/>
    <x v="42"/>
    <x v="2"/>
    <x v="0"/>
    <s v="Normal order"/>
  </r>
  <r>
    <s v="SALE915"/>
    <d v="2025-07-31T00:00:00"/>
    <x v="0"/>
    <s v="CUST1486"/>
    <s v="PROD69"/>
    <s v="STORE6"/>
    <n v="2"/>
    <n v="2"/>
    <n v="354.09"/>
    <n v="0.12"/>
    <x v="2"/>
    <n v="623.19839999999999"/>
    <s v="Low"/>
    <s v="Eric Lee"/>
    <x v="4"/>
    <x v="5"/>
    <x v="2"/>
    <x v="3"/>
    <s v="Normal order"/>
  </r>
  <r>
    <s v="SALE916"/>
    <d v="2024-11-25T00:00:00"/>
    <x v="8"/>
    <s v="CUST1130"/>
    <s v="PROD53"/>
    <s v="STORE5"/>
    <n v="3"/>
    <n v="3"/>
    <n v="214.94"/>
    <n v="0.22"/>
    <x v="2"/>
    <n v="502.95960000000002"/>
    <s v="Low"/>
    <s v="Jamie Reyes"/>
    <x v="4"/>
    <x v="20"/>
    <x v="0"/>
    <x v="2"/>
    <s v="Normal order"/>
  </r>
  <r>
    <s v="SALE917"/>
    <d v="2024-05-16T00:00:00"/>
    <x v="11"/>
    <s v="CUST1199"/>
    <s v="PROD9"/>
    <s v="STORE12"/>
    <n v="2"/>
    <n v="2"/>
    <n v="309.77999999999997"/>
    <n v="0.16"/>
    <x v="0"/>
    <n v="520.43039999999996"/>
    <s v="Low"/>
    <s v="Carmen Price"/>
    <x v="0"/>
    <x v="98"/>
    <x v="0"/>
    <x v="3"/>
    <s v="Normal order"/>
  </r>
  <r>
    <s v="SALE918"/>
    <d v="2025-05-30T00:00:00"/>
    <x v="11"/>
    <s v="CUST1069"/>
    <s v="PROD13"/>
    <s v="STORE3"/>
    <n v="2"/>
    <n v="2"/>
    <n v="183.85"/>
    <n v="0.14000000000000001"/>
    <x v="1"/>
    <n v="316.22199999999998"/>
    <s v="Low"/>
    <s v="Roy Cole"/>
    <x v="1"/>
    <x v="75"/>
    <x v="0"/>
    <x v="2"/>
    <s v="Normal order"/>
  </r>
  <r>
    <s v="SALE919"/>
    <d v="2023-11-08T00:00:00"/>
    <x v="8"/>
    <s v="CUST1409"/>
    <s v="PROD70"/>
    <s v="STORE0"/>
    <n v="1"/>
    <n v="1"/>
    <n v="550.05999999999995"/>
    <n v="0.01"/>
    <x v="0"/>
    <n v="544.55939999999998"/>
    <s v="Low"/>
    <s v="Sarah Smith"/>
    <x v="2"/>
    <x v="92"/>
    <x v="2"/>
    <x v="0"/>
    <s v="Normal order"/>
  </r>
  <r>
    <s v="SALE92"/>
    <d v="2024-02-28T00:00:00"/>
    <x v="2"/>
    <s v="CUST1007"/>
    <s v="PROD86"/>
    <s v="STORE4"/>
    <n v="1"/>
    <n v="1"/>
    <n v="696.53"/>
    <n v="0.17"/>
    <x v="0"/>
    <n v="578.11989999999992"/>
    <s v="Low"/>
    <s v="Daniel Boyd"/>
    <x v="2"/>
    <x v="30"/>
    <x v="1"/>
    <x v="3"/>
    <s v="Normal order"/>
  </r>
  <r>
    <s v="SALE920"/>
    <d v="2023-11-23T00:00:00"/>
    <x v="8"/>
    <s v="CUST1029"/>
    <s v="PROD79"/>
    <s v="STORE4"/>
    <n v="2"/>
    <n v="2"/>
    <n v="32.19"/>
    <n v="0.13"/>
    <x v="2"/>
    <n v="56.010599999999997"/>
    <s v="Low"/>
    <s v="David Arnold"/>
    <x v="2"/>
    <x v="14"/>
    <x v="1"/>
    <x v="1"/>
    <s v="Normal order"/>
  </r>
  <r>
    <s v="SALE921"/>
    <d v="2024-06-17T00:00:00"/>
    <x v="4"/>
    <s v="CUST1138"/>
    <s v="PROD33"/>
    <s v="STORE19"/>
    <n v="2"/>
    <n v="2"/>
    <n v="892.06"/>
    <n v="0.08"/>
    <x v="0"/>
    <n v="1641.3904"/>
    <s v="High"/>
    <s v="Sean Roth"/>
    <x v="2"/>
    <x v="3"/>
    <x v="2"/>
    <x v="0"/>
    <s v="Normal order"/>
  </r>
  <r>
    <s v="SALE922"/>
    <d v="2024-12-02T00:00:00"/>
    <x v="1"/>
    <s v="CUST1472"/>
    <s v="PROD58"/>
    <s v="STORE6"/>
    <n v="1"/>
    <n v="1"/>
    <n v="127.47"/>
    <n v="0.16"/>
    <x v="2"/>
    <n v="107.0748"/>
    <s v="Low"/>
    <s v="Philip Mendoza"/>
    <x v="4"/>
    <x v="36"/>
    <x v="2"/>
    <x v="1"/>
    <s v="Normal order"/>
  </r>
  <r>
    <s v="SALE923"/>
    <d v="2025-05-01T00:00:00"/>
    <x v="11"/>
    <s v="CUST1388"/>
    <s v="PROD77"/>
    <s v="STORE14"/>
    <n v="3"/>
    <n v="3"/>
    <n v="212.87"/>
    <n v="0.18"/>
    <x v="0"/>
    <n v="523.66020000000003"/>
    <s v="Low"/>
    <s v="Timothy Valenzuela"/>
    <x v="1"/>
    <x v="79"/>
    <x v="1"/>
    <x v="2"/>
    <s v="Normal order"/>
  </r>
  <r>
    <s v="SALE924"/>
    <d v="2024-06-28T00:00:00"/>
    <x v="4"/>
    <s v="CUST1181"/>
    <s v="PROD81"/>
    <s v="STORE7"/>
    <n v="1"/>
    <n v="1"/>
    <n v="26.37"/>
    <n v="0.3"/>
    <x v="2"/>
    <n v="18.459"/>
    <s v="Low"/>
    <s v="Erin Ward"/>
    <x v="0"/>
    <x v="15"/>
    <x v="1"/>
    <x v="3"/>
    <s v="Normal order"/>
  </r>
  <r>
    <s v="SALE925"/>
    <d v="2025-04-23T00:00:00"/>
    <x v="5"/>
    <s v="CUST1466"/>
    <s v="PROD34"/>
    <s v="STORE18"/>
    <n v="4"/>
    <n v="4"/>
    <n v="953.98"/>
    <n v="0.16"/>
    <x v="0"/>
    <n v="3205.3728000000001"/>
    <s v="High"/>
    <s v="Cynthia Parrish"/>
    <x v="1"/>
    <x v="21"/>
    <x v="2"/>
    <x v="1"/>
    <s v="Bulk order"/>
  </r>
  <r>
    <s v="SALE926"/>
    <d v="2024-03-18T00:00:00"/>
    <x v="9"/>
    <s v="CUST1215"/>
    <s v="PROD67"/>
    <s v="STORE19"/>
    <n v="3"/>
    <n v="3"/>
    <n v="968.88"/>
    <n v="0.15"/>
    <x v="0"/>
    <n v="2470.6439999999998"/>
    <s v="High"/>
    <s v="Steve Medina"/>
    <x v="1"/>
    <x v="99"/>
    <x v="2"/>
    <x v="0"/>
    <s v="Normal order"/>
  </r>
  <r>
    <s v="SALE927"/>
    <d v="2025-09-10T00:00:00"/>
    <x v="7"/>
    <s v="CUST1187"/>
    <s v="PROD76"/>
    <s v="STORE18"/>
    <n v="1"/>
    <n v="1"/>
    <n v="533.04999999999995"/>
    <n v="0.11"/>
    <x v="1"/>
    <n v="474.41449999999998"/>
    <s v="Low"/>
    <s v="Dr. Suzanne Bullock"/>
    <x v="1"/>
    <x v="45"/>
    <x v="2"/>
    <x v="2"/>
    <s v="Normal order"/>
  </r>
  <r>
    <s v="SALE928"/>
    <d v="2024-12-11T00:00:00"/>
    <x v="1"/>
    <s v="CUST1381"/>
    <s v="PROD81"/>
    <s v="STORE1"/>
    <n v="3"/>
    <n v="3"/>
    <n v="138.86000000000001"/>
    <n v="0.11"/>
    <x v="1"/>
    <n v="370.75619999999998"/>
    <s v="Low"/>
    <s v="Erika Padilla"/>
    <x v="0"/>
    <x v="15"/>
    <x v="0"/>
    <x v="1"/>
    <s v="Normal order"/>
  </r>
  <r>
    <s v="SALE929"/>
    <d v="2025-02-18T00:00:00"/>
    <x v="2"/>
    <s v="CUST1159"/>
    <s v="PROD22"/>
    <s v="STORE0"/>
    <n v="1"/>
    <n v="1"/>
    <n v="588.92999999999995"/>
    <n v="0.03"/>
    <x v="2"/>
    <n v="571.26209999999992"/>
    <s v="Low"/>
    <s v="Brian Choi"/>
    <x v="0"/>
    <x v="59"/>
    <x v="2"/>
    <x v="0"/>
    <s v="Normal order"/>
  </r>
  <r>
    <s v="SALE93"/>
    <d v="2024-12-31T00:00:00"/>
    <x v="1"/>
    <s v="CUST1065"/>
    <s v="PROD19"/>
    <s v="STORE4"/>
    <n v="2"/>
    <n v="2"/>
    <n v="327.52"/>
    <n v="0.15"/>
    <x v="1"/>
    <n v="556.78399999999999"/>
    <s v="Low"/>
    <s v="Michael Thomas"/>
    <x v="0"/>
    <x v="32"/>
    <x v="1"/>
    <x v="1"/>
    <s v="Normal order"/>
  </r>
  <r>
    <s v="SALE930"/>
    <d v="2024-09-22T00:00:00"/>
    <x v="7"/>
    <s v="CUST1403"/>
    <s v="PROD52"/>
    <s v="STORE5"/>
    <n v="2"/>
    <n v="2"/>
    <n v="576.83000000000004"/>
    <n v="0.19"/>
    <x v="1"/>
    <n v="934.46460000000013"/>
    <s v="Low"/>
    <s v="Justin Ingram"/>
    <x v="0"/>
    <x v="22"/>
    <x v="0"/>
    <x v="3"/>
    <s v="Normal order"/>
  </r>
  <r>
    <s v="SALE931"/>
    <d v="2024-02-16T00:00:00"/>
    <x v="2"/>
    <s v="CUST1323"/>
    <s v="PROD65"/>
    <s v="STORE12"/>
    <n v="1"/>
    <n v="1"/>
    <n v="681.3"/>
    <n v="0.05"/>
    <x v="0"/>
    <n v="647.2349999999999"/>
    <s v="Low"/>
    <s v="Kristy Dunlap"/>
    <x v="0"/>
    <x v="74"/>
    <x v="0"/>
    <x v="2"/>
    <s v="Normal order"/>
  </r>
  <r>
    <s v="SALE932"/>
    <d v="2024-05-29T00:00:00"/>
    <x v="11"/>
    <s v="CUST1457"/>
    <s v="PROD25"/>
    <s v="STORE15"/>
    <n v="3"/>
    <n v="3"/>
    <n v="504.97"/>
    <n v="0.3"/>
    <x v="0"/>
    <n v="1060.4369999999999"/>
    <s v="High"/>
    <s v="Christina Robertson"/>
    <x v="4"/>
    <x v="13"/>
    <x v="0"/>
    <x v="2"/>
    <s v="Normal order"/>
  </r>
  <r>
    <s v="SALE933"/>
    <d v="2024-04-14T00:00:00"/>
    <x v="5"/>
    <s v="CUST1060"/>
    <s v="PROD38"/>
    <s v="STORE11"/>
    <n v="3"/>
    <n v="3"/>
    <n v="649.78"/>
    <n v="0.1"/>
    <x v="1"/>
    <n v="1754.4059999999999"/>
    <s v="High"/>
    <s v="Dr. David Smith"/>
    <x v="0"/>
    <x v="43"/>
    <x v="1"/>
    <x v="1"/>
    <s v="Normal order"/>
  </r>
  <r>
    <s v="SALE934"/>
    <d v="2024-01-26T00:00:00"/>
    <x v="3"/>
    <s v="CUST1245"/>
    <s v="PROD39"/>
    <s v="STORE9"/>
    <n v="2"/>
    <n v="2"/>
    <n v="986.73"/>
    <n v="0.05"/>
    <x v="1"/>
    <n v="1874.787"/>
    <s v="High"/>
    <s v="Laura Soto"/>
    <x v="1"/>
    <x v="65"/>
    <x v="1"/>
    <x v="2"/>
    <s v="Normal order"/>
  </r>
  <r>
    <s v="SALE935"/>
    <d v="2023-11-05T00:00:00"/>
    <x v="8"/>
    <s v="CUST1119"/>
    <s v="PROD13"/>
    <s v="STORE15"/>
    <n v="2"/>
    <n v="2"/>
    <n v="65.44"/>
    <n v="0.05"/>
    <x v="1"/>
    <n v="124.336"/>
    <s v="Low"/>
    <s v="Michael Jones"/>
    <x v="1"/>
    <x v="75"/>
    <x v="0"/>
    <x v="3"/>
    <s v="Normal order"/>
  </r>
  <r>
    <s v="SALE936"/>
    <d v="2025-06-16T00:00:00"/>
    <x v="4"/>
    <s v="CUST1383"/>
    <s v="PROD63"/>
    <s v="STORE13"/>
    <n v="3"/>
    <n v="3"/>
    <n v="953.74"/>
    <n v="0.04"/>
    <x v="0"/>
    <n v="2746.7712000000001"/>
    <s v="High"/>
    <s v="Kristine Higgins"/>
    <x v="3"/>
    <x v="11"/>
    <x v="2"/>
    <x v="1"/>
    <s v="Normal order"/>
  </r>
  <r>
    <s v="SALE937"/>
    <d v="2024-09-08T00:00:00"/>
    <x v="7"/>
    <s v="CUST1067"/>
    <s v="PROD76"/>
    <s v="STORE10"/>
    <n v="3"/>
    <n v="3"/>
    <n v="904.48"/>
    <n v="0.21"/>
    <x v="1"/>
    <n v="2143.6176"/>
    <s v="High"/>
    <s v="Amber Mcclain"/>
    <x v="1"/>
    <x v="45"/>
    <x v="2"/>
    <x v="1"/>
    <s v="Normal order"/>
  </r>
  <r>
    <s v="SALE938"/>
    <d v="2024-10-30T00:00:00"/>
    <x v="6"/>
    <s v="CUST1492"/>
    <s v="PROD62"/>
    <s v="STORE15"/>
    <n v="3"/>
    <n v="3"/>
    <n v="920.82"/>
    <n v="0.1"/>
    <x v="1"/>
    <n v="2486.2139999999999"/>
    <s v="High"/>
    <s v="Darrell Miller"/>
    <x v="1"/>
    <x v="19"/>
    <x v="0"/>
    <x v="2"/>
    <s v="Normal order"/>
  </r>
  <r>
    <s v="SALE939"/>
    <d v="2025-05-26T00:00:00"/>
    <x v="11"/>
    <s v="CUST1305"/>
    <s v="PROD28"/>
    <s v="STORE1"/>
    <n v="1"/>
    <n v="1"/>
    <n v="182.28"/>
    <n v="0.15"/>
    <x v="2"/>
    <n v="154.93799999999999"/>
    <s v="Low"/>
    <s v="Roberta Green"/>
    <x v="0"/>
    <x v="40"/>
    <x v="0"/>
    <x v="2"/>
    <s v="Normal order"/>
  </r>
  <r>
    <s v="SALE94"/>
    <d v="2024-08-26T00:00:00"/>
    <x v="10"/>
    <s v="CUST1298"/>
    <s v="PROD97"/>
    <s v="STORE19"/>
    <n v="2"/>
    <n v="2"/>
    <n v="569.36"/>
    <n v="0.01"/>
    <x v="1"/>
    <m/>
    <s v="Low"/>
    <s v="Tracy Stephens"/>
    <x v="0"/>
    <x v="0"/>
    <x v="2"/>
    <x v="2"/>
    <s v="Normal order"/>
  </r>
  <r>
    <s v="SALE940"/>
    <d v="2025-08-11T00:00:00"/>
    <x v="10"/>
    <s v="CUST1445"/>
    <s v="PROD31"/>
    <s v="STORE16"/>
    <n v="3"/>
    <n v="3"/>
    <n v="938.68"/>
    <n v="0.14000000000000001"/>
    <x v="0"/>
    <n v="2421.7944000000002"/>
    <s v="High"/>
    <s v="Gene Lee"/>
    <x v="0"/>
    <x v="72"/>
    <x v="3"/>
    <x v="2"/>
    <s v="Normal order"/>
  </r>
  <r>
    <s v="SALE941"/>
    <d v="2025-02-02T00:00:00"/>
    <x v="2"/>
    <s v="CUST1081"/>
    <s v="PROD91"/>
    <s v="STORE5"/>
    <n v="3"/>
    <n v="3"/>
    <n v="219.96"/>
    <n v="0.18"/>
    <x v="1"/>
    <n v="541.10160000000008"/>
    <s v="Low"/>
    <s v="Krystal Ford"/>
    <x v="4"/>
    <x v="67"/>
    <x v="0"/>
    <x v="2"/>
    <s v="Normal order"/>
  </r>
  <r>
    <s v="SALE942"/>
    <d v="2025-07-03T00:00:00"/>
    <x v="0"/>
    <s v="CUST1473"/>
    <s v="PROD71"/>
    <s v="STORE18"/>
    <n v="3"/>
    <n v="3"/>
    <n v="385.74"/>
    <n v="0.27"/>
    <x v="0"/>
    <n v="844.77059999999994"/>
    <s v="Low"/>
    <s v="Laura Mathews"/>
    <x v="3"/>
    <x v="57"/>
    <x v="2"/>
    <x v="3"/>
    <s v="Normal order"/>
  </r>
  <r>
    <s v="SALE943"/>
    <d v="2024-03-29T00:00:00"/>
    <x v="9"/>
    <s v="CUST1453"/>
    <s v="PROD81"/>
    <s v="STORE18"/>
    <n v="2"/>
    <n v="2"/>
    <n v="830.94"/>
    <n v="0.28000000000000003"/>
    <x v="1"/>
    <n v="1196.5536"/>
    <s v="High"/>
    <s v="April Phillips"/>
    <x v="0"/>
    <x v="15"/>
    <x v="2"/>
    <x v="2"/>
    <s v="Normal order"/>
  </r>
  <r>
    <s v="SALE944"/>
    <d v="2024-07-30T00:00:00"/>
    <x v="0"/>
    <s v="CUST1383"/>
    <s v="PROD3"/>
    <s v="STORE9"/>
    <n v="3"/>
    <n v="3"/>
    <n v="462.75"/>
    <n v="0.22"/>
    <x v="1"/>
    <n v="1082.835"/>
    <s v="High"/>
    <s v="Kristine Higgins"/>
    <x v="4"/>
    <x v="84"/>
    <x v="1"/>
    <x v="1"/>
    <s v="Normal order"/>
  </r>
  <r>
    <s v="SALE945"/>
    <d v="2024-10-02T00:00:00"/>
    <x v="6"/>
    <s v="CUST1067"/>
    <s v="PROD14"/>
    <s v="STORE15"/>
    <n v="4"/>
    <n v="4"/>
    <n v="973.9"/>
    <n v="0.02"/>
    <x v="2"/>
    <n v="3817.6880000000001"/>
    <s v="High"/>
    <s v="Amber Mcclain"/>
    <x v="2"/>
    <x v="94"/>
    <x v="0"/>
    <x v="1"/>
    <s v="Bulk order"/>
  </r>
  <r>
    <s v="SALE946"/>
    <d v="2024-11-04T00:00:00"/>
    <x v="8"/>
    <s v="CUST1140"/>
    <s v="PROD35"/>
    <s v="STORE1"/>
    <n v="2"/>
    <n v="2"/>
    <n v="157.18"/>
    <n v="0.15"/>
    <x v="0"/>
    <n v="267.20600000000002"/>
    <s v="Low"/>
    <s v="Patty Francis"/>
    <x v="2"/>
    <x v="44"/>
    <x v="0"/>
    <x v="0"/>
    <s v="Normal order"/>
  </r>
  <r>
    <s v="SALE947"/>
    <d v="2024-05-03T00:00:00"/>
    <x v="11"/>
    <s v="CUST1013"/>
    <s v="PROD73"/>
    <s v="STORE13"/>
    <n v="3"/>
    <n v="3"/>
    <n v="239.57"/>
    <n v="0.16"/>
    <x v="0"/>
    <n v="603.71640000000002"/>
    <s v="Low"/>
    <s v="Nathan Hernandez"/>
    <x v="0"/>
    <x v="6"/>
    <x v="2"/>
    <x v="1"/>
    <s v="Normal order"/>
  </r>
  <r>
    <s v="SALE948"/>
    <d v="2024-02-21T00:00:00"/>
    <x v="2"/>
    <s v="CUST1327"/>
    <s v="PROD9"/>
    <s v="STORE16"/>
    <n v="4"/>
    <n v="4"/>
    <n v="583.21"/>
    <n v="0.2"/>
    <x v="0"/>
    <n v="1866.2719999999999"/>
    <s v="High"/>
    <s v="Reginald Willis"/>
    <x v="0"/>
    <x v="98"/>
    <x v="3"/>
    <x v="3"/>
    <s v="Bulk order"/>
  </r>
  <r>
    <s v="SALE949"/>
    <d v="2024-04-17T00:00:00"/>
    <x v="5"/>
    <s v="CUST1413"/>
    <s v="PROD81"/>
    <s v="STORE8"/>
    <n v="3"/>
    <n v="3"/>
    <n v="758.75"/>
    <n v="0.27"/>
    <x v="1"/>
    <n v="1661.6624999999999"/>
    <s v="High"/>
    <s v="Megan Ryan"/>
    <x v="0"/>
    <x v="15"/>
    <x v="3"/>
    <x v="3"/>
    <s v="Normal order"/>
  </r>
  <r>
    <s v="SALE95"/>
    <d v="2024-09-21T00:00:00"/>
    <x v="7"/>
    <s v="CUST1321"/>
    <s v="PROD99"/>
    <s v="STORE6"/>
    <n v="2"/>
    <n v="2"/>
    <n v="68.290000000000006"/>
    <n v="0.14000000000000001"/>
    <x v="2"/>
    <n v="117.4588"/>
    <s v="Low"/>
    <s v="Darren Burton"/>
    <x v="2"/>
    <x v="86"/>
    <x v="2"/>
    <x v="3"/>
    <s v="Normal order"/>
  </r>
  <r>
    <s v="SALE950"/>
    <d v="2025-02-01T00:00:00"/>
    <x v="2"/>
    <s v="CUST1309"/>
    <s v="PROD61"/>
    <s v="STORE5"/>
    <n v="4"/>
    <n v="4"/>
    <n v="372.42"/>
    <n v="0.19"/>
    <x v="0"/>
    <n v="1206.6407999999999"/>
    <s v="High"/>
    <s v="Stacy Collins"/>
    <x v="0"/>
    <x v="49"/>
    <x v="0"/>
    <x v="3"/>
    <s v="Bulk order"/>
  </r>
  <r>
    <s v="SALE951"/>
    <d v="2025-02-11T00:00:00"/>
    <x v="2"/>
    <s v="CUST1154"/>
    <s v="PROD63"/>
    <s v="STORE19"/>
    <n v="4"/>
    <n v="4"/>
    <n v="286.27999999999997"/>
    <n v="0.28000000000000003"/>
    <x v="1"/>
    <n v="824.48639999999989"/>
    <s v="Low"/>
    <s v="Julie Hale"/>
    <x v="3"/>
    <x v="11"/>
    <x v="2"/>
    <x v="0"/>
    <s v="Bulk order"/>
  </r>
  <r>
    <s v="SALE952"/>
    <d v="2025-01-06T00:00:00"/>
    <x v="3"/>
    <s v="CUST1279"/>
    <s v="PROD73"/>
    <s v="STORE11"/>
    <n v="3"/>
    <n v="3"/>
    <n v="488.37"/>
    <n v="0.27"/>
    <x v="2"/>
    <n v="1069.5302999999999"/>
    <s v="High"/>
    <s v="Aaron Luna"/>
    <x v="0"/>
    <x v="6"/>
    <x v="1"/>
    <x v="3"/>
    <s v="Normal order"/>
  </r>
  <r>
    <s v="SALE953"/>
    <d v="2024-03-26T00:00:00"/>
    <x v="9"/>
    <s v="CUST1469"/>
    <s v="PROD87"/>
    <s v="STORE8"/>
    <n v="3"/>
    <n v="3"/>
    <n v="662.82"/>
    <n v="0.01"/>
    <x v="2"/>
    <n v="1968.5753999999999"/>
    <s v="High"/>
    <s v="James Foster"/>
    <x v="2"/>
    <x v="48"/>
    <x v="3"/>
    <x v="0"/>
    <s v="Normal order"/>
  </r>
  <r>
    <s v="SALE954"/>
    <d v="2024-04-30T00:00:00"/>
    <x v="5"/>
    <s v="CUST1497"/>
    <s v="PROD6"/>
    <s v="STORE16"/>
    <n v="2"/>
    <n v="2"/>
    <n v="824.34"/>
    <n v="0.1"/>
    <x v="2"/>
    <n v="1483.8119999999999"/>
    <s v="High"/>
    <s v="Sarah Marsh"/>
    <x v="3"/>
    <x v="95"/>
    <x v="3"/>
    <x v="0"/>
    <s v="Normal order"/>
  </r>
  <r>
    <s v="SALE955"/>
    <d v="2024-02-27T00:00:00"/>
    <x v="2"/>
    <s v="CUST1113"/>
    <s v="PROD59"/>
    <s v="STORE8"/>
    <n v="1"/>
    <n v="1"/>
    <n v="437.12"/>
    <n v="0.21"/>
    <x v="0"/>
    <n v="345.32479999999998"/>
    <s v="Low"/>
    <s v="Edward Hall"/>
    <x v="3"/>
    <x v="4"/>
    <x v="3"/>
    <x v="0"/>
    <s v="Normal order"/>
  </r>
  <r>
    <s v="SALE956"/>
    <d v="2024-07-13T00:00:00"/>
    <x v="0"/>
    <s v="CUST1357"/>
    <s v="PROD88"/>
    <s v="STORE6"/>
    <n v="3"/>
    <n v="3"/>
    <n v="23.37"/>
    <n v="0.15"/>
    <x v="1"/>
    <n v="59.593499999999999"/>
    <s v="Low"/>
    <s v="Manuel Castillo"/>
    <x v="0"/>
    <x v="90"/>
    <x v="2"/>
    <x v="0"/>
    <s v="Normal order"/>
  </r>
  <r>
    <s v="SALE957"/>
    <d v="2025-04-14T00:00:00"/>
    <x v="5"/>
    <s v="CUST1187"/>
    <s v="PROD36"/>
    <s v="STORE8"/>
    <n v="1"/>
    <n v="1"/>
    <n v="579.69000000000005"/>
    <n v="0.02"/>
    <x v="0"/>
    <n v="568.09620000000007"/>
    <s v="Low"/>
    <s v="Dr. Suzanne Bullock"/>
    <x v="4"/>
    <x v="88"/>
    <x v="3"/>
    <x v="2"/>
    <s v="Normal order"/>
  </r>
  <r>
    <s v="SALE958"/>
    <d v="2024-12-13T00:00:00"/>
    <x v="1"/>
    <s v="CUST1430"/>
    <s v="PROD78"/>
    <s v="STORE14"/>
    <n v="3"/>
    <n v="3"/>
    <n v="240.51"/>
    <n v="7.0000000000000007E-2"/>
    <x v="0"/>
    <n v="671.02289999999994"/>
    <s v="Low"/>
    <s v="Kimberly Roberts"/>
    <x v="2"/>
    <x v="33"/>
    <x v="1"/>
    <x v="0"/>
    <s v="Normal order"/>
  </r>
  <r>
    <s v="SALE959"/>
    <d v="2025-08-24T00:00:00"/>
    <x v="10"/>
    <s v="CUST1382"/>
    <s v="PROD25"/>
    <s v="STORE14"/>
    <n v="2"/>
    <n v="2"/>
    <n v="855.4"/>
    <n v="0.08"/>
    <x v="2"/>
    <n v="1573.9359999999999"/>
    <s v="High"/>
    <s v="Martha Brown"/>
    <x v="4"/>
    <x v="13"/>
    <x v="1"/>
    <x v="0"/>
    <s v="Normal order"/>
  </r>
  <r>
    <s v="SALE96"/>
    <d v="2024-08-19T00:00:00"/>
    <x v="10"/>
    <s v="CUST1244"/>
    <s v="PROD50"/>
    <s v="STORE10"/>
    <n v="1"/>
    <n v="1"/>
    <n v="842.9"/>
    <n v="0.06"/>
    <x v="2"/>
    <n v="792.32599999999991"/>
    <s v="Low"/>
    <s v="Nancy Page"/>
    <x v="0"/>
    <x v="52"/>
    <x v="2"/>
    <x v="3"/>
    <s v="Normal order"/>
  </r>
  <r>
    <s v="SALE960"/>
    <d v="2023-10-28T00:00:00"/>
    <x v="6"/>
    <s v="CUST1007"/>
    <s v="PROD90"/>
    <s v="STORE7"/>
    <n v="1"/>
    <n v="1"/>
    <n v="537.26"/>
    <n v="0.09"/>
    <x v="0"/>
    <n v="488.90660000000003"/>
    <s v="Low"/>
    <s v="Daniel Boyd"/>
    <x v="1"/>
    <x v="73"/>
    <x v="1"/>
    <x v="3"/>
    <s v="Normal order"/>
  </r>
  <r>
    <s v="SALE961"/>
    <d v="2024-12-11T00:00:00"/>
    <x v="1"/>
    <s v="CUST1384"/>
    <s v="PROD51"/>
    <s v="STORE10"/>
    <n v="3"/>
    <n v="3"/>
    <n v="918.26"/>
    <n v="0.17"/>
    <x v="2"/>
    <n v="2286.4674"/>
    <s v="High"/>
    <s v="Andrew Mason"/>
    <x v="1"/>
    <x v="78"/>
    <x v="2"/>
    <x v="3"/>
    <s v="Normal order"/>
  </r>
  <r>
    <s v="SALE962"/>
    <d v="2024-06-29T00:00:00"/>
    <x v="4"/>
    <s v="CUST1095"/>
    <s v="PROD6"/>
    <s v="STORE9"/>
    <n v="4"/>
    <n v="4"/>
    <n v="579.70000000000005"/>
    <n v="0.18"/>
    <x v="1"/>
    <n v="1901.4159999999999"/>
    <s v="High"/>
    <s v="Amy Fowler"/>
    <x v="3"/>
    <x v="95"/>
    <x v="1"/>
    <x v="2"/>
    <s v="Bulk order"/>
  </r>
  <r>
    <s v="SALE963"/>
    <d v="2025-02-22T00:00:00"/>
    <x v="2"/>
    <s v="CUST1145"/>
    <s v="PROD43"/>
    <s v="STORE6"/>
    <n v="1"/>
    <n v="1"/>
    <n v="824.32"/>
    <n v="0.18"/>
    <x v="0"/>
    <n v="675.94240000000013"/>
    <s v="Low"/>
    <s v="Cameron Simpson"/>
    <x v="1"/>
    <x v="34"/>
    <x v="2"/>
    <x v="2"/>
    <s v="Normal order"/>
  </r>
  <r>
    <s v="SALE964"/>
    <d v="2025-01-25T00:00:00"/>
    <x v="3"/>
    <s v="CUST1109"/>
    <s v="PROD46"/>
    <s v="STORE15"/>
    <n v="4"/>
    <n v="4"/>
    <n v="614.99"/>
    <n v="0.16"/>
    <x v="1"/>
    <n v="2066.3663999999999"/>
    <s v="High"/>
    <s v="Amy Walker"/>
    <x v="4"/>
    <x v="41"/>
    <x v="0"/>
    <x v="1"/>
    <s v="Bulk order"/>
  </r>
  <r>
    <s v="SALE965"/>
    <d v="2025-03-14T00:00:00"/>
    <x v="9"/>
    <s v="CUST1128"/>
    <s v="PROD62"/>
    <s v="STORE0"/>
    <n v="4"/>
    <n v="4"/>
    <n v="189.21"/>
    <n v="0.06"/>
    <x v="2"/>
    <n v="711.42959999999994"/>
    <s v="Low"/>
    <s v="Susan Mcdonald"/>
    <x v="1"/>
    <x v="19"/>
    <x v="2"/>
    <x v="1"/>
    <s v="Bulk order"/>
  </r>
  <r>
    <s v="SALE966"/>
    <d v="2024-12-03T00:00:00"/>
    <x v="1"/>
    <s v="CUST1154"/>
    <s v="PROD62"/>
    <s v="STORE14"/>
    <n v="2"/>
    <n v="2"/>
    <n v="233.33"/>
    <n v="0.05"/>
    <x v="0"/>
    <n v="443.327"/>
    <s v="Low"/>
    <s v="Julie Hale"/>
    <x v="1"/>
    <x v="19"/>
    <x v="1"/>
    <x v="0"/>
    <s v="Normal order"/>
  </r>
  <r>
    <s v="SALE967"/>
    <d v="2025-05-06T00:00:00"/>
    <x v="11"/>
    <s v="CUST1248"/>
    <s v="PROD39"/>
    <s v="STORE18"/>
    <n v="3"/>
    <n v="3"/>
    <n v="529.89"/>
    <n v="0.21"/>
    <x v="0"/>
    <n v="1255.8393000000001"/>
    <s v="High"/>
    <s v="Nicholas Webb"/>
    <x v="1"/>
    <x v="65"/>
    <x v="2"/>
    <x v="0"/>
    <s v="Normal order"/>
  </r>
  <r>
    <s v="SALE968"/>
    <d v="2024-08-14T00:00:00"/>
    <x v="10"/>
    <s v="CUST1489"/>
    <s v="PROD92"/>
    <s v="STORE1"/>
    <n v="2"/>
    <n v="2"/>
    <n v="954.1"/>
    <n v="0.17"/>
    <x v="1"/>
    <n v="1583.806"/>
    <s v="High"/>
    <s v="Melinda Thomas"/>
    <x v="2"/>
    <x v="39"/>
    <x v="0"/>
    <x v="1"/>
    <s v="Normal order"/>
  </r>
  <r>
    <s v="SALE969"/>
    <d v="2023-12-14T00:00:00"/>
    <x v="1"/>
    <s v="CUST1323"/>
    <s v="PROD65"/>
    <s v="STORE7"/>
    <n v="1"/>
    <n v="1"/>
    <n v="370.04"/>
    <n v="0.04"/>
    <x v="2"/>
    <n v="355.23840000000001"/>
    <s v="Low"/>
    <s v="Kristy Dunlap"/>
    <x v="0"/>
    <x v="74"/>
    <x v="1"/>
    <x v="2"/>
    <s v="Normal order"/>
  </r>
  <r>
    <s v="SALE97"/>
    <d v="2024-10-22T00:00:00"/>
    <x v="6"/>
    <s v="CUST1287"/>
    <s v="PROD3"/>
    <s v="STORE3"/>
    <n v="3"/>
    <n v="3"/>
    <n v="751.94"/>
    <n v="0.26"/>
    <x v="1"/>
    <n v="1669.3068000000001"/>
    <s v="High"/>
    <s v="Cynthia Roberts"/>
    <x v="4"/>
    <x v="84"/>
    <x v="0"/>
    <x v="0"/>
    <s v="Normal order"/>
  </r>
  <r>
    <s v="SALE970"/>
    <d v="2024-01-06T00:00:00"/>
    <x v="3"/>
    <s v="CUST1061"/>
    <s v="PROD96"/>
    <s v="STORE19"/>
    <n v="4"/>
    <n v="4"/>
    <n v="492.71"/>
    <n v="0.08"/>
    <x v="0"/>
    <n v="1813.1728000000001"/>
    <s v="High"/>
    <s v="Kristin Stein"/>
    <x v="4"/>
    <x v="76"/>
    <x v="2"/>
    <x v="1"/>
    <s v="Bulk order"/>
  </r>
  <r>
    <s v="SALE971"/>
    <d v="2024-08-26T00:00:00"/>
    <x v="10"/>
    <s v="CUST1280"/>
    <s v="PROD91"/>
    <s v="STORE13"/>
    <n v="4"/>
    <n v="4"/>
    <n v="853.26"/>
    <n v="0.24"/>
    <x v="2"/>
    <n v="2593.9104000000002"/>
    <s v="High"/>
    <s v="Antonio Leon"/>
    <x v="4"/>
    <x v="67"/>
    <x v="2"/>
    <x v="3"/>
    <s v="Bulk order"/>
  </r>
  <r>
    <s v="SALE972"/>
    <d v="2025-03-24T00:00:00"/>
    <x v="9"/>
    <s v="CUST1406"/>
    <s v="PROD3"/>
    <s v="STORE16"/>
    <n v="1"/>
    <n v="1"/>
    <n v="402.47"/>
    <n v="0.19"/>
    <x v="1"/>
    <n v="326.00070000000011"/>
    <s v="Low"/>
    <s v="David Lozano"/>
    <x v="4"/>
    <x v="84"/>
    <x v="3"/>
    <x v="0"/>
    <s v="Normal order"/>
  </r>
  <r>
    <s v="SALE973"/>
    <d v="2024-01-20T00:00:00"/>
    <x v="3"/>
    <s v="CUST1402"/>
    <s v="PROD54"/>
    <s v="STORE18"/>
    <n v="2"/>
    <n v="2"/>
    <n v="528.29999999999995"/>
    <n v="0.24"/>
    <x v="0"/>
    <n v="803.01599999999996"/>
    <s v="Low"/>
    <s v="Cassandra Perez"/>
    <x v="0"/>
    <x v="8"/>
    <x v="2"/>
    <x v="3"/>
    <s v="Normal order"/>
  </r>
  <r>
    <s v="SALE974"/>
    <d v="2025-01-10T00:00:00"/>
    <x v="3"/>
    <s v="CUST1444"/>
    <s v="PROD10"/>
    <s v="STORE6"/>
    <n v="4"/>
    <n v="4"/>
    <n v="599.85"/>
    <n v="0.25"/>
    <x v="0"/>
    <n v="1799.55"/>
    <s v="High"/>
    <s v="Cheryl Carr"/>
    <x v="2"/>
    <x v="47"/>
    <x v="2"/>
    <x v="0"/>
    <s v="Bulk order"/>
  </r>
  <r>
    <s v="SALE975"/>
    <d v="2023-12-21T00:00:00"/>
    <x v="1"/>
    <s v="CUST1303"/>
    <s v="PROD16"/>
    <s v="STORE9"/>
    <n v="2"/>
    <n v="2"/>
    <n v="61.42"/>
    <n v="0.08"/>
    <x v="1"/>
    <n v="113.0128"/>
    <s v="Low"/>
    <s v="John Sloan"/>
    <x v="3"/>
    <x v="63"/>
    <x v="1"/>
    <x v="2"/>
    <s v="Normal order"/>
  </r>
  <r>
    <s v="SALE976"/>
    <d v="2025-02-05T00:00:00"/>
    <x v="2"/>
    <s v="CUST1249"/>
    <s v="PROD19"/>
    <s v="STORE10"/>
    <n v="2"/>
    <n v="2"/>
    <n v="466.42"/>
    <n v="0.12"/>
    <x v="1"/>
    <n v="820.89920000000006"/>
    <s v="Low"/>
    <s v="Lauren George"/>
    <x v="0"/>
    <x v="32"/>
    <x v="2"/>
    <x v="0"/>
    <s v="Normal order"/>
  </r>
  <r>
    <s v="SALE977"/>
    <d v="2025-07-19T00:00:00"/>
    <x v="0"/>
    <s v="CUST1099"/>
    <s v="PROD31"/>
    <s v="STORE5"/>
    <n v="4"/>
    <n v="4"/>
    <n v="540.69000000000005"/>
    <n v="0.09"/>
    <x v="2"/>
    <n v="1968.1116"/>
    <s v="High"/>
    <s v="Sheila Wilson"/>
    <x v="0"/>
    <x v="72"/>
    <x v="0"/>
    <x v="1"/>
    <s v="Bulk order"/>
  </r>
  <r>
    <s v="SALE978"/>
    <d v="2025-03-21T00:00:00"/>
    <x v="9"/>
    <s v="CUST1298"/>
    <s v="PROD19"/>
    <s v="STORE13"/>
    <n v="3"/>
    <n v="3"/>
    <n v="677.46"/>
    <n v="0.05"/>
    <x v="0"/>
    <n v="1930.761"/>
    <s v="High"/>
    <s v="Tracy Stephens"/>
    <x v="0"/>
    <x v="32"/>
    <x v="2"/>
    <x v="2"/>
    <s v="Normal order"/>
  </r>
  <r>
    <s v="SALE979"/>
    <d v="2025-04-24T00:00:00"/>
    <x v="5"/>
    <s v="CUST1328"/>
    <s v="PROD21"/>
    <s v="STORE1"/>
    <n v="3"/>
    <n v="3"/>
    <n v="614.63"/>
    <n v="0.06"/>
    <x v="1"/>
    <n v="1733.2565999999999"/>
    <s v="High"/>
    <s v="Mario Harvey Jr."/>
    <x v="2"/>
    <x v="54"/>
    <x v="0"/>
    <x v="2"/>
    <s v="Normal order"/>
  </r>
  <r>
    <s v="SALE98"/>
    <d v="2024-10-15T00:00:00"/>
    <x v="6"/>
    <s v="CUST1131"/>
    <s v="PROD56"/>
    <s v="STORE7"/>
    <n v="4"/>
    <n v="4"/>
    <n v="476.28"/>
    <n v="0.17"/>
    <x v="0"/>
    <n v="1581.2496000000001"/>
    <s v="High"/>
    <s v="Joseph Richards"/>
    <x v="2"/>
    <x v="87"/>
    <x v="1"/>
    <x v="3"/>
    <s v="Bulk order"/>
  </r>
  <r>
    <s v="SALE980"/>
    <d v="2023-12-12T00:00:00"/>
    <x v="1"/>
    <s v="CUST1232"/>
    <s v="PROD66"/>
    <s v="STORE8"/>
    <n v="4"/>
    <n v="4"/>
    <n v="649.52"/>
    <n v="0.11"/>
    <x v="0"/>
    <n v="2312.2912000000001"/>
    <s v="High"/>
    <s v="Christy Hill"/>
    <x v="3"/>
    <x v="46"/>
    <x v="3"/>
    <x v="2"/>
    <s v="Bulk order"/>
  </r>
  <r>
    <s v="SALE981"/>
    <d v="2024-07-08T00:00:00"/>
    <x v="0"/>
    <s v="CUST1445"/>
    <s v="PROD85"/>
    <s v="STORE8"/>
    <n v="2"/>
    <n v="2"/>
    <n v="943.93"/>
    <n v="0.22"/>
    <x v="1"/>
    <n v="1472.5308"/>
    <s v="High"/>
    <s v="Gene Lee"/>
    <x v="4"/>
    <x v="70"/>
    <x v="3"/>
    <x v="2"/>
    <s v="Normal order"/>
  </r>
  <r>
    <s v="SALE982"/>
    <d v="2023-10-29T00:00:00"/>
    <x v="6"/>
    <s v="CUST1165"/>
    <s v="PROD31"/>
    <s v="STORE8"/>
    <n v="4"/>
    <n v="4"/>
    <n v="538.73"/>
    <n v="0.03"/>
    <x v="0"/>
    <n v="2090.2723999999998"/>
    <s v="High"/>
    <s v="Jason Wheeler"/>
    <x v="0"/>
    <x v="72"/>
    <x v="3"/>
    <x v="2"/>
    <s v="Bulk order"/>
  </r>
  <r>
    <s v="SALE983"/>
    <d v="2024-05-20T00:00:00"/>
    <x v="11"/>
    <s v="CUST1088"/>
    <s v="PROD66"/>
    <s v="STORE8"/>
    <n v="2"/>
    <n v="2"/>
    <n v="853.93"/>
    <n v="0.01"/>
    <x v="1"/>
    <n v="1690.7814000000001"/>
    <s v="High"/>
    <s v="Timothy Wright"/>
    <x v="3"/>
    <x v="46"/>
    <x v="3"/>
    <x v="1"/>
    <s v="Normal order"/>
  </r>
  <r>
    <s v="SALE984"/>
    <d v="2025-09-14T00:00:00"/>
    <x v="7"/>
    <s v="CUST1491"/>
    <s v="PROD29"/>
    <s v="STORE4"/>
    <n v="4"/>
    <n v="4"/>
    <n v="465.42"/>
    <n v="0.26"/>
    <x v="2"/>
    <n v="1377.6432"/>
    <s v="High"/>
    <s v="Kaitlin Brown"/>
    <x v="2"/>
    <x v="62"/>
    <x v="1"/>
    <x v="0"/>
    <s v="Bulk order"/>
  </r>
  <r>
    <s v="SALE985"/>
    <d v="2025-04-11T00:00:00"/>
    <x v="5"/>
    <s v="CUST1055"/>
    <s v="PROD1"/>
    <s v="STORE11"/>
    <n v="4"/>
    <n v="4"/>
    <n v="880.26"/>
    <n v="0.11"/>
    <x v="2"/>
    <n v="3133.7256000000002"/>
    <s v="High"/>
    <s v="Wayne Mcpherson"/>
    <x v="4"/>
    <x v="93"/>
    <x v="1"/>
    <x v="3"/>
    <s v="Bulk order"/>
  </r>
  <r>
    <s v="SALE986"/>
    <d v="2024-05-17T00:00:00"/>
    <x v="11"/>
    <s v="CUST1483"/>
    <s v="PROD51"/>
    <s v="STORE11"/>
    <n v="3"/>
    <n v="3"/>
    <n v="461.02"/>
    <n v="0.28999999999999998"/>
    <x v="1"/>
    <n v="981.97259999999994"/>
    <s v="Low"/>
    <s v="Sarah Smith"/>
    <x v="1"/>
    <x v="78"/>
    <x v="1"/>
    <x v="0"/>
    <s v="Normal order"/>
  </r>
  <r>
    <s v="SALE987"/>
    <d v="2024-10-13T00:00:00"/>
    <x v="6"/>
    <s v="CUST1026"/>
    <s v="PROD25"/>
    <s v="STORE13"/>
    <n v="1"/>
    <n v="1"/>
    <n v="531.99"/>
    <n v="0.17"/>
    <x v="1"/>
    <n v="441.55169999999998"/>
    <s v="Low"/>
    <s v="Amber Carlson"/>
    <x v="4"/>
    <x v="13"/>
    <x v="2"/>
    <x v="0"/>
    <s v="Normal order"/>
  </r>
  <r>
    <s v="SALE988"/>
    <d v="2024-07-13T00:00:00"/>
    <x v="0"/>
    <s v="CUST1004"/>
    <s v="PROD47"/>
    <s v="STORE17"/>
    <n v="2"/>
    <n v="2"/>
    <n v="274.08999999999997"/>
    <n v="0.13"/>
    <x v="1"/>
    <n v="476.91660000000002"/>
    <s v="Low"/>
    <s v="Caroline Collins"/>
    <x v="3"/>
    <x v="37"/>
    <x v="0"/>
    <x v="1"/>
    <s v="Normal order"/>
  </r>
  <r>
    <s v="SALE989"/>
    <d v="2025-02-06T00:00:00"/>
    <x v="2"/>
    <s v="CUST1443"/>
    <s v="PROD88"/>
    <s v="STORE10"/>
    <n v="1"/>
    <n v="1"/>
    <n v="66.14"/>
    <n v="0.14000000000000001"/>
    <x v="2"/>
    <n v="56.880400000000002"/>
    <s v="Low"/>
    <s v="Adam Castro"/>
    <x v="0"/>
    <x v="90"/>
    <x v="2"/>
    <x v="1"/>
    <s v="Normal order"/>
  </r>
  <r>
    <s v="SALE99"/>
    <d v="2024-07-06T00:00:00"/>
    <x v="0"/>
    <s v="CUST1325"/>
    <s v="PROD54"/>
    <s v="STORE3"/>
    <n v="3"/>
    <n v="3"/>
    <n v="541.99"/>
    <n v="0.24"/>
    <x v="2"/>
    <n v="1235.7372"/>
    <s v="High"/>
    <s v="Andrew Smith"/>
    <x v="0"/>
    <x v="8"/>
    <x v="0"/>
    <x v="3"/>
    <s v="Normal order"/>
  </r>
  <r>
    <s v="SALE990"/>
    <d v="2025-08-06T00:00:00"/>
    <x v="10"/>
    <s v="CUST1077"/>
    <s v="PROD20"/>
    <s v="STORE9"/>
    <n v="3"/>
    <n v="3"/>
    <n v="955.82"/>
    <n v="0.16"/>
    <x v="2"/>
    <n v="2408.6664000000001"/>
    <s v="High"/>
    <s v="Katherine Young"/>
    <x v="0"/>
    <x v="69"/>
    <x v="1"/>
    <x v="0"/>
    <s v="Normal order"/>
  </r>
  <r>
    <s v="SALE991"/>
    <d v="2024-05-20T00:00:00"/>
    <x v="11"/>
    <s v="CUST1319"/>
    <s v="PROD22"/>
    <s v="STORE12"/>
    <n v="1"/>
    <n v="1"/>
    <n v="904.92"/>
    <n v="0.13"/>
    <x v="0"/>
    <n v="787.28039999999999"/>
    <s v="Low"/>
    <s v="Casey Simpson"/>
    <x v="0"/>
    <x v="59"/>
    <x v="0"/>
    <x v="2"/>
    <s v="Normal order"/>
  </r>
  <r>
    <s v="SALE992"/>
    <d v="2024-10-10T00:00:00"/>
    <x v="6"/>
    <s v="CUST1000"/>
    <s v="PROD40"/>
    <s v="STORE7"/>
    <n v="3"/>
    <n v="3"/>
    <n v="490.02"/>
    <n v="0.26"/>
    <x v="0"/>
    <n v="1087.8444"/>
    <s v="High"/>
    <s v="Sheena Bonilla"/>
    <x v="1"/>
    <x v="50"/>
    <x v="1"/>
    <x v="4"/>
    <s v="Normal order"/>
  </r>
  <r>
    <s v="SALE993"/>
    <d v="2024-02-18T00:00:00"/>
    <x v="2"/>
    <s v="CUST1363"/>
    <s v="PROD19"/>
    <s v="STORE6"/>
    <n v="2"/>
    <n v="2"/>
    <n v="957.54"/>
    <n v="0.1"/>
    <x v="2"/>
    <n v="1723.5719999999999"/>
    <s v="High"/>
    <s v="Elizabeth Smith"/>
    <x v="0"/>
    <x v="32"/>
    <x v="2"/>
    <x v="3"/>
    <s v="Normal order"/>
  </r>
  <r>
    <s v="SALE994"/>
    <d v="2025-09-26T00:00:00"/>
    <x v="7"/>
    <s v="CUST1329"/>
    <s v="PROD99"/>
    <s v="STORE13"/>
    <n v="2"/>
    <n v="2"/>
    <n v="314.39999999999998"/>
    <n v="7.0000000000000007E-2"/>
    <x v="1"/>
    <n v="584.78399999999988"/>
    <s v="Low"/>
    <s v="Victor Mcintosh"/>
    <x v="2"/>
    <x v="86"/>
    <x v="2"/>
    <x v="3"/>
    <s v="Normal order"/>
  </r>
  <r>
    <s v="SALE995"/>
    <d v="2024-03-22T00:00:00"/>
    <x v="9"/>
    <s v="CUST1394"/>
    <s v="PROD24"/>
    <s v="STORE6"/>
    <n v="3"/>
    <n v="3"/>
    <n v="480.11"/>
    <n v="0.11"/>
    <x v="1"/>
    <n v="1281.8937000000001"/>
    <s v="High"/>
    <s v="Alejandro Evans"/>
    <x v="0"/>
    <x v="2"/>
    <x v="2"/>
    <x v="3"/>
    <s v="Normal order"/>
  </r>
  <r>
    <s v="SALE996"/>
    <d v="2024-10-14T00:00:00"/>
    <x v="6"/>
    <s v="CUST1388"/>
    <s v="PROD48"/>
    <s v="STORE6"/>
    <n v="4"/>
    <n v="4"/>
    <n v="826.55"/>
    <n v="0.28000000000000003"/>
    <x v="0"/>
    <n v="2380.4639999999999"/>
    <s v="High"/>
    <s v="Timothy Valenzuela"/>
    <x v="1"/>
    <x v="66"/>
    <x v="2"/>
    <x v="2"/>
    <s v="Bulk order"/>
  </r>
  <r>
    <s v="SALE997"/>
    <d v="2025-05-28T00:00:00"/>
    <x v="11"/>
    <s v="CUST1190"/>
    <s v="PROD27"/>
    <s v="STORE3"/>
    <n v="3"/>
    <n v="3"/>
    <n v="530.16999999999996"/>
    <n v="0.18"/>
    <x v="1"/>
    <n v="1304.2182"/>
    <s v="High"/>
    <s v="Christopher Stewart"/>
    <x v="2"/>
    <x v="77"/>
    <x v="0"/>
    <x v="3"/>
    <s v="Normal order"/>
  </r>
  <r>
    <s v="SALE998"/>
    <d v="2024-08-18T00:00:00"/>
    <x v="10"/>
    <s v="CUST1407"/>
    <s v="PROD34"/>
    <s v="STORE17"/>
    <n v="3"/>
    <n v="3"/>
    <n v="336.17"/>
    <n v="0.04"/>
    <x v="2"/>
    <n v="968.16959999999995"/>
    <s v="Low"/>
    <s v="Joseph Mendoza"/>
    <x v="1"/>
    <x v="21"/>
    <x v="0"/>
    <x v="0"/>
    <s v="Normal order"/>
  </r>
  <r>
    <s v="SALE999"/>
    <d v="2024-01-13T00:00:00"/>
    <x v="3"/>
    <s v="CUST1421"/>
    <s v="PROD81"/>
    <s v="STORE8"/>
    <n v="4"/>
    <n v="4"/>
    <n v="22.51"/>
    <n v="0.27"/>
    <x v="1"/>
    <n v="65.729200000000006"/>
    <s v="Low"/>
    <s v="Holly Robinson"/>
    <x v="0"/>
    <x v="15"/>
    <x v="3"/>
    <x v="2"/>
    <s v="Bulk ord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279A28-91C1-4DBA-BDFC-4DAB0D7F77CC}" name="Region wise Sales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
  <location ref="A14:B19" firstHeaderRow="1" firstDataRow="1" firstDataCol="1"/>
  <pivotFields count="19">
    <pivotField showAll="0"/>
    <pivotField numFmtId="14" showAll="0"/>
    <pivotField showAll="0"/>
    <pivotField showAll="0"/>
    <pivotField showAll="0"/>
    <pivotField showAll="0"/>
    <pivotField showAll="0"/>
    <pivotField numFmtId="1" showAll="0"/>
    <pivotField showAll="0"/>
    <pivotField showAll="0"/>
    <pivotField showAll="0"/>
    <pivotField dataField="1" showAll="0"/>
    <pivotField showAll="0"/>
    <pivotField showAll="0"/>
    <pivotField showAll="0">
      <items count="6">
        <item x="3"/>
        <item x="4"/>
        <item x="1"/>
        <item x="2"/>
        <item x="0"/>
        <item t="default"/>
      </items>
    </pivotField>
    <pivotField showAll="0"/>
    <pivotField axis="axisRow" showAll="0">
      <items count="5">
        <item x="2"/>
        <item x="0"/>
        <item x="1"/>
        <item x="3"/>
        <item t="default"/>
      </items>
    </pivotField>
    <pivotField showAll="0">
      <items count="6">
        <item x="3"/>
        <item x="0"/>
        <item x="2"/>
        <item x="1"/>
        <item x="4"/>
        <item t="default"/>
      </items>
    </pivotField>
    <pivotField showAll="0"/>
  </pivotFields>
  <rowFields count="1">
    <field x="16"/>
  </rowFields>
  <rowItems count="5">
    <i>
      <x/>
    </i>
    <i>
      <x v="1"/>
    </i>
    <i>
      <x v="2"/>
    </i>
    <i>
      <x v="3"/>
    </i>
    <i t="grand">
      <x/>
    </i>
  </rowItems>
  <colItems count="1">
    <i/>
  </colItems>
  <dataFields count="1">
    <dataField name="Sum of Total_Amount" fld="11" baseField="0" baseItem="0"/>
  </dataFields>
  <formats count="7">
    <format dxfId="11">
      <pivotArea field="14" type="button" dataOnly="0" labelOnly="1" outline="0"/>
    </format>
    <format dxfId="10">
      <pivotArea dataOnly="0" labelOnly="1" outline="0" axis="axisValues" fieldPosition="0"/>
    </format>
    <format dxfId="9">
      <pivotArea dataOnly="0" grandRow="1" fieldPosition="0"/>
    </format>
    <format dxfId="8">
      <pivotArea field="16" type="button" dataOnly="0" labelOnly="1" outline="0" axis="axisRow" fieldPosition="0"/>
    </format>
    <format dxfId="7">
      <pivotArea collapsedLevelsAreSubtotals="1" fieldPosition="0">
        <references count="1">
          <reference field="16" count="0"/>
        </references>
      </pivotArea>
    </format>
    <format dxfId="6">
      <pivotArea dataOnly="0" labelOnly="1" fieldPosition="0">
        <references count="1">
          <reference field="16" count="0"/>
        </references>
      </pivotArea>
    </format>
    <format dxfId="5">
      <pivotArea collapsedLevelsAreSubtotals="1" fieldPosition="0">
        <references count="1">
          <reference field="16" count="0"/>
        </references>
      </pivotArea>
    </format>
  </formats>
  <chartFormats count="10">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6" count="1" selected="0">
            <x v="2"/>
          </reference>
        </references>
      </pivotArea>
    </chartFormat>
    <chartFormat chart="2" format="5">
      <pivotArea type="data" outline="0" fieldPosition="0">
        <references count="2">
          <reference field="4294967294" count="1" selected="0">
            <x v="0"/>
          </reference>
          <reference field="16" count="1" selected="0">
            <x v="3"/>
          </reference>
        </references>
      </pivotArea>
    </chartFormat>
    <chartFormat chart="2" format="6">
      <pivotArea type="data" outline="0" fieldPosition="0">
        <references count="2">
          <reference field="4294967294" count="1" selected="0">
            <x v="0"/>
          </reference>
          <reference field="16" count="1" selected="0">
            <x v="1"/>
          </reference>
        </references>
      </pivotArea>
    </chartFormat>
    <chartFormat chart="2" format="7">
      <pivotArea type="data" outline="0" fieldPosition="0">
        <references count="2">
          <reference field="4294967294" count="1" selected="0">
            <x v="0"/>
          </reference>
          <reference field="16" count="1" selected="0">
            <x v="0"/>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6" count="1" selected="0">
            <x v="0"/>
          </reference>
        </references>
      </pivotArea>
    </chartFormat>
    <chartFormat chart="4" format="15">
      <pivotArea type="data" outline="0" fieldPosition="0">
        <references count="2">
          <reference field="4294967294" count="1" selected="0">
            <x v="0"/>
          </reference>
          <reference field="16" count="1" selected="0">
            <x v="1"/>
          </reference>
        </references>
      </pivotArea>
    </chartFormat>
    <chartFormat chart="4" format="16">
      <pivotArea type="data" outline="0" fieldPosition="0">
        <references count="2">
          <reference field="4294967294" count="1" selected="0">
            <x v="0"/>
          </reference>
          <reference field="16" count="1" selected="0">
            <x v="2"/>
          </reference>
        </references>
      </pivotArea>
    </chartFormat>
    <chartFormat chart="4" format="17">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9A3BB1-0206-4CB8-B941-2281401D9297}" name="Category wise Total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A3:B9" firstHeaderRow="1" firstDataRow="1" firstDataCol="1"/>
  <pivotFields count="19">
    <pivotField showAll="0"/>
    <pivotField numFmtId="14" showAll="0"/>
    <pivotField showAll="0"/>
    <pivotField showAll="0"/>
    <pivotField showAll="0"/>
    <pivotField showAll="0"/>
    <pivotField showAll="0"/>
    <pivotField numFmtId="1" showAll="0"/>
    <pivotField showAll="0"/>
    <pivotField showAll="0"/>
    <pivotField showAll="0"/>
    <pivotField dataField="1" showAll="0"/>
    <pivotField showAll="0"/>
    <pivotField showAll="0"/>
    <pivotField axis="axisRow" showAll="0">
      <items count="6">
        <item x="3"/>
        <item x="4"/>
        <item x="1"/>
        <item x="2"/>
        <item x="0"/>
        <item t="default"/>
      </items>
    </pivotField>
    <pivotField showAll="0"/>
    <pivotField showAll="0">
      <items count="5">
        <item x="2"/>
        <item x="0"/>
        <item x="1"/>
        <item x="3"/>
        <item t="default"/>
      </items>
    </pivotField>
    <pivotField showAll="0">
      <items count="6">
        <item x="3"/>
        <item x="0"/>
        <item x="2"/>
        <item x="1"/>
        <item x="4"/>
        <item t="default"/>
      </items>
    </pivotField>
    <pivotField showAll="0"/>
  </pivotFields>
  <rowFields count="1">
    <field x="14"/>
  </rowFields>
  <rowItems count="6">
    <i>
      <x/>
    </i>
    <i>
      <x v="1"/>
    </i>
    <i>
      <x v="2"/>
    </i>
    <i>
      <x v="3"/>
    </i>
    <i>
      <x v="4"/>
    </i>
    <i t="grand">
      <x/>
    </i>
  </rowItems>
  <colItems count="1">
    <i/>
  </colItems>
  <dataFields count="1">
    <dataField name="Sum of Total_Amount" fld="11" baseField="0" baseItem="0"/>
  </dataFields>
  <formats count="7">
    <format dxfId="18">
      <pivotArea field="14" type="button" dataOnly="0" labelOnly="1" outline="0" axis="axisRow" fieldPosition="0"/>
    </format>
    <format dxfId="17">
      <pivotArea dataOnly="0" labelOnly="1" outline="0" axis="axisValues" fieldPosition="0"/>
    </format>
    <format dxfId="16">
      <pivotArea dataOnly="0" grandRow="1" fieldPosition="0"/>
    </format>
    <format dxfId="15">
      <pivotArea field="16" type="button" dataOnly="0" labelOnly="1" outline="0"/>
    </format>
    <format dxfId="14">
      <pivotArea collapsedLevelsAreSubtotals="1" fieldPosition="0">
        <references count="1">
          <reference field="14" count="0"/>
        </references>
      </pivotArea>
    </format>
    <format dxfId="13">
      <pivotArea dataOnly="0" labelOnly="1" fieldPosition="0">
        <references count="1">
          <reference field="14" count="0"/>
        </references>
      </pivotArea>
    </format>
    <format dxfId="12">
      <pivotArea collapsedLevelsAreSubtotals="1" fieldPosition="0">
        <references count="1">
          <reference field="14" count="0"/>
        </references>
      </pivotArea>
    </format>
  </formats>
  <chartFormats count="12">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4" count="1" selected="0">
            <x v="0"/>
          </reference>
        </references>
      </pivotArea>
    </chartFormat>
    <chartFormat chart="2" format="9">
      <pivotArea type="data" outline="0" fieldPosition="0">
        <references count="2">
          <reference field="4294967294" count="1" selected="0">
            <x v="0"/>
          </reference>
          <reference field="14" count="1" selected="0">
            <x v="1"/>
          </reference>
        </references>
      </pivotArea>
    </chartFormat>
    <chartFormat chart="2" format="10">
      <pivotArea type="data" outline="0" fieldPosition="0">
        <references count="2">
          <reference field="4294967294" count="1" selected="0">
            <x v="0"/>
          </reference>
          <reference field="14" count="1" selected="0">
            <x v="2"/>
          </reference>
        </references>
      </pivotArea>
    </chartFormat>
    <chartFormat chart="2" format="11">
      <pivotArea type="data" outline="0" fieldPosition="0">
        <references count="2">
          <reference field="4294967294" count="1" selected="0">
            <x v="0"/>
          </reference>
          <reference field="14" count="1" selected="0">
            <x v="3"/>
          </reference>
        </references>
      </pivotArea>
    </chartFormat>
    <chartFormat chart="2" format="12">
      <pivotArea type="data" outline="0" fieldPosition="0">
        <references count="2">
          <reference field="4294967294" count="1" selected="0">
            <x v="0"/>
          </reference>
          <reference field="14" count="1" selected="0">
            <x v="4"/>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14" count="1" selected="0">
            <x v="0"/>
          </reference>
        </references>
      </pivotArea>
    </chartFormat>
    <chartFormat chart="4" format="21">
      <pivotArea type="data" outline="0" fieldPosition="0">
        <references count="2">
          <reference field="4294967294" count="1" selected="0">
            <x v="0"/>
          </reference>
          <reference field="14" count="1" selected="0">
            <x v="1"/>
          </reference>
        </references>
      </pivotArea>
    </chartFormat>
    <chartFormat chart="4" format="22">
      <pivotArea type="data" outline="0" fieldPosition="0">
        <references count="2">
          <reference field="4294967294" count="1" selected="0">
            <x v="0"/>
          </reference>
          <reference field="14" count="1" selected="0">
            <x v="2"/>
          </reference>
        </references>
      </pivotArea>
    </chartFormat>
    <chartFormat chart="4" format="23">
      <pivotArea type="data" outline="0" fieldPosition="0">
        <references count="2">
          <reference field="4294967294" count="1" selected="0">
            <x v="0"/>
          </reference>
          <reference field="14" count="1" selected="0">
            <x v="3"/>
          </reference>
        </references>
      </pivotArea>
    </chartFormat>
    <chartFormat chart="4" format="24">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31353E-9939-4385-96C1-FA0DE9A26180}" name="Month wise Trend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A44:B57" firstHeaderRow="1" firstDataRow="1" firstDataCol="1"/>
  <pivotFields count="19">
    <pivotField showAll="0"/>
    <pivotField numFmtId="14" showAll="0"/>
    <pivotField axis="axisRow" showAll="0">
      <items count="13">
        <item x="3"/>
        <item x="2"/>
        <item x="9"/>
        <item x="5"/>
        <item x="11"/>
        <item x="4"/>
        <item x="0"/>
        <item x="10"/>
        <item x="7"/>
        <item x="6"/>
        <item x="8"/>
        <item x="1"/>
        <item t="default"/>
      </items>
    </pivotField>
    <pivotField showAll="0"/>
    <pivotField showAll="0"/>
    <pivotField showAll="0"/>
    <pivotField showAll="0"/>
    <pivotField numFmtId="1" showAll="0"/>
    <pivotField showAll="0"/>
    <pivotField showAll="0"/>
    <pivotField showAll="0"/>
    <pivotField dataField="1" showAll="0"/>
    <pivotField showAll="0"/>
    <pivotField showAll="0"/>
    <pivotField showAll="0"/>
    <pivotField showAll="0"/>
    <pivotField showAll="0">
      <items count="5">
        <item x="2"/>
        <item x="0"/>
        <item x="1"/>
        <item x="3"/>
        <item t="default"/>
      </items>
    </pivotField>
    <pivotField showAll="0">
      <items count="6">
        <item x="3"/>
        <item x="0"/>
        <item x="2"/>
        <item x="1"/>
        <item x="4"/>
        <item t="default"/>
      </items>
    </pivotField>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Total_Amount" fld="11" baseField="0" baseItem="0"/>
  </dataFields>
  <formats count="7">
    <format dxfId="25">
      <pivotArea collapsedLevelsAreSubtotals="1" fieldPosition="0">
        <references count="1">
          <reference field="2" count="0"/>
        </references>
      </pivotArea>
    </format>
    <format dxfId="24">
      <pivotArea dataOnly="0" labelOnly="1" fieldPosition="0">
        <references count="1">
          <reference field="2" count="0"/>
        </references>
      </pivotArea>
    </format>
    <format dxfId="23">
      <pivotArea field="2" type="button" dataOnly="0" labelOnly="1" outline="0" axis="axisRow" fieldPosition="0"/>
    </format>
    <format dxfId="22">
      <pivotArea dataOnly="0" labelOnly="1" outline="0" axis="axisValues" fieldPosition="0"/>
    </format>
    <format dxfId="21">
      <pivotArea grandRow="1" outline="0" collapsedLevelsAreSubtotals="1" fieldPosition="0"/>
    </format>
    <format dxfId="20">
      <pivotArea dataOnly="0" labelOnly="1" grandRow="1" outline="0" fieldPosition="0"/>
    </format>
    <format dxfId="19">
      <pivotArea collapsedLevelsAreSubtotals="1" fieldPosition="0">
        <references count="1">
          <reference field="2" count="0"/>
        </references>
      </pivotArea>
    </format>
  </formats>
  <chartFormats count="2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 chart="2" format="5">
      <pivotArea type="data" outline="0" fieldPosition="0">
        <references count="2">
          <reference field="4294967294" count="1" selected="0">
            <x v="0"/>
          </reference>
          <reference field="2" count="1" selected="0">
            <x v="2"/>
          </reference>
        </references>
      </pivotArea>
    </chartFormat>
    <chartFormat chart="2" format="6">
      <pivotArea type="data" outline="0" fieldPosition="0">
        <references count="2">
          <reference field="4294967294" count="1" selected="0">
            <x v="0"/>
          </reference>
          <reference field="2" count="1" selected="0">
            <x v="3"/>
          </reference>
        </references>
      </pivotArea>
    </chartFormat>
    <chartFormat chart="2" format="7">
      <pivotArea type="data" outline="0" fieldPosition="0">
        <references count="2">
          <reference field="4294967294" count="1" selected="0">
            <x v="0"/>
          </reference>
          <reference field="2" count="1" selected="0">
            <x v="4"/>
          </reference>
        </references>
      </pivotArea>
    </chartFormat>
    <chartFormat chart="2" format="8">
      <pivotArea type="data" outline="0" fieldPosition="0">
        <references count="2">
          <reference field="4294967294" count="1" selected="0">
            <x v="0"/>
          </reference>
          <reference field="2" count="1" selected="0">
            <x v="5"/>
          </reference>
        </references>
      </pivotArea>
    </chartFormat>
    <chartFormat chart="2" format="9">
      <pivotArea type="data" outline="0" fieldPosition="0">
        <references count="2">
          <reference field="4294967294" count="1" selected="0">
            <x v="0"/>
          </reference>
          <reference field="2" count="1" selected="0">
            <x v="6"/>
          </reference>
        </references>
      </pivotArea>
    </chartFormat>
    <chartFormat chart="2" format="10">
      <pivotArea type="data" outline="0" fieldPosition="0">
        <references count="2">
          <reference field="4294967294" count="1" selected="0">
            <x v="0"/>
          </reference>
          <reference field="2" count="1" selected="0">
            <x v="7"/>
          </reference>
        </references>
      </pivotArea>
    </chartFormat>
    <chartFormat chart="2" format="11">
      <pivotArea type="data" outline="0" fieldPosition="0">
        <references count="2">
          <reference field="4294967294" count="1" selected="0">
            <x v="0"/>
          </reference>
          <reference field="2" count="1" selected="0">
            <x v="8"/>
          </reference>
        </references>
      </pivotArea>
    </chartFormat>
    <chartFormat chart="2" format="12">
      <pivotArea type="data" outline="0" fieldPosition="0">
        <references count="2">
          <reference field="4294967294" count="1" selected="0">
            <x v="0"/>
          </reference>
          <reference field="2" count="1" selected="0">
            <x v="9"/>
          </reference>
        </references>
      </pivotArea>
    </chartFormat>
    <chartFormat chart="2" format="13">
      <pivotArea type="data" outline="0" fieldPosition="0">
        <references count="2">
          <reference field="4294967294" count="1" selected="0">
            <x v="0"/>
          </reference>
          <reference field="2" count="1" selected="0">
            <x v="10"/>
          </reference>
        </references>
      </pivotArea>
    </chartFormat>
    <chartFormat chart="2" format="14">
      <pivotArea type="data" outline="0" fieldPosition="0">
        <references count="2">
          <reference field="4294967294" count="1" selected="0">
            <x v="0"/>
          </reference>
          <reference field="2" count="1" selected="0">
            <x v="11"/>
          </reference>
        </references>
      </pivotArea>
    </chartFormat>
    <chartFormat chart="5" format="28" series="1">
      <pivotArea type="data" outline="0" fieldPosition="0">
        <references count="1">
          <reference field="4294967294" count="1" selected="0">
            <x v="0"/>
          </reference>
        </references>
      </pivotArea>
    </chartFormat>
    <chartFormat chart="5" format="29">
      <pivotArea type="data" outline="0" fieldPosition="0">
        <references count="2">
          <reference field="4294967294" count="1" selected="0">
            <x v="0"/>
          </reference>
          <reference field="2" count="1" selected="0">
            <x v="0"/>
          </reference>
        </references>
      </pivotArea>
    </chartFormat>
    <chartFormat chart="5" format="30">
      <pivotArea type="data" outline="0" fieldPosition="0">
        <references count="2">
          <reference field="4294967294" count="1" selected="0">
            <x v="0"/>
          </reference>
          <reference field="2" count="1" selected="0">
            <x v="1"/>
          </reference>
        </references>
      </pivotArea>
    </chartFormat>
    <chartFormat chart="5" format="31">
      <pivotArea type="data" outline="0" fieldPosition="0">
        <references count="2">
          <reference field="4294967294" count="1" selected="0">
            <x v="0"/>
          </reference>
          <reference field="2" count="1" selected="0">
            <x v="2"/>
          </reference>
        </references>
      </pivotArea>
    </chartFormat>
    <chartFormat chart="5" format="32">
      <pivotArea type="data" outline="0" fieldPosition="0">
        <references count="2">
          <reference field="4294967294" count="1" selected="0">
            <x v="0"/>
          </reference>
          <reference field="2" count="1" selected="0">
            <x v="3"/>
          </reference>
        </references>
      </pivotArea>
    </chartFormat>
    <chartFormat chart="5" format="33">
      <pivotArea type="data" outline="0" fieldPosition="0">
        <references count="2">
          <reference field="4294967294" count="1" selected="0">
            <x v="0"/>
          </reference>
          <reference field="2" count="1" selected="0">
            <x v="4"/>
          </reference>
        </references>
      </pivotArea>
    </chartFormat>
    <chartFormat chart="5" format="34">
      <pivotArea type="data" outline="0" fieldPosition="0">
        <references count="2">
          <reference field="4294967294" count="1" selected="0">
            <x v="0"/>
          </reference>
          <reference field="2" count="1" selected="0">
            <x v="5"/>
          </reference>
        </references>
      </pivotArea>
    </chartFormat>
    <chartFormat chart="5" format="35">
      <pivotArea type="data" outline="0" fieldPosition="0">
        <references count="2">
          <reference field="4294967294" count="1" selected="0">
            <x v="0"/>
          </reference>
          <reference field="2" count="1" selected="0">
            <x v="6"/>
          </reference>
        </references>
      </pivotArea>
    </chartFormat>
    <chartFormat chart="5" format="36">
      <pivotArea type="data" outline="0" fieldPosition="0">
        <references count="2">
          <reference field="4294967294" count="1" selected="0">
            <x v="0"/>
          </reference>
          <reference field="2" count="1" selected="0">
            <x v="7"/>
          </reference>
        </references>
      </pivotArea>
    </chartFormat>
    <chartFormat chart="5" format="37">
      <pivotArea type="data" outline="0" fieldPosition="0">
        <references count="2">
          <reference field="4294967294" count="1" selected="0">
            <x v="0"/>
          </reference>
          <reference field="2" count="1" selected="0">
            <x v="8"/>
          </reference>
        </references>
      </pivotArea>
    </chartFormat>
    <chartFormat chart="5" format="38">
      <pivotArea type="data" outline="0" fieldPosition="0">
        <references count="2">
          <reference field="4294967294" count="1" selected="0">
            <x v="0"/>
          </reference>
          <reference field="2" count="1" selected="0">
            <x v="9"/>
          </reference>
        </references>
      </pivotArea>
    </chartFormat>
    <chartFormat chart="5" format="39">
      <pivotArea type="data" outline="0" fieldPosition="0">
        <references count="2">
          <reference field="4294967294" count="1" selected="0">
            <x v="0"/>
          </reference>
          <reference field="2" count="1" selected="0">
            <x v="10"/>
          </reference>
        </references>
      </pivotArea>
    </chartFormat>
    <chartFormat chart="5" format="40">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CBA633-9F5C-41CF-8142-03A30D880791}" name="Top products via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name">
  <location ref="A62:B73" firstHeaderRow="1" firstDataRow="1" firstDataCol="1"/>
  <pivotFields count="19">
    <pivotField showAll="0"/>
    <pivotField numFmtId="14" showAll="0"/>
    <pivotField showAll="0"/>
    <pivotField showAll="0"/>
    <pivotField showAll="0"/>
    <pivotField showAll="0"/>
    <pivotField showAll="0"/>
    <pivotField dataField="1" numFmtId="1" showAll="0"/>
    <pivotField showAll="0"/>
    <pivotField showAll="0"/>
    <pivotField showAll="0"/>
    <pivotField showAll="0"/>
    <pivotField showAll="0"/>
    <pivotField showAll="0"/>
    <pivotField showAll="0"/>
    <pivotField axis="axisRow" showAll="0" measureFilter="1" sortType="descending">
      <items count="101">
        <item x="42"/>
        <item x="98"/>
        <item x="74"/>
        <item x="31"/>
        <item x="15"/>
        <item x="72"/>
        <item x="63"/>
        <item x="44"/>
        <item x="1"/>
        <item x="52"/>
        <item x="7"/>
        <item x="66"/>
        <item x="59"/>
        <item x="47"/>
        <item x="25"/>
        <item x="0"/>
        <item x="77"/>
        <item x="14"/>
        <item x="94"/>
        <item x="33"/>
        <item x="62"/>
        <item x="53"/>
        <item x="26"/>
        <item x="64"/>
        <item x="2"/>
        <item x="21"/>
        <item x="73"/>
        <item x="57"/>
        <item x="85"/>
        <item x="68"/>
        <item x="78"/>
        <item x="95"/>
        <item x="23"/>
        <item x="61"/>
        <item x="30"/>
        <item x="92"/>
        <item x="32"/>
        <item x="19"/>
        <item x="48"/>
        <item x="17"/>
        <item x="18"/>
        <item x="37"/>
        <item x="55"/>
        <item x="16"/>
        <item x="9"/>
        <item x="93"/>
        <item x="4"/>
        <item x="91"/>
        <item x="80"/>
        <item x="84"/>
        <item x="5"/>
        <item x="20"/>
        <item x="41"/>
        <item x="39"/>
        <item x="3"/>
        <item x="54"/>
        <item x="50"/>
        <item x="11"/>
        <item x="69"/>
        <item x="51"/>
        <item x="65"/>
        <item x="87"/>
        <item x="35"/>
        <item x="22"/>
        <item x="6"/>
        <item x="71"/>
        <item x="99"/>
        <item x="29"/>
        <item x="28"/>
        <item x="8"/>
        <item x="40"/>
        <item x="43"/>
        <item x="90"/>
        <item x="86"/>
        <item x="38"/>
        <item x="49"/>
        <item x="34"/>
        <item x="75"/>
        <item x="27"/>
        <item x="96"/>
        <item x="89"/>
        <item x="24"/>
        <item x="79"/>
        <item x="12"/>
        <item x="81"/>
        <item x="45"/>
        <item x="10"/>
        <item x="70"/>
        <item x="60"/>
        <item x="36"/>
        <item x="83"/>
        <item x="76"/>
        <item x="46"/>
        <item x="67"/>
        <item x="13"/>
        <item x="88"/>
        <item x="58"/>
        <item x="56"/>
        <item x="97"/>
        <item x="82"/>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items count="6">
        <item x="3"/>
        <item x="0"/>
        <item x="2"/>
        <item x="1"/>
        <item x="4"/>
        <item t="default"/>
      </items>
    </pivotField>
    <pivotField showAll="0"/>
  </pivotFields>
  <rowFields count="1">
    <field x="15"/>
  </rowFields>
  <rowItems count="11">
    <i>
      <x v="43"/>
    </i>
    <i>
      <x v="25"/>
    </i>
    <i>
      <x v="60"/>
    </i>
    <i>
      <x v="64"/>
    </i>
    <i>
      <x v="85"/>
    </i>
    <i>
      <x/>
    </i>
    <i>
      <x v="67"/>
    </i>
    <i>
      <x v="80"/>
    </i>
    <i>
      <x v="21"/>
    </i>
    <i>
      <x v="37"/>
    </i>
    <i t="grand">
      <x/>
    </i>
  </rowItems>
  <colItems count="1">
    <i/>
  </colItems>
  <dataFields count="1">
    <dataField name="Sum of Quantity1" fld="7" baseField="15" baseItem="0" numFmtId="1"/>
  </dataFields>
  <formats count="7">
    <format dxfId="32">
      <pivotArea field="15" type="button" dataOnly="0" labelOnly="1" outline="0" axis="axisRow" fieldPosition="0"/>
    </format>
    <format dxfId="31">
      <pivotArea dataOnly="0" labelOnly="1" outline="0" axis="axisValues" fieldPosition="0"/>
    </format>
    <format dxfId="30">
      <pivotArea grandRow="1" outline="0" collapsedLevelsAreSubtotals="1" fieldPosition="0"/>
    </format>
    <format dxfId="29">
      <pivotArea dataOnly="0" labelOnly="1" grandRow="1" outline="0" fieldPosition="0"/>
    </format>
    <format dxfId="28">
      <pivotArea collapsedLevelsAreSubtotals="1" fieldPosition="0">
        <references count="1">
          <reference field="15" count="0"/>
        </references>
      </pivotArea>
    </format>
    <format dxfId="27">
      <pivotArea dataOnly="0" labelOnly="1" fieldPosition="0">
        <references count="1">
          <reference field="1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6">
      <pivotArea dataOnly="0" labelOnly="1" fieldPosition="0">
        <references count="1">
          <reference field="15"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s>
  <chartFormats count="22">
    <chartFormat chart="2" format="2" series="1">
      <pivotArea type="data" outline="0" fieldPosition="0">
        <references count="1">
          <reference field="4294967294" count="1" selected="0">
            <x v="0"/>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5" count="1" selected="0">
            <x v="0"/>
          </reference>
        </references>
      </pivotArea>
    </chartFormat>
    <chartFormat chart="4" format="16">
      <pivotArea type="data" outline="0" fieldPosition="0">
        <references count="2">
          <reference field="4294967294" count="1" selected="0">
            <x v="0"/>
          </reference>
          <reference field="15" count="1" selected="0">
            <x v="21"/>
          </reference>
        </references>
      </pivotArea>
    </chartFormat>
    <chartFormat chart="4" format="17">
      <pivotArea type="data" outline="0" fieldPosition="0">
        <references count="2">
          <reference field="4294967294" count="1" selected="0">
            <x v="0"/>
          </reference>
          <reference field="15" count="1" selected="0">
            <x v="25"/>
          </reference>
        </references>
      </pivotArea>
    </chartFormat>
    <chartFormat chart="4" format="18">
      <pivotArea type="data" outline="0" fieldPosition="0">
        <references count="2">
          <reference field="4294967294" count="1" selected="0">
            <x v="0"/>
          </reference>
          <reference field="15" count="1" selected="0">
            <x v="37"/>
          </reference>
        </references>
      </pivotArea>
    </chartFormat>
    <chartFormat chart="4" format="19">
      <pivotArea type="data" outline="0" fieldPosition="0">
        <references count="2">
          <reference field="4294967294" count="1" selected="0">
            <x v="0"/>
          </reference>
          <reference field="15" count="1" selected="0">
            <x v="43"/>
          </reference>
        </references>
      </pivotArea>
    </chartFormat>
    <chartFormat chart="4" format="20">
      <pivotArea type="data" outline="0" fieldPosition="0">
        <references count="2">
          <reference field="4294967294" count="1" selected="0">
            <x v="0"/>
          </reference>
          <reference field="15" count="1" selected="0">
            <x v="60"/>
          </reference>
        </references>
      </pivotArea>
    </chartFormat>
    <chartFormat chart="4" format="21">
      <pivotArea type="data" outline="0" fieldPosition="0">
        <references count="2">
          <reference field="4294967294" count="1" selected="0">
            <x v="0"/>
          </reference>
          <reference field="15" count="1" selected="0">
            <x v="64"/>
          </reference>
        </references>
      </pivotArea>
    </chartFormat>
    <chartFormat chart="4" format="22">
      <pivotArea type="data" outline="0" fieldPosition="0">
        <references count="2">
          <reference field="4294967294" count="1" selected="0">
            <x v="0"/>
          </reference>
          <reference field="15" count="1" selected="0">
            <x v="67"/>
          </reference>
        </references>
      </pivotArea>
    </chartFormat>
    <chartFormat chart="4" format="23">
      <pivotArea type="data" outline="0" fieldPosition="0">
        <references count="2">
          <reference field="4294967294" count="1" selected="0">
            <x v="0"/>
          </reference>
          <reference field="15" count="1" selected="0">
            <x v="80"/>
          </reference>
        </references>
      </pivotArea>
    </chartFormat>
    <chartFormat chart="4" format="24">
      <pivotArea type="data" outline="0" fieldPosition="0">
        <references count="2">
          <reference field="4294967294" count="1" selected="0">
            <x v="0"/>
          </reference>
          <reference field="15" count="1" selected="0">
            <x v="85"/>
          </reference>
        </references>
      </pivotArea>
    </chartFormat>
    <chartFormat chart="2" format="3">
      <pivotArea type="data" outline="0" fieldPosition="0">
        <references count="2">
          <reference field="4294967294" count="1" selected="0">
            <x v="0"/>
          </reference>
          <reference field="15" count="1" selected="0">
            <x v="0"/>
          </reference>
        </references>
      </pivotArea>
    </chartFormat>
    <chartFormat chart="2" format="4">
      <pivotArea type="data" outline="0" fieldPosition="0">
        <references count="2">
          <reference field="4294967294" count="1" selected="0">
            <x v="0"/>
          </reference>
          <reference field="15" count="1" selected="0">
            <x v="21"/>
          </reference>
        </references>
      </pivotArea>
    </chartFormat>
    <chartFormat chart="2" format="5">
      <pivotArea type="data" outline="0" fieldPosition="0">
        <references count="2">
          <reference field="4294967294" count="1" selected="0">
            <x v="0"/>
          </reference>
          <reference field="15" count="1" selected="0">
            <x v="25"/>
          </reference>
        </references>
      </pivotArea>
    </chartFormat>
    <chartFormat chart="2" format="6">
      <pivotArea type="data" outline="0" fieldPosition="0">
        <references count="2">
          <reference field="4294967294" count="1" selected="0">
            <x v="0"/>
          </reference>
          <reference field="15" count="1" selected="0">
            <x v="37"/>
          </reference>
        </references>
      </pivotArea>
    </chartFormat>
    <chartFormat chart="2" format="7">
      <pivotArea type="data" outline="0" fieldPosition="0">
        <references count="2">
          <reference field="4294967294" count="1" selected="0">
            <x v="0"/>
          </reference>
          <reference field="15" count="1" selected="0">
            <x v="43"/>
          </reference>
        </references>
      </pivotArea>
    </chartFormat>
    <chartFormat chart="2" format="8">
      <pivotArea type="data" outline="0" fieldPosition="0">
        <references count="2">
          <reference field="4294967294" count="1" selected="0">
            <x v="0"/>
          </reference>
          <reference field="15" count="1" selected="0">
            <x v="60"/>
          </reference>
        </references>
      </pivotArea>
    </chartFormat>
    <chartFormat chart="2" format="9">
      <pivotArea type="data" outline="0" fieldPosition="0">
        <references count="2">
          <reference field="4294967294" count="1" selected="0">
            <x v="0"/>
          </reference>
          <reference field="15" count="1" selected="0">
            <x v="64"/>
          </reference>
        </references>
      </pivotArea>
    </chartFormat>
    <chartFormat chart="2" format="10">
      <pivotArea type="data" outline="0" fieldPosition="0">
        <references count="2">
          <reference field="4294967294" count="1" selected="0">
            <x v="0"/>
          </reference>
          <reference field="15" count="1" selected="0">
            <x v="67"/>
          </reference>
        </references>
      </pivotArea>
    </chartFormat>
    <chartFormat chart="2" format="11">
      <pivotArea type="data" outline="0" fieldPosition="0">
        <references count="2">
          <reference field="4294967294" count="1" selected="0">
            <x v="0"/>
          </reference>
          <reference field="15" count="1" selected="0">
            <x v="80"/>
          </reference>
        </references>
      </pivotArea>
    </chartFormat>
    <chartFormat chart="2" format="12">
      <pivotArea type="data" outline="0" fieldPosition="0">
        <references count="2">
          <reference field="4294967294" count="1" selected="0">
            <x v="0"/>
          </reference>
          <reference field="15" count="1" selected="0">
            <x v="85"/>
          </reference>
        </references>
      </pivotArea>
    </chartFormat>
  </chartFormats>
  <pivotTableStyleInfo name="PivotStyleLight16" showRowHeaders="1" showColHeaders="1" showRowStripes="0" showColStripes="0" showLastColumn="1"/>
  <filters count="1">
    <filter fld="15"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F91B52-C756-4D70-979A-0B97374D3372}" name="Pay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ayment Type">
  <location ref="A35:B39" firstHeaderRow="1" firstDataRow="1" firstDataCol="1"/>
  <pivotFields count="19">
    <pivotField dataField="1" showAll="0"/>
    <pivotField numFmtId="14" showAll="0"/>
    <pivotField showAll="0"/>
    <pivotField showAll="0"/>
    <pivotField showAll="0"/>
    <pivotField showAll="0"/>
    <pivotField showAll="0"/>
    <pivotField numFmtId="1" showAll="0"/>
    <pivotField showAll="0"/>
    <pivotField showAll="0"/>
    <pivotField axis="axisRow" showAll="0">
      <items count="4">
        <item x="2"/>
        <item x="0"/>
        <item x="1"/>
        <item t="default"/>
      </items>
    </pivotField>
    <pivotField showAll="0"/>
    <pivotField showAll="0"/>
    <pivotField showAll="0"/>
    <pivotField showAll="0">
      <items count="6">
        <item x="3"/>
        <item x="4"/>
        <item x="1"/>
        <item x="2"/>
        <item x="0"/>
        <item t="default"/>
      </items>
    </pivotField>
    <pivotField showAll="0"/>
    <pivotField showAll="0">
      <items count="5">
        <item x="2"/>
        <item x="0"/>
        <item x="1"/>
        <item x="3"/>
        <item t="default"/>
      </items>
    </pivotField>
    <pivotField showAll="0">
      <items count="6">
        <item x="3"/>
        <item x="0"/>
        <item x="2"/>
        <item x="1"/>
        <item x="4"/>
        <item t="default"/>
      </items>
    </pivotField>
    <pivotField showAll="0"/>
  </pivotFields>
  <rowFields count="1">
    <field x="10"/>
  </rowFields>
  <rowItems count="4">
    <i>
      <x/>
    </i>
    <i>
      <x v="1"/>
    </i>
    <i>
      <x v="2"/>
    </i>
    <i t="grand">
      <x/>
    </i>
  </rowItems>
  <colItems count="1">
    <i/>
  </colItems>
  <dataFields count="1">
    <dataField name="Count of Sales_ID" fld="0" subtotal="count" baseField="0" baseItem="0"/>
  </dataFields>
  <formats count="7">
    <format dxfId="39">
      <pivotArea field="14" type="button" dataOnly="0" labelOnly="1" outline="0"/>
    </format>
    <format dxfId="38">
      <pivotArea dataOnly="0" labelOnly="1" outline="0" axis="axisValues" fieldPosition="0"/>
    </format>
    <format dxfId="37">
      <pivotArea dataOnly="0" grandRow="1" fieldPosition="0"/>
    </format>
    <format dxfId="36">
      <pivotArea field="16" type="button" dataOnly="0" labelOnly="1" outline="0"/>
    </format>
    <format dxfId="35">
      <pivotArea field="10" type="button" dataOnly="0" labelOnly="1" outline="0" axis="axisRow" fieldPosition="0"/>
    </format>
    <format dxfId="34">
      <pivotArea collapsedLevelsAreSubtotals="1" fieldPosition="0">
        <references count="1">
          <reference field="10" count="0"/>
        </references>
      </pivotArea>
    </format>
    <format dxfId="33">
      <pivotArea dataOnly="0" labelOnly="1" fieldPosition="0">
        <references count="1">
          <reference field="10" count="0"/>
        </references>
      </pivotArea>
    </format>
  </formats>
  <chartFormats count="8">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 chart="2" format="7">
      <pivotArea type="data" outline="0" fieldPosition="0">
        <references count="2">
          <reference field="4294967294" count="1" selected="0">
            <x v="0"/>
          </reference>
          <reference field="10" count="1" selected="0">
            <x v="1"/>
          </reference>
        </references>
      </pivotArea>
    </chartFormat>
    <chartFormat chart="2" format="8">
      <pivotArea type="data" outline="0" fieldPosition="0">
        <references count="2">
          <reference field="4294967294" count="1" selected="0">
            <x v="0"/>
          </reference>
          <reference field="10" count="1" selected="0">
            <x v="2"/>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0" count="1" selected="0">
            <x v="0"/>
          </reference>
        </references>
      </pivotArea>
    </chartFormat>
    <chartFormat chart="4" format="15">
      <pivotArea type="data" outline="0" fieldPosition="0">
        <references count="2">
          <reference field="4294967294" count="1" selected="0">
            <x v="0"/>
          </reference>
          <reference field="10" count="1" selected="0">
            <x v="1"/>
          </reference>
        </references>
      </pivotArea>
    </chartFormat>
    <chartFormat chart="4" format="16">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7A2670-4557-494D-8AAF-2C8D0D74494A}" name="Loyalty level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Loyalty Level">
  <location ref="A24:B30" firstHeaderRow="1" firstDataRow="1" firstDataCol="1"/>
  <pivotFields count="19">
    <pivotField showAll="0"/>
    <pivotField numFmtId="14" showAll="0"/>
    <pivotField showAll="0"/>
    <pivotField showAll="0"/>
    <pivotField showAll="0"/>
    <pivotField showAll="0"/>
    <pivotField showAll="0"/>
    <pivotField numFmtId="1" showAll="0"/>
    <pivotField showAll="0"/>
    <pivotField showAll="0"/>
    <pivotField showAll="0"/>
    <pivotField dataField="1" showAll="0"/>
    <pivotField showAll="0"/>
    <pivotField showAll="0"/>
    <pivotField showAll="0">
      <items count="6">
        <item x="3"/>
        <item x="4"/>
        <item x="1"/>
        <item x="2"/>
        <item x="0"/>
        <item t="default"/>
      </items>
    </pivotField>
    <pivotField showAll="0"/>
    <pivotField showAll="0">
      <items count="5">
        <item x="2"/>
        <item x="0"/>
        <item x="1"/>
        <item x="3"/>
        <item t="default"/>
      </items>
    </pivotField>
    <pivotField axis="axisRow" showAll="0">
      <items count="6">
        <item x="3"/>
        <item x="0"/>
        <item x="2"/>
        <item x="1"/>
        <item x="4"/>
        <item t="default"/>
      </items>
    </pivotField>
    <pivotField showAll="0"/>
  </pivotFields>
  <rowFields count="1">
    <field x="17"/>
  </rowFields>
  <rowItems count="6">
    <i>
      <x/>
    </i>
    <i>
      <x v="1"/>
    </i>
    <i>
      <x v="2"/>
    </i>
    <i>
      <x v="3"/>
    </i>
    <i>
      <x v="4"/>
    </i>
    <i t="grand">
      <x/>
    </i>
  </rowItems>
  <colItems count="1">
    <i/>
  </colItems>
  <dataFields count="1">
    <dataField name="Sum of Total_Amount" fld="11" baseField="0" baseItem="0"/>
  </dataFields>
  <formats count="7">
    <format dxfId="46">
      <pivotArea field="14" type="button" dataOnly="0" labelOnly="1" outline="0"/>
    </format>
    <format dxfId="45">
      <pivotArea dataOnly="0" labelOnly="1" outline="0" axis="axisValues" fieldPosition="0"/>
    </format>
    <format dxfId="44">
      <pivotArea dataOnly="0" grandRow="1" fieldPosition="0"/>
    </format>
    <format dxfId="43">
      <pivotArea field="16" type="button" dataOnly="0" labelOnly="1" outline="0"/>
    </format>
    <format dxfId="42">
      <pivotArea collapsedLevelsAreSubtotals="1" fieldPosition="0">
        <references count="1">
          <reference field="17" count="0"/>
        </references>
      </pivotArea>
    </format>
    <format dxfId="41">
      <pivotArea dataOnly="0" labelOnly="1" fieldPosition="0">
        <references count="1">
          <reference field="17" count="0"/>
        </references>
      </pivotArea>
    </format>
    <format dxfId="40">
      <pivotArea field="17" type="button" dataOnly="0" labelOnly="1" outline="0" axis="axisRow" fieldPosition="0"/>
    </format>
  </formats>
  <chartFormats count="1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7" count="1" selected="0">
            <x v="0"/>
          </reference>
        </references>
      </pivotArea>
    </chartFormat>
    <chartFormat chart="2" format="4">
      <pivotArea type="data" outline="0" fieldPosition="0">
        <references count="2">
          <reference field="4294967294" count="1" selected="0">
            <x v="0"/>
          </reference>
          <reference field="17" count="1" selected="0">
            <x v="2"/>
          </reference>
        </references>
      </pivotArea>
    </chartFormat>
    <chartFormat chart="2" format="5">
      <pivotArea type="data" outline="0" fieldPosition="0">
        <references count="2">
          <reference field="4294967294" count="1" selected="0">
            <x v="0"/>
          </reference>
          <reference field="17"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7" count="1" selected="0">
            <x v="0"/>
          </reference>
        </references>
      </pivotArea>
    </chartFormat>
    <chartFormat chart="3" format="8">
      <pivotArea type="data" outline="0" fieldPosition="0">
        <references count="2">
          <reference field="4294967294" count="1" selected="0">
            <x v="0"/>
          </reference>
          <reference field="17" count="1" selected="0">
            <x v="1"/>
          </reference>
        </references>
      </pivotArea>
    </chartFormat>
    <chartFormat chart="3" format="9">
      <pivotArea type="data" outline="0" fieldPosition="0">
        <references count="2">
          <reference field="4294967294" count="1" selected="0">
            <x v="0"/>
          </reference>
          <reference field="17" count="1" selected="0">
            <x v="2"/>
          </reference>
        </references>
      </pivotArea>
    </chartFormat>
    <chartFormat chart="3" format="10">
      <pivotArea type="data" outline="0" fieldPosition="0">
        <references count="2">
          <reference field="4294967294" count="1" selected="0">
            <x v="0"/>
          </reference>
          <reference field="17" count="1" selected="0">
            <x v="3"/>
          </reference>
        </references>
      </pivotArea>
    </chartFormat>
    <chartFormat chart="3" format="11">
      <pivotArea type="data" outline="0" fieldPosition="0">
        <references count="2">
          <reference field="4294967294" count="1" selected="0">
            <x v="0"/>
          </reference>
          <reference field="17"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7" count="1" selected="0">
            <x v="0"/>
          </reference>
        </references>
      </pivotArea>
    </chartFormat>
    <chartFormat chart="4" format="14">
      <pivotArea type="data" outline="0" fieldPosition="0">
        <references count="2">
          <reference field="4294967294" count="1" selected="0">
            <x v="0"/>
          </reference>
          <reference field="17" count="1" selected="0">
            <x v="1"/>
          </reference>
        </references>
      </pivotArea>
    </chartFormat>
    <chartFormat chart="4" format="15">
      <pivotArea type="data" outline="0" fieldPosition="0">
        <references count="2">
          <reference field="4294967294" count="1" selected="0">
            <x v="0"/>
          </reference>
          <reference field="17" count="1" selected="0">
            <x v="2"/>
          </reference>
        </references>
      </pivotArea>
    </chartFormat>
    <chartFormat chart="4" format="16">
      <pivotArea type="data" outline="0" fieldPosition="0">
        <references count="2">
          <reference field="4294967294" count="1" selected="0">
            <x v="0"/>
          </reference>
          <reference field="17" count="1" selected="0">
            <x v="3"/>
          </reference>
        </references>
      </pivotArea>
    </chartFormat>
    <chartFormat chart="4" format="17">
      <pivotArea type="data" outline="0" fieldPosition="0">
        <references count="2">
          <reference field="4294967294" count="1" selected="0">
            <x v="0"/>
          </reference>
          <reference field="17" count="1" selected="0">
            <x v="4"/>
          </reference>
        </references>
      </pivotArea>
    </chartFormat>
    <chartFormat chart="2" format="6">
      <pivotArea type="data" outline="0" fieldPosition="0">
        <references count="2">
          <reference field="4294967294" count="1" selected="0">
            <x v="0"/>
          </reference>
          <reference field="17" count="1" selected="0">
            <x v="3"/>
          </reference>
        </references>
      </pivotArea>
    </chartFormat>
    <chartFormat chart="2" format="7">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Region" xr10:uid="{75EC4984-E11D-4DD0-BBFC-78D2AE056A96}" sourceName="Store Region">
  <pivotTables>
    <pivotTable tabId="8" name="Category wise Total revenue"/>
    <pivotTable tabId="8" name="Loyalty level Analysis"/>
    <pivotTable tabId="8" name="Month wise Trends"/>
    <pivotTable tabId="8" name="Payment"/>
    <pivotTable tabId="8" name="Region wise Salesperformance"/>
    <pivotTable tabId="8" name="Top products via quantity"/>
  </pivotTables>
  <data>
    <tabular pivotCacheId="52693401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 xr10:uid="{797A1764-F566-4C88-AA51-D1605E57EAE9}" sourceName="Loyalty Level">
  <pivotTables>
    <pivotTable tabId="8" name="Category wise Total revenue"/>
    <pivotTable tabId="8" name="Loyalty level Analysis"/>
    <pivotTable tabId="8" name="Month wise Trends"/>
    <pivotTable tabId="8" name="Payment"/>
    <pivotTable tabId="8" name="Region wise Salesperformance"/>
    <pivotTable tabId="8" name="Top products via quantity"/>
  </pivotTables>
  <data>
    <tabular pivotCacheId="526934010">
      <items count="5">
        <i x="3"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Region" xr10:uid="{746F699D-3C22-4B68-9708-D3816F49D1A3}" cache="Slicer_Store_Region" caption="Store Region" rowHeight="234950"/>
  <slicer name="Loyalty Level" xr10:uid="{75B958E1-9985-4999-B946-9B7A1C6D317B}" cache="Slicer_Loyalty_Level" caption="Loyalty Lev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624BF7-0EC9-416C-9C3D-362ABFD44F11}" name="Ecustom_DB" displayName="Ecustom_DB" ref="A1:J501" totalsRowShown="0" headerRowDxfId="66" headerRowBorderDxfId="65" tableBorderDxfId="64">
  <autoFilter ref="A1:J501" xr:uid="{2C624BF7-0EC9-416C-9C3D-362ABFD44F11}"/>
  <tableColumns count="10">
    <tableColumn id="1" xr3:uid="{6DCE9F14-E682-4348-8BCB-DE32D2EA8488}" name="Customer_ID"/>
    <tableColumn id="14" xr3:uid="{1FDA32DF-5EEC-4868-8168-E8856674FCFA}" name="Name"/>
    <tableColumn id="2" xr3:uid="{05ABFBFB-D749-4625-8803-521E2BEE2483}" name="Name2">
      <calculatedColumnFormula>TRIM(PROPER(Ecustom_DB[[#This Row],[Name]]))</calculatedColumnFormula>
    </tableColumn>
    <tableColumn id="3" xr3:uid="{103BC25E-E531-434F-A39A-BFB646EB481E}" name="Age"/>
    <tableColumn id="4" xr3:uid="{9635F082-4953-4DB6-B06D-DDDF1DF5729D}" name="Gender"/>
    <tableColumn id="15" xr3:uid="{5DD6A7ED-4A5F-46EF-822E-837999169E87}" name="City"/>
    <tableColumn id="5" xr3:uid="{CA53AF91-5525-4338-AA83-F7EABD8C35EC}" name="City2">
      <calculatedColumnFormula>TRIM(PROPER(Ecustom_DB[[#This Row],[City]]))</calculatedColumnFormula>
    </tableColumn>
    <tableColumn id="6" xr3:uid="{BA59216D-8D51-4683-BB42-2D725C361123}" name="State"/>
    <tableColumn id="7" xr3:uid="{9FB64174-EC82-4031-BA0C-B9AF1E212CB8}" name="Country"/>
    <tableColumn id="8" xr3:uid="{D2CF0FE3-61D5-4ABF-95F7-FBE8FBD8B969}" name="Loyalty_Leve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6F03C9-6289-4607-9A2F-B8FBCD24B9FA}" name="Eproduct_DB" displayName="Eproduct_DB" ref="A1:I101" totalsRowShown="0" headerRowDxfId="63" headerRowBorderDxfId="62" tableBorderDxfId="61">
  <autoFilter ref="A1:I101" xr:uid="{CF6F03C9-6289-4607-9A2F-B8FBCD24B9FA}"/>
  <tableColumns count="9">
    <tableColumn id="1" xr3:uid="{48B521C1-1A8B-4340-9D57-9E13A201B353}" name="Product_ID"/>
    <tableColumn id="2" xr3:uid="{5CB52E22-9967-4568-887A-6967BB0DC278}" name="Product_Name"/>
    <tableColumn id="3" xr3:uid="{914CAA9F-D967-4F3C-A96D-CBD3D4A2A238}" name="Category"/>
    <tableColumn id="4" xr3:uid="{CF6BAD6C-65F7-4A87-8C7A-4AD6839103C2}" name="Sub_Category"/>
    <tableColumn id="5" xr3:uid="{49971F74-8790-4871-AB19-280DB43AA147}" name="Brand"/>
    <tableColumn id="6" xr3:uid="{E2C7EE26-4EBB-43E7-A802-D9EC77326CE1}" name="Cost"/>
    <tableColumn id="8" xr3:uid="{6DCE2EFC-7D5A-4CA0-8B85-37F1F272B8FF}" name="Imputed Cost" dataDxfId="60">
      <calculatedColumnFormula>IF(ISBLANK(Eproduct_DB[[#This Row],[Cost]]),AVERAGEIF(Eproduct_DB[Sub_Category],Eproduct_DB[[#This Row],[Sub_Category]],Eproduct_DB[Cost]),Eproduct_DB[[#This Row],[Cost]])</calculatedColumnFormula>
    </tableColumn>
    <tableColumn id="7" xr3:uid="{D3B65483-FAF9-4204-BD03-E73735235A1D}" name="Stock"/>
    <tableColumn id="9" xr3:uid="{BB8F274B-A91B-40AD-8017-1205A5B7E581}" name="Imputed Stock">
      <calculatedColumnFormula>IF(ISBLANK(Eproduct_DB[[#This Row],[Stock]]),AVERAGEIFS(Eproduct_DB[Stock],Eproduct_DB[Category],Eproduct_DB[[#This Row],[Category]],Eproduct_DB[Sub_Category],Eproduct_DB[[#This Row],[Sub_Category]]),Eproduct_DB[[#This Row],[Stock]])</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2E89B0-5D0C-423C-8EFD-960EA7DDE808}" name="Estore_DB" displayName="Estore_DB" ref="A1:E21" totalsRowShown="0" headerRowDxfId="59" headerRowBorderDxfId="58" tableBorderDxfId="57">
  <autoFilter ref="A1:E21" xr:uid="{ED2E89B0-5D0C-423C-8EFD-960EA7DDE808}"/>
  <tableColumns count="5">
    <tableColumn id="1" xr3:uid="{C934B68C-F526-4B21-A15E-B589E043444A}" name="Store_ID"/>
    <tableColumn id="2" xr3:uid="{C2CE91A6-0048-4C31-A865-F8ECF28BB964}" name="Store_Name"/>
    <tableColumn id="3" xr3:uid="{1A3D6709-08AA-4848-848C-974EE7BC6705}" name="Region"/>
    <tableColumn id="4" xr3:uid="{EE572213-2175-4EA2-A783-125DBA2ED5A2}" name="City"/>
    <tableColumn id="5" xr3:uid="{96CA3543-B7ED-40C0-BB75-C85FE6959CD5}" name="Store_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BD89C3-7DB7-465F-96F2-DA7FE88CFA35}" name="ESales_DB" displayName="ESales_DB" ref="A1:S2001" totalsRowShown="0" headerRowDxfId="56" headerRowBorderDxfId="55" tableBorderDxfId="54">
  <autoFilter ref="A1:S2001" xr:uid="{51BD89C3-7DB7-465F-96F2-DA7FE88CFA35}"/>
  <sortState xmlns:xlrd2="http://schemas.microsoft.com/office/spreadsheetml/2017/richdata2" ref="A2:S2001">
    <sortCondition ref="A1:A2001"/>
  </sortState>
  <tableColumns count="19">
    <tableColumn id="1" xr3:uid="{B1768520-8B25-4929-B41E-4582F50D9848}" name="Sales_ID"/>
    <tableColumn id="2" xr3:uid="{2F5C5AC6-37F7-4E39-9507-8D79112F2A24}" name="Order_Date" dataDxfId="53"/>
    <tableColumn id="11" xr3:uid="{8B12B403-18D6-440B-909A-8664F2BCF69C}" name="Month" dataDxfId="52">
      <calculatedColumnFormula>TEXT(ESales_DB[[#This Row],[Order_Date]],"mmm")</calculatedColumnFormula>
    </tableColumn>
    <tableColumn id="3" xr3:uid="{A3084327-07D0-48FC-BA4A-6F5C5F5F2541}" name="Customer_ID"/>
    <tableColumn id="4" xr3:uid="{2CE2D196-D04C-4794-97C9-AAA28DAE37B7}" name="Product_ID"/>
    <tableColumn id="5" xr3:uid="{211FCB8A-AAAC-4544-8DBB-4CB90CD83ADF}" name="Store_ID"/>
    <tableColumn id="6" xr3:uid="{3F1CB486-D836-47C6-B387-49E222D58A2B}" name="Quantity"/>
    <tableColumn id="13" xr3:uid="{A6C27FAA-1114-44D6-A3D9-0EF642A83C31}" name="Quantity1" dataDxfId="51">
      <calculatedColumnFormula>IF(ISBLANK(ESales_DB[[#This Row],[Quantity]]),AVERAGEIF(ESales_DB[Product_ID],ESales_DB[[#This Row],[Product_ID]],ESales_DB[Quantity]),ESales_DB[[#This Row],[Quantity]])</calculatedColumnFormula>
    </tableColumn>
    <tableColumn id="7" xr3:uid="{A3DF7FD3-7A33-4DCB-860F-220E0E3C0718}" name="Unit_Price" dataDxfId="50"/>
    <tableColumn id="8" xr3:uid="{FF124C0B-05EA-470A-97E4-9EF1E50DA00D}" name="Discount"/>
    <tableColumn id="9" xr3:uid="{C76C01BF-A4D1-4D5E-B33C-F909A0404314}" name="Payment_Type"/>
    <tableColumn id="10" xr3:uid="{33949B85-7F56-488E-9D4B-FA41653901CF}" name="Total_Amount" dataDxfId="49"/>
    <tableColumn id="17" xr3:uid="{A8FBE25B-B988-469E-A5CA-860E37A5FCF2}" name="Sales Performance" dataDxfId="48">
      <calculatedColumnFormula>IF(ESales_DB[[#This Row],[Total_Amount]]&gt;1000,"High","Low")</calculatedColumnFormula>
    </tableColumn>
    <tableColumn id="14" xr3:uid="{F8646D61-E55D-4974-A1DA-645E3FC9D6F1}" name="Customer Name">
      <calculatedColumnFormula>VLOOKUP(ESales_DB[[#This Row],[Customer_ID]],Ecustom_DB[],3,FALSE)</calculatedColumnFormula>
    </tableColumn>
    <tableColumn id="15" xr3:uid="{EAC49E55-9E26-47AB-BE46-125B5F639ECB}" name="Product Category">
      <calculatedColumnFormula>_xlfn.XLOOKUP(ESales_DB[[#This Row],[Product_ID]],Eproduct_DB[Product_ID],Eproduct_DB[Category])</calculatedColumnFormula>
    </tableColumn>
    <tableColumn id="21" xr3:uid="{D325BCEA-0FF4-4B77-8B91-CC64EFB40392}" name="Product Name" dataDxfId="47">
      <calculatedColumnFormula>_xlfn.XLOOKUP(ESales_DB[[#This Row],[Product_ID]],Eproduct_DB[Product_ID],Eproduct_DB[Product_Name])</calculatedColumnFormula>
    </tableColumn>
    <tableColumn id="16" xr3:uid="{8019D818-839B-4DF5-BF8C-1C01E2F6F71F}" name="Store Region">
      <calculatedColumnFormula>_xlfn.XLOOKUP(ESales_DB[[#This Row],[Store_ID]],Estore_DB[Store_ID],Estore_DB[Region])</calculatedColumnFormula>
    </tableColumn>
    <tableColumn id="18" xr3:uid="{4FF0E537-43CA-4985-92AB-8F953F7CF948}" name="Loyalty Level">
      <calculatedColumnFormula>VLOOKUP(ESales_DB[[#This Row],[Customer_ID]],Ecustom_DB[],10,FALSE)</calculatedColumnFormula>
    </tableColumn>
    <tableColumn id="20" xr3:uid="{BEA2FCF9-8F4F-4DF8-9944-FD20FD623C8A}" name="Orders range">
      <calculatedColumnFormula>IF(ESales_DB[[#This Row],[Quantity1]]&gt;3,"Bulk order","Normal order")</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workbookViewId="0">
      <selection activeCell="A2" sqref="A2"/>
    </sheetView>
  </sheetViews>
  <sheetFormatPr defaultRowHeight="14.4" x14ac:dyDescent="0.3"/>
  <cols>
    <col min="1" max="1" width="16.33203125" bestFit="1" customWidth="1"/>
    <col min="2" max="2" width="16.33203125" customWidth="1"/>
    <col min="3" max="3" width="20.109375" bestFit="1" customWidth="1"/>
    <col min="4" max="4" width="14.5546875" customWidth="1"/>
    <col min="5" max="5" width="15.5546875" customWidth="1"/>
    <col min="6" max="6" width="20.6640625" bestFit="1" customWidth="1"/>
    <col min="7" max="7" width="24.33203125" customWidth="1"/>
    <col min="8" max="8" width="14" bestFit="1" customWidth="1"/>
    <col min="9" max="9" width="21.5546875" bestFit="1" customWidth="1"/>
    <col min="10" max="10" width="16.88671875" bestFit="1" customWidth="1"/>
  </cols>
  <sheetData>
    <row r="1" spans="1:10" x14ac:dyDescent="0.3">
      <c r="A1" s="1" t="s">
        <v>0</v>
      </c>
      <c r="B1" s="7" t="s">
        <v>1</v>
      </c>
      <c r="C1" s="12" t="s">
        <v>3963</v>
      </c>
      <c r="D1" s="1" t="s">
        <v>2</v>
      </c>
      <c r="E1" s="1" t="s">
        <v>3</v>
      </c>
      <c r="F1" s="7" t="s">
        <v>4</v>
      </c>
      <c r="G1" s="12" t="s">
        <v>3964</v>
      </c>
      <c r="H1" s="1" t="s">
        <v>5</v>
      </c>
      <c r="I1" s="1" t="s">
        <v>6</v>
      </c>
      <c r="J1" s="12" t="s">
        <v>7</v>
      </c>
    </row>
    <row r="2" spans="1:10" x14ac:dyDescent="0.3">
      <c r="A2" t="s">
        <v>8</v>
      </c>
      <c r="B2" t="s">
        <v>3835</v>
      </c>
      <c r="C2" t="str">
        <f>TRIM(PROPER(Ecustom_DB[[#This Row],[Name]]))</f>
        <v>Sheena Bonilla</v>
      </c>
      <c r="D2">
        <v>55</v>
      </c>
      <c r="E2" t="s">
        <v>9</v>
      </c>
      <c r="F2" t="s">
        <v>10</v>
      </c>
      <c r="G2" t="str">
        <f>TRIM(PROPER(Ecustom_DB[[#This Row],[City]]))</f>
        <v>Donaldton</v>
      </c>
      <c r="H2" t="s">
        <v>11</v>
      </c>
      <c r="I2" t="s">
        <v>12</v>
      </c>
      <c r="J2" s="11" t="s">
        <v>3962</v>
      </c>
    </row>
    <row r="3" spans="1:10" x14ac:dyDescent="0.3">
      <c r="A3" t="s">
        <v>14</v>
      </c>
      <c r="B3" t="s">
        <v>15</v>
      </c>
      <c r="C3" t="str">
        <f>TRIM(PROPER(Ecustom_DB[[#This Row],[Name]]))</f>
        <v>Eugene Nelson</v>
      </c>
      <c r="D3">
        <v>26</v>
      </c>
      <c r="E3" t="s">
        <v>16</v>
      </c>
      <c r="F3" t="s">
        <v>17</v>
      </c>
      <c r="G3" t="str">
        <f>TRIM(PROPER(Ecustom_DB[[#This Row],[City]]))</f>
        <v>Phillipsmouth</v>
      </c>
      <c r="H3" t="s">
        <v>18</v>
      </c>
      <c r="I3" t="s">
        <v>12</v>
      </c>
      <c r="J3" t="s">
        <v>19</v>
      </c>
    </row>
    <row r="4" spans="1:10" x14ac:dyDescent="0.3">
      <c r="A4" t="s">
        <v>20</v>
      </c>
      <c r="B4" t="s">
        <v>3834</v>
      </c>
      <c r="C4" t="str">
        <f>TRIM(PROPER(Ecustom_DB[[#This Row],[Name]]))</f>
        <v>Dr. Benjamin Price</v>
      </c>
      <c r="D4">
        <v>29</v>
      </c>
      <c r="E4" t="s">
        <v>16</v>
      </c>
      <c r="F4" t="s">
        <v>21</v>
      </c>
      <c r="G4" t="str">
        <f>TRIM(PROPER(Ecustom_DB[[#This Row],[City]]))</f>
        <v>Kylebury</v>
      </c>
      <c r="H4" t="s">
        <v>22</v>
      </c>
      <c r="I4" t="s">
        <v>12</v>
      </c>
      <c r="J4" t="s">
        <v>19</v>
      </c>
    </row>
    <row r="5" spans="1:10" x14ac:dyDescent="0.3">
      <c r="A5" t="s">
        <v>23</v>
      </c>
      <c r="B5" t="s">
        <v>3836</v>
      </c>
      <c r="C5" t="str">
        <f>TRIM(PROPER(Ecustom_DB[[#This Row],[Name]]))</f>
        <v>Jeremy Harris</v>
      </c>
      <c r="D5">
        <v>59</v>
      </c>
      <c r="E5" t="s">
        <v>16</v>
      </c>
      <c r="F5" t="s">
        <v>24</v>
      </c>
      <c r="G5" t="str">
        <f>TRIM(PROPER(Ecustom_DB[[#This Row],[City]]))</f>
        <v>Thomastown</v>
      </c>
      <c r="H5" t="s">
        <v>25</v>
      </c>
      <c r="I5" t="s">
        <v>12</v>
      </c>
      <c r="J5" t="s">
        <v>26</v>
      </c>
    </row>
    <row r="6" spans="1:10" x14ac:dyDescent="0.3">
      <c r="A6" t="s">
        <v>27</v>
      </c>
      <c r="B6" t="s">
        <v>28</v>
      </c>
      <c r="C6" t="str">
        <f>TRIM(PROPER(Ecustom_DB[[#This Row],[Name]]))</f>
        <v>Caroline Collins</v>
      </c>
      <c r="D6">
        <v>64</v>
      </c>
      <c r="E6" t="s">
        <v>16</v>
      </c>
      <c r="F6" t="s">
        <v>29</v>
      </c>
      <c r="G6" t="str">
        <f>TRIM(PROPER(Ecustom_DB[[#This Row],[City]]))</f>
        <v>Nicholasshire</v>
      </c>
      <c r="H6" t="s">
        <v>30</v>
      </c>
      <c r="I6" t="s">
        <v>12</v>
      </c>
      <c r="J6" t="s">
        <v>31</v>
      </c>
    </row>
    <row r="7" spans="1:10" x14ac:dyDescent="0.3">
      <c r="A7" t="s">
        <v>32</v>
      </c>
      <c r="B7" t="s">
        <v>33</v>
      </c>
      <c r="C7" t="str">
        <f>TRIM(PROPER(Ecustom_DB[[#This Row],[Name]]))</f>
        <v>Christine Vaughn</v>
      </c>
      <c r="D7">
        <v>24</v>
      </c>
      <c r="E7" t="s">
        <v>9</v>
      </c>
      <c r="F7" t="s">
        <v>34</v>
      </c>
      <c r="G7" t="str">
        <f>TRIM(PROPER(Ecustom_DB[[#This Row],[City]]))</f>
        <v>East Amandamouth</v>
      </c>
      <c r="H7" t="s">
        <v>35</v>
      </c>
      <c r="I7" t="s">
        <v>12</v>
      </c>
      <c r="J7" t="s">
        <v>26</v>
      </c>
    </row>
    <row r="8" spans="1:10" x14ac:dyDescent="0.3">
      <c r="A8" t="s">
        <v>36</v>
      </c>
      <c r="B8" t="s">
        <v>37</v>
      </c>
      <c r="C8" t="str">
        <f>TRIM(PROPER(Ecustom_DB[[#This Row],[Name]]))</f>
        <v>Amber Jackson</v>
      </c>
      <c r="D8">
        <v>29</v>
      </c>
      <c r="E8" t="s">
        <v>16</v>
      </c>
      <c r="F8" t="s">
        <v>38</v>
      </c>
      <c r="G8" t="str">
        <f>TRIM(PROPER(Ecustom_DB[[#This Row],[City]]))</f>
        <v>Deborahborough</v>
      </c>
      <c r="H8" t="s">
        <v>39</v>
      </c>
      <c r="I8" t="s">
        <v>12</v>
      </c>
      <c r="J8" t="s">
        <v>19</v>
      </c>
    </row>
    <row r="9" spans="1:10" x14ac:dyDescent="0.3">
      <c r="A9" t="s">
        <v>40</v>
      </c>
      <c r="B9" t="s">
        <v>41</v>
      </c>
      <c r="C9" t="str">
        <f>TRIM(PROPER(Ecustom_DB[[#This Row],[Name]]))</f>
        <v>Daniel Boyd</v>
      </c>
      <c r="D9">
        <v>29</v>
      </c>
      <c r="E9" t="s">
        <v>16</v>
      </c>
      <c r="F9" t="s">
        <v>42</v>
      </c>
      <c r="G9" t="str">
        <f>TRIM(PROPER(Ecustom_DB[[#This Row],[City]]))</f>
        <v>West Pamelafurt</v>
      </c>
      <c r="H9" t="s">
        <v>43</v>
      </c>
      <c r="I9" t="s">
        <v>12</v>
      </c>
      <c r="J9" t="s">
        <v>26</v>
      </c>
    </row>
    <row r="10" spans="1:10" x14ac:dyDescent="0.3">
      <c r="A10" t="s">
        <v>44</v>
      </c>
      <c r="B10" t="s">
        <v>45</v>
      </c>
      <c r="C10" t="str">
        <f>TRIM(PROPER(Ecustom_DB[[#This Row],[Name]]))</f>
        <v>Melissa Howard</v>
      </c>
      <c r="D10">
        <v>53</v>
      </c>
      <c r="E10" t="s">
        <v>16</v>
      </c>
      <c r="F10" t="s">
        <v>46</v>
      </c>
      <c r="G10" t="str">
        <f>TRIM(PROPER(Ecustom_DB[[#This Row],[City]]))</f>
        <v>Maynardton</v>
      </c>
      <c r="H10" t="s">
        <v>47</v>
      </c>
      <c r="I10" t="s">
        <v>12</v>
      </c>
      <c r="J10" t="s">
        <v>13</v>
      </c>
    </row>
    <row r="11" spans="1:10" x14ac:dyDescent="0.3">
      <c r="A11" t="s">
        <v>48</v>
      </c>
      <c r="B11" t="s">
        <v>49</v>
      </c>
      <c r="C11" t="str">
        <f>TRIM(PROPER(Ecustom_DB[[#This Row],[Name]]))</f>
        <v>Ms. Maria Leach</v>
      </c>
      <c r="D11">
        <v>64</v>
      </c>
      <c r="E11" t="s">
        <v>9</v>
      </c>
      <c r="F11" t="s">
        <v>50</v>
      </c>
      <c r="G11" t="str">
        <f>TRIM(PROPER(Ecustom_DB[[#This Row],[City]]))</f>
        <v>Melissashire</v>
      </c>
      <c r="H11" t="s">
        <v>51</v>
      </c>
      <c r="I11" t="s">
        <v>12</v>
      </c>
      <c r="J11" t="s">
        <v>19</v>
      </c>
    </row>
    <row r="12" spans="1:10" x14ac:dyDescent="0.3">
      <c r="A12" t="s">
        <v>52</v>
      </c>
      <c r="B12" t="s">
        <v>53</v>
      </c>
      <c r="C12" t="str">
        <f>TRIM(PROPER(Ecustom_DB[[#This Row],[Name]]))</f>
        <v>Dominic Page</v>
      </c>
      <c r="D12">
        <v>53</v>
      </c>
      <c r="E12" t="s">
        <v>9</v>
      </c>
      <c r="F12" t="s">
        <v>54</v>
      </c>
      <c r="G12" t="str">
        <f>TRIM(PROPER(Ecustom_DB[[#This Row],[City]]))</f>
        <v>Port Michaelburgh</v>
      </c>
      <c r="H12" t="s">
        <v>51</v>
      </c>
      <c r="I12" t="s">
        <v>12</v>
      </c>
      <c r="J12" t="s">
        <v>26</v>
      </c>
    </row>
    <row r="13" spans="1:10" x14ac:dyDescent="0.3">
      <c r="A13" t="s">
        <v>55</v>
      </c>
      <c r="B13" t="s">
        <v>56</v>
      </c>
      <c r="C13" t="str">
        <f>TRIM(PROPER(Ecustom_DB[[#This Row],[Name]]))</f>
        <v>Brian Lopez</v>
      </c>
      <c r="D13">
        <v>28</v>
      </c>
      <c r="E13" t="s">
        <v>16</v>
      </c>
      <c r="F13" t="s">
        <v>57</v>
      </c>
      <c r="G13" t="str">
        <f>TRIM(PROPER(Ecustom_DB[[#This Row],[City]]))</f>
        <v>East Krista</v>
      </c>
      <c r="H13" t="s">
        <v>58</v>
      </c>
      <c r="I13" t="s">
        <v>12</v>
      </c>
      <c r="J13" t="s">
        <v>13</v>
      </c>
    </row>
    <row r="14" spans="1:10" x14ac:dyDescent="0.3">
      <c r="A14" t="s">
        <v>59</v>
      </c>
      <c r="B14" t="s">
        <v>60</v>
      </c>
      <c r="C14" t="str">
        <f>TRIM(PROPER(Ecustom_DB[[#This Row],[Name]]))</f>
        <v>Kenneth Lambert</v>
      </c>
      <c r="D14">
        <v>55</v>
      </c>
      <c r="E14" t="s">
        <v>16</v>
      </c>
      <c r="F14" t="s">
        <v>61</v>
      </c>
      <c r="G14" t="str">
        <f>TRIM(PROPER(Ecustom_DB[[#This Row],[City]]))</f>
        <v>North Kathryn</v>
      </c>
      <c r="H14" t="s">
        <v>62</v>
      </c>
      <c r="I14" t="s">
        <v>12</v>
      </c>
      <c r="J14" t="s">
        <v>19</v>
      </c>
    </row>
    <row r="15" spans="1:10" x14ac:dyDescent="0.3">
      <c r="A15" t="s">
        <v>63</v>
      </c>
      <c r="B15" t="s">
        <v>64</v>
      </c>
      <c r="C15" t="str">
        <f>TRIM(PROPER(Ecustom_DB[[#This Row],[Name]]))</f>
        <v>Nathan Hernandez</v>
      </c>
      <c r="D15">
        <v>32</v>
      </c>
      <c r="E15" t="s">
        <v>16</v>
      </c>
      <c r="F15" t="s">
        <v>65</v>
      </c>
      <c r="G15" t="str">
        <f>TRIM(PROPER(Ecustom_DB[[#This Row],[City]]))</f>
        <v>New Becky</v>
      </c>
      <c r="H15" t="s">
        <v>66</v>
      </c>
      <c r="I15" t="s">
        <v>12</v>
      </c>
      <c r="J15" t="s">
        <v>31</v>
      </c>
    </row>
    <row r="16" spans="1:10" x14ac:dyDescent="0.3">
      <c r="A16" t="s">
        <v>67</v>
      </c>
      <c r="B16" t="s">
        <v>68</v>
      </c>
      <c r="C16" t="str">
        <f>TRIM(PROPER(Ecustom_DB[[#This Row],[Name]]))</f>
        <v>Ashley Cohen</v>
      </c>
      <c r="D16">
        <v>53</v>
      </c>
      <c r="E16" t="s">
        <v>16</v>
      </c>
      <c r="F16" t="s">
        <v>69</v>
      </c>
      <c r="G16" t="str">
        <f>TRIM(PROPER(Ecustom_DB[[#This Row],[City]]))</f>
        <v>Lake Kristamouth</v>
      </c>
      <c r="H16" t="s">
        <v>70</v>
      </c>
      <c r="I16" t="s">
        <v>12</v>
      </c>
      <c r="J16" t="s">
        <v>31</v>
      </c>
    </row>
    <row r="17" spans="1:10" x14ac:dyDescent="0.3">
      <c r="A17" t="s">
        <v>71</v>
      </c>
      <c r="B17" t="s">
        <v>72</v>
      </c>
      <c r="C17" t="str">
        <f>TRIM(PROPER(Ecustom_DB[[#This Row],[Name]]))</f>
        <v>Laura Alvarez</v>
      </c>
      <c r="D17">
        <v>49</v>
      </c>
      <c r="E17" t="s">
        <v>16</v>
      </c>
      <c r="F17" t="s">
        <v>73</v>
      </c>
      <c r="G17" t="str">
        <f>TRIM(PROPER(Ecustom_DB[[#This Row],[City]]))</f>
        <v>Lawsonhaven</v>
      </c>
      <c r="H17" t="s">
        <v>74</v>
      </c>
      <c r="I17" t="s">
        <v>12</v>
      </c>
      <c r="J17" t="s">
        <v>19</v>
      </c>
    </row>
    <row r="18" spans="1:10" x14ac:dyDescent="0.3">
      <c r="A18" t="s">
        <v>75</v>
      </c>
      <c r="B18" t="s">
        <v>76</v>
      </c>
      <c r="C18" t="str">
        <f>TRIM(PROPER(Ecustom_DB[[#This Row],[Name]]))</f>
        <v>John Scott</v>
      </c>
      <c r="D18">
        <v>24</v>
      </c>
      <c r="E18" t="s">
        <v>16</v>
      </c>
      <c r="F18" t="s">
        <v>77</v>
      </c>
      <c r="G18" t="str">
        <f>TRIM(PROPER(Ecustom_DB[[#This Row],[City]]))</f>
        <v>South Christopher</v>
      </c>
      <c r="H18" t="s">
        <v>51</v>
      </c>
      <c r="I18" t="s">
        <v>12</v>
      </c>
      <c r="J18" t="s">
        <v>26</v>
      </c>
    </row>
    <row r="19" spans="1:10" x14ac:dyDescent="0.3">
      <c r="A19" t="s">
        <v>78</v>
      </c>
      <c r="B19" t="s">
        <v>79</v>
      </c>
      <c r="C19" t="str">
        <f>TRIM(PROPER(Ecustom_DB[[#This Row],[Name]]))</f>
        <v>Adam Cruz</v>
      </c>
      <c r="D19">
        <v>60</v>
      </c>
      <c r="E19" t="s">
        <v>16</v>
      </c>
      <c r="F19" t="s">
        <v>80</v>
      </c>
      <c r="G19" t="str">
        <f>TRIM(PROPER(Ecustom_DB[[#This Row],[City]]))</f>
        <v>Brandonville</v>
      </c>
      <c r="H19" t="s">
        <v>81</v>
      </c>
      <c r="I19" t="s">
        <v>12</v>
      </c>
      <c r="J19" t="s">
        <v>19</v>
      </c>
    </row>
    <row r="20" spans="1:10" x14ac:dyDescent="0.3">
      <c r="A20" t="s">
        <v>82</v>
      </c>
      <c r="B20" t="s">
        <v>83</v>
      </c>
      <c r="C20" t="str">
        <f>TRIM(PROPER(Ecustom_DB[[#This Row],[Name]]))</f>
        <v>Rhonda Moss</v>
      </c>
      <c r="D20">
        <v>43</v>
      </c>
      <c r="E20" t="s">
        <v>9</v>
      </c>
      <c r="F20" t="s">
        <v>84</v>
      </c>
      <c r="G20" t="str">
        <f>TRIM(PROPER(Ecustom_DB[[#This Row],[City]]))</f>
        <v>South William</v>
      </c>
      <c r="H20" t="s">
        <v>62</v>
      </c>
      <c r="I20" t="s">
        <v>12</v>
      </c>
      <c r="J20" s="11" t="s">
        <v>3962</v>
      </c>
    </row>
    <row r="21" spans="1:10" x14ac:dyDescent="0.3">
      <c r="A21" t="s">
        <v>85</v>
      </c>
      <c r="B21" t="s">
        <v>86</v>
      </c>
      <c r="C21" t="str">
        <f>TRIM(PROPER(Ecustom_DB[[#This Row],[Name]]))</f>
        <v>Michael Torres</v>
      </c>
      <c r="D21">
        <v>46</v>
      </c>
      <c r="E21" t="s">
        <v>16</v>
      </c>
      <c r="F21" t="s">
        <v>87</v>
      </c>
      <c r="G21" t="str">
        <f>TRIM(PROPER(Ecustom_DB[[#This Row],[City]]))</f>
        <v>Gonzalezfort</v>
      </c>
      <c r="H21" t="s">
        <v>88</v>
      </c>
      <c r="I21" t="s">
        <v>12</v>
      </c>
      <c r="J21" t="s">
        <v>19</v>
      </c>
    </row>
    <row r="22" spans="1:10" x14ac:dyDescent="0.3">
      <c r="A22" t="s">
        <v>89</v>
      </c>
      <c r="B22" t="s">
        <v>90</v>
      </c>
      <c r="C22" t="str">
        <f>TRIM(PROPER(Ecustom_DB[[#This Row],[Name]]))</f>
        <v>Bridget Allen</v>
      </c>
      <c r="D22">
        <v>59</v>
      </c>
      <c r="E22" t="s">
        <v>9</v>
      </c>
      <c r="F22" t="s">
        <v>91</v>
      </c>
      <c r="G22" t="str">
        <f>TRIM(PROPER(Ecustom_DB[[#This Row],[City]]))</f>
        <v>Lake Shaneburgh</v>
      </c>
      <c r="H22" t="s">
        <v>92</v>
      </c>
      <c r="I22" t="s">
        <v>12</v>
      </c>
      <c r="J22" t="s">
        <v>31</v>
      </c>
    </row>
    <row r="23" spans="1:10" x14ac:dyDescent="0.3">
      <c r="A23" t="s">
        <v>93</v>
      </c>
      <c r="B23" t="s">
        <v>94</v>
      </c>
      <c r="C23" t="str">
        <f>TRIM(PROPER(Ecustom_DB[[#This Row],[Name]]))</f>
        <v>Jeff Martinez</v>
      </c>
      <c r="D23">
        <v>36</v>
      </c>
      <c r="E23" t="s">
        <v>16</v>
      </c>
      <c r="F23" t="s">
        <v>95</v>
      </c>
      <c r="G23" t="str">
        <f>TRIM(PROPER(Ecustom_DB[[#This Row],[City]]))</f>
        <v>Smithburgh</v>
      </c>
      <c r="H23" t="s">
        <v>96</v>
      </c>
      <c r="I23" t="s">
        <v>12</v>
      </c>
      <c r="J23" t="s">
        <v>13</v>
      </c>
    </row>
    <row r="24" spans="1:10" x14ac:dyDescent="0.3">
      <c r="A24" t="s">
        <v>97</v>
      </c>
      <c r="B24" t="s">
        <v>3837</v>
      </c>
      <c r="C24" t="str">
        <f>TRIM(PROPER(Ecustom_DB[[#This Row],[Name]]))</f>
        <v>Paul Fox</v>
      </c>
      <c r="D24">
        <v>33</v>
      </c>
      <c r="E24" t="s">
        <v>16</v>
      </c>
      <c r="F24" t="s">
        <v>98</v>
      </c>
      <c r="G24" t="str">
        <f>TRIM(PROPER(Ecustom_DB[[#This Row],[City]]))</f>
        <v>Michaelton</v>
      </c>
      <c r="H24" t="s">
        <v>99</v>
      </c>
      <c r="I24" t="s">
        <v>12</v>
      </c>
      <c r="J24" t="s">
        <v>31</v>
      </c>
    </row>
    <row r="25" spans="1:10" x14ac:dyDescent="0.3">
      <c r="A25" t="s">
        <v>100</v>
      </c>
      <c r="B25" t="s">
        <v>101</v>
      </c>
      <c r="C25" t="str">
        <f>TRIM(PROPER(Ecustom_DB[[#This Row],[Name]]))</f>
        <v>Jonathan Steele</v>
      </c>
      <c r="D25">
        <v>52</v>
      </c>
      <c r="E25" t="s">
        <v>16</v>
      </c>
      <c r="F25" t="s">
        <v>102</v>
      </c>
      <c r="G25" t="str">
        <f>TRIM(PROPER(Ecustom_DB[[#This Row],[City]]))</f>
        <v>Molinabury</v>
      </c>
      <c r="H25" t="s">
        <v>35</v>
      </c>
      <c r="I25" t="s">
        <v>12</v>
      </c>
      <c r="J25" t="s">
        <v>31</v>
      </c>
    </row>
    <row r="26" spans="1:10" x14ac:dyDescent="0.3">
      <c r="A26" t="s">
        <v>103</v>
      </c>
      <c r="B26" t="s">
        <v>104</v>
      </c>
      <c r="C26" t="str">
        <f>TRIM(PROPER(Ecustom_DB[[#This Row],[Name]]))</f>
        <v>Heather Collins</v>
      </c>
      <c r="D26">
        <v>40</v>
      </c>
      <c r="E26" t="s">
        <v>9</v>
      </c>
      <c r="F26" t="s">
        <v>105</v>
      </c>
      <c r="G26" t="str">
        <f>TRIM(PROPER(Ecustom_DB[[#This Row],[City]]))</f>
        <v>Rogerschester</v>
      </c>
      <c r="H26" t="s">
        <v>106</v>
      </c>
      <c r="I26" t="s">
        <v>12</v>
      </c>
      <c r="J26" t="s">
        <v>19</v>
      </c>
    </row>
    <row r="27" spans="1:10" x14ac:dyDescent="0.3">
      <c r="A27" t="s">
        <v>107</v>
      </c>
      <c r="B27" t="s">
        <v>108</v>
      </c>
      <c r="C27" t="str">
        <f>TRIM(PROPER(Ecustom_DB[[#This Row],[Name]]))</f>
        <v>Diana Taylor</v>
      </c>
      <c r="D27">
        <v>59</v>
      </c>
      <c r="E27" t="s">
        <v>16</v>
      </c>
      <c r="F27" t="s">
        <v>109</v>
      </c>
      <c r="G27" t="str">
        <f>TRIM(PROPER(Ecustom_DB[[#This Row],[City]]))</f>
        <v>Vasqueztown</v>
      </c>
      <c r="H27" t="s">
        <v>30</v>
      </c>
      <c r="I27" t="s">
        <v>12</v>
      </c>
      <c r="J27" t="s">
        <v>26</v>
      </c>
    </row>
    <row r="28" spans="1:10" x14ac:dyDescent="0.3">
      <c r="A28" t="s">
        <v>110</v>
      </c>
      <c r="B28" t="s">
        <v>111</v>
      </c>
      <c r="C28" t="str">
        <f>TRIM(PROPER(Ecustom_DB[[#This Row],[Name]]))</f>
        <v>Amber Carlson</v>
      </c>
      <c r="D28">
        <v>18</v>
      </c>
      <c r="E28" t="s">
        <v>16</v>
      </c>
      <c r="F28" t="s">
        <v>112</v>
      </c>
      <c r="G28" t="str">
        <f>TRIM(PROPER(Ecustom_DB[[#This Row],[City]]))</f>
        <v>East Michellemouth</v>
      </c>
      <c r="H28" t="s">
        <v>113</v>
      </c>
      <c r="I28" t="s">
        <v>12</v>
      </c>
      <c r="J28" t="s">
        <v>13</v>
      </c>
    </row>
    <row r="29" spans="1:10" x14ac:dyDescent="0.3">
      <c r="A29" t="s">
        <v>114</v>
      </c>
      <c r="B29" t="s">
        <v>115</v>
      </c>
      <c r="C29" t="str">
        <f>TRIM(PROPER(Ecustom_DB[[#This Row],[Name]]))</f>
        <v>Leslie Johnson</v>
      </c>
      <c r="D29">
        <v>31</v>
      </c>
      <c r="E29" t="s">
        <v>9</v>
      </c>
      <c r="F29" t="s">
        <v>116</v>
      </c>
      <c r="G29" t="str">
        <f>TRIM(PROPER(Ecustom_DB[[#This Row],[City]]))</f>
        <v>Mollyshire</v>
      </c>
      <c r="H29" t="s">
        <v>117</v>
      </c>
      <c r="I29" t="s">
        <v>12</v>
      </c>
      <c r="J29" s="11" t="s">
        <v>3962</v>
      </c>
    </row>
    <row r="30" spans="1:10" x14ac:dyDescent="0.3">
      <c r="A30" t="s">
        <v>118</v>
      </c>
      <c r="B30" t="s">
        <v>119</v>
      </c>
      <c r="C30" t="str">
        <f>TRIM(PROPER(Ecustom_DB[[#This Row],[Name]]))</f>
        <v>Joshua Ryan</v>
      </c>
      <c r="D30">
        <v>27</v>
      </c>
      <c r="E30" t="s">
        <v>16</v>
      </c>
      <c r="F30" t="s">
        <v>120</v>
      </c>
      <c r="G30" t="str">
        <f>TRIM(PROPER(Ecustom_DB[[#This Row],[City]]))</f>
        <v>New David</v>
      </c>
      <c r="H30" t="s">
        <v>88</v>
      </c>
      <c r="I30" t="s">
        <v>12</v>
      </c>
      <c r="J30" t="s">
        <v>19</v>
      </c>
    </row>
    <row r="31" spans="1:10" x14ac:dyDescent="0.3">
      <c r="A31" t="s">
        <v>121</v>
      </c>
      <c r="B31" t="s">
        <v>122</v>
      </c>
      <c r="C31" t="str">
        <f>TRIM(PROPER(Ecustom_DB[[#This Row],[Name]]))</f>
        <v>David Arnold</v>
      </c>
      <c r="D31">
        <v>54</v>
      </c>
      <c r="E31" t="s">
        <v>16</v>
      </c>
      <c r="F31" t="s">
        <v>123</v>
      </c>
      <c r="G31" t="str">
        <f>TRIM(PROPER(Ecustom_DB[[#This Row],[City]]))</f>
        <v>East Jennifer</v>
      </c>
      <c r="H31" t="s">
        <v>30</v>
      </c>
      <c r="I31" t="s">
        <v>12</v>
      </c>
      <c r="J31" t="s">
        <v>31</v>
      </c>
    </row>
    <row r="32" spans="1:10" x14ac:dyDescent="0.3">
      <c r="A32" t="s">
        <v>124</v>
      </c>
      <c r="B32" t="s">
        <v>125</v>
      </c>
      <c r="C32" t="str">
        <f>TRIM(PROPER(Ecustom_DB[[#This Row],[Name]]))</f>
        <v>Jessica Acevedo</v>
      </c>
      <c r="D32">
        <v>64</v>
      </c>
      <c r="E32" t="s">
        <v>16</v>
      </c>
      <c r="F32" t="s">
        <v>126</v>
      </c>
      <c r="G32" t="str">
        <f>TRIM(PROPER(Ecustom_DB[[#This Row],[City]]))</f>
        <v>Amybury</v>
      </c>
      <c r="H32" t="s">
        <v>51</v>
      </c>
      <c r="I32" t="s">
        <v>12</v>
      </c>
      <c r="J32" t="s">
        <v>26</v>
      </c>
    </row>
    <row r="33" spans="1:10" x14ac:dyDescent="0.3">
      <c r="A33" t="s">
        <v>127</v>
      </c>
      <c r="B33" t="s">
        <v>128</v>
      </c>
      <c r="C33" t="str">
        <f>TRIM(PROPER(Ecustom_DB[[#This Row],[Name]]))</f>
        <v>Sarah Vance</v>
      </c>
      <c r="D33">
        <v>41</v>
      </c>
      <c r="E33" t="s">
        <v>9</v>
      </c>
      <c r="F33" t="s">
        <v>129</v>
      </c>
      <c r="G33" t="str">
        <f>TRIM(PROPER(Ecustom_DB[[#This Row],[City]]))</f>
        <v>Johnsonville</v>
      </c>
      <c r="H33" t="s">
        <v>35</v>
      </c>
      <c r="I33" t="s">
        <v>12</v>
      </c>
      <c r="J33" t="s">
        <v>31</v>
      </c>
    </row>
    <row r="34" spans="1:10" x14ac:dyDescent="0.3">
      <c r="A34" t="s">
        <v>130</v>
      </c>
      <c r="B34" t="s">
        <v>131</v>
      </c>
      <c r="C34" t="str">
        <f>TRIM(PROPER(Ecustom_DB[[#This Row],[Name]]))</f>
        <v>Mike Jennings</v>
      </c>
      <c r="D34">
        <v>48</v>
      </c>
      <c r="E34" t="s">
        <v>16</v>
      </c>
      <c r="F34" t="s">
        <v>132</v>
      </c>
      <c r="G34" t="str">
        <f>TRIM(PROPER(Ecustom_DB[[#This Row],[City]]))</f>
        <v>Fostermouth</v>
      </c>
      <c r="H34" t="s">
        <v>133</v>
      </c>
      <c r="I34" t="s">
        <v>12</v>
      </c>
      <c r="J34" t="s">
        <v>13</v>
      </c>
    </row>
    <row r="35" spans="1:10" x14ac:dyDescent="0.3">
      <c r="A35" t="s">
        <v>134</v>
      </c>
      <c r="B35" t="s">
        <v>135</v>
      </c>
      <c r="C35" t="str">
        <f>TRIM(PROPER(Ecustom_DB[[#This Row],[Name]]))</f>
        <v>Robert Jones Dds</v>
      </c>
      <c r="D35">
        <v>25</v>
      </c>
      <c r="E35" t="s">
        <v>9</v>
      </c>
      <c r="F35" t="s">
        <v>136</v>
      </c>
      <c r="G35" t="str">
        <f>TRIM(PROPER(Ecustom_DB[[#This Row],[City]]))</f>
        <v>Tristanton</v>
      </c>
      <c r="H35" t="s">
        <v>96</v>
      </c>
      <c r="I35" t="s">
        <v>12</v>
      </c>
      <c r="J35" t="s">
        <v>19</v>
      </c>
    </row>
    <row r="36" spans="1:10" x14ac:dyDescent="0.3">
      <c r="A36" t="s">
        <v>137</v>
      </c>
      <c r="B36" t="s">
        <v>138</v>
      </c>
      <c r="C36" t="str">
        <f>TRIM(PROPER(Ecustom_DB[[#This Row],[Name]]))</f>
        <v>Christopher Olson</v>
      </c>
      <c r="D36">
        <v>27</v>
      </c>
      <c r="E36" t="s">
        <v>16</v>
      </c>
      <c r="F36" t="s">
        <v>139</v>
      </c>
      <c r="G36" t="str">
        <f>TRIM(PROPER(Ecustom_DB[[#This Row],[City]]))</f>
        <v>West Richard</v>
      </c>
      <c r="H36" t="s">
        <v>140</v>
      </c>
      <c r="I36" t="s">
        <v>12</v>
      </c>
      <c r="J36" t="s">
        <v>19</v>
      </c>
    </row>
    <row r="37" spans="1:10" x14ac:dyDescent="0.3">
      <c r="A37" t="s">
        <v>141</v>
      </c>
      <c r="B37" t="s">
        <v>142</v>
      </c>
      <c r="C37" t="str">
        <f>TRIM(PROPER(Ecustom_DB[[#This Row],[Name]]))</f>
        <v>Rachel Myers</v>
      </c>
      <c r="D37">
        <v>52</v>
      </c>
      <c r="E37" t="s">
        <v>9</v>
      </c>
      <c r="F37" t="s">
        <v>143</v>
      </c>
      <c r="G37" t="str">
        <f>TRIM(PROPER(Ecustom_DB[[#This Row],[City]]))</f>
        <v>Robertberg</v>
      </c>
      <c r="H37" t="s">
        <v>18</v>
      </c>
      <c r="I37" t="s">
        <v>12</v>
      </c>
      <c r="J37" t="s">
        <v>31</v>
      </c>
    </row>
    <row r="38" spans="1:10" x14ac:dyDescent="0.3">
      <c r="A38" t="s">
        <v>144</v>
      </c>
      <c r="B38" t="s">
        <v>145</v>
      </c>
      <c r="C38" t="str">
        <f>TRIM(PROPER(Ecustom_DB[[#This Row],[Name]]))</f>
        <v>Thomas Phillips</v>
      </c>
      <c r="D38">
        <v>20</v>
      </c>
      <c r="E38" t="s">
        <v>16</v>
      </c>
      <c r="F38" t="s">
        <v>146</v>
      </c>
      <c r="G38" t="str">
        <f>TRIM(PROPER(Ecustom_DB[[#This Row],[City]]))</f>
        <v>Luisfurt</v>
      </c>
      <c r="H38" t="s">
        <v>81</v>
      </c>
      <c r="I38" t="s">
        <v>12</v>
      </c>
      <c r="J38" t="s">
        <v>13</v>
      </c>
    </row>
    <row r="39" spans="1:10" x14ac:dyDescent="0.3">
      <c r="A39" t="s">
        <v>147</v>
      </c>
      <c r="B39" t="s">
        <v>148</v>
      </c>
      <c r="C39" t="str">
        <f>TRIM(PROPER(Ecustom_DB[[#This Row],[Name]]))</f>
        <v>Christopher Carter</v>
      </c>
      <c r="D39">
        <v>27</v>
      </c>
      <c r="E39" t="s">
        <v>16</v>
      </c>
      <c r="F39" t="s">
        <v>149</v>
      </c>
      <c r="G39" t="str">
        <f>TRIM(PROPER(Ecustom_DB[[#This Row],[City]]))</f>
        <v>Brendastad</v>
      </c>
      <c r="H39" t="s">
        <v>39</v>
      </c>
      <c r="I39" t="s">
        <v>12</v>
      </c>
      <c r="J39" s="11" t="s">
        <v>3962</v>
      </c>
    </row>
    <row r="40" spans="1:10" x14ac:dyDescent="0.3">
      <c r="A40" t="s">
        <v>150</v>
      </c>
      <c r="B40" t="s">
        <v>151</v>
      </c>
      <c r="C40" t="str">
        <f>TRIM(PROPER(Ecustom_DB[[#This Row],[Name]]))</f>
        <v>Deanna Simpson</v>
      </c>
      <c r="D40">
        <v>35</v>
      </c>
      <c r="E40" t="s">
        <v>16</v>
      </c>
      <c r="F40" t="s">
        <v>152</v>
      </c>
      <c r="G40" t="str">
        <f>TRIM(PROPER(Ecustom_DB[[#This Row],[City]]))</f>
        <v>Brownport</v>
      </c>
      <c r="H40" t="s">
        <v>18</v>
      </c>
      <c r="I40" t="s">
        <v>12</v>
      </c>
      <c r="J40" t="s">
        <v>26</v>
      </c>
    </row>
    <row r="41" spans="1:10" x14ac:dyDescent="0.3">
      <c r="A41" t="s">
        <v>153</v>
      </c>
      <c r="B41" t="s">
        <v>154</v>
      </c>
      <c r="C41" t="str">
        <f>TRIM(PROPER(Ecustom_DB[[#This Row],[Name]]))</f>
        <v>Tonya Reynolds</v>
      </c>
      <c r="D41">
        <v>55</v>
      </c>
      <c r="E41" t="s">
        <v>16</v>
      </c>
      <c r="F41" t="s">
        <v>155</v>
      </c>
      <c r="G41" t="str">
        <f>TRIM(PROPER(Ecustom_DB[[#This Row],[City]]))</f>
        <v>Darleneton</v>
      </c>
      <c r="H41" t="s">
        <v>156</v>
      </c>
      <c r="I41" t="s">
        <v>12</v>
      </c>
      <c r="J41" t="s">
        <v>13</v>
      </c>
    </row>
    <row r="42" spans="1:10" x14ac:dyDescent="0.3">
      <c r="A42" t="s">
        <v>157</v>
      </c>
      <c r="B42" t="s">
        <v>158</v>
      </c>
      <c r="C42" t="str">
        <f>TRIM(PROPER(Ecustom_DB[[#This Row],[Name]]))</f>
        <v>Eric Vega</v>
      </c>
      <c r="D42">
        <v>50</v>
      </c>
      <c r="E42" t="s">
        <v>9</v>
      </c>
      <c r="F42" t="s">
        <v>159</v>
      </c>
      <c r="G42" t="str">
        <f>TRIM(PROPER(Ecustom_DB[[#This Row],[City]]))</f>
        <v>Williamsonland</v>
      </c>
      <c r="H42" t="s">
        <v>62</v>
      </c>
      <c r="I42" t="s">
        <v>12</v>
      </c>
      <c r="J42" t="s">
        <v>13</v>
      </c>
    </row>
    <row r="43" spans="1:10" x14ac:dyDescent="0.3">
      <c r="A43" t="s">
        <v>160</v>
      </c>
      <c r="B43" t="s">
        <v>161</v>
      </c>
      <c r="C43" t="str">
        <f>TRIM(PROPER(Ecustom_DB[[#This Row],[Name]]))</f>
        <v>James Gibbs</v>
      </c>
      <c r="D43">
        <v>21</v>
      </c>
      <c r="E43" t="s">
        <v>9</v>
      </c>
      <c r="F43" t="s">
        <v>162</v>
      </c>
      <c r="G43" t="str">
        <f>TRIM(PROPER(Ecustom_DB[[#This Row],[City]]))</f>
        <v>Mooneyshire</v>
      </c>
      <c r="H43" t="s">
        <v>163</v>
      </c>
      <c r="I43" t="s">
        <v>12</v>
      </c>
      <c r="J43" t="s">
        <v>19</v>
      </c>
    </row>
    <row r="44" spans="1:10" x14ac:dyDescent="0.3">
      <c r="A44" t="s">
        <v>164</v>
      </c>
      <c r="B44" t="s">
        <v>165</v>
      </c>
      <c r="C44" t="str">
        <f>TRIM(PROPER(Ecustom_DB[[#This Row],[Name]]))</f>
        <v>William Martin</v>
      </c>
      <c r="D44">
        <v>19</v>
      </c>
      <c r="E44" t="s">
        <v>9</v>
      </c>
      <c r="F44" t="s">
        <v>166</v>
      </c>
      <c r="G44" t="str">
        <f>TRIM(PROPER(Ecustom_DB[[#This Row],[City]]))</f>
        <v>Ryanburgh</v>
      </c>
      <c r="H44" t="s">
        <v>167</v>
      </c>
      <c r="I44" t="s">
        <v>12</v>
      </c>
      <c r="J44" t="s">
        <v>19</v>
      </c>
    </row>
    <row r="45" spans="1:10" x14ac:dyDescent="0.3">
      <c r="A45" t="s">
        <v>168</v>
      </c>
      <c r="B45" t="s">
        <v>169</v>
      </c>
      <c r="C45" t="str">
        <f>TRIM(PROPER(Ecustom_DB[[#This Row],[Name]]))</f>
        <v>Joseph Snow</v>
      </c>
      <c r="D45">
        <v>45</v>
      </c>
      <c r="E45" t="s">
        <v>9</v>
      </c>
      <c r="F45" t="s">
        <v>170</v>
      </c>
      <c r="G45" t="str">
        <f>TRIM(PROPER(Ecustom_DB[[#This Row],[City]]))</f>
        <v>South Michaelfort</v>
      </c>
      <c r="H45" t="s">
        <v>171</v>
      </c>
      <c r="I45" t="s">
        <v>12</v>
      </c>
      <c r="J45" t="s">
        <v>13</v>
      </c>
    </row>
    <row r="46" spans="1:10" x14ac:dyDescent="0.3">
      <c r="A46" t="s">
        <v>172</v>
      </c>
      <c r="B46" t="s">
        <v>173</v>
      </c>
      <c r="C46" t="str">
        <f>TRIM(PROPER(Ecustom_DB[[#This Row],[Name]]))</f>
        <v>Denise Williams</v>
      </c>
      <c r="D46">
        <v>34</v>
      </c>
      <c r="E46" t="s">
        <v>9</v>
      </c>
      <c r="F46" t="s">
        <v>174</v>
      </c>
      <c r="G46" t="str">
        <f>TRIM(PROPER(Ecustom_DB[[#This Row],[City]]))</f>
        <v>Christianstad</v>
      </c>
      <c r="H46" t="s">
        <v>99</v>
      </c>
      <c r="I46" t="s">
        <v>12</v>
      </c>
      <c r="J46" t="s">
        <v>26</v>
      </c>
    </row>
    <row r="47" spans="1:10" x14ac:dyDescent="0.3">
      <c r="A47" t="s">
        <v>175</v>
      </c>
      <c r="B47" t="s">
        <v>176</v>
      </c>
      <c r="C47" t="str">
        <f>TRIM(PROPER(Ecustom_DB[[#This Row],[Name]]))</f>
        <v>Jordan Jackson Dds</v>
      </c>
      <c r="D47">
        <v>54</v>
      </c>
      <c r="E47" t="s">
        <v>9</v>
      </c>
      <c r="F47" t="s">
        <v>177</v>
      </c>
      <c r="G47" t="str">
        <f>TRIM(PROPER(Ecustom_DB[[#This Row],[City]]))</f>
        <v>North Johnview</v>
      </c>
      <c r="H47" t="s">
        <v>133</v>
      </c>
      <c r="I47" t="s">
        <v>12</v>
      </c>
      <c r="J47" t="s">
        <v>13</v>
      </c>
    </row>
    <row r="48" spans="1:10" x14ac:dyDescent="0.3">
      <c r="A48" t="s">
        <v>178</v>
      </c>
      <c r="B48" t="s">
        <v>179</v>
      </c>
      <c r="C48" t="str">
        <f>TRIM(PROPER(Ecustom_DB[[#This Row],[Name]]))</f>
        <v>Michelle Garcia Dds</v>
      </c>
      <c r="D48">
        <v>55</v>
      </c>
      <c r="E48" t="s">
        <v>16</v>
      </c>
      <c r="F48" t="s">
        <v>180</v>
      </c>
      <c r="G48" t="str">
        <f>TRIM(PROPER(Ecustom_DB[[#This Row],[City]]))</f>
        <v>Perezbury</v>
      </c>
      <c r="H48" t="s">
        <v>25</v>
      </c>
      <c r="I48" t="s">
        <v>12</v>
      </c>
      <c r="J48" t="s">
        <v>19</v>
      </c>
    </row>
    <row r="49" spans="1:10" x14ac:dyDescent="0.3">
      <c r="A49" t="s">
        <v>181</v>
      </c>
      <c r="B49" t="s">
        <v>182</v>
      </c>
      <c r="C49" t="str">
        <f>TRIM(PROPER(Ecustom_DB[[#This Row],[Name]]))</f>
        <v>Gina Knight</v>
      </c>
      <c r="D49">
        <v>54</v>
      </c>
      <c r="E49" t="s">
        <v>16</v>
      </c>
      <c r="F49" t="s">
        <v>183</v>
      </c>
      <c r="G49" t="str">
        <f>TRIM(PROPER(Ecustom_DB[[#This Row],[City]]))</f>
        <v>Lake Roberthaven</v>
      </c>
      <c r="H49" t="s">
        <v>184</v>
      </c>
      <c r="I49" t="s">
        <v>12</v>
      </c>
      <c r="J49" t="s">
        <v>31</v>
      </c>
    </row>
    <row r="50" spans="1:10" x14ac:dyDescent="0.3">
      <c r="A50" t="s">
        <v>185</v>
      </c>
      <c r="B50" t="s">
        <v>186</v>
      </c>
      <c r="C50" t="str">
        <f>TRIM(PROPER(Ecustom_DB[[#This Row],[Name]]))</f>
        <v>April Mullins</v>
      </c>
      <c r="D50">
        <v>54</v>
      </c>
      <c r="E50" t="s">
        <v>9</v>
      </c>
      <c r="F50" t="s">
        <v>187</v>
      </c>
      <c r="G50" t="str">
        <f>TRIM(PROPER(Ecustom_DB[[#This Row],[City]]))</f>
        <v>Dawsonbury</v>
      </c>
      <c r="H50" t="s">
        <v>11</v>
      </c>
      <c r="I50" t="s">
        <v>12</v>
      </c>
      <c r="J50" t="s">
        <v>19</v>
      </c>
    </row>
    <row r="51" spans="1:10" x14ac:dyDescent="0.3">
      <c r="A51" t="s">
        <v>188</v>
      </c>
      <c r="B51" t="s">
        <v>189</v>
      </c>
      <c r="C51" t="str">
        <f>TRIM(PROPER(Ecustom_DB[[#This Row],[Name]]))</f>
        <v>Timothy Weaver</v>
      </c>
      <c r="D51">
        <v>45</v>
      </c>
      <c r="E51" t="s">
        <v>16</v>
      </c>
      <c r="F51" t="s">
        <v>190</v>
      </c>
      <c r="G51" t="str">
        <f>TRIM(PROPER(Ecustom_DB[[#This Row],[City]]))</f>
        <v>New Amy</v>
      </c>
      <c r="H51" t="s">
        <v>25</v>
      </c>
      <c r="I51" t="s">
        <v>12</v>
      </c>
      <c r="J51" t="s">
        <v>13</v>
      </c>
    </row>
    <row r="52" spans="1:10" x14ac:dyDescent="0.3">
      <c r="A52" t="s">
        <v>191</v>
      </c>
      <c r="B52" t="s">
        <v>192</v>
      </c>
      <c r="C52" t="str">
        <f>TRIM(PROPER(Ecustom_DB[[#This Row],[Name]]))</f>
        <v>Matthew Hunter Jr.</v>
      </c>
      <c r="D52">
        <v>61</v>
      </c>
      <c r="E52" t="s">
        <v>16</v>
      </c>
      <c r="F52" t="s">
        <v>193</v>
      </c>
      <c r="G52" t="str">
        <f>TRIM(PROPER(Ecustom_DB[[#This Row],[City]]))</f>
        <v>Gregoryview</v>
      </c>
      <c r="H52" t="s">
        <v>194</v>
      </c>
      <c r="I52" t="s">
        <v>12</v>
      </c>
      <c r="J52" t="s">
        <v>13</v>
      </c>
    </row>
    <row r="53" spans="1:10" x14ac:dyDescent="0.3">
      <c r="A53" t="s">
        <v>195</v>
      </c>
      <c r="B53" t="s">
        <v>196</v>
      </c>
      <c r="C53" t="str">
        <f>TRIM(PROPER(Ecustom_DB[[#This Row],[Name]]))</f>
        <v>Sarah Rodgers</v>
      </c>
      <c r="D53">
        <v>23</v>
      </c>
      <c r="E53" t="s">
        <v>16</v>
      </c>
      <c r="F53" t="s">
        <v>197</v>
      </c>
      <c r="G53" t="str">
        <f>TRIM(PROPER(Ecustom_DB[[#This Row],[City]]))</f>
        <v>New Julia</v>
      </c>
      <c r="H53" t="s">
        <v>43</v>
      </c>
      <c r="I53" t="s">
        <v>12</v>
      </c>
      <c r="J53" t="s">
        <v>13</v>
      </c>
    </row>
    <row r="54" spans="1:10" x14ac:dyDescent="0.3">
      <c r="A54" t="s">
        <v>198</v>
      </c>
      <c r="B54" t="s">
        <v>199</v>
      </c>
      <c r="C54" t="str">
        <f>TRIM(PROPER(Ecustom_DB[[#This Row],[Name]]))</f>
        <v>Debra Liu</v>
      </c>
      <c r="D54">
        <v>55</v>
      </c>
      <c r="E54" t="s">
        <v>9</v>
      </c>
      <c r="F54" t="s">
        <v>200</v>
      </c>
      <c r="G54" t="str">
        <f>TRIM(PROPER(Ecustom_DB[[#This Row],[City]]))</f>
        <v>South Timtown</v>
      </c>
      <c r="H54" t="s">
        <v>201</v>
      </c>
      <c r="I54" t="s">
        <v>12</v>
      </c>
      <c r="J54" t="s">
        <v>26</v>
      </c>
    </row>
    <row r="55" spans="1:10" x14ac:dyDescent="0.3">
      <c r="A55" t="s">
        <v>202</v>
      </c>
      <c r="B55" t="s">
        <v>203</v>
      </c>
      <c r="C55" t="str">
        <f>TRIM(PROPER(Ecustom_DB[[#This Row],[Name]]))</f>
        <v>Sharon Brown</v>
      </c>
      <c r="D55">
        <v>37</v>
      </c>
      <c r="E55" t="s">
        <v>16</v>
      </c>
      <c r="F55" t="s">
        <v>204</v>
      </c>
      <c r="G55" t="str">
        <f>TRIM(PROPER(Ecustom_DB[[#This Row],[City]]))</f>
        <v>East Andrea</v>
      </c>
      <c r="H55" t="s">
        <v>156</v>
      </c>
      <c r="I55" t="s">
        <v>12</v>
      </c>
      <c r="J55" t="s">
        <v>13</v>
      </c>
    </row>
    <row r="56" spans="1:10" x14ac:dyDescent="0.3">
      <c r="A56" t="s">
        <v>205</v>
      </c>
      <c r="B56" t="s">
        <v>206</v>
      </c>
      <c r="C56" t="str">
        <f>TRIM(PROPER(Ecustom_DB[[#This Row],[Name]]))</f>
        <v>Katherine Dorsey</v>
      </c>
      <c r="D56">
        <v>24</v>
      </c>
      <c r="E56" t="s">
        <v>9</v>
      </c>
      <c r="F56" t="s">
        <v>207</v>
      </c>
      <c r="G56" t="str">
        <f>TRIM(PROPER(Ecustom_DB[[#This Row],[City]]))</f>
        <v>Christopherland</v>
      </c>
      <c r="H56" t="s">
        <v>96</v>
      </c>
      <c r="I56" t="s">
        <v>12</v>
      </c>
      <c r="J56" t="s">
        <v>19</v>
      </c>
    </row>
    <row r="57" spans="1:10" x14ac:dyDescent="0.3">
      <c r="A57" t="s">
        <v>208</v>
      </c>
      <c r="B57" t="s">
        <v>209</v>
      </c>
      <c r="C57" t="str">
        <f>TRIM(PROPER(Ecustom_DB[[#This Row],[Name]]))</f>
        <v>Wayne Mcpherson</v>
      </c>
      <c r="D57">
        <v>56</v>
      </c>
      <c r="E57" t="s">
        <v>16</v>
      </c>
      <c r="F57" t="s">
        <v>210</v>
      </c>
      <c r="G57" t="str">
        <f>TRIM(PROPER(Ecustom_DB[[#This Row],[City]]))</f>
        <v>Edwardsfort</v>
      </c>
      <c r="H57" t="s">
        <v>201</v>
      </c>
      <c r="I57" t="s">
        <v>12</v>
      </c>
      <c r="J57" t="s">
        <v>26</v>
      </c>
    </row>
    <row r="58" spans="1:10" x14ac:dyDescent="0.3">
      <c r="A58" t="s">
        <v>211</v>
      </c>
      <c r="B58" t="s">
        <v>212</v>
      </c>
      <c r="C58" t="str">
        <f>TRIM(PROPER(Ecustom_DB[[#This Row],[Name]]))</f>
        <v>Christopher Sutton</v>
      </c>
      <c r="D58">
        <v>49</v>
      </c>
      <c r="E58" t="s">
        <v>16</v>
      </c>
      <c r="F58" t="s">
        <v>213</v>
      </c>
      <c r="G58" t="str">
        <f>TRIM(PROPER(Ecustom_DB[[#This Row],[City]]))</f>
        <v>Deborahberg</v>
      </c>
      <c r="H58" t="s">
        <v>51</v>
      </c>
      <c r="I58" t="s">
        <v>12</v>
      </c>
      <c r="J58" t="s">
        <v>13</v>
      </c>
    </row>
    <row r="59" spans="1:10" x14ac:dyDescent="0.3">
      <c r="A59" t="s">
        <v>214</v>
      </c>
      <c r="B59" t="s">
        <v>215</v>
      </c>
      <c r="C59" t="str">
        <f>TRIM(PROPER(Ecustom_DB[[#This Row],[Name]]))</f>
        <v>Jay Patel</v>
      </c>
      <c r="D59">
        <v>43</v>
      </c>
      <c r="E59" t="s">
        <v>16</v>
      </c>
      <c r="F59" t="s">
        <v>216</v>
      </c>
      <c r="G59" t="str">
        <f>TRIM(PROPER(Ecustom_DB[[#This Row],[City]]))</f>
        <v>Morrisbury</v>
      </c>
      <c r="H59" t="s">
        <v>217</v>
      </c>
      <c r="I59" t="s">
        <v>12</v>
      </c>
      <c r="J59" t="s">
        <v>19</v>
      </c>
    </row>
    <row r="60" spans="1:10" x14ac:dyDescent="0.3">
      <c r="A60" t="s">
        <v>218</v>
      </c>
      <c r="B60" t="s">
        <v>219</v>
      </c>
      <c r="C60" t="str">
        <f>TRIM(PROPER(Ecustom_DB[[#This Row],[Name]]))</f>
        <v>Cheryl Copeland</v>
      </c>
      <c r="D60">
        <v>51</v>
      </c>
      <c r="E60" t="s">
        <v>9</v>
      </c>
      <c r="F60" t="s">
        <v>220</v>
      </c>
      <c r="G60" t="str">
        <f>TRIM(PROPER(Ecustom_DB[[#This Row],[City]]))</f>
        <v>Snowmouth</v>
      </c>
      <c r="H60" t="s">
        <v>140</v>
      </c>
      <c r="I60" t="s">
        <v>12</v>
      </c>
      <c r="J60" t="s">
        <v>19</v>
      </c>
    </row>
    <row r="61" spans="1:10" x14ac:dyDescent="0.3">
      <c r="A61" t="s">
        <v>221</v>
      </c>
      <c r="B61" t="s">
        <v>222</v>
      </c>
      <c r="C61" t="str">
        <f>TRIM(PROPER(Ecustom_DB[[#This Row],[Name]]))</f>
        <v>Alyssa Vargas</v>
      </c>
      <c r="D61">
        <v>53</v>
      </c>
      <c r="E61" t="s">
        <v>9</v>
      </c>
      <c r="F61" t="s">
        <v>223</v>
      </c>
      <c r="G61" t="str">
        <f>TRIM(PROPER(Ecustom_DB[[#This Row],[City]]))</f>
        <v>New Kathrynland</v>
      </c>
      <c r="H61" t="s">
        <v>66</v>
      </c>
      <c r="I61" t="s">
        <v>12</v>
      </c>
      <c r="J61" t="s">
        <v>19</v>
      </c>
    </row>
    <row r="62" spans="1:10" x14ac:dyDescent="0.3">
      <c r="A62" t="s">
        <v>224</v>
      </c>
      <c r="B62" t="s">
        <v>225</v>
      </c>
      <c r="C62" t="str">
        <f>TRIM(PROPER(Ecustom_DB[[#This Row],[Name]]))</f>
        <v>Dr. David Smith</v>
      </c>
      <c r="D62">
        <v>22</v>
      </c>
      <c r="E62" t="s">
        <v>16</v>
      </c>
      <c r="F62" t="s">
        <v>226</v>
      </c>
      <c r="G62" t="str">
        <f>TRIM(PROPER(Ecustom_DB[[#This Row],[City]]))</f>
        <v>Schmidtchester</v>
      </c>
      <c r="H62" t="s">
        <v>163</v>
      </c>
      <c r="I62" t="s">
        <v>12</v>
      </c>
      <c r="J62" t="s">
        <v>31</v>
      </c>
    </row>
    <row r="63" spans="1:10" x14ac:dyDescent="0.3">
      <c r="A63" t="s">
        <v>227</v>
      </c>
      <c r="B63" t="s">
        <v>228</v>
      </c>
      <c r="C63" t="str">
        <f>TRIM(PROPER(Ecustom_DB[[#This Row],[Name]]))</f>
        <v>Kristin Stein</v>
      </c>
      <c r="D63">
        <v>23</v>
      </c>
      <c r="E63" t="s">
        <v>9</v>
      </c>
      <c r="F63" t="s">
        <v>229</v>
      </c>
      <c r="G63" t="str">
        <f>TRIM(PROPER(Ecustom_DB[[#This Row],[City]]))</f>
        <v>Jennifermouth</v>
      </c>
      <c r="H63" t="s">
        <v>113</v>
      </c>
      <c r="I63" t="s">
        <v>12</v>
      </c>
      <c r="J63" t="s">
        <v>31</v>
      </c>
    </row>
    <row r="64" spans="1:10" x14ac:dyDescent="0.3">
      <c r="A64" t="s">
        <v>230</v>
      </c>
      <c r="B64" t="s">
        <v>231</v>
      </c>
      <c r="C64" t="str">
        <f>TRIM(PROPER(Ecustom_DB[[#This Row],[Name]]))</f>
        <v>James Bean</v>
      </c>
      <c r="D64">
        <v>50</v>
      </c>
      <c r="E64" t="s">
        <v>9</v>
      </c>
      <c r="F64" t="s">
        <v>232</v>
      </c>
      <c r="G64" t="str">
        <f>TRIM(PROPER(Ecustom_DB[[#This Row],[City]]))</f>
        <v>Stevensonton</v>
      </c>
      <c r="H64" t="s">
        <v>233</v>
      </c>
      <c r="I64" t="s">
        <v>12</v>
      </c>
      <c r="J64" t="s">
        <v>26</v>
      </c>
    </row>
    <row r="65" spans="1:10" x14ac:dyDescent="0.3">
      <c r="A65" t="s">
        <v>234</v>
      </c>
      <c r="B65" t="s">
        <v>235</v>
      </c>
      <c r="C65" t="str">
        <f>TRIM(PROPER(Ecustom_DB[[#This Row],[Name]]))</f>
        <v>Michael Daniel</v>
      </c>
      <c r="D65">
        <v>51</v>
      </c>
      <c r="E65" t="s">
        <v>9</v>
      </c>
      <c r="F65" t="s">
        <v>236</v>
      </c>
      <c r="G65" t="str">
        <f>TRIM(PROPER(Ecustom_DB[[#This Row],[City]]))</f>
        <v>New Jesse</v>
      </c>
      <c r="H65" t="s">
        <v>237</v>
      </c>
      <c r="I65" t="s">
        <v>12</v>
      </c>
      <c r="J65" t="s">
        <v>19</v>
      </c>
    </row>
    <row r="66" spans="1:10" x14ac:dyDescent="0.3">
      <c r="A66" t="s">
        <v>238</v>
      </c>
      <c r="B66" t="s">
        <v>239</v>
      </c>
      <c r="C66" t="str">
        <f>TRIM(PROPER(Ecustom_DB[[#This Row],[Name]]))</f>
        <v>Mr. Mason Butler</v>
      </c>
      <c r="D66">
        <v>33</v>
      </c>
      <c r="E66" t="s">
        <v>9</v>
      </c>
      <c r="F66" t="s">
        <v>240</v>
      </c>
      <c r="G66" t="str">
        <f>TRIM(PROPER(Ecustom_DB[[#This Row],[City]]))</f>
        <v>Port Kathrynhaven</v>
      </c>
      <c r="H66" t="s">
        <v>133</v>
      </c>
      <c r="I66" t="s">
        <v>12</v>
      </c>
      <c r="J66" t="s">
        <v>13</v>
      </c>
    </row>
    <row r="67" spans="1:10" x14ac:dyDescent="0.3">
      <c r="A67" t="s">
        <v>241</v>
      </c>
      <c r="B67" t="s">
        <v>242</v>
      </c>
      <c r="C67" t="str">
        <f>TRIM(PROPER(Ecustom_DB[[#This Row],[Name]]))</f>
        <v>Michael Thomas</v>
      </c>
      <c r="D67">
        <v>21</v>
      </c>
      <c r="E67" t="s">
        <v>16</v>
      </c>
      <c r="F67" t="s">
        <v>243</v>
      </c>
      <c r="G67" t="str">
        <f>TRIM(PROPER(Ecustom_DB[[#This Row],[City]]))</f>
        <v>Woodmouth</v>
      </c>
      <c r="H67" t="s">
        <v>184</v>
      </c>
      <c r="I67" t="s">
        <v>12</v>
      </c>
      <c r="J67" t="s">
        <v>31</v>
      </c>
    </row>
    <row r="68" spans="1:10" x14ac:dyDescent="0.3">
      <c r="A68" t="s">
        <v>244</v>
      </c>
      <c r="B68" t="s">
        <v>245</v>
      </c>
      <c r="C68" t="str">
        <f>TRIM(PROPER(Ecustom_DB[[#This Row],[Name]]))</f>
        <v>Cody Diaz</v>
      </c>
      <c r="D68">
        <v>27</v>
      </c>
      <c r="E68" t="s">
        <v>16</v>
      </c>
      <c r="F68" t="s">
        <v>246</v>
      </c>
      <c r="G68" t="str">
        <f>TRIM(PROPER(Ecustom_DB[[#This Row],[City]]))</f>
        <v>South Aaronside</v>
      </c>
      <c r="H68" t="s">
        <v>47</v>
      </c>
      <c r="I68" t="s">
        <v>12</v>
      </c>
      <c r="J68" t="s">
        <v>31</v>
      </c>
    </row>
    <row r="69" spans="1:10" x14ac:dyDescent="0.3">
      <c r="A69" t="s">
        <v>247</v>
      </c>
      <c r="B69" t="s">
        <v>248</v>
      </c>
      <c r="C69" t="str">
        <f>TRIM(PROPER(Ecustom_DB[[#This Row],[Name]]))</f>
        <v>Amber Mcclain</v>
      </c>
      <c r="D69">
        <v>58</v>
      </c>
      <c r="E69" t="s">
        <v>9</v>
      </c>
      <c r="F69" t="s">
        <v>249</v>
      </c>
      <c r="G69" t="str">
        <f>TRIM(PROPER(Ecustom_DB[[#This Row],[City]]))</f>
        <v>Brendaburgh</v>
      </c>
      <c r="H69" t="s">
        <v>250</v>
      </c>
      <c r="I69" t="s">
        <v>12</v>
      </c>
      <c r="J69" t="s">
        <v>31</v>
      </c>
    </row>
    <row r="70" spans="1:10" x14ac:dyDescent="0.3">
      <c r="A70" t="s">
        <v>251</v>
      </c>
      <c r="B70" t="s">
        <v>252</v>
      </c>
      <c r="C70" t="str">
        <f>TRIM(PROPER(Ecustom_DB[[#This Row],[Name]]))</f>
        <v>Mr. Mark Beasley</v>
      </c>
      <c r="D70">
        <v>24</v>
      </c>
      <c r="E70" t="s">
        <v>16</v>
      </c>
      <c r="F70" t="s">
        <v>253</v>
      </c>
      <c r="G70" t="str">
        <f>TRIM(PROPER(Ecustom_DB[[#This Row],[City]]))</f>
        <v>West Johnchester</v>
      </c>
      <c r="H70" t="s">
        <v>254</v>
      </c>
      <c r="I70" t="s">
        <v>12</v>
      </c>
      <c r="J70" t="s">
        <v>31</v>
      </c>
    </row>
    <row r="71" spans="1:10" x14ac:dyDescent="0.3">
      <c r="A71" t="s">
        <v>255</v>
      </c>
      <c r="B71" t="s">
        <v>256</v>
      </c>
      <c r="C71" t="str">
        <f>TRIM(PROPER(Ecustom_DB[[#This Row],[Name]]))</f>
        <v>Roy Cole</v>
      </c>
      <c r="D71">
        <v>24</v>
      </c>
      <c r="E71" t="s">
        <v>16</v>
      </c>
      <c r="F71" t="s">
        <v>257</v>
      </c>
      <c r="G71" t="str">
        <f>TRIM(PROPER(Ecustom_DB[[#This Row],[City]]))</f>
        <v>North Cynthiatown</v>
      </c>
      <c r="H71" t="s">
        <v>88</v>
      </c>
      <c r="I71" t="s">
        <v>12</v>
      </c>
      <c r="J71" t="s">
        <v>19</v>
      </c>
    </row>
    <row r="72" spans="1:10" x14ac:dyDescent="0.3">
      <c r="A72" t="s">
        <v>258</v>
      </c>
      <c r="B72" t="s">
        <v>259</v>
      </c>
      <c r="C72" t="str">
        <f>TRIM(PROPER(Ecustom_DB[[#This Row],[Name]]))</f>
        <v>Eric Singh</v>
      </c>
      <c r="D72">
        <v>29</v>
      </c>
      <c r="E72" t="s">
        <v>16</v>
      </c>
      <c r="F72" t="s">
        <v>260</v>
      </c>
      <c r="G72" t="str">
        <f>TRIM(PROPER(Ecustom_DB[[#This Row],[City]]))</f>
        <v>Port Lisa</v>
      </c>
      <c r="H72" t="s">
        <v>233</v>
      </c>
      <c r="I72" t="s">
        <v>12</v>
      </c>
      <c r="J72" t="s">
        <v>13</v>
      </c>
    </row>
    <row r="73" spans="1:10" x14ac:dyDescent="0.3">
      <c r="A73" t="s">
        <v>261</v>
      </c>
      <c r="B73" t="s">
        <v>262</v>
      </c>
      <c r="C73" t="str">
        <f>TRIM(PROPER(Ecustom_DB[[#This Row],[Name]]))</f>
        <v>Andrea Perez</v>
      </c>
      <c r="D73">
        <v>61</v>
      </c>
      <c r="E73" t="s">
        <v>16</v>
      </c>
      <c r="F73" t="s">
        <v>263</v>
      </c>
      <c r="G73" t="str">
        <f>TRIM(PROPER(Ecustom_DB[[#This Row],[City]]))</f>
        <v>South Shaun</v>
      </c>
      <c r="H73" t="s">
        <v>233</v>
      </c>
      <c r="I73" t="s">
        <v>12</v>
      </c>
      <c r="J73" t="s">
        <v>13</v>
      </c>
    </row>
    <row r="74" spans="1:10" x14ac:dyDescent="0.3">
      <c r="A74" t="s">
        <v>264</v>
      </c>
      <c r="B74" t="s">
        <v>265</v>
      </c>
      <c r="C74" t="str">
        <f>TRIM(PROPER(Ecustom_DB[[#This Row],[Name]]))</f>
        <v>Tonya Burch</v>
      </c>
      <c r="D74">
        <v>39</v>
      </c>
      <c r="E74" t="s">
        <v>16</v>
      </c>
      <c r="F74" t="s">
        <v>266</v>
      </c>
      <c r="G74" t="str">
        <f>TRIM(PROPER(Ecustom_DB[[#This Row],[City]]))</f>
        <v>Olsonhaven</v>
      </c>
      <c r="H74" t="s">
        <v>267</v>
      </c>
      <c r="I74" t="s">
        <v>12</v>
      </c>
      <c r="J74" t="s">
        <v>13</v>
      </c>
    </row>
    <row r="75" spans="1:10" x14ac:dyDescent="0.3">
      <c r="A75" t="s">
        <v>268</v>
      </c>
      <c r="B75" t="s">
        <v>269</v>
      </c>
      <c r="C75" t="str">
        <f>TRIM(PROPER(Ecustom_DB[[#This Row],[Name]]))</f>
        <v>Christopher Brown</v>
      </c>
      <c r="D75">
        <v>56</v>
      </c>
      <c r="E75" t="s">
        <v>16</v>
      </c>
      <c r="F75" t="s">
        <v>270</v>
      </c>
      <c r="G75" t="str">
        <f>TRIM(PROPER(Ecustom_DB[[#This Row],[City]]))</f>
        <v>Sandrastad</v>
      </c>
      <c r="H75" t="s">
        <v>43</v>
      </c>
      <c r="I75" t="s">
        <v>12</v>
      </c>
      <c r="J75" t="s">
        <v>31</v>
      </c>
    </row>
    <row r="76" spans="1:10" x14ac:dyDescent="0.3">
      <c r="A76" t="s">
        <v>271</v>
      </c>
      <c r="B76" t="s">
        <v>272</v>
      </c>
      <c r="C76" t="str">
        <f>TRIM(PROPER(Ecustom_DB[[#This Row],[Name]]))</f>
        <v>John Mayer</v>
      </c>
      <c r="D76">
        <v>58</v>
      </c>
      <c r="E76" t="s">
        <v>9</v>
      </c>
      <c r="F76" t="s">
        <v>273</v>
      </c>
      <c r="G76" t="str">
        <f>TRIM(PROPER(Ecustom_DB[[#This Row],[City]]))</f>
        <v>Longport</v>
      </c>
      <c r="H76" t="s">
        <v>274</v>
      </c>
      <c r="I76" t="s">
        <v>12</v>
      </c>
      <c r="J76" t="s">
        <v>26</v>
      </c>
    </row>
    <row r="77" spans="1:10" x14ac:dyDescent="0.3">
      <c r="A77" t="s">
        <v>275</v>
      </c>
      <c r="B77" t="s">
        <v>276</v>
      </c>
      <c r="C77" t="str">
        <f>TRIM(PROPER(Ecustom_DB[[#This Row],[Name]]))</f>
        <v>Rhonda Morales</v>
      </c>
      <c r="D77">
        <v>61</v>
      </c>
      <c r="E77" t="s">
        <v>16</v>
      </c>
      <c r="F77" t="s">
        <v>277</v>
      </c>
      <c r="G77" t="str">
        <f>TRIM(PROPER(Ecustom_DB[[#This Row],[City]]))</f>
        <v>Lake Barryfurt</v>
      </c>
      <c r="H77" t="s">
        <v>30</v>
      </c>
      <c r="I77" t="s">
        <v>12</v>
      </c>
      <c r="J77" t="s">
        <v>13</v>
      </c>
    </row>
    <row r="78" spans="1:10" x14ac:dyDescent="0.3">
      <c r="A78" t="s">
        <v>278</v>
      </c>
      <c r="B78" t="s">
        <v>279</v>
      </c>
      <c r="C78" t="str">
        <f>TRIM(PROPER(Ecustom_DB[[#This Row],[Name]]))</f>
        <v>Nathan Campbell</v>
      </c>
      <c r="D78">
        <v>37</v>
      </c>
      <c r="E78" t="s">
        <v>9</v>
      </c>
      <c r="F78" t="s">
        <v>280</v>
      </c>
      <c r="G78" t="str">
        <f>TRIM(PROPER(Ecustom_DB[[#This Row],[City]]))</f>
        <v>Rodrigueztown</v>
      </c>
      <c r="H78" t="s">
        <v>96</v>
      </c>
      <c r="I78" t="s">
        <v>12</v>
      </c>
      <c r="J78" t="s">
        <v>13</v>
      </c>
    </row>
    <row r="79" spans="1:10" x14ac:dyDescent="0.3">
      <c r="A79" t="s">
        <v>281</v>
      </c>
      <c r="B79" t="s">
        <v>282</v>
      </c>
      <c r="C79" t="str">
        <f>TRIM(PROPER(Ecustom_DB[[#This Row],[Name]]))</f>
        <v>Katherine Young</v>
      </c>
      <c r="D79">
        <v>29</v>
      </c>
      <c r="E79" t="s">
        <v>9</v>
      </c>
      <c r="F79" t="s">
        <v>283</v>
      </c>
      <c r="G79" t="str">
        <f>TRIM(PROPER(Ecustom_DB[[#This Row],[City]]))</f>
        <v>North Valeriemouth</v>
      </c>
      <c r="H79" t="s">
        <v>171</v>
      </c>
      <c r="I79" t="s">
        <v>12</v>
      </c>
      <c r="J79" t="s">
        <v>13</v>
      </c>
    </row>
    <row r="80" spans="1:10" x14ac:dyDescent="0.3">
      <c r="A80" t="s">
        <v>284</v>
      </c>
      <c r="B80" t="s">
        <v>285</v>
      </c>
      <c r="C80" t="str">
        <f>TRIM(PROPER(Ecustom_DB[[#This Row],[Name]]))</f>
        <v>Cody Blake</v>
      </c>
      <c r="D80">
        <v>21</v>
      </c>
      <c r="E80" t="s">
        <v>9</v>
      </c>
      <c r="F80" t="s">
        <v>286</v>
      </c>
      <c r="G80" t="str">
        <f>TRIM(PROPER(Ecustom_DB[[#This Row],[City]]))</f>
        <v>North Scottport</v>
      </c>
      <c r="H80" t="s">
        <v>287</v>
      </c>
      <c r="I80" t="s">
        <v>12</v>
      </c>
      <c r="J80" t="s">
        <v>13</v>
      </c>
    </row>
    <row r="81" spans="1:10" x14ac:dyDescent="0.3">
      <c r="A81" t="s">
        <v>288</v>
      </c>
      <c r="B81" t="s">
        <v>289</v>
      </c>
      <c r="C81" t="str">
        <f>TRIM(PROPER(Ecustom_DB[[#This Row],[Name]]))</f>
        <v>Molly Gardner</v>
      </c>
      <c r="D81">
        <v>22</v>
      </c>
      <c r="E81" t="s">
        <v>16</v>
      </c>
      <c r="F81" t="s">
        <v>290</v>
      </c>
      <c r="G81" t="str">
        <f>TRIM(PROPER(Ecustom_DB[[#This Row],[City]]))</f>
        <v>Nicoleborough</v>
      </c>
      <c r="H81" t="s">
        <v>291</v>
      </c>
      <c r="I81" t="s">
        <v>12</v>
      </c>
      <c r="J81" t="s">
        <v>19</v>
      </c>
    </row>
    <row r="82" spans="1:10" x14ac:dyDescent="0.3">
      <c r="A82" t="s">
        <v>292</v>
      </c>
      <c r="B82" t="s">
        <v>293</v>
      </c>
      <c r="C82" t="str">
        <f>TRIM(PROPER(Ecustom_DB[[#This Row],[Name]]))</f>
        <v>Jennifer Garcia</v>
      </c>
      <c r="D82">
        <v>61</v>
      </c>
      <c r="E82" t="s">
        <v>16</v>
      </c>
      <c r="F82" t="s">
        <v>294</v>
      </c>
      <c r="G82" t="str">
        <f>TRIM(PROPER(Ecustom_DB[[#This Row],[City]]))</f>
        <v>New Sean</v>
      </c>
      <c r="H82" t="s">
        <v>233</v>
      </c>
      <c r="I82" t="s">
        <v>12</v>
      </c>
      <c r="J82" t="s">
        <v>26</v>
      </c>
    </row>
    <row r="83" spans="1:10" x14ac:dyDescent="0.3">
      <c r="A83" t="s">
        <v>295</v>
      </c>
      <c r="B83" t="s">
        <v>296</v>
      </c>
      <c r="C83" t="str">
        <f>TRIM(PROPER(Ecustom_DB[[#This Row],[Name]]))</f>
        <v>Krystal Ford</v>
      </c>
      <c r="D83">
        <v>34</v>
      </c>
      <c r="E83" t="s">
        <v>16</v>
      </c>
      <c r="F83" t="s">
        <v>297</v>
      </c>
      <c r="G83" t="str">
        <f>TRIM(PROPER(Ecustom_DB[[#This Row],[City]]))</f>
        <v>South David</v>
      </c>
      <c r="H83" t="s">
        <v>133</v>
      </c>
      <c r="I83" t="s">
        <v>12</v>
      </c>
      <c r="J83" t="s">
        <v>19</v>
      </c>
    </row>
    <row r="84" spans="1:10" x14ac:dyDescent="0.3">
      <c r="A84" t="s">
        <v>298</v>
      </c>
      <c r="B84" t="s">
        <v>299</v>
      </c>
      <c r="C84" t="str">
        <f>TRIM(PROPER(Ecustom_DB[[#This Row],[Name]]))</f>
        <v>George Rosario</v>
      </c>
      <c r="D84">
        <v>53</v>
      </c>
      <c r="E84" t="s">
        <v>9</v>
      </c>
      <c r="F84" t="s">
        <v>300</v>
      </c>
      <c r="G84" t="str">
        <f>TRIM(PROPER(Ecustom_DB[[#This Row],[City]]))</f>
        <v>Leburgh</v>
      </c>
      <c r="H84" t="s">
        <v>250</v>
      </c>
      <c r="I84" t="s">
        <v>12</v>
      </c>
      <c r="J84" t="s">
        <v>26</v>
      </c>
    </row>
    <row r="85" spans="1:10" x14ac:dyDescent="0.3">
      <c r="A85" t="s">
        <v>301</v>
      </c>
      <c r="B85" t="s">
        <v>302</v>
      </c>
      <c r="C85" t="str">
        <f>TRIM(PROPER(Ecustom_DB[[#This Row],[Name]]))</f>
        <v>Thomas Robinson</v>
      </c>
      <c r="D85">
        <v>48</v>
      </c>
      <c r="E85" t="s">
        <v>16</v>
      </c>
      <c r="F85" t="s">
        <v>303</v>
      </c>
      <c r="G85" t="str">
        <f>TRIM(PROPER(Ecustom_DB[[#This Row],[City]]))</f>
        <v>Nicholastown</v>
      </c>
      <c r="H85" t="s">
        <v>81</v>
      </c>
      <c r="I85" t="s">
        <v>12</v>
      </c>
      <c r="J85" t="s">
        <v>26</v>
      </c>
    </row>
    <row r="86" spans="1:10" x14ac:dyDescent="0.3">
      <c r="A86" t="s">
        <v>304</v>
      </c>
      <c r="B86" t="s">
        <v>305</v>
      </c>
      <c r="C86" t="str">
        <f>TRIM(PROPER(Ecustom_DB[[#This Row],[Name]]))</f>
        <v>Christy Hoffman</v>
      </c>
      <c r="D86">
        <v>26</v>
      </c>
      <c r="E86" t="s">
        <v>16</v>
      </c>
      <c r="F86" t="s">
        <v>306</v>
      </c>
      <c r="G86" t="str">
        <f>TRIM(PROPER(Ecustom_DB[[#This Row],[City]]))</f>
        <v>Garyberg</v>
      </c>
      <c r="H86" t="s">
        <v>254</v>
      </c>
      <c r="I86" t="s">
        <v>12</v>
      </c>
      <c r="J86" t="s">
        <v>19</v>
      </c>
    </row>
    <row r="87" spans="1:10" x14ac:dyDescent="0.3">
      <c r="A87" t="s">
        <v>307</v>
      </c>
      <c r="B87" t="s">
        <v>308</v>
      </c>
      <c r="C87" t="str">
        <f>TRIM(PROPER(Ecustom_DB[[#This Row],[Name]]))</f>
        <v>Richard Delgado</v>
      </c>
      <c r="D87">
        <v>36</v>
      </c>
      <c r="E87" t="s">
        <v>9</v>
      </c>
      <c r="F87" t="s">
        <v>309</v>
      </c>
      <c r="G87" t="str">
        <f>TRIM(PROPER(Ecustom_DB[[#This Row],[City]]))</f>
        <v>West Theodorechester</v>
      </c>
      <c r="H87" t="s">
        <v>51</v>
      </c>
      <c r="I87" t="s">
        <v>12</v>
      </c>
      <c r="J87" t="s">
        <v>31</v>
      </c>
    </row>
    <row r="88" spans="1:10" x14ac:dyDescent="0.3">
      <c r="A88" t="s">
        <v>310</v>
      </c>
      <c r="B88" t="s">
        <v>311</v>
      </c>
      <c r="C88" t="str">
        <f>TRIM(PROPER(Ecustom_DB[[#This Row],[Name]]))</f>
        <v>Tammy Miller Md</v>
      </c>
      <c r="D88">
        <v>19</v>
      </c>
      <c r="E88" t="s">
        <v>16</v>
      </c>
      <c r="F88" t="s">
        <v>312</v>
      </c>
      <c r="G88" t="str">
        <f>TRIM(PROPER(Ecustom_DB[[#This Row],[City]]))</f>
        <v>Austinfurt</v>
      </c>
      <c r="H88" t="s">
        <v>313</v>
      </c>
      <c r="I88" t="s">
        <v>12</v>
      </c>
      <c r="J88" t="s">
        <v>13</v>
      </c>
    </row>
    <row r="89" spans="1:10" x14ac:dyDescent="0.3">
      <c r="A89" t="s">
        <v>314</v>
      </c>
      <c r="B89" t="s">
        <v>315</v>
      </c>
      <c r="C89" t="str">
        <f>TRIM(PROPER(Ecustom_DB[[#This Row],[Name]]))</f>
        <v>Melissa Duffy Md</v>
      </c>
      <c r="D89">
        <v>58</v>
      </c>
      <c r="E89" t="s">
        <v>16</v>
      </c>
      <c r="F89" t="s">
        <v>316</v>
      </c>
      <c r="G89" t="str">
        <f>TRIM(PROPER(Ecustom_DB[[#This Row],[City]]))</f>
        <v>East Jenna</v>
      </c>
      <c r="H89" t="s">
        <v>317</v>
      </c>
      <c r="I89" t="s">
        <v>12</v>
      </c>
      <c r="J89" t="s">
        <v>26</v>
      </c>
    </row>
    <row r="90" spans="1:10" x14ac:dyDescent="0.3">
      <c r="A90" t="s">
        <v>318</v>
      </c>
      <c r="B90" t="s">
        <v>319</v>
      </c>
      <c r="C90" t="str">
        <f>TRIM(PROPER(Ecustom_DB[[#This Row],[Name]]))</f>
        <v>Timothy Wright</v>
      </c>
      <c r="D90">
        <v>58</v>
      </c>
      <c r="E90" t="s">
        <v>9</v>
      </c>
      <c r="F90" t="s">
        <v>320</v>
      </c>
      <c r="G90" t="str">
        <f>TRIM(PROPER(Ecustom_DB[[#This Row],[City]]))</f>
        <v>Ashleystad</v>
      </c>
      <c r="H90" t="s">
        <v>291</v>
      </c>
      <c r="I90" t="s">
        <v>12</v>
      </c>
      <c r="J90" t="s">
        <v>31</v>
      </c>
    </row>
    <row r="91" spans="1:10" x14ac:dyDescent="0.3">
      <c r="A91" t="s">
        <v>321</v>
      </c>
      <c r="B91" t="s">
        <v>322</v>
      </c>
      <c r="C91" t="str">
        <f>TRIM(PROPER(Ecustom_DB[[#This Row],[Name]]))</f>
        <v>Jamie Yoder</v>
      </c>
      <c r="D91">
        <v>43</v>
      </c>
      <c r="E91" t="s">
        <v>9</v>
      </c>
      <c r="F91" t="s">
        <v>323</v>
      </c>
      <c r="G91" t="str">
        <f>TRIM(PROPER(Ecustom_DB[[#This Row],[City]]))</f>
        <v>New Gabrielleville</v>
      </c>
      <c r="H91" t="s">
        <v>324</v>
      </c>
      <c r="I91" t="s">
        <v>12</v>
      </c>
      <c r="J91" t="s">
        <v>19</v>
      </c>
    </row>
    <row r="92" spans="1:10" x14ac:dyDescent="0.3">
      <c r="A92" t="s">
        <v>325</v>
      </c>
      <c r="B92" t="s">
        <v>326</v>
      </c>
      <c r="C92" t="str">
        <f>TRIM(PROPER(Ecustom_DB[[#This Row],[Name]]))</f>
        <v>Oscar Moon</v>
      </c>
      <c r="D92">
        <v>58</v>
      </c>
      <c r="E92" t="s">
        <v>16</v>
      </c>
      <c r="F92" t="s">
        <v>327</v>
      </c>
      <c r="G92" t="str">
        <f>TRIM(PROPER(Ecustom_DB[[#This Row],[City]]))</f>
        <v>West Cody</v>
      </c>
      <c r="H92" t="s">
        <v>328</v>
      </c>
      <c r="I92" t="s">
        <v>12</v>
      </c>
      <c r="J92" t="s">
        <v>19</v>
      </c>
    </row>
    <row r="93" spans="1:10" x14ac:dyDescent="0.3">
      <c r="A93" t="s">
        <v>329</v>
      </c>
      <c r="B93" t="s">
        <v>330</v>
      </c>
      <c r="C93" t="str">
        <f>TRIM(PROPER(Ecustom_DB[[#This Row],[Name]]))</f>
        <v>Donna Gregory</v>
      </c>
      <c r="D93">
        <v>29</v>
      </c>
      <c r="E93" t="s">
        <v>16</v>
      </c>
      <c r="F93" t="s">
        <v>331</v>
      </c>
      <c r="G93" t="str">
        <f>TRIM(PROPER(Ecustom_DB[[#This Row],[City]]))</f>
        <v>South Amandahaven</v>
      </c>
      <c r="H93" t="s">
        <v>133</v>
      </c>
      <c r="I93" t="s">
        <v>12</v>
      </c>
      <c r="J93" t="s">
        <v>31</v>
      </c>
    </row>
    <row r="94" spans="1:10" x14ac:dyDescent="0.3">
      <c r="A94" t="s">
        <v>332</v>
      </c>
      <c r="B94" t="s">
        <v>333</v>
      </c>
      <c r="C94" t="str">
        <f>TRIM(PROPER(Ecustom_DB[[#This Row],[Name]]))</f>
        <v>Robert Jackson</v>
      </c>
      <c r="D94">
        <v>44</v>
      </c>
      <c r="E94" t="s">
        <v>16</v>
      </c>
      <c r="F94" t="s">
        <v>334</v>
      </c>
      <c r="G94" t="str">
        <f>TRIM(PROPER(Ecustom_DB[[#This Row],[City]]))</f>
        <v>Lake Brandy</v>
      </c>
      <c r="H94" t="s">
        <v>237</v>
      </c>
      <c r="I94" t="s">
        <v>12</v>
      </c>
      <c r="J94" t="s">
        <v>19</v>
      </c>
    </row>
    <row r="95" spans="1:10" x14ac:dyDescent="0.3">
      <c r="A95" t="s">
        <v>335</v>
      </c>
      <c r="B95" t="s">
        <v>336</v>
      </c>
      <c r="C95" t="str">
        <f>TRIM(PROPER(Ecustom_DB[[#This Row],[Name]]))</f>
        <v>Christy Vasquez</v>
      </c>
      <c r="D95">
        <v>28</v>
      </c>
      <c r="E95" t="s">
        <v>16</v>
      </c>
      <c r="F95" t="s">
        <v>337</v>
      </c>
      <c r="G95" t="str">
        <f>TRIM(PROPER(Ecustom_DB[[#This Row],[City]]))</f>
        <v>Port Travisstad</v>
      </c>
      <c r="H95" t="s">
        <v>317</v>
      </c>
      <c r="I95" t="s">
        <v>12</v>
      </c>
      <c r="J95" t="s">
        <v>13</v>
      </c>
    </row>
    <row r="96" spans="1:10" x14ac:dyDescent="0.3">
      <c r="A96" t="s">
        <v>338</v>
      </c>
      <c r="B96" t="s">
        <v>339</v>
      </c>
      <c r="C96" t="str">
        <f>TRIM(PROPER(Ecustom_DB[[#This Row],[Name]]))</f>
        <v>David Patterson</v>
      </c>
      <c r="D96">
        <v>43</v>
      </c>
      <c r="E96" t="s">
        <v>16</v>
      </c>
      <c r="F96" t="s">
        <v>340</v>
      </c>
      <c r="G96" t="str">
        <f>TRIM(PROPER(Ecustom_DB[[#This Row],[City]]))</f>
        <v>New Amyport</v>
      </c>
      <c r="H96" t="s">
        <v>184</v>
      </c>
      <c r="I96" t="s">
        <v>12</v>
      </c>
      <c r="J96" t="s">
        <v>13</v>
      </c>
    </row>
    <row r="97" spans="1:10" x14ac:dyDescent="0.3">
      <c r="A97" t="s">
        <v>341</v>
      </c>
      <c r="B97" t="s">
        <v>342</v>
      </c>
      <c r="C97" t="str">
        <f>TRIM(PROPER(Ecustom_DB[[#This Row],[Name]]))</f>
        <v>Amy Fowler</v>
      </c>
      <c r="D97">
        <v>62</v>
      </c>
      <c r="E97" t="s">
        <v>16</v>
      </c>
      <c r="F97" t="s">
        <v>343</v>
      </c>
      <c r="G97" t="str">
        <f>TRIM(PROPER(Ecustom_DB[[#This Row],[City]]))</f>
        <v>West Bobbyshire</v>
      </c>
      <c r="H97" t="s">
        <v>58</v>
      </c>
      <c r="I97" t="s">
        <v>12</v>
      </c>
      <c r="J97" t="s">
        <v>19</v>
      </c>
    </row>
    <row r="98" spans="1:10" x14ac:dyDescent="0.3">
      <c r="A98" t="s">
        <v>344</v>
      </c>
      <c r="B98" t="s">
        <v>345</v>
      </c>
      <c r="C98" t="str">
        <f>TRIM(PROPER(Ecustom_DB[[#This Row],[Name]]))</f>
        <v>Samantha Walker</v>
      </c>
      <c r="D98">
        <v>30</v>
      </c>
      <c r="E98" t="s">
        <v>16</v>
      </c>
      <c r="F98" t="s">
        <v>346</v>
      </c>
      <c r="G98" t="str">
        <f>TRIM(PROPER(Ecustom_DB[[#This Row],[City]]))</f>
        <v>Timothyburgh</v>
      </c>
      <c r="H98" t="s">
        <v>328</v>
      </c>
      <c r="I98" t="s">
        <v>12</v>
      </c>
      <c r="J98" t="s">
        <v>19</v>
      </c>
    </row>
    <row r="99" spans="1:10" x14ac:dyDescent="0.3">
      <c r="A99" t="s">
        <v>347</v>
      </c>
      <c r="B99" t="s">
        <v>348</v>
      </c>
      <c r="C99" t="str">
        <f>TRIM(PROPER(Ecustom_DB[[#This Row],[Name]]))</f>
        <v>David Cobb</v>
      </c>
      <c r="D99">
        <v>36</v>
      </c>
      <c r="E99" t="s">
        <v>9</v>
      </c>
      <c r="F99" t="s">
        <v>349</v>
      </c>
      <c r="G99" t="str">
        <f>TRIM(PROPER(Ecustom_DB[[#This Row],[City]]))</f>
        <v>Lake Thomas</v>
      </c>
      <c r="H99" t="s">
        <v>39</v>
      </c>
      <c r="I99" t="s">
        <v>12</v>
      </c>
      <c r="J99" t="s">
        <v>31</v>
      </c>
    </row>
    <row r="100" spans="1:10" x14ac:dyDescent="0.3">
      <c r="A100" t="s">
        <v>350</v>
      </c>
      <c r="B100" t="s">
        <v>351</v>
      </c>
      <c r="C100" t="str">
        <f>TRIM(PROPER(Ecustom_DB[[#This Row],[Name]]))</f>
        <v>Brittney Morgan</v>
      </c>
      <c r="D100">
        <v>24</v>
      </c>
      <c r="E100" t="s">
        <v>9</v>
      </c>
      <c r="F100" t="s">
        <v>352</v>
      </c>
      <c r="G100" t="str">
        <f>TRIM(PROPER(Ecustom_DB[[#This Row],[City]]))</f>
        <v>Lake Kaylahaven</v>
      </c>
      <c r="H100" t="s">
        <v>163</v>
      </c>
      <c r="I100" t="s">
        <v>12</v>
      </c>
      <c r="J100" t="s">
        <v>13</v>
      </c>
    </row>
    <row r="101" spans="1:10" x14ac:dyDescent="0.3">
      <c r="A101" t="s">
        <v>353</v>
      </c>
      <c r="B101" t="s">
        <v>354</v>
      </c>
      <c r="C101" t="str">
        <f>TRIM(PROPER(Ecustom_DB[[#This Row],[Name]]))</f>
        <v>Sheila Wilson</v>
      </c>
      <c r="D101">
        <v>35</v>
      </c>
      <c r="E101" t="s">
        <v>9</v>
      </c>
      <c r="F101" t="s">
        <v>355</v>
      </c>
      <c r="G101" t="str">
        <f>TRIM(PROPER(Ecustom_DB[[#This Row],[City]]))</f>
        <v>South Dustin</v>
      </c>
      <c r="H101" t="s">
        <v>237</v>
      </c>
      <c r="I101" t="s">
        <v>12</v>
      </c>
      <c r="J101" t="s">
        <v>31</v>
      </c>
    </row>
    <row r="102" spans="1:10" x14ac:dyDescent="0.3">
      <c r="A102" t="s">
        <v>356</v>
      </c>
      <c r="B102" t="s">
        <v>357</v>
      </c>
      <c r="C102" t="str">
        <f>TRIM(PROPER(Ecustom_DB[[#This Row],[Name]]))</f>
        <v>Diane Watson</v>
      </c>
      <c r="D102">
        <v>53</v>
      </c>
      <c r="E102" t="s">
        <v>16</v>
      </c>
      <c r="F102" t="s">
        <v>358</v>
      </c>
      <c r="G102" t="str">
        <f>TRIM(PROPER(Ecustom_DB[[#This Row],[City]]))</f>
        <v>North Codyport</v>
      </c>
      <c r="H102" t="s">
        <v>359</v>
      </c>
      <c r="I102" t="s">
        <v>12</v>
      </c>
      <c r="J102" t="s">
        <v>19</v>
      </c>
    </row>
    <row r="103" spans="1:10" x14ac:dyDescent="0.3">
      <c r="A103" t="s">
        <v>360</v>
      </c>
      <c r="B103" t="s">
        <v>361</v>
      </c>
      <c r="C103" t="str">
        <f>TRIM(PROPER(Ecustom_DB[[#This Row],[Name]]))</f>
        <v>Colleen Maynard</v>
      </c>
      <c r="D103">
        <v>29</v>
      </c>
      <c r="E103" t="s">
        <v>9</v>
      </c>
      <c r="F103" t="s">
        <v>362</v>
      </c>
      <c r="G103" t="str">
        <f>TRIM(PROPER(Ecustom_DB[[#This Row],[City]]))</f>
        <v>Singletonmouth</v>
      </c>
      <c r="H103" t="s">
        <v>117</v>
      </c>
      <c r="I103" t="s">
        <v>12</v>
      </c>
      <c r="J103" t="s">
        <v>13</v>
      </c>
    </row>
    <row r="104" spans="1:10" x14ac:dyDescent="0.3">
      <c r="A104" t="s">
        <v>363</v>
      </c>
      <c r="B104" t="s">
        <v>364</v>
      </c>
      <c r="C104" t="str">
        <f>TRIM(PROPER(Ecustom_DB[[#This Row],[Name]]))</f>
        <v>Sarah Schneider</v>
      </c>
      <c r="D104">
        <v>34</v>
      </c>
      <c r="E104" t="s">
        <v>16</v>
      </c>
      <c r="F104" t="s">
        <v>365</v>
      </c>
      <c r="G104" t="str">
        <f>TRIM(PROPER(Ecustom_DB[[#This Row],[City]]))</f>
        <v>Port Joshuachester</v>
      </c>
      <c r="H104" t="s">
        <v>51</v>
      </c>
      <c r="I104" t="s">
        <v>12</v>
      </c>
      <c r="J104" t="s">
        <v>26</v>
      </c>
    </row>
    <row r="105" spans="1:10" x14ac:dyDescent="0.3">
      <c r="A105" t="s">
        <v>366</v>
      </c>
      <c r="B105" t="s">
        <v>367</v>
      </c>
      <c r="C105" t="str">
        <f>TRIM(PROPER(Ecustom_DB[[#This Row],[Name]]))</f>
        <v>Steven Stein</v>
      </c>
      <c r="D105">
        <v>21</v>
      </c>
      <c r="E105" t="s">
        <v>9</v>
      </c>
      <c r="F105" t="s">
        <v>368</v>
      </c>
      <c r="G105" t="str">
        <f>TRIM(PROPER(Ecustom_DB[[#This Row],[City]]))</f>
        <v>West Lauren</v>
      </c>
      <c r="H105" t="s">
        <v>167</v>
      </c>
      <c r="I105" t="s">
        <v>12</v>
      </c>
      <c r="J105" t="s">
        <v>26</v>
      </c>
    </row>
    <row r="106" spans="1:10" x14ac:dyDescent="0.3">
      <c r="A106" t="s">
        <v>369</v>
      </c>
      <c r="B106" t="s">
        <v>370</v>
      </c>
      <c r="C106" t="str">
        <f>TRIM(PROPER(Ecustom_DB[[#This Row],[Name]]))</f>
        <v>Christopher Lester</v>
      </c>
      <c r="D106">
        <v>64</v>
      </c>
      <c r="E106" t="s">
        <v>9</v>
      </c>
      <c r="F106" t="s">
        <v>371</v>
      </c>
      <c r="G106" t="str">
        <f>TRIM(PROPER(Ecustom_DB[[#This Row],[City]]))</f>
        <v>South Jenniferville</v>
      </c>
      <c r="H106" t="s">
        <v>81</v>
      </c>
      <c r="I106" t="s">
        <v>12</v>
      </c>
      <c r="J106" t="s">
        <v>31</v>
      </c>
    </row>
    <row r="107" spans="1:10" x14ac:dyDescent="0.3">
      <c r="A107" t="s">
        <v>372</v>
      </c>
      <c r="B107" t="s">
        <v>373</v>
      </c>
      <c r="C107" t="str">
        <f>TRIM(PROPER(Ecustom_DB[[#This Row],[Name]]))</f>
        <v>Lance Baker</v>
      </c>
      <c r="D107">
        <v>50</v>
      </c>
      <c r="E107" t="s">
        <v>16</v>
      </c>
      <c r="F107" t="s">
        <v>374</v>
      </c>
      <c r="G107" t="str">
        <f>TRIM(PROPER(Ecustom_DB[[#This Row],[City]]))</f>
        <v>Port Victoria</v>
      </c>
      <c r="H107" t="s">
        <v>250</v>
      </c>
      <c r="I107" t="s">
        <v>12</v>
      </c>
      <c r="J107" t="s">
        <v>13</v>
      </c>
    </row>
    <row r="108" spans="1:10" x14ac:dyDescent="0.3">
      <c r="A108" t="s">
        <v>375</v>
      </c>
      <c r="B108" t="s">
        <v>376</v>
      </c>
      <c r="C108" t="str">
        <f>TRIM(PROPER(Ecustom_DB[[#This Row],[Name]]))</f>
        <v>Howard Summers</v>
      </c>
      <c r="D108">
        <v>53</v>
      </c>
      <c r="E108" t="s">
        <v>16</v>
      </c>
      <c r="F108" t="s">
        <v>377</v>
      </c>
      <c r="G108" t="str">
        <f>TRIM(PROPER(Ecustom_DB[[#This Row],[City]]))</f>
        <v>East Linda</v>
      </c>
      <c r="H108" t="s">
        <v>217</v>
      </c>
      <c r="I108" t="s">
        <v>12</v>
      </c>
      <c r="J108" t="s">
        <v>26</v>
      </c>
    </row>
    <row r="109" spans="1:10" x14ac:dyDescent="0.3">
      <c r="A109" t="s">
        <v>378</v>
      </c>
      <c r="B109" t="s">
        <v>379</v>
      </c>
      <c r="C109" t="str">
        <f>TRIM(PROPER(Ecustom_DB[[#This Row],[Name]]))</f>
        <v>Erica Carney</v>
      </c>
      <c r="D109">
        <v>62</v>
      </c>
      <c r="E109" t="s">
        <v>16</v>
      </c>
      <c r="F109" t="s">
        <v>380</v>
      </c>
      <c r="G109" t="str">
        <f>TRIM(PROPER(Ecustom_DB[[#This Row],[City]]))</f>
        <v>North Justin</v>
      </c>
      <c r="H109" t="s">
        <v>18</v>
      </c>
      <c r="I109" t="s">
        <v>12</v>
      </c>
      <c r="J109" t="s">
        <v>19</v>
      </c>
    </row>
    <row r="110" spans="1:10" x14ac:dyDescent="0.3">
      <c r="A110" t="s">
        <v>381</v>
      </c>
      <c r="B110" t="s">
        <v>382</v>
      </c>
      <c r="C110" t="str">
        <f>TRIM(PROPER(Ecustom_DB[[#This Row],[Name]]))</f>
        <v>Travis Holland</v>
      </c>
      <c r="D110">
        <v>38</v>
      </c>
      <c r="E110" t="s">
        <v>9</v>
      </c>
      <c r="F110" t="s">
        <v>383</v>
      </c>
      <c r="G110" t="str">
        <f>TRIM(PROPER(Ecustom_DB[[#This Row],[City]]))</f>
        <v>Webstermouth</v>
      </c>
      <c r="H110" t="s">
        <v>47</v>
      </c>
      <c r="I110" t="s">
        <v>12</v>
      </c>
      <c r="J110" t="s">
        <v>26</v>
      </c>
    </row>
    <row r="111" spans="1:10" x14ac:dyDescent="0.3">
      <c r="A111" t="s">
        <v>384</v>
      </c>
      <c r="B111" t="s">
        <v>385</v>
      </c>
      <c r="C111" t="str">
        <f>TRIM(PROPER(Ecustom_DB[[#This Row],[Name]]))</f>
        <v>Amy Walker</v>
      </c>
      <c r="D111">
        <v>27</v>
      </c>
      <c r="E111" t="s">
        <v>9</v>
      </c>
      <c r="F111" t="s">
        <v>386</v>
      </c>
      <c r="G111" t="str">
        <f>TRIM(PROPER(Ecustom_DB[[#This Row],[City]]))</f>
        <v>Smithland</v>
      </c>
      <c r="H111" t="s">
        <v>43</v>
      </c>
      <c r="I111" t="s">
        <v>12</v>
      </c>
      <c r="J111" t="s">
        <v>31</v>
      </c>
    </row>
    <row r="112" spans="1:10" x14ac:dyDescent="0.3">
      <c r="A112" t="s">
        <v>387</v>
      </c>
      <c r="B112" t="s">
        <v>388</v>
      </c>
      <c r="C112" t="str">
        <f>TRIM(PROPER(Ecustom_DB[[#This Row],[Name]]))</f>
        <v>Ashley Griffin</v>
      </c>
      <c r="D112">
        <v>40</v>
      </c>
      <c r="E112" t="s">
        <v>16</v>
      </c>
      <c r="F112" t="s">
        <v>389</v>
      </c>
      <c r="G112" t="str">
        <f>TRIM(PROPER(Ecustom_DB[[#This Row],[City]]))</f>
        <v>New Dawnton</v>
      </c>
      <c r="H112" t="s">
        <v>140</v>
      </c>
      <c r="I112" t="s">
        <v>12</v>
      </c>
      <c r="J112" t="s">
        <v>13</v>
      </c>
    </row>
    <row r="113" spans="1:10" x14ac:dyDescent="0.3">
      <c r="A113" t="s">
        <v>390</v>
      </c>
      <c r="B113" t="s">
        <v>391</v>
      </c>
      <c r="C113" t="str">
        <f>TRIM(PROPER(Ecustom_DB[[#This Row],[Name]]))</f>
        <v>Julie Farmer</v>
      </c>
      <c r="D113">
        <v>18</v>
      </c>
      <c r="E113" t="s">
        <v>16</v>
      </c>
      <c r="F113" t="s">
        <v>392</v>
      </c>
      <c r="G113" t="str">
        <f>TRIM(PROPER(Ecustom_DB[[#This Row],[City]]))</f>
        <v>Rodriguezmouth</v>
      </c>
      <c r="H113" t="s">
        <v>133</v>
      </c>
      <c r="I113" t="s">
        <v>12</v>
      </c>
      <c r="J113" t="s">
        <v>19</v>
      </c>
    </row>
    <row r="114" spans="1:10" x14ac:dyDescent="0.3">
      <c r="A114" t="s">
        <v>393</v>
      </c>
      <c r="B114" t="s">
        <v>394</v>
      </c>
      <c r="C114" t="str">
        <f>TRIM(PROPER(Ecustom_DB[[#This Row],[Name]]))</f>
        <v>David Cole</v>
      </c>
      <c r="D114">
        <v>27</v>
      </c>
      <c r="E114" t="s">
        <v>16</v>
      </c>
      <c r="F114" t="s">
        <v>395</v>
      </c>
      <c r="G114" t="str">
        <f>TRIM(PROPER(Ecustom_DB[[#This Row],[City]]))</f>
        <v>Lake Michael</v>
      </c>
      <c r="H114" t="s">
        <v>156</v>
      </c>
      <c r="I114" t="s">
        <v>12</v>
      </c>
      <c r="J114" t="s">
        <v>31</v>
      </c>
    </row>
    <row r="115" spans="1:10" x14ac:dyDescent="0.3">
      <c r="A115" t="s">
        <v>396</v>
      </c>
      <c r="B115" t="s">
        <v>397</v>
      </c>
      <c r="C115" t="str">
        <f>TRIM(PROPER(Ecustom_DB[[#This Row],[Name]]))</f>
        <v>Edward Hall</v>
      </c>
      <c r="D115">
        <v>51</v>
      </c>
      <c r="E115" t="s">
        <v>9</v>
      </c>
      <c r="F115" t="s">
        <v>398</v>
      </c>
      <c r="G115" t="str">
        <f>TRIM(PROPER(Ecustom_DB[[#This Row],[City]]))</f>
        <v>New William</v>
      </c>
      <c r="H115" t="s">
        <v>233</v>
      </c>
      <c r="I115" t="s">
        <v>12</v>
      </c>
      <c r="J115" t="s">
        <v>13</v>
      </c>
    </row>
    <row r="116" spans="1:10" x14ac:dyDescent="0.3">
      <c r="A116" t="s">
        <v>399</v>
      </c>
      <c r="B116" t="s">
        <v>400</v>
      </c>
      <c r="C116" t="str">
        <f>TRIM(PROPER(Ecustom_DB[[#This Row],[Name]]))</f>
        <v>Ryan Hernandez</v>
      </c>
      <c r="D116">
        <v>30</v>
      </c>
      <c r="E116" t="s">
        <v>9</v>
      </c>
      <c r="F116" t="s">
        <v>401</v>
      </c>
      <c r="G116" t="str">
        <f>TRIM(PROPER(Ecustom_DB[[#This Row],[City]]))</f>
        <v>East Donna</v>
      </c>
      <c r="H116" t="s">
        <v>184</v>
      </c>
      <c r="I116" t="s">
        <v>12</v>
      </c>
      <c r="J116" t="s">
        <v>26</v>
      </c>
    </row>
    <row r="117" spans="1:10" x14ac:dyDescent="0.3">
      <c r="A117" t="s">
        <v>402</v>
      </c>
      <c r="B117" t="s">
        <v>403</v>
      </c>
      <c r="C117" t="str">
        <f>TRIM(PROPER(Ecustom_DB[[#This Row],[Name]]))</f>
        <v>Tyler Conrad</v>
      </c>
      <c r="D117">
        <v>53</v>
      </c>
      <c r="E117" t="s">
        <v>16</v>
      </c>
      <c r="F117" t="s">
        <v>404</v>
      </c>
      <c r="G117" t="str">
        <f>TRIM(PROPER(Ecustom_DB[[#This Row],[City]]))</f>
        <v>North Curtischester</v>
      </c>
      <c r="H117" t="s">
        <v>18</v>
      </c>
      <c r="I117" t="s">
        <v>12</v>
      </c>
      <c r="J117" t="s">
        <v>19</v>
      </c>
    </row>
    <row r="118" spans="1:10" x14ac:dyDescent="0.3">
      <c r="A118" t="s">
        <v>405</v>
      </c>
      <c r="B118" t="s">
        <v>406</v>
      </c>
      <c r="C118" t="str">
        <f>TRIM(PROPER(Ecustom_DB[[#This Row],[Name]]))</f>
        <v>Anthony Phillips</v>
      </c>
      <c r="D118">
        <v>18</v>
      </c>
      <c r="E118" t="s">
        <v>16</v>
      </c>
      <c r="F118" t="s">
        <v>407</v>
      </c>
      <c r="G118" t="str">
        <f>TRIM(PROPER(Ecustom_DB[[#This Row],[City]]))</f>
        <v>North Davidport</v>
      </c>
      <c r="H118" t="s">
        <v>217</v>
      </c>
      <c r="I118" t="s">
        <v>12</v>
      </c>
      <c r="J118" t="s">
        <v>19</v>
      </c>
    </row>
    <row r="119" spans="1:10" x14ac:dyDescent="0.3">
      <c r="A119" t="s">
        <v>408</v>
      </c>
      <c r="B119" t="s">
        <v>409</v>
      </c>
      <c r="C119" t="str">
        <f>TRIM(PROPER(Ecustom_DB[[#This Row],[Name]]))</f>
        <v>Colleen Mccarthy</v>
      </c>
      <c r="D119">
        <v>21</v>
      </c>
      <c r="E119" t="s">
        <v>16</v>
      </c>
      <c r="F119" t="s">
        <v>410</v>
      </c>
      <c r="G119" t="str">
        <f>TRIM(PROPER(Ecustom_DB[[#This Row],[City]]))</f>
        <v>North Katherine</v>
      </c>
      <c r="H119" t="s">
        <v>74</v>
      </c>
      <c r="I119" t="s">
        <v>12</v>
      </c>
      <c r="J119" t="s">
        <v>19</v>
      </c>
    </row>
    <row r="120" spans="1:10" x14ac:dyDescent="0.3">
      <c r="A120" t="s">
        <v>411</v>
      </c>
      <c r="B120" t="s">
        <v>412</v>
      </c>
      <c r="C120" t="str">
        <f>TRIM(PROPER(Ecustom_DB[[#This Row],[Name]]))</f>
        <v>Earl Allen</v>
      </c>
      <c r="D120">
        <v>36</v>
      </c>
      <c r="E120" t="s">
        <v>9</v>
      </c>
      <c r="F120" t="s">
        <v>413</v>
      </c>
      <c r="G120" t="str">
        <f>TRIM(PROPER(Ecustom_DB[[#This Row],[City]]))</f>
        <v>New Jenniferburgh</v>
      </c>
      <c r="H120" t="s">
        <v>70</v>
      </c>
      <c r="I120" t="s">
        <v>12</v>
      </c>
      <c r="J120" t="s">
        <v>19</v>
      </c>
    </row>
    <row r="121" spans="1:10" x14ac:dyDescent="0.3">
      <c r="A121" t="s">
        <v>414</v>
      </c>
      <c r="B121" t="s">
        <v>415</v>
      </c>
      <c r="C121" t="str">
        <f>TRIM(PROPER(Ecustom_DB[[#This Row],[Name]]))</f>
        <v>Michael Jones</v>
      </c>
      <c r="D121">
        <v>40</v>
      </c>
      <c r="E121" t="s">
        <v>9</v>
      </c>
      <c r="F121" t="s">
        <v>416</v>
      </c>
      <c r="G121" t="str">
        <f>TRIM(PROPER(Ecustom_DB[[#This Row],[City]]))</f>
        <v>North Edwardton</v>
      </c>
      <c r="H121" t="s">
        <v>237</v>
      </c>
      <c r="I121" t="s">
        <v>12</v>
      </c>
      <c r="J121" t="s">
        <v>26</v>
      </c>
    </row>
    <row r="122" spans="1:10" x14ac:dyDescent="0.3">
      <c r="A122" t="s">
        <v>417</v>
      </c>
      <c r="B122" t="s">
        <v>418</v>
      </c>
      <c r="C122" t="str">
        <f>TRIM(PROPER(Ecustom_DB[[#This Row],[Name]]))</f>
        <v>Jacob Hopkins</v>
      </c>
      <c r="D122">
        <v>44</v>
      </c>
      <c r="E122" t="s">
        <v>16</v>
      </c>
      <c r="F122" t="s">
        <v>3826</v>
      </c>
      <c r="G122" t="str">
        <f>TRIM(PROPER(Ecustom_DB[[#This Row],[City]]))</f>
        <v>Lake Tylerfort</v>
      </c>
      <c r="H122" t="s">
        <v>51</v>
      </c>
      <c r="I122" t="s">
        <v>12</v>
      </c>
      <c r="J122" t="s">
        <v>19</v>
      </c>
    </row>
    <row r="123" spans="1:10" x14ac:dyDescent="0.3">
      <c r="A123" t="s">
        <v>419</v>
      </c>
      <c r="B123" t="s">
        <v>420</v>
      </c>
      <c r="C123" t="str">
        <f>TRIM(PROPER(Ecustom_DB[[#This Row],[Name]]))</f>
        <v>Joel Robinson</v>
      </c>
      <c r="D123">
        <v>62</v>
      </c>
      <c r="E123" t="s">
        <v>9</v>
      </c>
      <c r="F123" t="s">
        <v>421</v>
      </c>
      <c r="G123" t="str">
        <f>TRIM(PROPER(Ecustom_DB[[#This Row],[City]]))</f>
        <v>Lake Danielport</v>
      </c>
      <c r="H123" t="s">
        <v>99</v>
      </c>
      <c r="I123" t="s">
        <v>12</v>
      </c>
      <c r="J123" t="s">
        <v>19</v>
      </c>
    </row>
    <row r="124" spans="1:10" x14ac:dyDescent="0.3">
      <c r="A124" t="s">
        <v>422</v>
      </c>
      <c r="B124" t="s">
        <v>423</v>
      </c>
      <c r="C124" t="str">
        <f>TRIM(PROPER(Ecustom_DB[[#This Row],[Name]]))</f>
        <v>Michael Chang</v>
      </c>
      <c r="D124">
        <v>50</v>
      </c>
      <c r="E124" t="s">
        <v>9</v>
      </c>
      <c r="F124" t="s">
        <v>424</v>
      </c>
      <c r="G124" t="str">
        <f>TRIM(PROPER(Ecustom_DB[[#This Row],[City]]))</f>
        <v>Kathrynport</v>
      </c>
      <c r="H124" t="s">
        <v>11</v>
      </c>
      <c r="I124" t="s">
        <v>12</v>
      </c>
      <c r="J124" t="s">
        <v>19</v>
      </c>
    </row>
    <row r="125" spans="1:10" x14ac:dyDescent="0.3">
      <c r="A125" t="s">
        <v>425</v>
      </c>
      <c r="B125" t="s">
        <v>426</v>
      </c>
      <c r="C125" t="str">
        <f>TRIM(PROPER(Ecustom_DB[[#This Row],[Name]]))</f>
        <v>Erin Hopkins</v>
      </c>
      <c r="D125">
        <v>40</v>
      </c>
      <c r="E125" t="s">
        <v>9</v>
      </c>
      <c r="F125" t="s">
        <v>427</v>
      </c>
      <c r="G125" t="str">
        <f>TRIM(PROPER(Ecustom_DB[[#This Row],[City]]))</f>
        <v>North Sabrina</v>
      </c>
      <c r="H125" t="s">
        <v>267</v>
      </c>
      <c r="I125" t="s">
        <v>12</v>
      </c>
      <c r="J125" t="s">
        <v>31</v>
      </c>
    </row>
    <row r="126" spans="1:10" x14ac:dyDescent="0.3">
      <c r="A126" t="s">
        <v>428</v>
      </c>
      <c r="B126" t="s">
        <v>429</v>
      </c>
      <c r="C126" t="str">
        <f>TRIM(PROPER(Ecustom_DB[[#This Row],[Name]]))</f>
        <v>Donald Lee</v>
      </c>
      <c r="D126">
        <v>26</v>
      </c>
      <c r="E126" t="s">
        <v>9</v>
      </c>
      <c r="F126" t="s">
        <v>430</v>
      </c>
      <c r="G126" t="str">
        <f>TRIM(PROPER(Ecustom_DB[[#This Row],[City]]))</f>
        <v>Wongberg</v>
      </c>
      <c r="H126" t="s">
        <v>194</v>
      </c>
      <c r="I126" t="s">
        <v>12</v>
      </c>
      <c r="J126" t="s">
        <v>26</v>
      </c>
    </row>
    <row r="127" spans="1:10" x14ac:dyDescent="0.3">
      <c r="A127" t="s">
        <v>431</v>
      </c>
      <c r="B127" t="s">
        <v>432</v>
      </c>
      <c r="C127" t="str">
        <f>TRIM(PROPER(Ecustom_DB[[#This Row],[Name]]))</f>
        <v>Keith Miller</v>
      </c>
      <c r="D127">
        <v>64</v>
      </c>
      <c r="E127" t="s">
        <v>16</v>
      </c>
      <c r="F127" t="s">
        <v>433</v>
      </c>
      <c r="G127" t="str">
        <f>TRIM(PROPER(Ecustom_DB[[#This Row],[City]]))</f>
        <v>West Jameston</v>
      </c>
      <c r="H127" t="s">
        <v>434</v>
      </c>
      <c r="I127" t="s">
        <v>12</v>
      </c>
      <c r="J127" t="s">
        <v>19</v>
      </c>
    </row>
    <row r="128" spans="1:10" x14ac:dyDescent="0.3">
      <c r="A128" t="s">
        <v>435</v>
      </c>
      <c r="B128" t="s">
        <v>436</v>
      </c>
      <c r="C128" t="str">
        <f>TRIM(PROPER(Ecustom_DB[[#This Row],[Name]]))</f>
        <v>James Wolfe</v>
      </c>
      <c r="D128">
        <v>62</v>
      </c>
      <c r="E128" t="s">
        <v>16</v>
      </c>
      <c r="F128" t="s">
        <v>437</v>
      </c>
      <c r="G128" t="str">
        <f>TRIM(PROPER(Ecustom_DB[[#This Row],[City]]))</f>
        <v>Benjaminton</v>
      </c>
      <c r="H128" t="s">
        <v>133</v>
      </c>
      <c r="I128" t="s">
        <v>12</v>
      </c>
      <c r="J128" t="s">
        <v>13</v>
      </c>
    </row>
    <row r="129" spans="1:10" x14ac:dyDescent="0.3">
      <c r="A129" t="s">
        <v>438</v>
      </c>
      <c r="B129" t="s">
        <v>439</v>
      </c>
      <c r="C129" t="str">
        <f>TRIM(PROPER(Ecustom_DB[[#This Row],[Name]]))</f>
        <v>John Mcknight</v>
      </c>
      <c r="D129">
        <v>39</v>
      </c>
      <c r="E129" t="s">
        <v>9</v>
      </c>
      <c r="F129" t="s">
        <v>440</v>
      </c>
      <c r="G129" t="str">
        <f>TRIM(PROPER(Ecustom_DB[[#This Row],[City]]))</f>
        <v>South Nathan</v>
      </c>
      <c r="H129" t="s">
        <v>171</v>
      </c>
      <c r="I129" t="s">
        <v>12</v>
      </c>
      <c r="J129" t="s">
        <v>19</v>
      </c>
    </row>
    <row r="130" spans="1:10" x14ac:dyDescent="0.3">
      <c r="A130" t="s">
        <v>441</v>
      </c>
      <c r="B130" t="s">
        <v>442</v>
      </c>
      <c r="C130" t="str">
        <f>TRIM(PROPER(Ecustom_DB[[#This Row],[Name]]))</f>
        <v>Susan Mcdonald</v>
      </c>
      <c r="D130">
        <v>45</v>
      </c>
      <c r="E130" t="s">
        <v>9</v>
      </c>
      <c r="F130" t="s">
        <v>443</v>
      </c>
      <c r="G130" t="str">
        <f>TRIM(PROPER(Ecustom_DB[[#This Row],[City]]))</f>
        <v>East Ellen</v>
      </c>
      <c r="H130" t="s">
        <v>291</v>
      </c>
      <c r="I130" t="s">
        <v>12</v>
      </c>
      <c r="J130" t="s">
        <v>31</v>
      </c>
    </row>
    <row r="131" spans="1:10" x14ac:dyDescent="0.3">
      <c r="A131" t="s">
        <v>444</v>
      </c>
      <c r="B131" t="s">
        <v>445</v>
      </c>
      <c r="C131" t="str">
        <f>TRIM(PROPER(Ecustom_DB[[#This Row],[Name]]))</f>
        <v>Jessica Mitchell</v>
      </c>
      <c r="D131">
        <v>43</v>
      </c>
      <c r="E131" t="s">
        <v>16</v>
      </c>
      <c r="F131" t="s">
        <v>446</v>
      </c>
      <c r="G131" t="str">
        <f>TRIM(PROPER(Ecustom_DB[[#This Row],[City]]))</f>
        <v>Matthewbury</v>
      </c>
      <c r="H131" t="s">
        <v>39</v>
      </c>
      <c r="I131" t="s">
        <v>12</v>
      </c>
      <c r="J131" t="s">
        <v>31</v>
      </c>
    </row>
    <row r="132" spans="1:10" x14ac:dyDescent="0.3">
      <c r="A132" t="s">
        <v>447</v>
      </c>
      <c r="B132" t="s">
        <v>448</v>
      </c>
      <c r="C132" t="str">
        <f>TRIM(PROPER(Ecustom_DB[[#This Row],[Name]]))</f>
        <v>Jamie Reyes</v>
      </c>
      <c r="D132">
        <v>29</v>
      </c>
      <c r="E132" t="s">
        <v>9</v>
      </c>
      <c r="F132" t="s">
        <v>3827</v>
      </c>
      <c r="G132" t="str">
        <f>TRIM(PROPER(Ecustom_DB[[#This Row],[City]]))</f>
        <v>Jonesbury</v>
      </c>
      <c r="H132" t="s">
        <v>167</v>
      </c>
      <c r="I132" t="s">
        <v>3828</v>
      </c>
      <c r="J132" t="s">
        <v>19</v>
      </c>
    </row>
    <row r="133" spans="1:10" x14ac:dyDescent="0.3">
      <c r="A133" t="s">
        <v>449</v>
      </c>
      <c r="B133" t="s">
        <v>450</v>
      </c>
      <c r="C133" t="str">
        <f>TRIM(PROPER(Ecustom_DB[[#This Row],[Name]]))</f>
        <v>Joseph Richards</v>
      </c>
      <c r="D133">
        <v>34</v>
      </c>
      <c r="E133" t="s">
        <v>16</v>
      </c>
      <c r="F133" t="s">
        <v>451</v>
      </c>
      <c r="G133" t="str">
        <f>TRIM(PROPER(Ecustom_DB[[#This Row],[City]]))</f>
        <v>Wigginsville</v>
      </c>
      <c r="H133" t="s">
        <v>22</v>
      </c>
      <c r="I133" t="s">
        <v>12</v>
      </c>
      <c r="J133" t="s">
        <v>26</v>
      </c>
    </row>
    <row r="134" spans="1:10" x14ac:dyDescent="0.3">
      <c r="A134" t="s">
        <v>452</v>
      </c>
      <c r="B134" t="s">
        <v>453</v>
      </c>
      <c r="C134" t="str">
        <f>TRIM(PROPER(Ecustom_DB[[#This Row],[Name]]))</f>
        <v>Miguel Reynolds</v>
      </c>
      <c r="D134">
        <v>57</v>
      </c>
      <c r="E134" t="s">
        <v>16</v>
      </c>
      <c r="F134" t="s">
        <v>454</v>
      </c>
      <c r="G134" t="str">
        <f>TRIM(PROPER(Ecustom_DB[[#This Row],[City]]))</f>
        <v>Taylorberg</v>
      </c>
      <c r="H134" t="s">
        <v>25</v>
      </c>
      <c r="I134" t="s">
        <v>12</v>
      </c>
      <c r="J134" t="s">
        <v>13</v>
      </c>
    </row>
    <row r="135" spans="1:10" x14ac:dyDescent="0.3">
      <c r="A135" t="s">
        <v>455</v>
      </c>
      <c r="B135" t="s">
        <v>456</v>
      </c>
      <c r="C135" t="str">
        <f>TRIM(PROPER(Ecustom_DB[[#This Row],[Name]]))</f>
        <v>Hayley Pope</v>
      </c>
      <c r="D135">
        <v>62</v>
      </c>
      <c r="E135" t="s">
        <v>16</v>
      </c>
      <c r="F135" t="s">
        <v>457</v>
      </c>
      <c r="G135" t="str">
        <f>TRIM(PROPER(Ecustom_DB[[#This Row],[City]]))</f>
        <v>West Stephenville</v>
      </c>
      <c r="H135" t="s">
        <v>250</v>
      </c>
      <c r="I135" t="s">
        <v>12</v>
      </c>
      <c r="J135" t="s">
        <v>26</v>
      </c>
    </row>
    <row r="136" spans="1:10" x14ac:dyDescent="0.3">
      <c r="A136" t="s">
        <v>458</v>
      </c>
      <c r="B136" t="s">
        <v>459</v>
      </c>
      <c r="C136" t="str">
        <f>TRIM(PROPER(Ecustom_DB[[#This Row],[Name]]))</f>
        <v>Morgan Bowen</v>
      </c>
      <c r="D136">
        <v>54</v>
      </c>
      <c r="E136" t="s">
        <v>9</v>
      </c>
      <c r="F136" t="s">
        <v>460</v>
      </c>
      <c r="G136" t="str">
        <f>TRIM(PROPER(Ecustom_DB[[#This Row],[City]]))</f>
        <v>Parksfort</v>
      </c>
      <c r="H136" t="s">
        <v>74</v>
      </c>
      <c r="I136" t="s">
        <v>12</v>
      </c>
      <c r="J136" t="s">
        <v>13</v>
      </c>
    </row>
    <row r="137" spans="1:10" x14ac:dyDescent="0.3">
      <c r="A137" t="s">
        <v>461</v>
      </c>
      <c r="B137" t="s">
        <v>462</v>
      </c>
      <c r="C137" t="str">
        <f>TRIM(PROPER(Ecustom_DB[[#This Row],[Name]]))</f>
        <v>Matthew Hanna</v>
      </c>
      <c r="D137">
        <v>33</v>
      </c>
      <c r="E137" t="s">
        <v>16</v>
      </c>
      <c r="F137" t="s">
        <v>463</v>
      </c>
      <c r="G137" t="str">
        <f>TRIM(PROPER(Ecustom_DB[[#This Row],[City]]))</f>
        <v>Gonzalezbury</v>
      </c>
      <c r="H137" t="s">
        <v>156</v>
      </c>
      <c r="I137" t="s">
        <v>12</v>
      </c>
      <c r="J137" t="s">
        <v>19</v>
      </c>
    </row>
    <row r="138" spans="1:10" x14ac:dyDescent="0.3">
      <c r="A138" t="s">
        <v>464</v>
      </c>
      <c r="B138" t="s">
        <v>465</v>
      </c>
      <c r="C138" t="str">
        <f>TRIM(PROPER(Ecustom_DB[[#This Row],[Name]]))</f>
        <v>Patrick Coleman</v>
      </c>
      <c r="D138">
        <v>29</v>
      </c>
      <c r="E138" t="s">
        <v>9</v>
      </c>
      <c r="F138" t="s">
        <v>466</v>
      </c>
      <c r="G138" t="str">
        <f>TRIM(PROPER(Ecustom_DB[[#This Row],[City]]))</f>
        <v>New Jeffrey</v>
      </c>
      <c r="H138" t="s">
        <v>70</v>
      </c>
      <c r="I138" t="s">
        <v>12</v>
      </c>
      <c r="J138" t="s">
        <v>31</v>
      </c>
    </row>
    <row r="139" spans="1:10" x14ac:dyDescent="0.3">
      <c r="A139" t="s">
        <v>467</v>
      </c>
      <c r="B139" t="s">
        <v>468</v>
      </c>
      <c r="C139" t="str">
        <f>TRIM(PROPER(Ecustom_DB[[#This Row],[Name]]))</f>
        <v>Rick Dominguez</v>
      </c>
      <c r="D139">
        <v>55</v>
      </c>
      <c r="E139" t="s">
        <v>16</v>
      </c>
      <c r="F139" t="s">
        <v>469</v>
      </c>
      <c r="G139" t="str">
        <f>TRIM(PROPER(Ecustom_DB[[#This Row],[City]]))</f>
        <v>North Johnbury</v>
      </c>
      <c r="H139" t="s">
        <v>25</v>
      </c>
      <c r="I139" t="s">
        <v>12</v>
      </c>
      <c r="J139" t="s">
        <v>19</v>
      </c>
    </row>
    <row r="140" spans="1:10" x14ac:dyDescent="0.3">
      <c r="A140" t="s">
        <v>470</v>
      </c>
      <c r="B140" t="s">
        <v>471</v>
      </c>
      <c r="C140" t="str">
        <f>TRIM(PROPER(Ecustom_DB[[#This Row],[Name]]))</f>
        <v>Sean Roth</v>
      </c>
      <c r="D140">
        <v>43</v>
      </c>
      <c r="E140" t="s">
        <v>9</v>
      </c>
      <c r="F140" t="s">
        <v>395</v>
      </c>
      <c r="G140" t="str">
        <f>TRIM(PROPER(Ecustom_DB[[#This Row],[City]]))</f>
        <v>Lake Michael</v>
      </c>
      <c r="H140" t="s">
        <v>287</v>
      </c>
      <c r="I140" t="s">
        <v>12</v>
      </c>
      <c r="J140" t="s">
        <v>13</v>
      </c>
    </row>
    <row r="141" spans="1:10" x14ac:dyDescent="0.3">
      <c r="A141" t="s">
        <v>472</v>
      </c>
      <c r="B141" t="s">
        <v>473</v>
      </c>
      <c r="C141" t="str">
        <f>TRIM(PROPER(Ecustom_DB[[#This Row],[Name]]))</f>
        <v>Brian Holder</v>
      </c>
      <c r="D141">
        <v>32</v>
      </c>
      <c r="E141" t="s">
        <v>9</v>
      </c>
      <c r="F141" t="s">
        <v>474</v>
      </c>
      <c r="G141" t="str">
        <f>TRIM(PROPER(Ecustom_DB[[#This Row],[City]]))</f>
        <v>Port Travis</v>
      </c>
      <c r="H141" t="s">
        <v>117</v>
      </c>
      <c r="I141" t="s">
        <v>12</v>
      </c>
      <c r="J141" t="s">
        <v>26</v>
      </c>
    </row>
    <row r="142" spans="1:10" x14ac:dyDescent="0.3">
      <c r="A142" t="s">
        <v>475</v>
      </c>
      <c r="B142" t="s">
        <v>476</v>
      </c>
      <c r="C142" t="str">
        <f>TRIM(PROPER(Ecustom_DB[[#This Row],[Name]]))</f>
        <v>Patty Francis</v>
      </c>
      <c r="D142">
        <v>63</v>
      </c>
      <c r="E142" t="s">
        <v>16</v>
      </c>
      <c r="F142" t="s">
        <v>477</v>
      </c>
      <c r="G142" t="str">
        <f>TRIM(PROPER(Ecustom_DB[[#This Row],[City]]))</f>
        <v>South Brooke</v>
      </c>
      <c r="H142" t="s">
        <v>51</v>
      </c>
      <c r="I142" t="s">
        <v>12</v>
      </c>
      <c r="J142" t="s">
        <v>13</v>
      </c>
    </row>
    <row r="143" spans="1:10" x14ac:dyDescent="0.3">
      <c r="A143" t="s">
        <v>478</v>
      </c>
      <c r="B143" t="s">
        <v>479</v>
      </c>
      <c r="C143" t="str">
        <f>TRIM(PROPER(Ecustom_DB[[#This Row],[Name]]))</f>
        <v>Cristian Wright</v>
      </c>
      <c r="D143">
        <v>30</v>
      </c>
      <c r="E143" t="s">
        <v>9</v>
      </c>
      <c r="F143" t="s">
        <v>480</v>
      </c>
      <c r="G143" t="str">
        <f>TRIM(PROPER(Ecustom_DB[[#This Row],[City]]))</f>
        <v>Port Denise</v>
      </c>
      <c r="H143" t="s">
        <v>30</v>
      </c>
      <c r="I143" t="s">
        <v>3828</v>
      </c>
      <c r="J143" t="s">
        <v>26</v>
      </c>
    </row>
    <row r="144" spans="1:10" x14ac:dyDescent="0.3">
      <c r="A144" t="s">
        <v>481</v>
      </c>
      <c r="B144" t="s">
        <v>482</v>
      </c>
      <c r="C144" t="str">
        <f>TRIM(PROPER(Ecustom_DB[[#This Row],[Name]]))</f>
        <v>Maria Ramirez</v>
      </c>
      <c r="D144">
        <v>37</v>
      </c>
      <c r="E144" t="s">
        <v>9</v>
      </c>
      <c r="F144" t="s">
        <v>483</v>
      </c>
      <c r="G144" t="str">
        <f>TRIM(PROPER(Ecustom_DB[[#This Row],[City]]))</f>
        <v>West Brandon</v>
      </c>
      <c r="H144" t="s">
        <v>66</v>
      </c>
      <c r="I144" t="s">
        <v>12</v>
      </c>
      <c r="J144" t="s">
        <v>26</v>
      </c>
    </row>
    <row r="145" spans="1:10" x14ac:dyDescent="0.3">
      <c r="A145" t="s">
        <v>484</v>
      </c>
      <c r="B145" t="s">
        <v>485</v>
      </c>
      <c r="C145" t="str">
        <f>TRIM(PROPER(Ecustom_DB[[#This Row],[Name]]))</f>
        <v>Carlos Skinner</v>
      </c>
      <c r="D145">
        <v>46</v>
      </c>
      <c r="E145" t="s">
        <v>9</v>
      </c>
      <c r="F145" t="s">
        <v>486</v>
      </c>
      <c r="G145" t="str">
        <f>TRIM(PROPER(Ecustom_DB[[#This Row],[City]]))</f>
        <v>Dwaynemouth</v>
      </c>
      <c r="H145" t="s">
        <v>22</v>
      </c>
      <c r="I145" t="s">
        <v>12</v>
      </c>
      <c r="J145" t="s">
        <v>26</v>
      </c>
    </row>
    <row r="146" spans="1:10" x14ac:dyDescent="0.3">
      <c r="A146" t="s">
        <v>487</v>
      </c>
      <c r="B146" t="s">
        <v>488</v>
      </c>
      <c r="C146" t="str">
        <f>TRIM(PROPER(Ecustom_DB[[#This Row],[Name]]))</f>
        <v>Justin Cross</v>
      </c>
      <c r="D146">
        <v>62</v>
      </c>
      <c r="E146" t="s">
        <v>16</v>
      </c>
      <c r="F146" t="s">
        <v>489</v>
      </c>
      <c r="G146" t="str">
        <f>TRIM(PROPER(Ecustom_DB[[#This Row],[City]]))</f>
        <v>North Anthonychester</v>
      </c>
      <c r="H146" t="s">
        <v>184</v>
      </c>
      <c r="I146" t="s">
        <v>12</v>
      </c>
      <c r="J146" t="s">
        <v>26</v>
      </c>
    </row>
    <row r="147" spans="1:10" x14ac:dyDescent="0.3">
      <c r="A147" t="s">
        <v>490</v>
      </c>
      <c r="B147" t="s">
        <v>491</v>
      </c>
      <c r="C147" t="str">
        <f>TRIM(PROPER(Ecustom_DB[[#This Row],[Name]]))</f>
        <v>Cameron Simpson</v>
      </c>
      <c r="D147">
        <v>46</v>
      </c>
      <c r="E147" t="s">
        <v>9</v>
      </c>
      <c r="F147" t="s">
        <v>492</v>
      </c>
      <c r="G147" t="str">
        <f>TRIM(PROPER(Ecustom_DB[[#This Row],[City]]))</f>
        <v>Michaelfort</v>
      </c>
      <c r="H147" t="s">
        <v>254</v>
      </c>
      <c r="I147" t="s">
        <v>12</v>
      </c>
      <c r="J147" t="s">
        <v>19</v>
      </c>
    </row>
    <row r="148" spans="1:10" x14ac:dyDescent="0.3">
      <c r="A148" t="s">
        <v>493</v>
      </c>
      <c r="B148" t="s">
        <v>494</v>
      </c>
      <c r="C148" t="str">
        <f>TRIM(PROPER(Ecustom_DB[[#This Row],[Name]]))</f>
        <v>Edward Rivera</v>
      </c>
      <c r="D148">
        <v>32</v>
      </c>
      <c r="E148" t="s">
        <v>16</v>
      </c>
      <c r="F148" t="s">
        <v>495</v>
      </c>
      <c r="G148" t="str">
        <f>TRIM(PROPER(Ecustom_DB[[#This Row],[City]]))</f>
        <v>Chungmouth</v>
      </c>
      <c r="H148" t="s">
        <v>317</v>
      </c>
      <c r="I148" t="s">
        <v>12</v>
      </c>
      <c r="J148" t="s">
        <v>13</v>
      </c>
    </row>
    <row r="149" spans="1:10" x14ac:dyDescent="0.3">
      <c r="A149" t="s">
        <v>496</v>
      </c>
      <c r="B149" t="s">
        <v>497</v>
      </c>
      <c r="C149" t="str">
        <f>TRIM(PROPER(Ecustom_DB[[#This Row],[Name]]))</f>
        <v>Rhonda Young</v>
      </c>
      <c r="D149">
        <v>49</v>
      </c>
      <c r="E149" t="s">
        <v>16</v>
      </c>
      <c r="F149" t="s">
        <v>498</v>
      </c>
      <c r="G149" t="str">
        <f>TRIM(PROPER(Ecustom_DB[[#This Row],[City]]))</f>
        <v>Lake Nathanfort</v>
      </c>
      <c r="H149" t="s">
        <v>163</v>
      </c>
      <c r="I149" t="s">
        <v>12</v>
      </c>
      <c r="J149" t="s">
        <v>19</v>
      </c>
    </row>
    <row r="150" spans="1:10" x14ac:dyDescent="0.3">
      <c r="A150" t="s">
        <v>499</v>
      </c>
      <c r="B150" t="s">
        <v>500</v>
      </c>
      <c r="C150" t="str">
        <f>TRIM(PROPER(Ecustom_DB[[#This Row],[Name]]))</f>
        <v>Theresa Campbell</v>
      </c>
      <c r="D150">
        <v>42</v>
      </c>
      <c r="E150" t="s">
        <v>16</v>
      </c>
      <c r="F150" t="s">
        <v>501</v>
      </c>
      <c r="G150" t="str">
        <f>TRIM(PROPER(Ecustom_DB[[#This Row],[City]]))</f>
        <v>New Brian</v>
      </c>
      <c r="H150" t="s">
        <v>324</v>
      </c>
      <c r="I150" t="s">
        <v>12</v>
      </c>
      <c r="J150" t="s">
        <v>26</v>
      </c>
    </row>
    <row r="151" spans="1:10" x14ac:dyDescent="0.3">
      <c r="A151" t="s">
        <v>502</v>
      </c>
      <c r="B151" t="s">
        <v>503</v>
      </c>
      <c r="C151" t="str">
        <f>TRIM(PROPER(Ecustom_DB[[#This Row],[Name]]))</f>
        <v>Denise Griffin</v>
      </c>
      <c r="D151">
        <v>33</v>
      </c>
      <c r="E151" t="s">
        <v>9</v>
      </c>
      <c r="F151" t="s">
        <v>504</v>
      </c>
      <c r="G151" t="str">
        <f>TRIM(PROPER(Ecustom_DB[[#This Row],[City]]))</f>
        <v>West Markhaven</v>
      </c>
      <c r="H151" t="s">
        <v>250</v>
      </c>
      <c r="I151" t="s">
        <v>12</v>
      </c>
      <c r="J151" t="s">
        <v>19</v>
      </c>
    </row>
    <row r="152" spans="1:10" x14ac:dyDescent="0.3">
      <c r="A152" t="s">
        <v>505</v>
      </c>
      <c r="B152" t="s">
        <v>506</v>
      </c>
      <c r="C152" t="str">
        <f>TRIM(PROPER(Ecustom_DB[[#This Row],[Name]]))</f>
        <v>Stephanie Conway</v>
      </c>
      <c r="D152">
        <v>24</v>
      </c>
      <c r="E152" t="s">
        <v>9</v>
      </c>
      <c r="F152" t="s">
        <v>507</v>
      </c>
      <c r="G152" t="str">
        <f>TRIM(PROPER(Ecustom_DB[[#This Row],[City]]))</f>
        <v>Port Frankmouth</v>
      </c>
      <c r="H152" t="s">
        <v>313</v>
      </c>
      <c r="I152" t="s">
        <v>12</v>
      </c>
      <c r="J152" t="s">
        <v>13</v>
      </c>
    </row>
    <row r="153" spans="1:10" x14ac:dyDescent="0.3">
      <c r="A153" t="s">
        <v>508</v>
      </c>
      <c r="B153" t="s">
        <v>509</v>
      </c>
      <c r="C153" t="str">
        <f>TRIM(PROPER(Ecustom_DB[[#This Row],[Name]]))</f>
        <v>Michael Davies</v>
      </c>
      <c r="D153">
        <v>25</v>
      </c>
      <c r="E153" t="s">
        <v>16</v>
      </c>
      <c r="F153" t="s">
        <v>510</v>
      </c>
      <c r="G153" t="str">
        <f>TRIM(PROPER(Ecustom_DB[[#This Row],[City]]))</f>
        <v>Lake Stevenfort</v>
      </c>
      <c r="H153" t="s">
        <v>35</v>
      </c>
      <c r="I153" t="s">
        <v>12</v>
      </c>
      <c r="J153" t="s">
        <v>13</v>
      </c>
    </row>
    <row r="154" spans="1:10" x14ac:dyDescent="0.3">
      <c r="A154" t="s">
        <v>511</v>
      </c>
      <c r="B154" t="s">
        <v>512</v>
      </c>
      <c r="C154" t="str">
        <f>TRIM(PROPER(Ecustom_DB[[#This Row],[Name]]))</f>
        <v>Patrick Roberts</v>
      </c>
      <c r="D154">
        <v>41</v>
      </c>
      <c r="E154" t="s">
        <v>16</v>
      </c>
      <c r="F154" t="s">
        <v>513</v>
      </c>
      <c r="G154" t="str">
        <f>TRIM(PROPER(Ecustom_DB[[#This Row],[City]]))</f>
        <v>Jaredville</v>
      </c>
      <c r="H154" t="s">
        <v>113</v>
      </c>
      <c r="I154" t="s">
        <v>12</v>
      </c>
      <c r="J154" t="s">
        <v>19</v>
      </c>
    </row>
    <row r="155" spans="1:10" x14ac:dyDescent="0.3">
      <c r="A155" t="s">
        <v>514</v>
      </c>
      <c r="B155" t="s">
        <v>515</v>
      </c>
      <c r="C155" t="str">
        <f>TRIM(PROPER(Ecustom_DB[[#This Row],[Name]]))</f>
        <v>Joseph Faulkner</v>
      </c>
      <c r="D155">
        <v>31</v>
      </c>
      <c r="E155" t="s">
        <v>9</v>
      </c>
      <c r="F155" t="s">
        <v>516</v>
      </c>
      <c r="G155" t="str">
        <f>TRIM(PROPER(Ecustom_DB[[#This Row],[City]]))</f>
        <v>New Leahfurt</v>
      </c>
      <c r="H155" t="s">
        <v>18</v>
      </c>
      <c r="I155" t="s">
        <v>12</v>
      </c>
      <c r="J155" t="s">
        <v>26</v>
      </c>
    </row>
    <row r="156" spans="1:10" x14ac:dyDescent="0.3">
      <c r="A156" t="s">
        <v>517</v>
      </c>
      <c r="B156" t="s">
        <v>518</v>
      </c>
      <c r="C156" t="str">
        <f>TRIM(PROPER(Ecustom_DB[[#This Row],[Name]]))</f>
        <v>Julie Hale</v>
      </c>
      <c r="D156">
        <v>35</v>
      </c>
      <c r="E156" t="s">
        <v>16</v>
      </c>
      <c r="F156" t="s">
        <v>519</v>
      </c>
      <c r="G156" t="str">
        <f>TRIM(PROPER(Ecustom_DB[[#This Row],[City]]))</f>
        <v>Owensview</v>
      </c>
      <c r="H156" t="s">
        <v>171</v>
      </c>
      <c r="I156" t="s">
        <v>12</v>
      </c>
      <c r="J156" t="s">
        <v>13</v>
      </c>
    </row>
    <row r="157" spans="1:10" x14ac:dyDescent="0.3">
      <c r="A157" t="s">
        <v>520</v>
      </c>
      <c r="B157" t="s">
        <v>521</v>
      </c>
      <c r="C157" t="str">
        <f>TRIM(PROPER(Ecustom_DB[[#This Row],[Name]]))</f>
        <v>Curtis Haynes</v>
      </c>
      <c r="D157">
        <v>60</v>
      </c>
      <c r="E157" t="s">
        <v>16</v>
      </c>
      <c r="F157" t="s">
        <v>522</v>
      </c>
      <c r="G157" t="str">
        <f>TRIM(PROPER(Ecustom_DB[[#This Row],[City]]))</f>
        <v>Estradaside</v>
      </c>
      <c r="H157" t="s">
        <v>267</v>
      </c>
      <c r="I157" t="s">
        <v>12</v>
      </c>
      <c r="J157" t="s">
        <v>13</v>
      </c>
    </row>
    <row r="158" spans="1:10" x14ac:dyDescent="0.3">
      <c r="A158" t="s">
        <v>523</v>
      </c>
      <c r="B158" t="s">
        <v>524</v>
      </c>
      <c r="C158" t="str">
        <f>TRIM(PROPER(Ecustom_DB[[#This Row],[Name]]))</f>
        <v>Maria Sanchez</v>
      </c>
      <c r="D158">
        <v>46</v>
      </c>
      <c r="E158" t="s">
        <v>9</v>
      </c>
      <c r="F158" t="s">
        <v>525</v>
      </c>
      <c r="G158" t="str">
        <f>TRIM(PROPER(Ecustom_DB[[#This Row],[City]]))</f>
        <v>East Peterbury</v>
      </c>
      <c r="H158" t="s">
        <v>18</v>
      </c>
      <c r="I158" t="s">
        <v>12</v>
      </c>
      <c r="J158" t="s">
        <v>26</v>
      </c>
    </row>
    <row r="159" spans="1:10" x14ac:dyDescent="0.3">
      <c r="A159" t="s">
        <v>526</v>
      </c>
      <c r="B159" t="s">
        <v>527</v>
      </c>
      <c r="C159" t="str">
        <f>TRIM(PROPER(Ecustom_DB[[#This Row],[Name]]))</f>
        <v>Paul Zamora</v>
      </c>
      <c r="D159">
        <v>59</v>
      </c>
      <c r="E159" t="s">
        <v>9</v>
      </c>
      <c r="F159" t="s">
        <v>528</v>
      </c>
      <c r="G159" t="str">
        <f>TRIM(PROPER(Ecustom_DB[[#This Row],[City]]))</f>
        <v>North Larryfurt</v>
      </c>
      <c r="H159" t="s">
        <v>18</v>
      </c>
      <c r="I159" t="s">
        <v>12</v>
      </c>
      <c r="J159" t="s">
        <v>19</v>
      </c>
    </row>
    <row r="160" spans="1:10" x14ac:dyDescent="0.3">
      <c r="A160" t="s">
        <v>529</v>
      </c>
      <c r="B160" t="s">
        <v>530</v>
      </c>
      <c r="C160" t="str">
        <f>TRIM(PROPER(Ecustom_DB[[#This Row],[Name]]))</f>
        <v>Sean Powell</v>
      </c>
      <c r="D160">
        <v>43</v>
      </c>
      <c r="E160" t="s">
        <v>9</v>
      </c>
      <c r="F160" t="s">
        <v>531</v>
      </c>
      <c r="G160" t="str">
        <f>TRIM(PROPER(Ecustom_DB[[#This Row],[City]]))</f>
        <v>South Kevin</v>
      </c>
      <c r="H160" t="s">
        <v>171</v>
      </c>
      <c r="I160" t="s">
        <v>12</v>
      </c>
      <c r="J160" t="s">
        <v>26</v>
      </c>
    </row>
    <row r="161" spans="1:10" x14ac:dyDescent="0.3">
      <c r="A161" t="s">
        <v>532</v>
      </c>
      <c r="B161" t="s">
        <v>533</v>
      </c>
      <c r="C161" t="str">
        <f>TRIM(PROPER(Ecustom_DB[[#This Row],[Name]]))</f>
        <v>Brian Choi</v>
      </c>
      <c r="D161">
        <v>46</v>
      </c>
      <c r="E161" t="s">
        <v>16</v>
      </c>
      <c r="F161" t="s">
        <v>534</v>
      </c>
      <c r="G161" t="str">
        <f>TRIM(PROPER(Ecustom_DB[[#This Row],[City]]))</f>
        <v>Floydton</v>
      </c>
      <c r="H161" t="s">
        <v>88</v>
      </c>
      <c r="I161" t="s">
        <v>12</v>
      </c>
      <c r="J161" t="s">
        <v>13</v>
      </c>
    </row>
    <row r="162" spans="1:10" x14ac:dyDescent="0.3">
      <c r="A162" t="s">
        <v>535</v>
      </c>
      <c r="B162" t="s">
        <v>536</v>
      </c>
      <c r="C162" t="str">
        <f>TRIM(PROPER(Ecustom_DB[[#This Row],[Name]]))</f>
        <v>John Lawson</v>
      </c>
      <c r="D162">
        <v>41</v>
      </c>
      <c r="E162" t="s">
        <v>16</v>
      </c>
      <c r="F162" t="s">
        <v>537</v>
      </c>
      <c r="G162" t="str">
        <f>TRIM(PROPER(Ecustom_DB[[#This Row],[City]]))</f>
        <v>New Juliemouth</v>
      </c>
      <c r="H162" t="s">
        <v>11</v>
      </c>
      <c r="I162" t="s">
        <v>12</v>
      </c>
      <c r="J162" t="s">
        <v>19</v>
      </c>
    </row>
    <row r="163" spans="1:10" x14ac:dyDescent="0.3">
      <c r="A163" t="s">
        <v>538</v>
      </c>
      <c r="B163" t="s">
        <v>539</v>
      </c>
      <c r="C163" t="str">
        <f>TRIM(PROPER(Ecustom_DB[[#This Row],[Name]]))</f>
        <v>Cynthia Morris</v>
      </c>
      <c r="D163">
        <v>18</v>
      </c>
      <c r="E163" t="s">
        <v>16</v>
      </c>
      <c r="F163" t="s">
        <v>540</v>
      </c>
      <c r="G163" t="str">
        <f>TRIM(PROPER(Ecustom_DB[[#This Row],[City]]))</f>
        <v>Hessmouth</v>
      </c>
      <c r="H163" t="s">
        <v>133</v>
      </c>
      <c r="I163" t="s">
        <v>12</v>
      </c>
      <c r="J163" t="s">
        <v>31</v>
      </c>
    </row>
    <row r="164" spans="1:10" x14ac:dyDescent="0.3">
      <c r="A164" t="s">
        <v>541</v>
      </c>
      <c r="B164" t="s">
        <v>542</v>
      </c>
      <c r="C164" t="str">
        <f>TRIM(PROPER(Ecustom_DB[[#This Row],[Name]]))</f>
        <v>Mariah Brown</v>
      </c>
      <c r="D164">
        <v>37</v>
      </c>
      <c r="E164" t="s">
        <v>9</v>
      </c>
      <c r="F164" t="s">
        <v>543</v>
      </c>
      <c r="G164" t="str">
        <f>TRIM(PROPER(Ecustom_DB[[#This Row],[City]]))</f>
        <v>Palmerbury</v>
      </c>
      <c r="H164" t="s">
        <v>237</v>
      </c>
      <c r="I164" t="s">
        <v>3828</v>
      </c>
      <c r="J164" t="s">
        <v>31</v>
      </c>
    </row>
    <row r="165" spans="1:10" x14ac:dyDescent="0.3">
      <c r="A165" t="s">
        <v>544</v>
      </c>
      <c r="B165" t="s">
        <v>545</v>
      </c>
      <c r="C165" t="str">
        <f>TRIM(PROPER(Ecustom_DB[[#This Row],[Name]]))</f>
        <v>Joseph Jones</v>
      </c>
      <c r="D165">
        <v>21</v>
      </c>
      <c r="E165" t="s">
        <v>9</v>
      </c>
      <c r="F165" t="s">
        <v>546</v>
      </c>
      <c r="G165" t="str">
        <f>TRIM(PROPER(Ecustom_DB[[#This Row],[City]]))</f>
        <v>North Matthew</v>
      </c>
      <c r="H165" t="s">
        <v>194</v>
      </c>
      <c r="I165" t="s">
        <v>12</v>
      </c>
      <c r="J165" t="s">
        <v>26</v>
      </c>
    </row>
    <row r="166" spans="1:10" x14ac:dyDescent="0.3">
      <c r="A166" t="s">
        <v>547</v>
      </c>
      <c r="B166" t="s">
        <v>548</v>
      </c>
      <c r="C166" t="str">
        <f>TRIM(PROPER(Ecustom_DB[[#This Row],[Name]]))</f>
        <v>Daniel Rivas</v>
      </c>
      <c r="D166">
        <v>39</v>
      </c>
      <c r="E166" t="s">
        <v>16</v>
      </c>
      <c r="F166" t="s">
        <v>549</v>
      </c>
      <c r="G166" t="str">
        <f>TRIM(PROPER(Ecustom_DB[[#This Row],[City]]))</f>
        <v>Dominiquefort</v>
      </c>
      <c r="H166" t="s">
        <v>81</v>
      </c>
      <c r="I166" t="s">
        <v>12</v>
      </c>
      <c r="J166" t="s">
        <v>31</v>
      </c>
    </row>
    <row r="167" spans="1:10" x14ac:dyDescent="0.3">
      <c r="A167" t="s">
        <v>550</v>
      </c>
      <c r="B167" t="s">
        <v>551</v>
      </c>
      <c r="C167" t="str">
        <f>TRIM(PROPER(Ecustom_DB[[#This Row],[Name]]))</f>
        <v>Jason Wheeler</v>
      </c>
      <c r="D167">
        <v>47</v>
      </c>
      <c r="E167" t="s">
        <v>16</v>
      </c>
      <c r="F167" t="s">
        <v>552</v>
      </c>
      <c r="G167" t="str">
        <f>TRIM(PROPER(Ecustom_DB[[#This Row],[City]]))</f>
        <v>Carolview</v>
      </c>
      <c r="H167" t="s">
        <v>194</v>
      </c>
      <c r="I167" t="s">
        <v>12</v>
      </c>
      <c r="J167" t="s">
        <v>19</v>
      </c>
    </row>
    <row r="168" spans="1:10" x14ac:dyDescent="0.3">
      <c r="A168" t="s">
        <v>553</v>
      </c>
      <c r="B168" t="s">
        <v>554</v>
      </c>
      <c r="C168" t="str">
        <f>TRIM(PROPER(Ecustom_DB[[#This Row],[Name]]))</f>
        <v>Patricia Gardner</v>
      </c>
      <c r="D168">
        <v>25</v>
      </c>
      <c r="E168" t="s">
        <v>16</v>
      </c>
      <c r="F168" t="s">
        <v>555</v>
      </c>
      <c r="G168" t="str">
        <f>TRIM(PROPER(Ecustom_DB[[#This Row],[City]]))</f>
        <v>South Ashleyton</v>
      </c>
      <c r="H168" t="s">
        <v>156</v>
      </c>
      <c r="I168" t="s">
        <v>12</v>
      </c>
      <c r="J168" t="s">
        <v>31</v>
      </c>
    </row>
    <row r="169" spans="1:10" x14ac:dyDescent="0.3">
      <c r="A169" t="s">
        <v>556</v>
      </c>
      <c r="B169" t="s">
        <v>557</v>
      </c>
      <c r="C169" t="str">
        <f>TRIM(PROPER(Ecustom_DB[[#This Row],[Name]]))</f>
        <v>Antonio Wade</v>
      </c>
      <c r="D169">
        <v>36</v>
      </c>
      <c r="E169" t="s">
        <v>16</v>
      </c>
      <c r="F169" t="s">
        <v>558</v>
      </c>
      <c r="G169" t="str">
        <f>TRIM(PROPER(Ecustom_DB[[#This Row],[City]]))</f>
        <v>New Jasonmouth</v>
      </c>
      <c r="H169" t="s">
        <v>237</v>
      </c>
      <c r="I169" t="s">
        <v>12</v>
      </c>
      <c r="J169" t="s">
        <v>13</v>
      </c>
    </row>
    <row r="170" spans="1:10" x14ac:dyDescent="0.3">
      <c r="A170" t="s">
        <v>559</v>
      </c>
      <c r="B170" t="s">
        <v>560</v>
      </c>
      <c r="C170" t="str">
        <f>TRIM(PROPER(Ecustom_DB[[#This Row],[Name]]))</f>
        <v>Daniel Contreras</v>
      </c>
      <c r="D170">
        <v>36</v>
      </c>
      <c r="E170" t="s">
        <v>16</v>
      </c>
      <c r="F170" t="s">
        <v>561</v>
      </c>
      <c r="G170" t="str">
        <f>TRIM(PROPER(Ecustom_DB[[#This Row],[City]]))</f>
        <v>Robertview</v>
      </c>
      <c r="H170" t="s">
        <v>250</v>
      </c>
      <c r="I170" t="s">
        <v>12</v>
      </c>
      <c r="J170" t="s">
        <v>19</v>
      </c>
    </row>
    <row r="171" spans="1:10" x14ac:dyDescent="0.3">
      <c r="A171" t="s">
        <v>562</v>
      </c>
      <c r="B171" t="s">
        <v>563</v>
      </c>
      <c r="C171" t="str">
        <f>TRIM(PROPER(Ecustom_DB[[#This Row],[Name]]))</f>
        <v>Steve Mclaughlin</v>
      </c>
      <c r="D171">
        <v>64</v>
      </c>
      <c r="E171" t="s">
        <v>9</v>
      </c>
      <c r="F171" t="s">
        <v>564</v>
      </c>
      <c r="G171" t="str">
        <f>TRIM(PROPER(Ecustom_DB[[#This Row],[City]]))</f>
        <v>Josephmouth</v>
      </c>
      <c r="H171" t="s">
        <v>47</v>
      </c>
      <c r="I171" t="s">
        <v>12</v>
      </c>
      <c r="J171" t="s">
        <v>26</v>
      </c>
    </row>
    <row r="172" spans="1:10" x14ac:dyDescent="0.3">
      <c r="A172" t="s">
        <v>565</v>
      </c>
      <c r="B172" t="s">
        <v>566</v>
      </c>
      <c r="C172" t="str">
        <f>TRIM(PROPER(Ecustom_DB[[#This Row],[Name]]))</f>
        <v>Christopher Garcia Dds</v>
      </c>
      <c r="D172">
        <v>18</v>
      </c>
      <c r="E172" t="s">
        <v>9</v>
      </c>
      <c r="F172" t="s">
        <v>567</v>
      </c>
      <c r="G172" t="str">
        <f>TRIM(PROPER(Ecustom_DB[[#This Row],[City]]))</f>
        <v>New Joseph</v>
      </c>
      <c r="H172" t="s">
        <v>113</v>
      </c>
      <c r="I172" t="s">
        <v>12</v>
      </c>
      <c r="J172" t="s">
        <v>13</v>
      </c>
    </row>
    <row r="173" spans="1:10" x14ac:dyDescent="0.3">
      <c r="A173" t="s">
        <v>568</v>
      </c>
      <c r="B173" t="s">
        <v>569</v>
      </c>
      <c r="C173" t="str">
        <f>TRIM(PROPER(Ecustom_DB[[#This Row],[Name]]))</f>
        <v>Amy Wilson</v>
      </c>
      <c r="D173">
        <v>44</v>
      </c>
      <c r="E173" t="s">
        <v>16</v>
      </c>
      <c r="F173" t="s">
        <v>570</v>
      </c>
      <c r="G173" t="str">
        <f>TRIM(PROPER(Ecustom_DB[[#This Row],[City]]))</f>
        <v>Morrisburgh</v>
      </c>
      <c r="H173" t="s">
        <v>254</v>
      </c>
      <c r="I173" t="s">
        <v>12</v>
      </c>
      <c r="J173" t="s">
        <v>19</v>
      </c>
    </row>
    <row r="174" spans="1:10" x14ac:dyDescent="0.3">
      <c r="A174" t="s">
        <v>571</v>
      </c>
      <c r="B174" t="s">
        <v>572</v>
      </c>
      <c r="C174" t="str">
        <f>TRIM(PROPER(Ecustom_DB[[#This Row],[Name]]))</f>
        <v>Thomas Rhodes</v>
      </c>
      <c r="D174">
        <v>41</v>
      </c>
      <c r="E174" t="s">
        <v>16</v>
      </c>
      <c r="F174" t="s">
        <v>573</v>
      </c>
      <c r="G174" t="str">
        <f>TRIM(PROPER(Ecustom_DB[[#This Row],[City]]))</f>
        <v>Port Richard</v>
      </c>
      <c r="H174" t="s">
        <v>43</v>
      </c>
      <c r="I174" t="s">
        <v>12</v>
      </c>
      <c r="J174" t="s">
        <v>26</v>
      </c>
    </row>
    <row r="175" spans="1:10" x14ac:dyDescent="0.3">
      <c r="A175" t="s">
        <v>574</v>
      </c>
      <c r="B175" t="s">
        <v>575</v>
      </c>
      <c r="C175" t="str">
        <f>TRIM(PROPER(Ecustom_DB[[#This Row],[Name]]))</f>
        <v>Teresa Stokes</v>
      </c>
      <c r="D175">
        <v>41</v>
      </c>
      <c r="E175" t="s">
        <v>16</v>
      </c>
      <c r="F175" t="s">
        <v>398</v>
      </c>
      <c r="G175" t="str">
        <f>TRIM(PROPER(Ecustom_DB[[#This Row],[City]]))</f>
        <v>New William</v>
      </c>
      <c r="H175" t="s">
        <v>267</v>
      </c>
      <c r="I175" t="s">
        <v>3829</v>
      </c>
      <c r="J175" t="s">
        <v>19</v>
      </c>
    </row>
    <row r="176" spans="1:10" x14ac:dyDescent="0.3">
      <c r="A176" t="s">
        <v>576</v>
      </c>
      <c r="B176" t="s">
        <v>577</v>
      </c>
      <c r="C176" t="str">
        <f>TRIM(PROPER(Ecustom_DB[[#This Row],[Name]]))</f>
        <v>Maria Davis</v>
      </c>
      <c r="D176">
        <v>26</v>
      </c>
      <c r="E176" t="s">
        <v>16</v>
      </c>
      <c r="F176" t="s">
        <v>578</v>
      </c>
      <c r="G176" t="str">
        <f>TRIM(PROPER(Ecustom_DB[[#This Row],[City]]))</f>
        <v>Avilahaven</v>
      </c>
      <c r="H176" t="s">
        <v>171</v>
      </c>
      <c r="I176" t="s">
        <v>12</v>
      </c>
      <c r="J176" t="s">
        <v>13</v>
      </c>
    </row>
    <row r="177" spans="1:10" x14ac:dyDescent="0.3">
      <c r="A177" t="s">
        <v>579</v>
      </c>
      <c r="B177" t="s">
        <v>580</v>
      </c>
      <c r="C177" t="str">
        <f>TRIM(PROPER(Ecustom_DB[[#This Row],[Name]]))</f>
        <v>Michelle Rogers</v>
      </c>
      <c r="D177">
        <v>56</v>
      </c>
      <c r="E177" t="s">
        <v>9</v>
      </c>
      <c r="F177" t="s">
        <v>581</v>
      </c>
      <c r="G177" t="str">
        <f>TRIM(PROPER(Ecustom_DB[[#This Row],[City]]))</f>
        <v>East Jessicaborough</v>
      </c>
      <c r="H177" t="s">
        <v>99</v>
      </c>
      <c r="I177" t="s">
        <v>12</v>
      </c>
      <c r="J177" t="s">
        <v>19</v>
      </c>
    </row>
    <row r="178" spans="1:10" x14ac:dyDescent="0.3">
      <c r="A178" t="s">
        <v>582</v>
      </c>
      <c r="B178" t="s">
        <v>583</v>
      </c>
      <c r="C178" t="str">
        <f>TRIM(PROPER(Ecustom_DB[[#This Row],[Name]]))</f>
        <v>John Bradford</v>
      </c>
      <c r="D178">
        <v>48</v>
      </c>
      <c r="E178" t="s">
        <v>9</v>
      </c>
      <c r="F178" t="s">
        <v>584</v>
      </c>
      <c r="G178" t="str">
        <f>TRIM(PROPER(Ecustom_DB[[#This Row],[City]]))</f>
        <v>Anabury</v>
      </c>
      <c r="H178" t="s">
        <v>171</v>
      </c>
      <c r="I178" t="s">
        <v>12</v>
      </c>
      <c r="J178" t="s">
        <v>31</v>
      </c>
    </row>
    <row r="179" spans="1:10" x14ac:dyDescent="0.3">
      <c r="A179" t="s">
        <v>585</v>
      </c>
      <c r="B179" t="s">
        <v>586</v>
      </c>
      <c r="C179" t="str">
        <f>TRIM(PROPER(Ecustom_DB[[#This Row],[Name]]))</f>
        <v>Curtis Lam</v>
      </c>
      <c r="D179">
        <v>55</v>
      </c>
      <c r="E179" t="s">
        <v>9</v>
      </c>
      <c r="F179" t="s">
        <v>587</v>
      </c>
      <c r="G179" t="str">
        <f>TRIM(PROPER(Ecustom_DB[[#This Row],[City]]))</f>
        <v>Butlerberg</v>
      </c>
      <c r="H179" t="s">
        <v>588</v>
      </c>
      <c r="I179" t="s">
        <v>12</v>
      </c>
      <c r="J179" t="s">
        <v>19</v>
      </c>
    </row>
    <row r="180" spans="1:10" x14ac:dyDescent="0.3">
      <c r="A180" t="s">
        <v>589</v>
      </c>
      <c r="B180" t="s">
        <v>590</v>
      </c>
      <c r="C180" t="str">
        <f>TRIM(PROPER(Ecustom_DB[[#This Row],[Name]]))</f>
        <v>Michelle Myers</v>
      </c>
      <c r="D180">
        <v>33</v>
      </c>
      <c r="E180" t="s">
        <v>16</v>
      </c>
      <c r="F180" t="s">
        <v>591</v>
      </c>
      <c r="G180" t="str">
        <f>TRIM(PROPER(Ecustom_DB[[#This Row],[City]]))</f>
        <v>West Daniel</v>
      </c>
      <c r="H180" t="s">
        <v>317</v>
      </c>
      <c r="I180" t="s">
        <v>12</v>
      </c>
      <c r="J180" t="s">
        <v>26</v>
      </c>
    </row>
    <row r="181" spans="1:10" x14ac:dyDescent="0.3">
      <c r="A181" t="s">
        <v>592</v>
      </c>
      <c r="B181" t="s">
        <v>593</v>
      </c>
      <c r="C181" t="str">
        <f>TRIM(PROPER(Ecustom_DB[[#This Row],[Name]]))</f>
        <v>Nicholas Bradshaw</v>
      </c>
      <c r="D181">
        <v>43</v>
      </c>
      <c r="E181" t="s">
        <v>16</v>
      </c>
      <c r="F181" t="s">
        <v>594</v>
      </c>
      <c r="G181" t="str">
        <f>TRIM(PROPER(Ecustom_DB[[#This Row],[City]]))</f>
        <v>Murphyfurt</v>
      </c>
      <c r="H181" t="s">
        <v>117</v>
      </c>
      <c r="I181" t="s">
        <v>12</v>
      </c>
      <c r="J181" t="s">
        <v>31</v>
      </c>
    </row>
    <row r="182" spans="1:10" x14ac:dyDescent="0.3">
      <c r="A182" t="s">
        <v>595</v>
      </c>
      <c r="B182" t="s">
        <v>596</v>
      </c>
      <c r="C182" t="str">
        <f>TRIM(PROPER(Ecustom_DB[[#This Row],[Name]]))</f>
        <v>Wesley Thompson</v>
      </c>
      <c r="D182">
        <v>38</v>
      </c>
      <c r="E182" t="s">
        <v>9</v>
      </c>
      <c r="F182" t="s">
        <v>597</v>
      </c>
      <c r="G182" t="str">
        <f>TRIM(PROPER(Ecustom_DB[[#This Row],[City]]))</f>
        <v>East Davidmouth</v>
      </c>
      <c r="H182" t="s">
        <v>434</v>
      </c>
      <c r="I182" t="s">
        <v>12</v>
      </c>
      <c r="J182" t="s">
        <v>26</v>
      </c>
    </row>
    <row r="183" spans="1:10" x14ac:dyDescent="0.3">
      <c r="A183" t="s">
        <v>598</v>
      </c>
      <c r="B183" t="s">
        <v>599</v>
      </c>
      <c r="C183" t="str">
        <f>TRIM(PROPER(Ecustom_DB[[#This Row],[Name]]))</f>
        <v>Erin Ward</v>
      </c>
      <c r="D183">
        <v>60</v>
      </c>
      <c r="E183" t="s">
        <v>9</v>
      </c>
      <c r="F183" t="s">
        <v>600</v>
      </c>
      <c r="G183" t="str">
        <f>TRIM(PROPER(Ecustom_DB[[#This Row],[City]]))</f>
        <v>New Brianchester</v>
      </c>
      <c r="H183" t="s">
        <v>58</v>
      </c>
      <c r="I183" t="s">
        <v>12</v>
      </c>
      <c r="J183" t="s">
        <v>26</v>
      </c>
    </row>
    <row r="184" spans="1:10" x14ac:dyDescent="0.3">
      <c r="A184" t="s">
        <v>601</v>
      </c>
      <c r="B184" t="s">
        <v>602</v>
      </c>
      <c r="C184" t="str">
        <f>TRIM(PROPER(Ecustom_DB[[#This Row],[Name]]))</f>
        <v>Melissa Hamilton</v>
      </c>
      <c r="D184">
        <v>23</v>
      </c>
      <c r="E184" t="s">
        <v>16</v>
      </c>
      <c r="F184" t="s">
        <v>603</v>
      </c>
      <c r="G184" t="str">
        <f>TRIM(PROPER(Ecustom_DB[[#This Row],[City]]))</f>
        <v>Hutchinsonville</v>
      </c>
      <c r="H184" t="s">
        <v>96</v>
      </c>
      <c r="I184" t="s">
        <v>12</v>
      </c>
      <c r="J184" t="s">
        <v>31</v>
      </c>
    </row>
    <row r="185" spans="1:10" x14ac:dyDescent="0.3">
      <c r="A185" t="s">
        <v>604</v>
      </c>
      <c r="B185" t="s">
        <v>605</v>
      </c>
      <c r="C185" t="str">
        <f>TRIM(PROPER(Ecustom_DB[[#This Row],[Name]]))</f>
        <v>Mario Jacobs</v>
      </c>
      <c r="D185">
        <v>18</v>
      </c>
      <c r="E185" t="s">
        <v>9</v>
      </c>
      <c r="F185" t="s">
        <v>606</v>
      </c>
      <c r="G185" t="str">
        <f>TRIM(PROPER(Ecustom_DB[[#This Row],[City]]))</f>
        <v>Port James</v>
      </c>
      <c r="H185" t="s">
        <v>58</v>
      </c>
      <c r="I185" t="s">
        <v>12</v>
      </c>
      <c r="J185" t="s">
        <v>19</v>
      </c>
    </row>
    <row r="186" spans="1:10" x14ac:dyDescent="0.3">
      <c r="A186" t="s">
        <v>607</v>
      </c>
      <c r="B186" t="s">
        <v>608</v>
      </c>
      <c r="C186" t="str">
        <f>TRIM(PROPER(Ecustom_DB[[#This Row],[Name]]))</f>
        <v>Leonard Cochran</v>
      </c>
      <c r="D186">
        <v>46</v>
      </c>
      <c r="E186" t="s">
        <v>16</v>
      </c>
      <c r="F186" t="s">
        <v>609</v>
      </c>
      <c r="G186" t="str">
        <f>TRIM(PROPER(Ecustom_DB[[#This Row],[City]]))</f>
        <v>Port Sherryview</v>
      </c>
      <c r="H186" t="s">
        <v>18</v>
      </c>
      <c r="I186" t="s">
        <v>12</v>
      </c>
      <c r="J186" t="s">
        <v>31</v>
      </c>
    </row>
    <row r="187" spans="1:10" x14ac:dyDescent="0.3">
      <c r="A187" t="s">
        <v>610</v>
      </c>
      <c r="B187" t="s">
        <v>611</v>
      </c>
      <c r="C187" t="str">
        <f>TRIM(PROPER(Ecustom_DB[[#This Row],[Name]]))</f>
        <v>Brent Rivas</v>
      </c>
      <c r="D187">
        <v>54</v>
      </c>
      <c r="E187" t="s">
        <v>16</v>
      </c>
      <c r="F187" t="s">
        <v>612</v>
      </c>
      <c r="G187" t="str">
        <f>TRIM(PROPER(Ecustom_DB[[#This Row],[City]]))</f>
        <v>North Kellyberg</v>
      </c>
      <c r="H187" t="s">
        <v>88</v>
      </c>
      <c r="I187" t="s">
        <v>12</v>
      </c>
      <c r="J187" t="s">
        <v>19</v>
      </c>
    </row>
    <row r="188" spans="1:10" x14ac:dyDescent="0.3">
      <c r="A188" t="s">
        <v>613</v>
      </c>
      <c r="B188" t="s">
        <v>614</v>
      </c>
      <c r="C188" t="str">
        <f>TRIM(PROPER(Ecustom_DB[[#This Row],[Name]]))</f>
        <v>Jennifer Pruitt</v>
      </c>
      <c r="D188">
        <v>53</v>
      </c>
      <c r="E188" t="s">
        <v>9</v>
      </c>
      <c r="F188" t="s">
        <v>615</v>
      </c>
      <c r="G188" t="str">
        <f>TRIM(PROPER(Ecustom_DB[[#This Row],[City]]))</f>
        <v>East Justin</v>
      </c>
      <c r="H188" t="s">
        <v>113</v>
      </c>
      <c r="I188" t="s">
        <v>12</v>
      </c>
      <c r="J188" t="s">
        <v>31</v>
      </c>
    </row>
    <row r="189" spans="1:10" x14ac:dyDescent="0.3">
      <c r="A189" t="s">
        <v>616</v>
      </c>
      <c r="B189" t="s">
        <v>617</v>
      </c>
      <c r="C189" t="str">
        <f>TRIM(PROPER(Ecustom_DB[[#This Row],[Name]]))</f>
        <v>Dr. Suzanne Bullock</v>
      </c>
      <c r="D189">
        <v>60</v>
      </c>
      <c r="E189" t="s">
        <v>16</v>
      </c>
      <c r="F189" t="s">
        <v>618</v>
      </c>
      <c r="G189" t="str">
        <f>TRIM(PROPER(Ecustom_DB[[#This Row],[City]]))</f>
        <v>Lake Blaketon</v>
      </c>
      <c r="H189" t="s">
        <v>22</v>
      </c>
      <c r="I189" t="s">
        <v>12</v>
      </c>
      <c r="J189" t="s">
        <v>19</v>
      </c>
    </row>
    <row r="190" spans="1:10" x14ac:dyDescent="0.3">
      <c r="A190" t="s">
        <v>619</v>
      </c>
      <c r="B190" t="s">
        <v>620</v>
      </c>
      <c r="C190" t="str">
        <f>TRIM(PROPER(Ecustom_DB[[#This Row],[Name]]))</f>
        <v>Kimberly Brooks</v>
      </c>
      <c r="D190">
        <v>42</v>
      </c>
      <c r="E190" t="s">
        <v>9</v>
      </c>
      <c r="F190" t="s">
        <v>621</v>
      </c>
      <c r="G190" t="str">
        <f>TRIM(PROPER(Ecustom_DB[[#This Row],[City]]))</f>
        <v>Kingfort</v>
      </c>
      <c r="H190" t="s">
        <v>233</v>
      </c>
      <c r="I190" t="s">
        <v>12</v>
      </c>
      <c r="J190" t="s">
        <v>31</v>
      </c>
    </row>
    <row r="191" spans="1:10" x14ac:dyDescent="0.3">
      <c r="A191" t="s">
        <v>622</v>
      </c>
      <c r="B191" t="s">
        <v>623</v>
      </c>
      <c r="C191" t="str">
        <f>TRIM(PROPER(Ecustom_DB[[#This Row],[Name]]))</f>
        <v>Daniel Austin</v>
      </c>
      <c r="D191">
        <v>29</v>
      </c>
      <c r="E191" t="s">
        <v>9</v>
      </c>
      <c r="F191" t="s">
        <v>624</v>
      </c>
      <c r="G191" t="str">
        <f>TRIM(PROPER(Ecustom_DB[[#This Row],[City]]))</f>
        <v>Lake Howardberg</v>
      </c>
      <c r="H191" t="s">
        <v>588</v>
      </c>
      <c r="I191" t="s">
        <v>12</v>
      </c>
      <c r="J191" t="s">
        <v>13</v>
      </c>
    </row>
    <row r="192" spans="1:10" x14ac:dyDescent="0.3">
      <c r="A192" t="s">
        <v>625</v>
      </c>
      <c r="B192" t="s">
        <v>626</v>
      </c>
      <c r="C192" t="str">
        <f>TRIM(PROPER(Ecustom_DB[[#This Row],[Name]]))</f>
        <v>Christopher Stewart</v>
      </c>
      <c r="D192">
        <v>21</v>
      </c>
      <c r="E192" t="s">
        <v>9</v>
      </c>
      <c r="F192" t="s">
        <v>627</v>
      </c>
      <c r="G192" t="str">
        <f>TRIM(PROPER(Ecustom_DB[[#This Row],[City]]))</f>
        <v>Amandaside</v>
      </c>
      <c r="H192" t="s">
        <v>58</v>
      </c>
      <c r="I192" t="s">
        <v>12</v>
      </c>
      <c r="J192" t="s">
        <v>26</v>
      </c>
    </row>
    <row r="193" spans="1:10" x14ac:dyDescent="0.3">
      <c r="A193" t="s">
        <v>628</v>
      </c>
      <c r="B193" t="s">
        <v>629</v>
      </c>
      <c r="C193" t="str">
        <f>TRIM(PROPER(Ecustom_DB[[#This Row],[Name]]))</f>
        <v>Todd Poole</v>
      </c>
      <c r="D193">
        <v>29</v>
      </c>
      <c r="E193" t="s">
        <v>16</v>
      </c>
      <c r="F193" t="s">
        <v>630</v>
      </c>
      <c r="G193" t="str">
        <f>TRIM(PROPER(Ecustom_DB[[#This Row],[City]]))</f>
        <v>Johnsonshire</v>
      </c>
      <c r="H193" t="s">
        <v>25</v>
      </c>
      <c r="I193" t="s">
        <v>12</v>
      </c>
      <c r="J193" t="s">
        <v>26</v>
      </c>
    </row>
    <row r="194" spans="1:10" x14ac:dyDescent="0.3">
      <c r="A194" t="s">
        <v>631</v>
      </c>
      <c r="B194" t="s">
        <v>632</v>
      </c>
      <c r="C194" t="str">
        <f>TRIM(PROPER(Ecustom_DB[[#This Row],[Name]]))</f>
        <v>Jacob Wood</v>
      </c>
      <c r="D194">
        <v>26</v>
      </c>
      <c r="E194" t="s">
        <v>9</v>
      </c>
      <c r="F194" t="s">
        <v>633</v>
      </c>
      <c r="G194" t="str">
        <f>TRIM(PROPER(Ecustom_DB[[#This Row],[City]]))</f>
        <v>Lake Samanthafort</v>
      </c>
      <c r="H194" t="s">
        <v>106</v>
      </c>
      <c r="I194" t="s">
        <v>12</v>
      </c>
      <c r="J194" t="s">
        <v>13</v>
      </c>
    </row>
    <row r="195" spans="1:10" x14ac:dyDescent="0.3">
      <c r="A195" t="s">
        <v>634</v>
      </c>
      <c r="B195" t="s">
        <v>635</v>
      </c>
      <c r="C195" t="str">
        <f>TRIM(PROPER(Ecustom_DB[[#This Row],[Name]]))</f>
        <v>David Roberts</v>
      </c>
      <c r="D195">
        <v>38</v>
      </c>
      <c r="E195" t="s">
        <v>9</v>
      </c>
      <c r="F195" t="s">
        <v>636</v>
      </c>
      <c r="G195" t="str">
        <f>TRIM(PROPER(Ecustom_DB[[#This Row],[City]]))</f>
        <v>Port Amanda</v>
      </c>
      <c r="H195" t="s">
        <v>81</v>
      </c>
      <c r="I195" t="s">
        <v>12</v>
      </c>
      <c r="J195" t="s">
        <v>13</v>
      </c>
    </row>
    <row r="196" spans="1:10" x14ac:dyDescent="0.3">
      <c r="A196" t="s">
        <v>637</v>
      </c>
      <c r="B196" t="s">
        <v>638</v>
      </c>
      <c r="C196" t="str">
        <f>TRIM(PROPER(Ecustom_DB[[#This Row],[Name]]))</f>
        <v>Ashley Ferguson</v>
      </c>
      <c r="D196">
        <v>46</v>
      </c>
      <c r="E196" t="s">
        <v>9</v>
      </c>
      <c r="F196" t="s">
        <v>639</v>
      </c>
      <c r="G196" t="str">
        <f>TRIM(PROPER(Ecustom_DB[[#This Row],[City]]))</f>
        <v>Sarahmouth</v>
      </c>
      <c r="H196" t="s">
        <v>51</v>
      </c>
      <c r="I196" t="s">
        <v>12</v>
      </c>
      <c r="J196" t="s">
        <v>13</v>
      </c>
    </row>
    <row r="197" spans="1:10" x14ac:dyDescent="0.3">
      <c r="A197" t="s">
        <v>640</v>
      </c>
      <c r="B197" t="s">
        <v>641</v>
      </c>
      <c r="C197" t="str">
        <f>TRIM(PROPER(Ecustom_DB[[#This Row],[Name]]))</f>
        <v>Anthony Garcia</v>
      </c>
      <c r="D197">
        <v>60</v>
      </c>
      <c r="E197" t="s">
        <v>9</v>
      </c>
      <c r="F197" t="s">
        <v>642</v>
      </c>
      <c r="G197" t="str">
        <f>TRIM(PROPER(Ecustom_DB[[#This Row],[City]]))</f>
        <v>Taraberg</v>
      </c>
      <c r="H197" t="s">
        <v>133</v>
      </c>
      <c r="I197" t="s">
        <v>12</v>
      </c>
      <c r="J197" t="s">
        <v>31</v>
      </c>
    </row>
    <row r="198" spans="1:10" x14ac:dyDescent="0.3">
      <c r="A198" t="s">
        <v>643</v>
      </c>
      <c r="B198" t="s">
        <v>644</v>
      </c>
      <c r="C198" t="str">
        <f>TRIM(PROPER(Ecustom_DB[[#This Row],[Name]]))</f>
        <v>Megan Greer</v>
      </c>
      <c r="D198">
        <v>18</v>
      </c>
      <c r="E198" t="s">
        <v>16</v>
      </c>
      <c r="F198" t="s">
        <v>645</v>
      </c>
      <c r="G198" t="str">
        <f>TRIM(PROPER(Ecustom_DB[[#This Row],[City]]))</f>
        <v>West John</v>
      </c>
      <c r="H198" t="s">
        <v>163</v>
      </c>
      <c r="I198" t="s">
        <v>12</v>
      </c>
      <c r="J198" t="s">
        <v>19</v>
      </c>
    </row>
    <row r="199" spans="1:10" x14ac:dyDescent="0.3">
      <c r="A199" t="s">
        <v>646</v>
      </c>
      <c r="B199" t="s">
        <v>647</v>
      </c>
      <c r="C199" t="str">
        <f>TRIM(PROPER(Ecustom_DB[[#This Row],[Name]]))</f>
        <v>Andrea Jacobs</v>
      </c>
      <c r="D199">
        <v>45</v>
      </c>
      <c r="E199" t="s">
        <v>16</v>
      </c>
      <c r="F199" t="s">
        <v>207</v>
      </c>
      <c r="G199" t="str">
        <f>TRIM(PROPER(Ecustom_DB[[#This Row],[City]]))</f>
        <v>Christopherland</v>
      </c>
      <c r="H199" t="s">
        <v>201</v>
      </c>
      <c r="I199" t="s">
        <v>12</v>
      </c>
      <c r="J199" t="s">
        <v>19</v>
      </c>
    </row>
    <row r="200" spans="1:10" x14ac:dyDescent="0.3">
      <c r="A200" t="s">
        <v>648</v>
      </c>
      <c r="B200" t="s">
        <v>649</v>
      </c>
      <c r="C200" t="str">
        <f>TRIM(PROPER(Ecustom_DB[[#This Row],[Name]]))</f>
        <v>Wanda Snyder</v>
      </c>
      <c r="D200">
        <v>54</v>
      </c>
      <c r="E200" t="s">
        <v>9</v>
      </c>
      <c r="F200" t="s">
        <v>650</v>
      </c>
      <c r="G200" t="str">
        <f>TRIM(PROPER(Ecustom_DB[[#This Row],[City]]))</f>
        <v>Frostmouth</v>
      </c>
      <c r="H200" t="s">
        <v>171</v>
      </c>
      <c r="I200" t="s">
        <v>12</v>
      </c>
      <c r="J200" t="s">
        <v>26</v>
      </c>
    </row>
    <row r="201" spans="1:10" x14ac:dyDescent="0.3">
      <c r="A201" t="s">
        <v>651</v>
      </c>
      <c r="B201" t="s">
        <v>652</v>
      </c>
      <c r="C201" t="str">
        <f>TRIM(PROPER(Ecustom_DB[[#This Row],[Name]]))</f>
        <v>Carmen Price</v>
      </c>
      <c r="D201">
        <v>46</v>
      </c>
      <c r="E201" t="s">
        <v>9</v>
      </c>
      <c r="F201" t="s">
        <v>653</v>
      </c>
      <c r="G201" t="str">
        <f>TRIM(PROPER(Ecustom_DB[[#This Row],[City]]))</f>
        <v>North Briannamouth</v>
      </c>
      <c r="H201" t="s">
        <v>237</v>
      </c>
      <c r="I201" t="s">
        <v>12</v>
      </c>
      <c r="J201" t="s">
        <v>26</v>
      </c>
    </row>
    <row r="202" spans="1:10" x14ac:dyDescent="0.3">
      <c r="A202" t="s">
        <v>654</v>
      </c>
      <c r="B202" t="s">
        <v>655</v>
      </c>
      <c r="C202" t="str">
        <f>TRIM(PROPER(Ecustom_DB[[#This Row],[Name]]))</f>
        <v>Anna Perez</v>
      </c>
      <c r="D202">
        <v>30</v>
      </c>
      <c r="E202" t="s">
        <v>9</v>
      </c>
      <c r="F202" t="s">
        <v>656</v>
      </c>
      <c r="G202" t="str">
        <f>TRIM(PROPER(Ecustom_DB[[#This Row],[City]]))</f>
        <v>South Jerry</v>
      </c>
      <c r="H202" t="s">
        <v>434</v>
      </c>
      <c r="I202" t="s">
        <v>12</v>
      </c>
      <c r="J202" t="s">
        <v>19</v>
      </c>
    </row>
    <row r="203" spans="1:10" x14ac:dyDescent="0.3">
      <c r="A203" t="s">
        <v>657</v>
      </c>
      <c r="B203" t="s">
        <v>658</v>
      </c>
      <c r="C203" t="str">
        <f>TRIM(PROPER(Ecustom_DB[[#This Row],[Name]]))</f>
        <v>Mary Boyd</v>
      </c>
      <c r="D203">
        <v>25</v>
      </c>
      <c r="E203" t="s">
        <v>16</v>
      </c>
      <c r="F203" t="s">
        <v>659</v>
      </c>
      <c r="G203" t="str">
        <f>TRIM(PROPER(Ecustom_DB[[#This Row],[City]]))</f>
        <v>New Logan</v>
      </c>
      <c r="H203" t="s">
        <v>156</v>
      </c>
      <c r="I203" t="s">
        <v>12</v>
      </c>
      <c r="J203" t="s">
        <v>26</v>
      </c>
    </row>
    <row r="204" spans="1:10" x14ac:dyDescent="0.3">
      <c r="A204" t="s">
        <v>660</v>
      </c>
      <c r="B204" t="s">
        <v>661</v>
      </c>
      <c r="C204" t="str">
        <f>TRIM(PROPER(Ecustom_DB[[#This Row],[Name]]))</f>
        <v>Christina Garcia</v>
      </c>
      <c r="D204">
        <v>37</v>
      </c>
      <c r="E204" t="s">
        <v>16</v>
      </c>
      <c r="F204" t="s">
        <v>662</v>
      </c>
      <c r="G204" t="str">
        <f>TRIM(PROPER(Ecustom_DB[[#This Row],[City]]))</f>
        <v>Clarkeside</v>
      </c>
      <c r="H204" t="s">
        <v>62</v>
      </c>
      <c r="I204" t="s">
        <v>12</v>
      </c>
      <c r="J204" t="s">
        <v>19</v>
      </c>
    </row>
    <row r="205" spans="1:10" x14ac:dyDescent="0.3">
      <c r="A205" t="s">
        <v>663</v>
      </c>
      <c r="B205" t="s">
        <v>664</v>
      </c>
      <c r="C205" t="str">
        <f>TRIM(PROPER(Ecustom_DB[[#This Row],[Name]]))</f>
        <v>Sarah Brady</v>
      </c>
      <c r="D205">
        <v>47</v>
      </c>
      <c r="E205" t="s">
        <v>9</v>
      </c>
      <c r="F205" t="s">
        <v>665</v>
      </c>
      <c r="G205" t="str">
        <f>TRIM(PROPER(Ecustom_DB[[#This Row],[City]]))</f>
        <v>Johnsonland</v>
      </c>
      <c r="H205" t="s">
        <v>267</v>
      </c>
      <c r="I205" t="s">
        <v>12</v>
      </c>
      <c r="J205" t="s">
        <v>19</v>
      </c>
    </row>
    <row r="206" spans="1:10" x14ac:dyDescent="0.3">
      <c r="A206" t="s">
        <v>666</v>
      </c>
      <c r="B206" t="s">
        <v>667</v>
      </c>
      <c r="C206" t="str">
        <f>TRIM(PROPER(Ecustom_DB[[#This Row],[Name]]))</f>
        <v>Tiffany Herrera</v>
      </c>
      <c r="D206">
        <v>52</v>
      </c>
      <c r="E206" t="s">
        <v>9</v>
      </c>
      <c r="F206" t="s">
        <v>668</v>
      </c>
      <c r="G206" t="str">
        <f>TRIM(PROPER(Ecustom_DB[[#This Row],[City]]))</f>
        <v>New Dianebury</v>
      </c>
      <c r="H206" t="s">
        <v>287</v>
      </c>
      <c r="I206" t="s">
        <v>12</v>
      </c>
      <c r="J206" t="s">
        <v>19</v>
      </c>
    </row>
    <row r="207" spans="1:10" x14ac:dyDescent="0.3">
      <c r="A207" t="s">
        <v>669</v>
      </c>
      <c r="B207" t="s">
        <v>670</v>
      </c>
      <c r="C207" t="str">
        <f>TRIM(PROPER(Ecustom_DB[[#This Row],[Name]]))</f>
        <v>Michelle Carpenter</v>
      </c>
      <c r="D207">
        <v>44</v>
      </c>
      <c r="E207" t="s">
        <v>16</v>
      </c>
      <c r="F207" t="s">
        <v>671</v>
      </c>
      <c r="G207" t="str">
        <f>TRIM(PROPER(Ecustom_DB[[#This Row],[City]]))</f>
        <v>Lake Danielleton</v>
      </c>
      <c r="H207" t="s">
        <v>88</v>
      </c>
      <c r="I207" t="s">
        <v>12</v>
      </c>
      <c r="J207" t="s">
        <v>13</v>
      </c>
    </row>
    <row r="208" spans="1:10" x14ac:dyDescent="0.3">
      <c r="A208" t="s">
        <v>672</v>
      </c>
      <c r="B208" t="s">
        <v>673</v>
      </c>
      <c r="C208" t="str">
        <f>TRIM(PROPER(Ecustom_DB[[#This Row],[Name]]))</f>
        <v>Ronald Jones</v>
      </c>
      <c r="D208">
        <v>26</v>
      </c>
      <c r="E208" t="s">
        <v>16</v>
      </c>
      <c r="F208" t="s">
        <v>674</v>
      </c>
      <c r="G208" t="str">
        <f>TRIM(PROPER(Ecustom_DB[[#This Row],[City]]))</f>
        <v>Brownshire</v>
      </c>
      <c r="H208" t="s">
        <v>237</v>
      </c>
      <c r="I208" t="s">
        <v>12</v>
      </c>
      <c r="J208" t="s">
        <v>31</v>
      </c>
    </row>
    <row r="209" spans="1:10" x14ac:dyDescent="0.3">
      <c r="A209" t="s">
        <v>675</v>
      </c>
      <c r="B209" t="s">
        <v>676</v>
      </c>
      <c r="C209" t="str">
        <f>TRIM(PROPER(Ecustom_DB[[#This Row],[Name]]))</f>
        <v>Jacqueline Pacheco</v>
      </c>
      <c r="D209">
        <v>28</v>
      </c>
      <c r="E209" t="s">
        <v>16</v>
      </c>
      <c r="F209" t="s">
        <v>677</v>
      </c>
      <c r="G209" t="str">
        <f>TRIM(PROPER(Ecustom_DB[[#This Row],[City]]))</f>
        <v>South Emily</v>
      </c>
      <c r="H209" t="s">
        <v>88</v>
      </c>
      <c r="I209" t="s">
        <v>12</v>
      </c>
      <c r="J209" t="s">
        <v>26</v>
      </c>
    </row>
    <row r="210" spans="1:10" x14ac:dyDescent="0.3">
      <c r="A210" t="s">
        <v>678</v>
      </c>
      <c r="B210" t="s">
        <v>679</v>
      </c>
      <c r="C210" t="str">
        <f>TRIM(PROPER(Ecustom_DB[[#This Row],[Name]]))</f>
        <v>John Perez</v>
      </c>
      <c r="D210">
        <v>54</v>
      </c>
      <c r="E210" t="s">
        <v>9</v>
      </c>
      <c r="F210" t="s">
        <v>680</v>
      </c>
      <c r="G210" t="str">
        <f>TRIM(PROPER(Ecustom_DB[[#This Row],[City]]))</f>
        <v>Kathrynview</v>
      </c>
      <c r="H210" t="s">
        <v>328</v>
      </c>
      <c r="I210" t="s">
        <v>12</v>
      </c>
      <c r="J210" t="s">
        <v>19</v>
      </c>
    </row>
    <row r="211" spans="1:10" x14ac:dyDescent="0.3">
      <c r="A211" t="s">
        <v>681</v>
      </c>
      <c r="B211" t="s">
        <v>682</v>
      </c>
      <c r="C211" t="str">
        <f>TRIM(PROPER(Ecustom_DB[[#This Row],[Name]]))</f>
        <v>Joan Johnson</v>
      </c>
      <c r="D211">
        <v>50</v>
      </c>
      <c r="E211" t="s">
        <v>16</v>
      </c>
      <c r="F211" t="s">
        <v>683</v>
      </c>
      <c r="G211" t="str">
        <f>TRIM(PROPER(Ecustom_DB[[#This Row],[City]]))</f>
        <v>Lake Josephport</v>
      </c>
      <c r="H211" t="s">
        <v>434</v>
      </c>
      <c r="I211" t="s">
        <v>12</v>
      </c>
      <c r="J211" t="s">
        <v>19</v>
      </c>
    </row>
    <row r="212" spans="1:10" x14ac:dyDescent="0.3">
      <c r="A212" t="s">
        <v>684</v>
      </c>
      <c r="B212" t="s">
        <v>685</v>
      </c>
      <c r="C212" t="str">
        <f>TRIM(PROPER(Ecustom_DB[[#This Row],[Name]]))</f>
        <v>Antonio Jones</v>
      </c>
      <c r="D212">
        <v>48</v>
      </c>
      <c r="E212" t="s">
        <v>9</v>
      </c>
      <c r="F212" t="s">
        <v>686</v>
      </c>
      <c r="G212" t="str">
        <f>TRIM(PROPER(Ecustom_DB[[#This Row],[City]]))</f>
        <v>Matthewborough</v>
      </c>
      <c r="H212" t="s">
        <v>81</v>
      </c>
      <c r="I212" t="s">
        <v>12</v>
      </c>
      <c r="J212" t="s">
        <v>31</v>
      </c>
    </row>
    <row r="213" spans="1:10" x14ac:dyDescent="0.3">
      <c r="A213" t="s">
        <v>687</v>
      </c>
      <c r="B213" t="s">
        <v>688</v>
      </c>
      <c r="C213" t="str">
        <f>TRIM(PROPER(Ecustom_DB[[#This Row],[Name]]))</f>
        <v>Rodney Huffman</v>
      </c>
      <c r="D213">
        <v>20</v>
      </c>
      <c r="E213" t="s">
        <v>16</v>
      </c>
      <c r="F213" t="s">
        <v>689</v>
      </c>
      <c r="G213" t="str">
        <f>TRIM(PROPER(Ecustom_DB[[#This Row],[City]]))</f>
        <v>Garzafort</v>
      </c>
      <c r="H213" t="s">
        <v>92</v>
      </c>
      <c r="I213" t="s">
        <v>12</v>
      </c>
      <c r="J213" t="s">
        <v>31</v>
      </c>
    </row>
    <row r="214" spans="1:10" x14ac:dyDescent="0.3">
      <c r="A214" t="s">
        <v>690</v>
      </c>
      <c r="B214" t="s">
        <v>691</v>
      </c>
      <c r="C214" t="str">
        <f>TRIM(PROPER(Ecustom_DB[[#This Row],[Name]]))</f>
        <v>Blake Harrison</v>
      </c>
      <c r="D214">
        <v>63</v>
      </c>
      <c r="E214" t="s">
        <v>16</v>
      </c>
      <c r="F214" t="s">
        <v>692</v>
      </c>
      <c r="G214" t="str">
        <f>TRIM(PROPER(Ecustom_DB[[#This Row],[City]]))</f>
        <v>Lyonsfort</v>
      </c>
      <c r="H214" t="s">
        <v>74</v>
      </c>
      <c r="I214" t="s">
        <v>12</v>
      </c>
      <c r="J214" t="s">
        <v>19</v>
      </c>
    </row>
    <row r="215" spans="1:10" x14ac:dyDescent="0.3">
      <c r="A215" t="s">
        <v>693</v>
      </c>
      <c r="B215" t="s">
        <v>694</v>
      </c>
      <c r="C215" t="str">
        <f>TRIM(PROPER(Ecustom_DB[[#This Row],[Name]]))</f>
        <v>Stuart Johnson</v>
      </c>
      <c r="D215">
        <v>42</v>
      </c>
      <c r="E215" t="s">
        <v>16</v>
      </c>
      <c r="F215" t="s">
        <v>695</v>
      </c>
      <c r="G215" t="str">
        <f>TRIM(PROPER(Ecustom_DB[[#This Row],[City]]))</f>
        <v>West Markport</v>
      </c>
      <c r="H215" t="s">
        <v>18</v>
      </c>
      <c r="I215" t="s">
        <v>12</v>
      </c>
      <c r="J215" t="s">
        <v>19</v>
      </c>
    </row>
    <row r="216" spans="1:10" x14ac:dyDescent="0.3">
      <c r="A216" t="s">
        <v>696</v>
      </c>
      <c r="B216" t="s">
        <v>697</v>
      </c>
      <c r="C216" t="str">
        <f>TRIM(PROPER(Ecustom_DB[[#This Row],[Name]]))</f>
        <v>Eric Todd</v>
      </c>
      <c r="D216">
        <v>61</v>
      </c>
      <c r="E216" t="s">
        <v>9</v>
      </c>
      <c r="F216" t="s">
        <v>698</v>
      </c>
      <c r="G216" t="str">
        <f>TRIM(PROPER(Ecustom_DB[[#This Row],[City]]))</f>
        <v>Danielstad</v>
      </c>
      <c r="H216" t="s">
        <v>66</v>
      </c>
      <c r="I216" t="s">
        <v>12</v>
      </c>
      <c r="J216" t="s">
        <v>13</v>
      </c>
    </row>
    <row r="217" spans="1:10" x14ac:dyDescent="0.3">
      <c r="A217" t="s">
        <v>699</v>
      </c>
      <c r="B217" t="s">
        <v>700</v>
      </c>
      <c r="C217" t="str">
        <f>TRIM(PROPER(Ecustom_DB[[#This Row],[Name]]))</f>
        <v>Steve Medina</v>
      </c>
      <c r="D217">
        <v>50</v>
      </c>
      <c r="E217" t="s">
        <v>16</v>
      </c>
      <c r="F217" t="s">
        <v>701</v>
      </c>
      <c r="G217" t="str">
        <f>TRIM(PROPER(Ecustom_DB[[#This Row],[City]]))</f>
        <v>East Josephside</v>
      </c>
      <c r="H217" t="s">
        <v>35</v>
      </c>
      <c r="I217" t="s">
        <v>12</v>
      </c>
      <c r="J217" t="s">
        <v>13</v>
      </c>
    </row>
    <row r="218" spans="1:10" x14ac:dyDescent="0.3">
      <c r="A218" t="s">
        <v>702</v>
      </c>
      <c r="B218" t="s">
        <v>703</v>
      </c>
      <c r="C218" t="str">
        <f>TRIM(PROPER(Ecustom_DB[[#This Row],[Name]]))</f>
        <v>Kathryn Garcia</v>
      </c>
      <c r="D218">
        <v>44</v>
      </c>
      <c r="E218" t="s">
        <v>9</v>
      </c>
      <c r="F218" t="s">
        <v>704</v>
      </c>
      <c r="G218" t="str">
        <f>TRIM(PROPER(Ecustom_DB[[#This Row],[City]]))</f>
        <v>Morrismouth</v>
      </c>
      <c r="H218" t="s">
        <v>30</v>
      </c>
      <c r="I218" t="s">
        <v>12</v>
      </c>
      <c r="J218" t="s">
        <v>19</v>
      </c>
    </row>
    <row r="219" spans="1:10" x14ac:dyDescent="0.3">
      <c r="A219" t="s">
        <v>705</v>
      </c>
      <c r="B219" t="s">
        <v>706</v>
      </c>
      <c r="C219" t="str">
        <f>TRIM(PROPER(Ecustom_DB[[#This Row],[Name]]))</f>
        <v>Kathy Copeland</v>
      </c>
      <c r="D219">
        <v>42</v>
      </c>
      <c r="E219" t="s">
        <v>9</v>
      </c>
      <c r="F219" t="s">
        <v>707</v>
      </c>
      <c r="G219" t="str">
        <f>TRIM(PROPER(Ecustom_DB[[#This Row],[City]]))</f>
        <v>North Christinemouth</v>
      </c>
      <c r="H219" t="s">
        <v>113</v>
      </c>
      <c r="I219" t="s">
        <v>12</v>
      </c>
      <c r="J219" t="s">
        <v>31</v>
      </c>
    </row>
    <row r="220" spans="1:10" x14ac:dyDescent="0.3">
      <c r="A220" t="s">
        <v>708</v>
      </c>
      <c r="B220" t="s">
        <v>709</v>
      </c>
      <c r="C220" t="str">
        <f>TRIM(PROPER(Ecustom_DB[[#This Row],[Name]]))</f>
        <v>Julia Jackson</v>
      </c>
      <c r="D220">
        <v>46</v>
      </c>
      <c r="E220" t="s">
        <v>9</v>
      </c>
      <c r="F220" t="s">
        <v>710</v>
      </c>
      <c r="G220" t="str">
        <f>TRIM(PROPER(Ecustom_DB[[#This Row],[City]]))</f>
        <v>Edwardland</v>
      </c>
      <c r="H220" t="s">
        <v>30</v>
      </c>
      <c r="I220" t="s">
        <v>12</v>
      </c>
      <c r="J220" t="s">
        <v>19</v>
      </c>
    </row>
    <row r="221" spans="1:10" x14ac:dyDescent="0.3">
      <c r="A221" t="s">
        <v>711</v>
      </c>
      <c r="B221" t="s">
        <v>712</v>
      </c>
      <c r="C221" t="str">
        <f>TRIM(PROPER(Ecustom_DB[[#This Row],[Name]]))</f>
        <v>Jordan Wells</v>
      </c>
      <c r="D221">
        <v>47</v>
      </c>
      <c r="E221" t="s">
        <v>16</v>
      </c>
      <c r="F221" t="s">
        <v>3831</v>
      </c>
      <c r="G221" t="str">
        <f>TRIM(PROPER(Ecustom_DB[[#This Row],[City]]))</f>
        <v>Phillipschester</v>
      </c>
      <c r="H221" t="s">
        <v>88</v>
      </c>
      <c r="I221" t="s">
        <v>12</v>
      </c>
      <c r="J221" t="s">
        <v>13</v>
      </c>
    </row>
    <row r="222" spans="1:10" x14ac:dyDescent="0.3">
      <c r="A222" t="s">
        <v>713</v>
      </c>
      <c r="B222" t="s">
        <v>714</v>
      </c>
      <c r="C222" t="str">
        <f>TRIM(PROPER(Ecustom_DB[[#This Row],[Name]]))</f>
        <v>George Davis</v>
      </c>
      <c r="D222">
        <v>50</v>
      </c>
      <c r="E222" t="s">
        <v>16</v>
      </c>
      <c r="F222" t="s">
        <v>3830</v>
      </c>
      <c r="G222" t="str">
        <f>TRIM(PROPER(Ecustom_DB[[#This Row],[City]]))</f>
        <v>Lake Lisa</v>
      </c>
      <c r="H222" t="s">
        <v>715</v>
      </c>
      <c r="I222" t="s">
        <v>3829</v>
      </c>
      <c r="J222" t="s">
        <v>26</v>
      </c>
    </row>
    <row r="223" spans="1:10" x14ac:dyDescent="0.3">
      <c r="A223" t="s">
        <v>716</v>
      </c>
      <c r="B223" t="s">
        <v>717</v>
      </c>
      <c r="C223" t="str">
        <f>TRIM(PROPER(Ecustom_DB[[#This Row],[Name]]))</f>
        <v>Lisa Young</v>
      </c>
      <c r="D223">
        <v>38</v>
      </c>
      <c r="E223" t="s">
        <v>9</v>
      </c>
      <c r="F223" t="s">
        <v>718</v>
      </c>
      <c r="G223" t="str">
        <f>TRIM(PROPER(Ecustom_DB[[#This Row],[City]]))</f>
        <v>Maybury</v>
      </c>
      <c r="H223" t="s">
        <v>81</v>
      </c>
      <c r="I223" t="s">
        <v>12</v>
      </c>
      <c r="J223" t="s">
        <v>19</v>
      </c>
    </row>
    <row r="224" spans="1:10" x14ac:dyDescent="0.3">
      <c r="A224" t="s">
        <v>719</v>
      </c>
      <c r="B224" t="s">
        <v>720</v>
      </c>
      <c r="C224" t="str">
        <f>TRIM(PROPER(Ecustom_DB[[#This Row],[Name]]))</f>
        <v>Alejandro Doyle</v>
      </c>
      <c r="D224">
        <v>35</v>
      </c>
      <c r="E224" t="s">
        <v>9</v>
      </c>
      <c r="F224" t="s">
        <v>721</v>
      </c>
      <c r="G224" t="str">
        <f>TRIM(PROPER(Ecustom_DB[[#This Row],[City]]))</f>
        <v>East Crystalton</v>
      </c>
      <c r="H224" t="s">
        <v>233</v>
      </c>
      <c r="I224" t="s">
        <v>12</v>
      </c>
      <c r="J224" t="s">
        <v>19</v>
      </c>
    </row>
    <row r="225" spans="1:10" x14ac:dyDescent="0.3">
      <c r="A225" t="s">
        <v>722</v>
      </c>
      <c r="B225" t="s">
        <v>723</v>
      </c>
      <c r="C225" t="str">
        <f>TRIM(PROPER(Ecustom_DB[[#This Row],[Name]]))</f>
        <v>Robert Harris</v>
      </c>
      <c r="D225">
        <v>50</v>
      </c>
      <c r="E225" t="s">
        <v>9</v>
      </c>
      <c r="F225" t="s">
        <v>3832</v>
      </c>
      <c r="G225" t="str">
        <f>TRIM(PROPER(Ecustom_DB[[#This Row],[City]]))</f>
        <v>East Jeremy</v>
      </c>
      <c r="H225" t="s">
        <v>267</v>
      </c>
      <c r="I225" t="s">
        <v>12</v>
      </c>
      <c r="J225" t="s">
        <v>19</v>
      </c>
    </row>
    <row r="226" spans="1:10" x14ac:dyDescent="0.3">
      <c r="A226" t="s">
        <v>724</v>
      </c>
      <c r="B226" t="s">
        <v>725</v>
      </c>
      <c r="C226" t="str">
        <f>TRIM(PROPER(Ecustom_DB[[#This Row],[Name]]))</f>
        <v>Anthony Morgan</v>
      </c>
      <c r="D226">
        <v>29</v>
      </c>
      <c r="E226" t="s">
        <v>9</v>
      </c>
      <c r="F226" t="s">
        <v>726</v>
      </c>
      <c r="G226" t="str">
        <f>TRIM(PROPER(Ecustom_DB[[#This Row],[City]]))</f>
        <v>New Anthonyfurt</v>
      </c>
      <c r="H226" t="s">
        <v>113</v>
      </c>
      <c r="I226" t="s">
        <v>12</v>
      </c>
      <c r="J226" t="s">
        <v>31</v>
      </c>
    </row>
    <row r="227" spans="1:10" x14ac:dyDescent="0.3">
      <c r="A227" t="s">
        <v>727</v>
      </c>
      <c r="B227" t="s">
        <v>728</v>
      </c>
      <c r="C227" t="str">
        <f>TRIM(PROPER(Ecustom_DB[[#This Row],[Name]]))</f>
        <v>Elizabeth Stanley</v>
      </c>
      <c r="D227">
        <v>46</v>
      </c>
      <c r="E227" t="s">
        <v>16</v>
      </c>
      <c r="F227" t="s">
        <v>729</v>
      </c>
      <c r="G227" t="str">
        <f>TRIM(PROPER(Ecustom_DB[[#This Row],[City]]))</f>
        <v>Bethanyton</v>
      </c>
      <c r="H227" t="s">
        <v>117</v>
      </c>
      <c r="I227" t="s">
        <v>12</v>
      </c>
      <c r="J227" t="s">
        <v>19</v>
      </c>
    </row>
    <row r="228" spans="1:10" x14ac:dyDescent="0.3">
      <c r="A228" t="s">
        <v>730</v>
      </c>
      <c r="B228" t="s">
        <v>731</v>
      </c>
      <c r="C228" t="str">
        <f>TRIM(PROPER(Ecustom_DB[[#This Row],[Name]]))</f>
        <v>Alexis Castaneda</v>
      </c>
      <c r="D228">
        <v>54</v>
      </c>
      <c r="E228" t="s">
        <v>9</v>
      </c>
      <c r="F228" t="s">
        <v>216</v>
      </c>
      <c r="G228" t="str">
        <f>TRIM(PROPER(Ecustom_DB[[#This Row],[City]]))</f>
        <v>Morrisbury</v>
      </c>
      <c r="H228" t="s">
        <v>163</v>
      </c>
      <c r="I228" t="s">
        <v>12</v>
      </c>
      <c r="J228" t="s">
        <v>13</v>
      </c>
    </row>
    <row r="229" spans="1:10" x14ac:dyDescent="0.3">
      <c r="A229" t="s">
        <v>732</v>
      </c>
      <c r="B229" t="s">
        <v>733</v>
      </c>
      <c r="C229" t="str">
        <f>TRIM(PROPER(Ecustom_DB[[#This Row],[Name]]))</f>
        <v>Gregory Pham</v>
      </c>
      <c r="D229">
        <v>63</v>
      </c>
      <c r="E229" t="s">
        <v>16</v>
      </c>
      <c r="F229" t="s">
        <v>734</v>
      </c>
      <c r="G229" t="str">
        <f>TRIM(PROPER(Ecustom_DB[[#This Row],[City]]))</f>
        <v>Pollardton</v>
      </c>
      <c r="H229" t="s">
        <v>62</v>
      </c>
      <c r="I229" t="s">
        <v>12</v>
      </c>
      <c r="J229" t="s">
        <v>13</v>
      </c>
    </row>
    <row r="230" spans="1:10" x14ac:dyDescent="0.3">
      <c r="A230" t="s">
        <v>735</v>
      </c>
      <c r="B230" t="s">
        <v>736</v>
      </c>
      <c r="C230" t="str">
        <f>TRIM(PROPER(Ecustom_DB[[#This Row],[Name]]))</f>
        <v>Casey Flores</v>
      </c>
      <c r="D230">
        <v>52</v>
      </c>
      <c r="E230" t="s">
        <v>16</v>
      </c>
      <c r="F230" t="s">
        <v>395</v>
      </c>
      <c r="G230" t="str">
        <f>TRIM(PROPER(Ecustom_DB[[#This Row],[City]]))</f>
        <v>Lake Michael</v>
      </c>
      <c r="H230" t="s">
        <v>117</v>
      </c>
      <c r="I230" t="s">
        <v>12</v>
      </c>
      <c r="J230" t="s">
        <v>13</v>
      </c>
    </row>
    <row r="231" spans="1:10" x14ac:dyDescent="0.3">
      <c r="A231" t="s">
        <v>737</v>
      </c>
      <c r="B231" t="s">
        <v>738</v>
      </c>
      <c r="C231" t="str">
        <f>TRIM(PROPER(Ecustom_DB[[#This Row],[Name]]))</f>
        <v>Tanner Thompson</v>
      </c>
      <c r="D231">
        <v>32</v>
      </c>
      <c r="E231" t="s">
        <v>16</v>
      </c>
      <c r="F231" t="s">
        <v>739</v>
      </c>
      <c r="G231" t="str">
        <f>TRIM(PROPER(Ecustom_DB[[#This Row],[City]]))</f>
        <v>Port Lisashire</v>
      </c>
      <c r="H231" t="s">
        <v>140</v>
      </c>
      <c r="I231" t="s">
        <v>12</v>
      </c>
      <c r="J231" t="s">
        <v>26</v>
      </c>
    </row>
    <row r="232" spans="1:10" x14ac:dyDescent="0.3">
      <c r="A232" t="s">
        <v>740</v>
      </c>
      <c r="B232" t="s">
        <v>741</v>
      </c>
      <c r="C232" t="str">
        <f>TRIM(PROPER(Ecustom_DB[[#This Row],[Name]]))</f>
        <v>Timothy Sanders</v>
      </c>
      <c r="D232">
        <v>29</v>
      </c>
      <c r="E232" t="s">
        <v>9</v>
      </c>
      <c r="F232" t="s">
        <v>742</v>
      </c>
      <c r="G232" t="str">
        <f>TRIM(PROPER(Ecustom_DB[[#This Row],[City]]))</f>
        <v>Aaronmouth</v>
      </c>
      <c r="H232" t="s">
        <v>250</v>
      </c>
      <c r="I232" t="s">
        <v>12</v>
      </c>
      <c r="J232" t="s">
        <v>26</v>
      </c>
    </row>
    <row r="233" spans="1:10" x14ac:dyDescent="0.3">
      <c r="A233" t="s">
        <v>743</v>
      </c>
      <c r="B233" t="s">
        <v>744</v>
      </c>
      <c r="C233" t="str">
        <f>TRIM(PROPER(Ecustom_DB[[#This Row],[Name]]))</f>
        <v>Timothy Juarez</v>
      </c>
      <c r="D233">
        <v>22</v>
      </c>
      <c r="E233" t="s">
        <v>16</v>
      </c>
      <c r="F233" t="s">
        <v>745</v>
      </c>
      <c r="G233" t="str">
        <f>TRIM(PROPER(Ecustom_DB[[#This Row],[City]]))</f>
        <v>Grahamstad</v>
      </c>
      <c r="H233" t="s">
        <v>317</v>
      </c>
      <c r="I233" t="s">
        <v>12</v>
      </c>
      <c r="J233" t="s">
        <v>26</v>
      </c>
    </row>
    <row r="234" spans="1:10" x14ac:dyDescent="0.3">
      <c r="A234" t="s">
        <v>746</v>
      </c>
      <c r="B234" t="s">
        <v>747</v>
      </c>
      <c r="C234" t="str">
        <f>TRIM(PROPER(Ecustom_DB[[#This Row],[Name]]))</f>
        <v>Christy Hill</v>
      </c>
      <c r="D234">
        <v>27</v>
      </c>
      <c r="E234" t="s">
        <v>16</v>
      </c>
      <c r="F234" t="s">
        <v>748</v>
      </c>
      <c r="G234" t="str">
        <f>TRIM(PROPER(Ecustom_DB[[#This Row],[City]]))</f>
        <v>Tammyton</v>
      </c>
      <c r="H234" t="s">
        <v>88</v>
      </c>
      <c r="I234" t="s">
        <v>12</v>
      </c>
      <c r="J234" t="s">
        <v>19</v>
      </c>
    </row>
    <row r="235" spans="1:10" x14ac:dyDescent="0.3">
      <c r="A235" t="s">
        <v>749</v>
      </c>
      <c r="B235" t="s">
        <v>750</v>
      </c>
      <c r="C235" t="str">
        <f>TRIM(PROPER(Ecustom_DB[[#This Row],[Name]]))</f>
        <v>Michelle Gonzalez</v>
      </c>
      <c r="D235">
        <v>59</v>
      </c>
      <c r="E235" t="s">
        <v>9</v>
      </c>
      <c r="F235" t="s">
        <v>751</v>
      </c>
      <c r="G235" t="str">
        <f>TRIM(PROPER(Ecustom_DB[[#This Row],[City]]))</f>
        <v>Clarkport</v>
      </c>
      <c r="H235" t="s">
        <v>43</v>
      </c>
      <c r="I235" t="s">
        <v>12</v>
      </c>
      <c r="J235" t="s">
        <v>31</v>
      </c>
    </row>
    <row r="236" spans="1:10" x14ac:dyDescent="0.3">
      <c r="A236" t="s">
        <v>752</v>
      </c>
      <c r="B236" t="s">
        <v>753</v>
      </c>
      <c r="C236" t="str">
        <f>TRIM(PROPER(Ecustom_DB[[#This Row],[Name]]))</f>
        <v>Nathaniel Hill</v>
      </c>
      <c r="D236">
        <v>43</v>
      </c>
      <c r="E236" t="s">
        <v>16</v>
      </c>
      <c r="F236" t="s">
        <v>754</v>
      </c>
      <c r="G236" t="str">
        <f>TRIM(PROPER(Ecustom_DB[[#This Row],[City]]))</f>
        <v>Lake Mark</v>
      </c>
      <c r="H236" t="s">
        <v>62</v>
      </c>
      <c r="I236" t="s">
        <v>12</v>
      </c>
      <c r="J236" t="s">
        <v>13</v>
      </c>
    </row>
    <row r="237" spans="1:10" x14ac:dyDescent="0.3">
      <c r="A237" t="s">
        <v>755</v>
      </c>
      <c r="B237" t="s">
        <v>756</v>
      </c>
      <c r="C237" t="str">
        <f>TRIM(PROPER(Ecustom_DB[[#This Row],[Name]]))</f>
        <v>Jon Ortiz</v>
      </c>
      <c r="D237">
        <v>28</v>
      </c>
      <c r="E237" t="s">
        <v>16</v>
      </c>
      <c r="F237" t="s">
        <v>757</v>
      </c>
      <c r="G237" t="str">
        <f>TRIM(PROPER(Ecustom_DB[[#This Row],[City]]))</f>
        <v>South Angelaport</v>
      </c>
      <c r="H237" t="s">
        <v>92</v>
      </c>
      <c r="I237" t="s">
        <v>12</v>
      </c>
      <c r="J237" t="s">
        <v>26</v>
      </c>
    </row>
    <row r="238" spans="1:10" x14ac:dyDescent="0.3">
      <c r="A238" t="s">
        <v>758</v>
      </c>
      <c r="B238" t="s">
        <v>759</v>
      </c>
      <c r="C238" t="str">
        <f>TRIM(PROPER(Ecustom_DB[[#This Row],[Name]]))</f>
        <v>Joshua Wilson</v>
      </c>
      <c r="D238">
        <v>42</v>
      </c>
      <c r="E238" t="s">
        <v>16</v>
      </c>
      <c r="F238" t="s">
        <v>760</v>
      </c>
      <c r="G238" t="str">
        <f>TRIM(PROPER(Ecustom_DB[[#This Row],[City]]))</f>
        <v>North Larryport</v>
      </c>
      <c r="H238" t="s">
        <v>287</v>
      </c>
      <c r="I238" t="s">
        <v>12</v>
      </c>
      <c r="J238" t="s">
        <v>26</v>
      </c>
    </row>
    <row r="239" spans="1:10" x14ac:dyDescent="0.3">
      <c r="A239" t="s">
        <v>761</v>
      </c>
      <c r="B239" t="s">
        <v>762</v>
      </c>
      <c r="C239" t="str">
        <f>TRIM(PROPER(Ecustom_DB[[#This Row],[Name]]))</f>
        <v>Wesley Short</v>
      </c>
      <c r="D239">
        <v>41</v>
      </c>
      <c r="E239" t="s">
        <v>16</v>
      </c>
      <c r="F239" t="s">
        <v>763</v>
      </c>
      <c r="G239" t="str">
        <f>TRIM(PROPER(Ecustom_DB[[#This Row],[City]]))</f>
        <v>Susanstad</v>
      </c>
      <c r="H239" t="s">
        <v>66</v>
      </c>
      <c r="I239" t="s">
        <v>12</v>
      </c>
      <c r="J239" t="s">
        <v>13</v>
      </c>
    </row>
    <row r="240" spans="1:10" x14ac:dyDescent="0.3">
      <c r="A240" t="s">
        <v>764</v>
      </c>
      <c r="B240" t="s">
        <v>765</v>
      </c>
      <c r="C240" t="str">
        <f>TRIM(PROPER(Ecustom_DB[[#This Row],[Name]]))</f>
        <v>Steven Smith</v>
      </c>
      <c r="D240">
        <v>40</v>
      </c>
      <c r="E240" t="s">
        <v>9</v>
      </c>
      <c r="F240" t="s">
        <v>766</v>
      </c>
      <c r="G240" t="str">
        <f>TRIM(PROPER(Ecustom_DB[[#This Row],[City]]))</f>
        <v>Port Krista</v>
      </c>
      <c r="H240" t="s">
        <v>43</v>
      </c>
      <c r="I240" t="s">
        <v>12</v>
      </c>
      <c r="J240" t="s">
        <v>19</v>
      </c>
    </row>
    <row r="241" spans="1:10" x14ac:dyDescent="0.3">
      <c r="A241" t="s">
        <v>767</v>
      </c>
      <c r="B241" t="s">
        <v>768</v>
      </c>
      <c r="C241" t="str">
        <f>TRIM(PROPER(Ecustom_DB[[#This Row],[Name]]))</f>
        <v>Maria Hill</v>
      </c>
      <c r="D241">
        <v>58</v>
      </c>
      <c r="E241" t="s">
        <v>16</v>
      </c>
      <c r="F241" t="s">
        <v>769</v>
      </c>
      <c r="G241" t="str">
        <f>TRIM(PROPER(Ecustom_DB[[#This Row],[City]]))</f>
        <v>Zamoraborough</v>
      </c>
      <c r="H241" t="s">
        <v>184</v>
      </c>
      <c r="I241" t="s">
        <v>12</v>
      </c>
      <c r="J241" t="s">
        <v>19</v>
      </c>
    </row>
    <row r="242" spans="1:10" x14ac:dyDescent="0.3">
      <c r="A242" t="s">
        <v>770</v>
      </c>
      <c r="B242" t="s">
        <v>771</v>
      </c>
      <c r="C242" t="str">
        <f>TRIM(PROPER(Ecustom_DB[[#This Row],[Name]]))</f>
        <v>William Hull</v>
      </c>
      <c r="D242">
        <v>59</v>
      </c>
      <c r="E242" t="s">
        <v>16</v>
      </c>
      <c r="F242" t="s">
        <v>772</v>
      </c>
      <c r="G242" t="str">
        <f>TRIM(PROPER(Ecustom_DB[[#This Row],[City]]))</f>
        <v>Heathfort</v>
      </c>
      <c r="H242" t="s">
        <v>156</v>
      </c>
      <c r="I242" t="s">
        <v>12</v>
      </c>
      <c r="J242" t="s">
        <v>19</v>
      </c>
    </row>
    <row r="243" spans="1:10" x14ac:dyDescent="0.3">
      <c r="A243" t="s">
        <v>773</v>
      </c>
      <c r="B243" t="s">
        <v>774</v>
      </c>
      <c r="C243" t="str">
        <f>TRIM(PROPER(Ecustom_DB[[#This Row],[Name]]))</f>
        <v>Mr. William Horton</v>
      </c>
      <c r="D243">
        <v>31</v>
      </c>
      <c r="E243" t="s">
        <v>9</v>
      </c>
      <c r="F243" t="s">
        <v>775</v>
      </c>
      <c r="G243" t="str">
        <f>TRIM(PROPER(Ecustom_DB[[#This Row],[City]]))</f>
        <v>Dawsonchester</v>
      </c>
      <c r="H243" t="s">
        <v>287</v>
      </c>
      <c r="I243" t="s">
        <v>12</v>
      </c>
      <c r="J243" t="s">
        <v>19</v>
      </c>
    </row>
    <row r="244" spans="1:10" x14ac:dyDescent="0.3">
      <c r="A244" t="s">
        <v>776</v>
      </c>
      <c r="B244" t="s">
        <v>777</v>
      </c>
      <c r="C244" t="str">
        <f>TRIM(PROPER(Ecustom_DB[[#This Row],[Name]]))</f>
        <v>William Jackson</v>
      </c>
      <c r="D244">
        <v>58</v>
      </c>
      <c r="E244" t="s">
        <v>16</v>
      </c>
      <c r="F244" t="s">
        <v>778</v>
      </c>
      <c r="G244" t="str">
        <f>TRIM(PROPER(Ecustom_DB[[#This Row],[City]]))</f>
        <v>New Tina</v>
      </c>
      <c r="H244" t="s">
        <v>167</v>
      </c>
      <c r="I244" t="s">
        <v>12</v>
      </c>
      <c r="J244" t="s">
        <v>31</v>
      </c>
    </row>
    <row r="245" spans="1:10" x14ac:dyDescent="0.3">
      <c r="A245" t="s">
        <v>779</v>
      </c>
      <c r="B245" t="s">
        <v>780</v>
      </c>
      <c r="C245" t="str">
        <f>TRIM(PROPER(Ecustom_DB[[#This Row],[Name]]))</f>
        <v>Brian Hammond</v>
      </c>
      <c r="D245">
        <v>56</v>
      </c>
      <c r="E245" t="s">
        <v>16</v>
      </c>
      <c r="F245" t="s">
        <v>781</v>
      </c>
      <c r="G245" t="str">
        <f>TRIM(PROPER(Ecustom_DB[[#This Row],[City]]))</f>
        <v>North Nicholas</v>
      </c>
      <c r="H245" t="s">
        <v>359</v>
      </c>
      <c r="I245" t="s">
        <v>12</v>
      </c>
      <c r="J245" t="s">
        <v>13</v>
      </c>
    </row>
    <row r="246" spans="1:10" x14ac:dyDescent="0.3">
      <c r="A246" t="s">
        <v>782</v>
      </c>
      <c r="B246" t="s">
        <v>783</v>
      </c>
      <c r="C246" t="str">
        <f>TRIM(PROPER(Ecustom_DB[[#This Row],[Name]]))</f>
        <v>Nancy Page</v>
      </c>
      <c r="D246">
        <v>19</v>
      </c>
      <c r="E246" t="s">
        <v>9</v>
      </c>
      <c r="F246" t="s">
        <v>784</v>
      </c>
      <c r="G246" t="str">
        <f>TRIM(PROPER(Ecustom_DB[[#This Row],[City]]))</f>
        <v>West Julia</v>
      </c>
      <c r="H246" t="s">
        <v>117</v>
      </c>
      <c r="I246" t="s">
        <v>12</v>
      </c>
      <c r="J246" t="s">
        <v>26</v>
      </c>
    </row>
    <row r="247" spans="1:10" x14ac:dyDescent="0.3">
      <c r="A247" t="s">
        <v>785</v>
      </c>
      <c r="B247" t="s">
        <v>786</v>
      </c>
      <c r="C247" t="str">
        <f>TRIM(PROPER(Ecustom_DB[[#This Row],[Name]]))</f>
        <v>Laura Soto</v>
      </c>
      <c r="D247">
        <v>57</v>
      </c>
      <c r="E247" t="s">
        <v>16</v>
      </c>
      <c r="F247" t="s">
        <v>787</v>
      </c>
      <c r="G247" t="str">
        <f>TRIM(PROPER(Ecustom_DB[[#This Row],[City]]))</f>
        <v>Rodriguezton</v>
      </c>
      <c r="H247" t="s">
        <v>156</v>
      </c>
      <c r="I247" t="s">
        <v>12</v>
      </c>
      <c r="J247" t="s">
        <v>19</v>
      </c>
    </row>
    <row r="248" spans="1:10" x14ac:dyDescent="0.3">
      <c r="A248" t="s">
        <v>788</v>
      </c>
      <c r="B248" t="s">
        <v>789</v>
      </c>
      <c r="C248" t="str">
        <f>TRIM(PROPER(Ecustom_DB[[#This Row],[Name]]))</f>
        <v>Mary Russell</v>
      </c>
      <c r="D248">
        <v>58</v>
      </c>
      <c r="E248" t="s">
        <v>9</v>
      </c>
      <c r="F248" t="s">
        <v>790</v>
      </c>
      <c r="G248" t="str">
        <f>TRIM(PROPER(Ecustom_DB[[#This Row],[City]]))</f>
        <v>South Regina</v>
      </c>
      <c r="H248" t="s">
        <v>291</v>
      </c>
      <c r="I248" t="s">
        <v>12</v>
      </c>
      <c r="J248" t="s">
        <v>26</v>
      </c>
    </row>
    <row r="249" spans="1:10" x14ac:dyDescent="0.3">
      <c r="A249" t="s">
        <v>791</v>
      </c>
      <c r="B249" t="s">
        <v>792</v>
      </c>
      <c r="C249" t="str">
        <f>TRIM(PROPER(Ecustom_DB[[#This Row],[Name]]))</f>
        <v>Douglas Rhodes</v>
      </c>
      <c r="D249">
        <v>32</v>
      </c>
      <c r="E249" t="s">
        <v>9</v>
      </c>
      <c r="F249" t="s">
        <v>793</v>
      </c>
      <c r="G249" t="str">
        <f>TRIM(PROPER(Ecustom_DB[[#This Row],[City]]))</f>
        <v>Mikehaven</v>
      </c>
      <c r="H249" t="s">
        <v>47</v>
      </c>
      <c r="I249" t="s">
        <v>12</v>
      </c>
      <c r="J249" t="s">
        <v>19</v>
      </c>
    </row>
    <row r="250" spans="1:10" x14ac:dyDescent="0.3">
      <c r="A250" t="s">
        <v>794</v>
      </c>
      <c r="B250" t="s">
        <v>795</v>
      </c>
      <c r="C250" t="str">
        <f>TRIM(PROPER(Ecustom_DB[[#This Row],[Name]]))</f>
        <v>Nicholas Webb</v>
      </c>
      <c r="D250">
        <v>19</v>
      </c>
      <c r="E250" t="s">
        <v>9</v>
      </c>
      <c r="F250" t="s">
        <v>796</v>
      </c>
      <c r="G250" t="str">
        <f>TRIM(PROPER(Ecustom_DB[[#This Row],[City]]))</f>
        <v>Lake Timothy</v>
      </c>
      <c r="H250" t="s">
        <v>184</v>
      </c>
      <c r="I250" t="s">
        <v>12</v>
      </c>
      <c r="J250" t="s">
        <v>13</v>
      </c>
    </row>
    <row r="251" spans="1:10" x14ac:dyDescent="0.3">
      <c r="A251" t="s">
        <v>797</v>
      </c>
      <c r="B251" t="s">
        <v>798</v>
      </c>
      <c r="C251" t="str">
        <f>TRIM(PROPER(Ecustom_DB[[#This Row],[Name]]))</f>
        <v>Lauren George</v>
      </c>
      <c r="D251">
        <v>41</v>
      </c>
      <c r="E251" t="s">
        <v>16</v>
      </c>
      <c r="F251" t="s">
        <v>799</v>
      </c>
      <c r="G251" t="str">
        <f>TRIM(PROPER(Ecustom_DB[[#This Row],[City]]))</f>
        <v>Garciamouth</v>
      </c>
      <c r="H251" t="s">
        <v>58</v>
      </c>
      <c r="I251" t="s">
        <v>12</v>
      </c>
      <c r="J251" t="s">
        <v>13</v>
      </c>
    </row>
    <row r="252" spans="1:10" x14ac:dyDescent="0.3">
      <c r="A252" t="s">
        <v>800</v>
      </c>
      <c r="B252" t="s">
        <v>801</v>
      </c>
      <c r="C252" t="str">
        <f>TRIM(PROPER(Ecustom_DB[[#This Row],[Name]]))</f>
        <v>Veronica Newman</v>
      </c>
      <c r="D252">
        <v>48</v>
      </c>
      <c r="E252" t="s">
        <v>9</v>
      </c>
      <c r="F252" t="s">
        <v>802</v>
      </c>
      <c r="G252" t="str">
        <f>TRIM(PROPER(Ecustom_DB[[#This Row],[City]]))</f>
        <v>New Daniel</v>
      </c>
      <c r="H252" t="s">
        <v>92</v>
      </c>
      <c r="I252" t="s">
        <v>12</v>
      </c>
      <c r="J252" t="s">
        <v>19</v>
      </c>
    </row>
    <row r="253" spans="1:10" x14ac:dyDescent="0.3">
      <c r="A253" t="s">
        <v>803</v>
      </c>
      <c r="B253" t="s">
        <v>804</v>
      </c>
      <c r="C253" t="str">
        <f>TRIM(PROPER(Ecustom_DB[[#This Row],[Name]]))</f>
        <v>Tyler Garner</v>
      </c>
      <c r="D253">
        <v>64</v>
      </c>
      <c r="E253" t="s">
        <v>9</v>
      </c>
      <c r="F253" t="s">
        <v>805</v>
      </c>
      <c r="G253" t="str">
        <f>TRIM(PROPER(Ecustom_DB[[#This Row],[City]]))</f>
        <v>Port Coreyfort</v>
      </c>
      <c r="H253" t="s">
        <v>22</v>
      </c>
      <c r="I253" t="s">
        <v>12</v>
      </c>
      <c r="J253" t="s">
        <v>31</v>
      </c>
    </row>
    <row r="254" spans="1:10" x14ac:dyDescent="0.3">
      <c r="A254" t="s">
        <v>806</v>
      </c>
      <c r="B254" t="s">
        <v>807</v>
      </c>
      <c r="C254" t="str">
        <f>TRIM(PROPER(Ecustom_DB[[#This Row],[Name]]))</f>
        <v>John Mccoy</v>
      </c>
      <c r="D254">
        <v>26</v>
      </c>
      <c r="E254" t="s">
        <v>9</v>
      </c>
      <c r="F254" t="s">
        <v>808</v>
      </c>
      <c r="G254" t="str">
        <f>TRIM(PROPER(Ecustom_DB[[#This Row],[City]]))</f>
        <v>Robinborough</v>
      </c>
      <c r="H254" t="s">
        <v>39</v>
      </c>
      <c r="I254" t="s">
        <v>12</v>
      </c>
      <c r="J254" t="s">
        <v>31</v>
      </c>
    </row>
    <row r="255" spans="1:10" x14ac:dyDescent="0.3">
      <c r="A255" t="s">
        <v>809</v>
      </c>
      <c r="B255" t="s">
        <v>810</v>
      </c>
      <c r="C255" t="str">
        <f>TRIM(PROPER(Ecustom_DB[[#This Row],[Name]]))</f>
        <v>Dr. Ashley Yates Md</v>
      </c>
      <c r="D255">
        <v>32</v>
      </c>
      <c r="E255" t="s">
        <v>9</v>
      </c>
      <c r="F255" t="s">
        <v>811</v>
      </c>
      <c r="G255" t="str">
        <f>TRIM(PROPER(Ecustom_DB[[#This Row],[City]]))</f>
        <v>New Maria</v>
      </c>
      <c r="H255" t="s">
        <v>324</v>
      </c>
      <c r="I255" t="s">
        <v>12</v>
      </c>
      <c r="J255" t="s">
        <v>26</v>
      </c>
    </row>
    <row r="256" spans="1:10" x14ac:dyDescent="0.3">
      <c r="A256" t="s">
        <v>812</v>
      </c>
      <c r="B256" t="s">
        <v>813</v>
      </c>
      <c r="C256" t="str">
        <f>TRIM(PROPER(Ecustom_DB[[#This Row],[Name]]))</f>
        <v>Linda Kline</v>
      </c>
      <c r="D256">
        <v>34</v>
      </c>
      <c r="E256" t="s">
        <v>9</v>
      </c>
      <c r="F256" t="s">
        <v>814</v>
      </c>
      <c r="G256" t="str">
        <f>TRIM(PROPER(Ecustom_DB[[#This Row],[City]]))</f>
        <v>Masseyland</v>
      </c>
      <c r="H256" t="s">
        <v>163</v>
      </c>
      <c r="I256" t="s">
        <v>12</v>
      </c>
      <c r="J256" t="s">
        <v>31</v>
      </c>
    </row>
    <row r="257" spans="1:10" x14ac:dyDescent="0.3">
      <c r="A257" t="s">
        <v>815</v>
      </c>
      <c r="B257" t="s">
        <v>816</v>
      </c>
      <c r="C257" t="str">
        <f>TRIM(PROPER(Ecustom_DB[[#This Row],[Name]]))</f>
        <v>Damon Perez</v>
      </c>
      <c r="D257">
        <v>21</v>
      </c>
      <c r="E257" t="s">
        <v>9</v>
      </c>
      <c r="F257" t="s">
        <v>817</v>
      </c>
      <c r="G257" t="str">
        <f>TRIM(PROPER(Ecustom_DB[[#This Row],[City]]))</f>
        <v>Jasonton</v>
      </c>
      <c r="H257" t="s">
        <v>25</v>
      </c>
      <c r="I257" t="s">
        <v>12</v>
      </c>
      <c r="J257" t="s">
        <v>13</v>
      </c>
    </row>
    <row r="258" spans="1:10" x14ac:dyDescent="0.3">
      <c r="A258" t="s">
        <v>818</v>
      </c>
      <c r="B258" t="s">
        <v>819</v>
      </c>
      <c r="C258" t="str">
        <f>TRIM(PROPER(Ecustom_DB[[#This Row],[Name]]))</f>
        <v>Kristen Fischer</v>
      </c>
      <c r="D258">
        <v>57</v>
      </c>
      <c r="E258" t="s">
        <v>9</v>
      </c>
      <c r="F258" t="s">
        <v>820</v>
      </c>
      <c r="G258" t="str">
        <f>TRIM(PROPER(Ecustom_DB[[#This Row],[City]]))</f>
        <v>Lake Christopher</v>
      </c>
      <c r="H258" t="s">
        <v>291</v>
      </c>
      <c r="I258" t="s">
        <v>12</v>
      </c>
      <c r="J258" t="s">
        <v>19</v>
      </c>
    </row>
    <row r="259" spans="1:10" x14ac:dyDescent="0.3">
      <c r="A259" t="s">
        <v>821</v>
      </c>
      <c r="B259" t="s">
        <v>822</v>
      </c>
      <c r="C259" t="str">
        <f>TRIM(PROPER(Ecustom_DB[[#This Row],[Name]]))</f>
        <v>Christopher David</v>
      </c>
      <c r="D259">
        <v>42</v>
      </c>
      <c r="E259" t="s">
        <v>9</v>
      </c>
      <c r="F259" t="s">
        <v>823</v>
      </c>
      <c r="G259" t="str">
        <f>TRIM(PROPER(Ecustom_DB[[#This Row],[City]]))</f>
        <v>Karenmouth</v>
      </c>
      <c r="H259" t="s">
        <v>715</v>
      </c>
      <c r="I259" t="s">
        <v>12</v>
      </c>
      <c r="J259" t="s">
        <v>31</v>
      </c>
    </row>
    <row r="260" spans="1:10" x14ac:dyDescent="0.3">
      <c r="A260" t="s">
        <v>824</v>
      </c>
      <c r="B260" t="s">
        <v>825</v>
      </c>
      <c r="C260" t="str">
        <f>TRIM(PROPER(Ecustom_DB[[#This Row],[Name]]))</f>
        <v>Sarah Stewart</v>
      </c>
      <c r="D260">
        <v>24</v>
      </c>
      <c r="E260" t="s">
        <v>16</v>
      </c>
      <c r="F260" t="s">
        <v>826</v>
      </c>
      <c r="G260" t="str">
        <f>TRIM(PROPER(Ecustom_DB[[#This Row],[City]]))</f>
        <v>East Richard</v>
      </c>
      <c r="H260" t="s">
        <v>359</v>
      </c>
      <c r="I260" t="s">
        <v>12</v>
      </c>
      <c r="J260" t="s">
        <v>19</v>
      </c>
    </row>
    <row r="261" spans="1:10" x14ac:dyDescent="0.3">
      <c r="A261" t="s">
        <v>827</v>
      </c>
      <c r="B261" t="s">
        <v>828</v>
      </c>
      <c r="C261" t="str">
        <f>TRIM(PROPER(Ecustom_DB[[#This Row],[Name]]))</f>
        <v>Beth Allen</v>
      </c>
      <c r="D261">
        <v>32</v>
      </c>
      <c r="E261" t="s">
        <v>16</v>
      </c>
      <c r="F261" t="s">
        <v>829</v>
      </c>
      <c r="G261" t="str">
        <f>TRIM(PROPER(Ecustom_DB[[#This Row],[City]]))</f>
        <v>South Kathrynmouth</v>
      </c>
      <c r="H261" t="s">
        <v>96</v>
      </c>
      <c r="I261" t="s">
        <v>12</v>
      </c>
      <c r="J261" t="s">
        <v>31</v>
      </c>
    </row>
    <row r="262" spans="1:10" x14ac:dyDescent="0.3">
      <c r="A262" t="s">
        <v>830</v>
      </c>
      <c r="B262" t="s">
        <v>831</v>
      </c>
      <c r="C262" t="str">
        <f>TRIM(PROPER(Ecustom_DB[[#This Row],[Name]]))</f>
        <v>Russell Lamb</v>
      </c>
      <c r="D262">
        <v>63</v>
      </c>
      <c r="E262" t="s">
        <v>16</v>
      </c>
      <c r="F262" t="s">
        <v>832</v>
      </c>
      <c r="G262" t="str">
        <f>TRIM(PROPER(Ecustom_DB[[#This Row],[City]]))</f>
        <v>North Jonathon</v>
      </c>
      <c r="H262" t="s">
        <v>133</v>
      </c>
      <c r="I262" t="s">
        <v>12</v>
      </c>
      <c r="J262" t="s">
        <v>19</v>
      </c>
    </row>
    <row r="263" spans="1:10" x14ac:dyDescent="0.3">
      <c r="A263" t="s">
        <v>833</v>
      </c>
      <c r="B263" t="s">
        <v>834</v>
      </c>
      <c r="C263" t="str">
        <f>TRIM(PROPER(Ecustom_DB[[#This Row],[Name]]))</f>
        <v>Carol Bishop</v>
      </c>
      <c r="D263">
        <v>27</v>
      </c>
      <c r="E263" t="s">
        <v>16</v>
      </c>
      <c r="F263" t="s">
        <v>835</v>
      </c>
      <c r="G263" t="str">
        <f>TRIM(PROPER(Ecustom_DB[[#This Row],[City]]))</f>
        <v>Lake Saramouth</v>
      </c>
      <c r="H263" t="s">
        <v>35</v>
      </c>
      <c r="I263" t="s">
        <v>12</v>
      </c>
      <c r="J263" t="s">
        <v>31</v>
      </c>
    </row>
    <row r="264" spans="1:10" x14ac:dyDescent="0.3">
      <c r="A264" t="s">
        <v>836</v>
      </c>
      <c r="B264" t="s">
        <v>837</v>
      </c>
      <c r="C264" t="str">
        <f>TRIM(PROPER(Ecustom_DB[[#This Row],[Name]]))</f>
        <v>Katherine Cowan</v>
      </c>
      <c r="D264">
        <v>60</v>
      </c>
      <c r="E264" t="s">
        <v>16</v>
      </c>
      <c r="F264" t="s">
        <v>838</v>
      </c>
      <c r="G264" t="str">
        <f>TRIM(PROPER(Ecustom_DB[[#This Row],[City]]))</f>
        <v>New Ana</v>
      </c>
      <c r="H264" t="s">
        <v>66</v>
      </c>
      <c r="I264" t="s">
        <v>12</v>
      </c>
      <c r="J264" t="s">
        <v>31</v>
      </c>
    </row>
    <row r="265" spans="1:10" x14ac:dyDescent="0.3">
      <c r="A265" t="s">
        <v>839</v>
      </c>
      <c r="B265" t="s">
        <v>840</v>
      </c>
      <c r="C265" t="str">
        <f>TRIM(PROPER(Ecustom_DB[[#This Row],[Name]]))</f>
        <v>Crystal Davis</v>
      </c>
      <c r="D265">
        <v>50</v>
      </c>
      <c r="E265" t="s">
        <v>9</v>
      </c>
      <c r="F265" t="s">
        <v>841</v>
      </c>
      <c r="G265" t="str">
        <f>TRIM(PROPER(Ecustom_DB[[#This Row],[City]]))</f>
        <v>Sallymouth</v>
      </c>
      <c r="H265" t="s">
        <v>328</v>
      </c>
      <c r="I265" t="s">
        <v>12</v>
      </c>
      <c r="J265" t="s">
        <v>26</v>
      </c>
    </row>
    <row r="266" spans="1:10" x14ac:dyDescent="0.3">
      <c r="A266" t="s">
        <v>842</v>
      </c>
      <c r="B266" t="s">
        <v>843</v>
      </c>
      <c r="C266" t="str">
        <f>TRIM(PROPER(Ecustom_DB[[#This Row],[Name]]))</f>
        <v>Matthew Payne</v>
      </c>
      <c r="D266">
        <v>25</v>
      </c>
      <c r="E266" t="s">
        <v>9</v>
      </c>
      <c r="F266" t="s">
        <v>844</v>
      </c>
      <c r="G266" t="str">
        <f>TRIM(PROPER(Ecustom_DB[[#This Row],[City]]))</f>
        <v>Grahamfurt</v>
      </c>
      <c r="H266" t="s">
        <v>845</v>
      </c>
      <c r="I266" t="s">
        <v>12</v>
      </c>
      <c r="J266" t="s">
        <v>13</v>
      </c>
    </row>
    <row r="267" spans="1:10" x14ac:dyDescent="0.3">
      <c r="A267" t="s">
        <v>846</v>
      </c>
      <c r="B267" t="s">
        <v>847</v>
      </c>
      <c r="C267" t="str">
        <f>TRIM(PROPER(Ecustom_DB[[#This Row],[Name]]))</f>
        <v>Tracy Kelly</v>
      </c>
      <c r="D267">
        <v>38</v>
      </c>
      <c r="E267" t="s">
        <v>9</v>
      </c>
      <c r="F267" t="s">
        <v>848</v>
      </c>
      <c r="G267" t="str">
        <f>TRIM(PROPER(Ecustom_DB[[#This Row],[City]]))</f>
        <v>West Jamieport</v>
      </c>
      <c r="H267" t="s">
        <v>237</v>
      </c>
      <c r="I267" t="s">
        <v>12</v>
      </c>
      <c r="J267" t="s">
        <v>31</v>
      </c>
    </row>
    <row r="268" spans="1:10" x14ac:dyDescent="0.3">
      <c r="A268" t="s">
        <v>849</v>
      </c>
      <c r="B268" t="s">
        <v>850</v>
      </c>
      <c r="C268" t="str">
        <f>TRIM(PROPER(Ecustom_DB[[#This Row],[Name]]))</f>
        <v>Cynthia Payne</v>
      </c>
      <c r="D268">
        <v>32</v>
      </c>
      <c r="E268" t="s">
        <v>16</v>
      </c>
      <c r="F268" t="s">
        <v>851</v>
      </c>
      <c r="G268" t="str">
        <f>TRIM(PROPER(Ecustom_DB[[#This Row],[City]]))</f>
        <v>South Gina</v>
      </c>
      <c r="H268" t="s">
        <v>588</v>
      </c>
      <c r="I268" t="s">
        <v>12</v>
      </c>
      <c r="J268" t="s">
        <v>26</v>
      </c>
    </row>
    <row r="269" spans="1:10" x14ac:dyDescent="0.3">
      <c r="A269" t="s">
        <v>852</v>
      </c>
      <c r="B269" t="s">
        <v>853</v>
      </c>
      <c r="C269" t="str">
        <f>TRIM(PROPER(Ecustom_DB[[#This Row],[Name]]))</f>
        <v>Zachary Shelton</v>
      </c>
      <c r="D269">
        <v>18</v>
      </c>
      <c r="E269" t="s">
        <v>9</v>
      </c>
      <c r="F269" t="s">
        <v>781</v>
      </c>
      <c r="G269" t="str">
        <f>TRIM(PROPER(Ecustom_DB[[#This Row],[City]]))</f>
        <v>North Nicholas</v>
      </c>
      <c r="H269" t="s">
        <v>66</v>
      </c>
      <c r="I269" t="s">
        <v>12</v>
      </c>
      <c r="J269" t="s">
        <v>26</v>
      </c>
    </row>
    <row r="270" spans="1:10" x14ac:dyDescent="0.3">
      <c r="A270" t="s">
        <v>854</v>
      </c>
      <c r="B270" t="s">
        <v>855</v>
      </c>
      <c r="C270" t="str">
        <f>TRIM(PROPER(Ecustom_DB[[#This Row],[Name]]))</f>
        <v>Kevin Orr</v>
      </c>
      <c r="D270">
        <v>53</v>
      </c>
      <c r="E270" t="s">
        <v>16</v>
      </c>
      <c r="F270" t="s">
        <v>856</v>
      </c>
      <c r="G270" t="str">
        <f>TRIM(PROPER(Ecustom_DB[[#This Row],[City]]))</f>
        <v>Ryanberg</v>
      </c>
      <c r="H270" t="s">
        <v>201</v>
      </c>
      <c r="I270" t="s">
        <v>12</v>
      </c>
      <c r="J270" t="s">
        <v>26</v>
      </c>
    </row>
    <row r="271" spans="1:10" x14ac:dyDescent="0.3">
      <c r="A271" t="s">
        <v>857</v>
      </c>
      <c r="B271" t="s">
        <v>858</v>
      </c>
      <c r="C271" t="str">
        <f>TRIM(PROPER(Ecustom_DB[[#This Row],[Name]]))</f>
        <v>Tyrone Olson</v>
      </c>
      <c r="D271">
        <v>45</v>
      </c>
      <c r="E271" t="s">
        <v>16</v>
      </c>
      <c r="F271" t="s">
        <v>859</v>
      </c>
      <c r="G271" t="str">
        <f>TRIM(PROPER(Ecustom_DB[[#This Row],[City]]))</f>
        <v>Emilytown</v>
      </c>
      <c r="H271" t="s">
        <v>30</v>
      </c>
      <c r="I271" t="s">
        <v>12</v>
      </c>
      <c r="J271" t="s">
        <v>31</v>
      </c>
    </row>
    <row r="272" spans="1:10" x14ac:dyDescent="0.3">
      <c r="A272" t="s">
        <v>860</v>
      </c>
      <c r="B272" t="s">
        <v>861</v>
      </c>
      <c r="C272" t="str">
        <f>TRIM(PROPER(Ecustom_DB[[#This Row],[Name]]))</f>
        <v>Brian Garcia</v>
      </c>
      <c r="D272">
        <v>31</v>
      </c>
      <c r="E272" t="s">
        <v>16</v>
      </c>
      <c r="F272" t="s">
        <v>862</v>
      </c>
      <c r="G272" t="str">
        <f>TRIM(PROPER(Ecustom_DB[[#This Row],[City]]))</f>
        <v>Ramosmouth</v>
      </c>
      <c r="H272" t="s">
        <v>328</v>
      </c>
      <c r="I272" t="s">
        <v>12</v>
      </c>
      <c r="J272" t="s">
        <v>13</v>
      </c>
    </row>
    <row r="273" spans="1:10" x14ac:dyDescent="0.3">
      <c r="A273" t="s">
        <v>863</v>
      </c>
      <c r="B273" t="s">
        <v>864</v>
      </c>
      <c r="C273" t="str">
        <f>TRIM(PROPER(Ecustom_DB[[#This Row],[Name]]))</f>
        <v>Daisy Johnson Dds</v>
      </c>
      <c r="D273">
        <v>64</v>
      </c>
      <c r="E273" t="s">
        <v>9</v>
      </c>
      <c r="F273" t="s">
        <v>865</v>
      </c>
      <c r="G273" t="str">
        <f>TRIM(PROPER(Ecustom_DB[[#This Row],[City]]))</f>
        <v>North Stephanie</v>
      </c>
      <c r="H273" t="s">
        <v>70</v>
      </c>
      <c r="I273" t="s">
        <v>12</v>
      </c>
      <c r="J273" t="s">
        <v>19</v>
      </c>
    </row>
    <row r="274" spans="1:10" x14ac:dyDescent="0.3">
      <c r="A274" t="s">
        <v>866</v>
      </c>
      <c r="B274" t="s">
        <v>867</v>
      </c>
      <c r="C274" t="str">
        <f>TRIM(PROPER(Ecustom_DB[[#This Row],[Name]]))</f>
        <v>Adam Rowland</v>
      </c>
      <c r="D274">
        <v>48</v>
      </c>
      <c r="E274" t="s">
        <v>16</v>
      </c>
      <c r="F274" t="s">
        <v>868</v>
      </c>
      <c r="G274" t="str">
        <f>TRIM(PROPER(Ecustom_DB[[#This Row],[City]]))</f>
        <v>Welchview</v>
      </c>
      <c r="H274" t="s">
        <v>30</v>
      </c>
      <c r="I274" t="s">
        <v>12</v>
      </c>
      <c r="J274" t="s">
        <v>13</v>
      </c>
    </row>
    <row r="275" spans="1:10" x14ac:dyDescent="0.3">
      <c r="A275" t="s">
        <v>869</v>
      </c>
      <c r="B275" t="s">
        <v>870</v>
      </c>
      <c r="C275" t="str">
        <f>TRIM(PROPER(Ecustom_DB[[#This Row],[Name]]))</f>
        <v>Samantha Robinson</v>
      </c>
      <c r="D275">
        <v>23</v>
      </c>
      <c r="E275" t="s">
        <v>9</v>
      </c>
      <c r="F275" t="s">
        <v>871</v>
      </c>
      <c r="G275" t="str">
        <f>TRIM(PROPER(Ecustom_DB[[#This Row],[City]]))</f>
        <v>North Roy</v>
      </c>
      <c r="H275" t="s">
        <v>313</v>
      </c>
      <c r="I275" t="s">
        <v>12</v>
      </c>
      <c r="J275" t="s">
        <v>26</v>
      </c>
    </row>
    <row r="276" spans="1:10" x14ac:dyDescent="0.3">
      <c r="A276" t="s">
        <v>872</v>
      </c>
      <c r="B276" t="s">
        <v>873</v>
      </c>
      <c r="C276" t="str">
        <f>TRIM(PROPER(Ecustom_DB[[#This Row],[Name]]))</f>
        <v>Sarah Lane</v>
      </c>
      <c r="D276">
        <v>38</v>
      </c>
      <c r="E276" t="s">
        <v>9</v>
      </c>
      <c r="F276" t="s">
        <v>874</v>
      </c>
      <c r="G276" t="str">
        <f>TRIM(PROPER(Ecustom_DB[[#This Row],[City]]))</f>
        <v>Edwardborough</v>
      </c>
      <c r="H276" t="s">
        <v>171</v>
      </c>
      <c r="I276" t="s">
        <v>12</v>
      </c>
      <c r="J276" t="s">
        <v>31</v>
      </c>
    </row>
    <row r="277" spans="1:10" x14ac:dyDescent="0.3">
      <c r="A277" t="s">
        <v>875</v>
      </c>
      <c r="B277" t="s">
        <v>876</v>
      </c>
      <c r="C277" t="str">
        <f>TRIM(PROPER(Ecustom_DB[[#This Row],[Name]]))</f>
        <v>Shannon Miller</v>
      </c>
      <c r="D277">
        <v>22</v>
      </c>
      <c r="E277" t="s">
        <v>9</v>
      </c>
      <c r="F277" t="s">
        <v>877</v>
      </c>
      <c r="G277" t="str">
        <f>TRIM(PROPER(Ecustom_DB[[#This Row],[City]]))</f>
        <v>North Austinport</v>
      </c>
      <c r="H277" t="s">
        <v>588</v>
      </c>
      <c r="I277" t="s">
        <v>12</v>
      </c>
      <c r="J277" t="s">
        <v>13</v>
      </c>
    </row>
    <row r="278" spans="1:10" x14ac:dyDescent="0.3">
      <c r="A278" t="s">
        <v>878</v>
      </c>
      <c r="B278" t="s">
        <v>879</v>
      </c>
      <c r="C278" t="str">
        <f>TRIM(PROPER(Ecustom_DB[[#This Row],[Name]]))</f>
        <v>Arthur Warren</v>
      </c>
      <c r="D278">
        <v>38</v>
      </c>
      <c r="E278" t="s">
        <v>9</v>
      </c>
      <c r="F278" t="s">
        <v>880</v>
      </c>
      <c r="G278" t="str">
        <f>TRIM(PROPER(Ecustom_DB[[#This Row],[City]]))</f>
        <v>Ericshire</v>
      </c>
      <c r="H278" t="s">
        <v>184</v>
      </c>
      <c r="I278" t="s">
        <v>12</v>
      </c>
      <c r="J278" t="s">
        <v>13</v>
      </c>
    </row>
    <row r="279" spans="1:10" x14ac:dyDescent="0.3">
      <c r="A279" t="s">
        <v>881</v>
      </c>
      <c r="B279" t="s">
        <v>882</v>
      </c>
      <c r="C279" t="str">
        <f>TRIM(PROPER(Ecustom_DB[[#This Row],[Name]]))</f>
        <v>Jeffrey Gomez</v>
      </c>
      <c r="D279">
        <v>22</v>
      </c>
      <c r="E279" t="s">
        <v>16</v>
      </c>
      <c r="F279" t="s">
        <v>883</v>
      </c>
      <c r="G279" t="str">
        <f>TRIM(PROPER(Ecustom_DB[[#This Row],[City]]))</f>
        <v>Lake Nicole</v>
      </c>
      <c r="H279" t="s">
        <v>274</v>
      </c>
      <c r="I279" t="s">
        <v>12</v>
      </c>
      <c r="J279" t="s">
        <v>19</v>
      </c>
    </row>
    <row r="280" spans="1:10" x14ac:dyDescent="0.3">
      <c r="A280" t="s">
        <v>884</v>
      </c>
      <c r="B280" t="s">
        <v>885</v>
      </c>
      <c r="C280" t="str">
        <f>TRIM(PROPER(Ecustom_DB[[#This Row],[Name]]))</f>
        <v>Stephen Fowler</v>
      </c>
      <c r="D280">
        <v>42</v>
      </c>
      <c r="E280" t="s">
        <v>16</v>
      </c>
      <c r="F280" t="s">
        <v>886</v>
      </c>
      <c r="G280" t="str">
        <f>TRIM(PROPER(Ecustom_DB[[#This Row],[City]]))</f>
        <v>Port Mariastad</v>
      </c>
      <c r="H280" t="s">
        <v>217</v>
      </c>
      <c r="I280" t="s">
        <v>12</v>
      </c>
      <c r="J280" t="s">
        <v>19</v>
      </c>
    </row>
    <row r="281" spans="1:10" x14ac:dyDescent="0.3">
      <c r="A281" t="s">
        <v>887</v>
      </c>
      <c r="B281" t="s">
        <v>888</v>
      </c>
      <c r="C281" t="str">
        <f>TRIM(PROPER(Ecustom_DB[[#This Row],[Name]]))</f>
        <v>Aaron Luna</v>
      </c>
      <c r="D281">
        <v>21</v>
      </c>
      <c r="E281" t="s">
        <v>16</v>
      </c>
      <c r="F281" t="s">
        <v>889</v>
      </c>
      <c r="G281" t="str">
        <f>TRIM(PROPER(Ecustom_DB[[#This Row],[City]]))</f>
        <v>Gilltown</v>
      </c>
      <c r="H281" t="s">
        <v>25</v>
      </c>
      <c r="I281" t="s">
        <v>12</v>
      </c>
      <c r="J281" t="s">
        <v>26</v>
      </c>
    </row>
    <row r="282" spans="1:10" x14ac:dyDescent="0.3">
      <c r="A282" t="s">
        <v>890</v>
      </c>
      <c r="B282" t="s">
        <v>891</v>
      </c>
      <c r="C282" t="str">
        <f>TRIM(PROPER(Ecustom_DB[[#This Row],[Name]]))</f>
        <v>Antonio Leon</v>
      </c>
      <c r="D282">
        <v>48</v>
      </c>
      <c r="E282" t="s">
        <v>9</v>
      </c>
      <c r="F282" t="s">
        <v>892</v>
      </c>
      <c r="G282" t="str">
        <f>TRIM(PROPER(Ecustom_DB[[#This Row],[City]]))</f>
        <v>Morrisville</v>
      </c>
      <c r="H282" t="s">
        <v>99</v>
      </c>
      <c r="I282" t="s">
        <v>12</v>
      </c>
      <c r="J282" t="s">
        <v>26</v>
      </c>
    </row>
    <row r="283" spans="1:10" x14ac:dyDescent="0.3">
      <c r="A283" t="s">
        <v>893</v>
      </c>
      <c r="B283" t="s">
        <v>894</v>
      </c>
      <c r="C283" t="str">
        <f>TRIM(PROPER(Ecustom_DB[[#This Row],[Name]]))</f>
        <v>Brittany Watson</v>
      </c>
      <c r="D283">
        <v>59</v>
      </c>
      <c r="E283" t="s">
        <v>9</v>
      </c>
      <c r="F283" t="s">
        <v>895</v>
      </c>
      <c r="G283" t="str">
        <f>TRIM(PROPER(Ecustom_DB[[#This Row],[City]]))</f>
        <v>North Joshualand</v>
      </c>
      <c r="H283" t="s">
        <v>167</v>
      </c>
      <c r="I283" t="s">
        <v>12</v>
      </c>
      <c r="J283" t="s">
        <v>19</v>
      </c>
    </row>
    <row r="284" spans="1:10" x14ac:dyDescent="0.3">
      <c r="A284" t="s">
        <v>896</v>
      </c>
      <c r="B284" t="s">
        <v>897</v>
      </c>
      <c r="C284" t="str">
        <f>TRIM(PROPER(Ecustom_DB[[#This Row],[Name]]))</f>
        <v>Kristi Lopez</v>
      </c>
      <c r="D284">
        <v>46</v>
      </c>
      <c r="E284" t="s">
        <v>16</v>
      </c>
      <c r="F284" t="s">
        <v>898</v>
      </c>
      <c r="G284" t="str">
        <f>TRIM(PROPER(Ecustom_DB[[#This Row],[City]]))</f>
        <v>Spencermouth</v>
      </c>
      <c r="H284" t="s">
        <v>88</v>
      </c>
      <c r="I284" t="s">
        <v>12</v>
      </c>
      <c r="J284" t="s">
        <v>13</v>
      </c>
    </row>
    <row r="285" spans="1:10" x14ac:dyDescent="0.3">
      <c r="A285" t="s">
        <v>899</v>
      </c>
      <c r="B285" t="s">
        <v>900</v>
      </c>
      <c r="C285" t="str">
        <f>TRIM(PROPER(Ecustom_DB[[#This Row],[Name]]))</f>
        <v>Bryan Garcia</v>
      </c>
      <c r="D285">
        <v>54</v>
      </c>
      <c r="E285" t="s">
        <v>16</v>
      </c>
      <c r="F285" t="s">
        <v>901</v>
      </c>
      <c r="G285" t="str">
        <f>TRIM(PROPER(Ecustom_DB[[#This Row],[City]]))</f>
        <v>Garciaborough</v>
      </c>
      <c r="H285" t="s">
        <v>845</v>
      </c>
      <c r="I285" t="s">
        <v>12</v>
      </c>
      <c r="J285" t="s">
        <v>31</v>
      </c>
    </row>
    <row r="286" spans="1:10" x14ac:dyDescent="0.3">
      <c r="A286" t="s">
        <v>902</v>
      </c>
      <c r="B286" t="s">
        <v>903</v>
      </c>
      <c r="C286" t="str">
        <f>TRIM(PROPER(Ecustom_DB[[#This Row],[Name]]))</f>
        <v>Hunter Sutton</v>
      </c>
      <c r="D286">
        <v>54</v>
      </c>
      <c r="E286" t="s">
        <v>9</v>
      </c>
      <c r="F286" t="s">
        <v>904</v>
      </c>
      <c r="G286" t="str">
        <f>TRIM(PROPER(Ecustom_DB[[#This Row],[City]]))</f>
        <v>Patrickshire</v>
      </c>
      <c r="H286" t="s">
        <v>167</v>
      </c>
      <c r="I286" t="s">
        <v>12</v>
      </c>
      <c r="J286" t="s">
        <v>13</v>
      </c>
    </row>
    <row r="287" spans="1:10" x14ac:dyDescent="0.3">
      <c r="A287" t="s">
        <v>905</v>
      </c>
      <c r="B287" t="s">
        <v>906</v>
      </c>
      <c r="C287" t="str">
        <f>TRIM(PROPER(Ecustom_DB[[#This Row],[Name]]))</f>
        <v>Donna Guerra</v>
      </c>
      <c r="D287">
        <v>46</v>
      </c>
      <c r="E287" t="s">
        <v>16</v>
      </c>
      <c r="F287" t="s">
        <v>907</v>
      </c>
      <c r="G287" t="str">
        <f>TRIM(PROPER(Ecustom_DB[[#This Row],[City]]))</f>
        <v>North Robert</v>
      </c>
      <c r="H287" t="s">
        <v>715</v>
      </c>
      <c r="I287" t="s">
        <v>12</v>
      </c>
      <c r="J287" t="s">
        <v>31</v>
      </c>
    </row>
    <row r="288" spans="1:10" x14ac:dyDescent="0.3">
      <c r="A288" t="s">
        <v>908</v>
      </c>
      <c r="B288" t="s">
        <v>909</v>
      </c>
      <c r="C288" t="str">
        <f>TRIM(PROPER(Ecustom_DB[[#This Row],[Name]]))</f>
        <v>Tommy Roberts</v>
      </c>
      <c r="D288">
        <v>22</v>
      </c>
      <c r="E288" t="s">
        <v>9</v>
      </c>
      <c r="F288" t="s">
        <v>910</v>
      </c>
      <c r="G288" t="str">
        <f>TRIM(PROPER(Ecustom_DB[[#This Row],[City]]))</f>
        <v>Port Tonyfort</v>
      </c>
      <c r="H288" t="s">
        <v>39</v>
      </c>
      <c r="I288" t="s">
        <v>12</v>
      </c>
      <c r="J288" t="s">
        <v>31</v>
      </c>
    </row>
    <row r="289" spans="1:10" x14ac:dyDescent="0.3">
      <c r="A289" t="s">
        <v>911</v>
      </c>
      <c r="B289" t="s">
        <v>912</v>
      </c>
      <c r="C289" t="str">
        <f>TRIM(PROPER(Ecustom_DB[[#This Row],[Name]]))</f>
        <v>Cynthia Roberts</v>
      </c>
      <c r="D289">
        <v>22</v>
      </c>
      <c r="E289" t="s">
        <v>16</v>
      </c>
      <c r="F289" t="s">
        <v>913</v>
      </c>
      <c r="G289" t="str">
        <f>TRIM(PROPER(Ecustom_DB[[#This Row],[City]]))</f>
        <v>Millerfort</v>
      </c>
      <c r="H289" t="s">
        <v>171</v>
      </c>
      <c r="I289" t="s">
        <v>12</v>
      </c>
      <c r="J289" t="s">
        <v>13</v>
      </c>
    </row>
    <row r="290" spans="1:10" x14ac:dyDescent="0.3">
      <c r="A290" t="s">
        <v>914</v>
      </c>
      <c r="B290" t="s">
        <v>915</v>
      </c>
      <c r="C290" t="str">
        <f>TRIM(PROPER(Ecustom_DB[[#This Row],[Name]]))</f>
        <v>Misty Ferguson</v>
      </c>
      <c r="D290">
        <v>58</v>
      </c>
      <c r="E290" t="s">
        <v>9</v>
      </c>
      <c r="F290" t="s">
        <v>916</v>
      </c>
      <c r="G290" t="str">
        <f>TRIM(PROPER(Ecustom_DB[[#This Row],[City]]))</f>
        <v>North Joseside</v>
      </c>
      <c r="H290" t="s">
        <v>167</v>
      </c>
      <c r="I290" t="s">
        <v>12</v>
      </c>
      <c r="J290" t="s">
        <v>13</v>
      </c>
    </row>
    <row r="291" spans="1:10" x14ac:dyDescent="0.3">
      <c r="A291" t="s">
        <v>917</v>
      </c>
      <c r="B291" t="s">
        <v>918</v>
      </c>
      <c r="C291" t="str">
        <f>TRIM(PROPER(Ecustom_DB[[#This Row],[Name]]))</f>
        <v>Jennifer Figueroa</v>
      </c>
      <c r="D291">
        <v>45</v>
      </c>
      <c r="E291" t="s">
        <v>9</v>
      </c>
      <c r="F291" t="s">
        <v>919</v>
      </c>
      <c r="G291" t="str">
        <f>TRIM(PROPER(Ecustom_DB[[#This Row],[City]]))</f>
        <v>North Brookestad</v>
      </c>
      <c r="H291" t="s">
        <v>25</v>
      </c>
      <c r="I291" t="s">
        <v>12</v>
      </c>
      <c r="J291" t="s">
        <v>26</v>
      </c>
    </row>
    <row r="292" spans="1:10" x14ac:dyDescent="0.3">
      <c r="A292" t="s">
        <v>920</v>
      </c>
      <c r="B292" t="s">
        <v>921</v>
      </c>
      <c r="C292" t="str">
        <f>TRIM(PROPER(Ecustom_DB[[#This Row],[Name]]))</f>
        <v>Chase Williams Md</v>
      </c>
      <c r="D292">
        <v>52</v>
      </c>
      <c r="E292" t="s">
        <v>16</v>
      </c>
      <c r="F292" t="s">
        <v>922</v>
      </c>
      <c r="G292" t="str">
        <f>TRIM(PROPER(Ecustom_DB[[#This Row],[City]]))</f>
        <v>Sherimouth</v>
      </c>
      <c r="H292" t="s">
        <v>287</v>
      </c>
      <c r="I292" t="s">
        <v>12</v>
      </c>
      <c r="J292" t="s">
        <v>31</v>
      </c>
    </row>
    <row r="293" spans="1:10" x14ac:dyDescent="0.3">
      <c r="A293" t="s">
        <v>923</v>
      </c>
      <c r="B293" t="s">
        <v>924</v>
      </c>
      <c r="C293" t="str">
        <f>TRIM(PROPER(Ecustom_DB[[#This Row],[Name]]))</f>
        <v>James Powell</v>
      </c>
      <c r="D293">
        <v>40</v>
      </c>
      <c r="E293" t="s">
        <v>16</v>
      </c>
      <c r="F293" t="s">
        <v>925</v>
      </c>
      <c r="G293" t="str">
        <f>TRIM(PROPER(Ecustom_DB[[#This Row],[City]]))</f>
        <v>West Beverlymouth</v>
      </c>
      <c r="H293" t="s">
        <v>113</v>
      </c>
      <c r="I293" t="s">
        <v>12</v>
      </c>
      <c r="J293" t="s">
        <v>26</v>
      </c>
    </row>
    <row r="294" spans="1:10" x14ac:dyDescent="0.3">
      <c r="A294" t="s">
        <v>926</v>
      </c>
      <c r="B294" t="s">
        <v>927</v>
      </c>
      <c r="C294" t="str">
        <f>TRIM(PROPER(Ecustom_DB[[#This Row],[Name]]))</f>
        <v>Ricardo Jones</v>
      </c>
      <c r="D294">
        <v>30</v>
      </c>
      <c r="E294" t="s">
        <v>9</v>
      </c>
      <c r="F294" t="s">
        <v>928</v>
      </c>
      <c r="G294" t="str">
        <f>TRIM(PROPER(Ecustom_DB[[#This Row],[City]]))</f>
        <v>Danielland</v>
      </c>
      <c r="H294" t="s">
        <v>201</v>
      </c>
      <c r="I294" t="s">
        <v>12</v>
      </c>
      <c r="J294" t="s">
        <v>31</v>
      </c>
    </row>
    <row r="295" spans="1:10" x14ac:dyDescent="0.3">
      <c r="A295" t="s">
        <v>929</v>
      </c>
      <c r="B295" t="s">
        <v>930</v>
      </c>
      <c r="C295" t="str">
        <f>TRIM(PROPER(Ecustom_DB[[#This Row],[Name]]))</f>
        <v>Gloria Taylor</v>
      </c>
      <c r="D295">
        <v>56</v>
      </c>
      <c r="E295" t="s">
        <v>16</v>
      </c>
      <c r="F295" t="s">
        <v>931</v>
      </c>
      <c r="G295" t="str">
        <f>TRIM(PROPER(Ecustom_DB[[#This Row],[City]]))</f>
        <v>North Daniel</v>
      </c>
      <c r="H295" t="s">
        <v>328</v>
      </c>
      <c r="I295" t="s">
        <v>12</v>
      </c>
      <c r="J295" t="s">
        <v>19</v>
      </c>
    </row>
    <row r="296" spans="1:10" x14ac:dyDescent="0.3">
      <c r="A296" t="s">
        <v>932</v>
      </c>
      <c r="B296" t="s">
        <v>933</v>
      </c>
      <c r="C296" t="str">
        <f>TRIM(PROPER(Ecustom_DB[[#This Row],[Name]]))</f>
        <v>Lisa Chandler</v>
      </c>
      <c r="D296">
        <v>29</v>
      </c>
      <c r="E296" t="s">
        <v>9</v>
      </c>
      <c r="F296" t="s">
        <v>573</v>
      </c>
      <c r="G296" t="str">
        <f>TRIM(PROPER(Ecustom_DB[[#This Row],[City]]))</f>
        <v>Port Richard</v>
      </c>
      <c r="H296" t="s">
        <v>66</v>
      </c>
      <c r="I296" t="s">
        <v>12</v>
      </c>
      <c r="J296" t="s">
        <v>19</v>
      </c>
    </row>
    <row r="297" spans="1:10" x14ac:dyDescent="0.3">
      <c r="A297" t="s">
        <v>934</v>
      </c>
      <c r="B297" t="s">
        <v>935</v>
      </c>
      <c r="C297" t="str">
        <f>TRIM(PROPER(Ecustom_DB[[#This Row],[Name]]))</f>
        <v>Crystal Waters</v>
      </c>
      <c r="D297">
        <v>19</v>
      </c>
      <c r="E297" t="s">
        <v>16</v>
      </c>
      <c r="F297" t="s">
        <v>936</v>
      </c>
      <c r="G297" t="str">
        <f>TRIM(PROPER(Ecustom_DB[[#This Row],[City]]))</f>
        <v>North Michelleport</v>
      </c>
      <c r="H297" t="s">
        <v>62</v>
      </c>
      <c r="I297" t="s">
        <v>12</v>
      </c>
      <c r="J297" t="s">
        <v>26</v>
      </c>
    </row>
    <row r="298" spans="1:10" x14ac:dyDescent="0.3">
      <c r="A298" t="s">
        <v>937</v>
      </c>
      <c r="B298" t="s">
        <v>938</v>
      </c>
      <c r="C298" t="str">
        <f>TRIM(PROPER(Ecustom_DB[[#This Row],[Name]]))</f>
        <v>Jared Moran</v>
      </c>
      <c r="D298">
        <v>28</v>
      </c>
      <c r="E298" t="s">
        <v>16</v>
      </c>
      <c r="F298" t="s">
        <v>297</v>
      </c>
      <c r="G298" t="str">
        <f>TRIM(PROPER(Ecustom_DB[[#This Row],[City]]))</f>
        <v>South David</v>
      </c>
      <c r="H298" t="s">
        <v>43</v>
      </c>
      <c r="I298" t="s">
        <v>12</v>
      </c>
      <c r="J298" t="s">
        <v>26</v>
      </c>
    </row>
    <row r="299" spans="1:10" x14ac:dyDescent="0.3">
      <c r="A299" t="s">
        <v>939</v>
      </c>
      <c r="B299" t="s">
        <v>940</v>
      </c>
      <c r="C299" t="str">
        <f>TRIM(PROPER(Ecustom_DB[[#This Row],[Name]]))</f>
        <v>Jennifer Carr</v>
      </c>
      <c r="D299">
        <v>47</v>
      </c>
      <c r="E299" t="s">
        <v>16</v>
      </c>
      <c r="F299" t="s">
        <v>941</v>
      </c>
      <c r="G299" t="str">
        <f>TRIM(PROPER(Ecustom_DB[[#This Row],[City]]))</f>
        <v>Lake Brett</v>
      </c>
      <c r="H299" t="s">
        <v>113</v>
      </c>
      <c r="I299" t="s">
        <v>12</v>
      </c>
      <c r="J299" t="s">
        <v>31</v>
      </c>
    </row>
    <row r="300" spans="1:10" x14ac:dyDescent="0.3">
      <c r="A300" t="s">
        <v>942</v>
      </c>
      <c r="B300" t="s">
        <v>943</v>
      </c>
      <c r="C300" t="str">
        <f>TRIM(PROPER(Ecustom_DB[[#This Row],[Name]]))</f>
        <v>Tracy Stephens</v>
      </c>
      <c r="D300">
        <v>64</v>
      </c>
      <c r="E300" t="s">
        <v>9</v>
      </c>
      <c r="F300" t="s">
        <v>944</v>
      </c>
      <c r="G300" t="str">
        <f>TRIM(PROPER(Ecustom_DB[[#This Row],[City]]))</f>
        <v>New Joshuatown</v>
      </c>
      <c r="H300" t="s">
        <v>434</v>
      </c>
      <c r="I300" t="s">
        <v>12</v>
      </c>
      <c r="J300" t="s">
        <v>19</v>
      </c>
    </row>
    <row r="301" spans="1:10" x14ac:dyDescent="0.3">
      <c r="A301" t="s">
        <v>945</v>
      </c>
      <c r="B301" t="s">
        <v>946</v>
      </c>
      <c r="C301" t="str">
        <f>TRIM(PROPER(Ecustom_DB[[#This Row],[Name]]))</f>
        <v>Stephanie Jacobs</v>
      </c>
      <c r="D301">
        <v>48</v>
      </c>
      <c r="E301" t="s">
        <v>16</v>
      </c>
      <c r="F301" t="s">
        <v>947</v>
      </c>
      <c r="G301" t="str">
        <f>TRIM(PROPER(Ecustom_DB[[#This Row],[City]]))</f>
        <v>West Robinmouth</v>
      </c>
      <c r="H301" t="s">
        <v>328</v>
      </c>
      <c r="I301" t="s">
        <v>12</v>
      </c>
      <c r="J301" t="s">
        <v>19</v>
      </c>
    </row>
    <row r="302" spans="1:10" x14ac:dyDescent="0.3">
      <c r="A302" t="s">
        <v>948</v>
      </c>
      <c r="B302" t="s">
        <v>949</v>
      </c>
      <c r="C302" t="str">
        <f>TRIM(PROPER(Ecustom_DB[[#This Row],[Name]]))</f>
        <v>Matthew Avery</v>
      </c>
      <c r="D302">
        <v>29</v>
      </c>
      <c r="E302" t="s">
        <v>9</v>
      </c>
      <c r="F302" t="s">
        <v>950</v>
      </c>
      <c r="G302" t="str">
        <f>TRIM(PROPER(Ecustom_DB[[#This Row],[City]]))</f>
        <v>Lake Melissashire</v>
      </c>
      <c r="H302" t="s">
        <v>35</v>
      </c>
      <c r="I302" t="s">
        <v>12</v>
      </c>
      <c r="J302" t="s">
        <v>31</v>
      </c>
    </row>
    <row r="303" spans="1:10" x14ac:dyDescent="0.3">
      <c r="A303" t="s">
        <v>951</v>
      </c>
      <c r="B303" t="s">
        <v>952</v>
      </c>
      <c r="C303" t="str">
        <f>TRIM(PROPER(Ecustom_DB[[#This Row],[Name]]))</f>
        <v>Ryan Kane</v>
      </c>
      <c r="D303">
        <v>50</v>
      </c>
      <c r="E303" t="s">
        <v>9</v>
      </c>
      <c r="F303" t="s">
        <v>953</v>
      </c>
      <c r="G303" t="str">
        <f>TRIM(PROPER(Ecustom_DB[[#This Row],[City]]))</f>
        <v>West Bruceburgh</v>
      </c>
      <c r="H303" t="s">
        <v>287</v>
      </c>
      <c r="I303" t="s">
        <v>12</v>
      </c>
      <c r="J303" t="s">
        <v>13</v>
      </c>
    </row>
    <row r="304" spans="1:10" x14ac:dyDescent="0.3">
      <c r="A304" t="s">
        <v>954</v>
      </c>
      <c r="B304" t="s">
        <v>955</v>
      </c>
      <c r="C304" t="str">
        <f>TRIM(PROPER(Ecustom_DB[[#This Row],[Name]]))</f>
        <v>Edward Cole</v>
      </c>
      <c r="D304">
        <v>36</v>
      </c>
      <c r="E304" t="s">
        <v>9</v>
      </c>
      <c r="F304" t="s">
        <v>956</v>
      </c>
      <c r="G304" t="str">
        <f>TRIM(PROPER(Ecustom_DB[[#This Row],[City]]))</f>
        <v>Lake Charlotte</v>
      </c>
      <c r="H304" t="s">
        <v>133</v>
      </c>
      <c r="I304" t="s">
        <v>12</v>
      </c>
      <c r="J304" t="s">
        <v>13</v>
      </c>
    </row>
    <row r="305" spans="1:10" x14ac:dyDescent="0.3">
      <c r="A305" t="s">
        <v>957</v>
      </c>
      <c r="B305" t="s">
        <v>958</v>
      </c>
      <c r="C305" t="str">
        <f>TRIM(PROPER(Ecustom_DB[[#This Row],[Name]]))</f>
        <v>John Sloan</v>
      </c>
      <c r="D305">
        <v>23</v>
      </c>
      <c r="E305" t="s">
        <v>16</v>
      </c>
      <c r="F305" t="s">
        <v>959</v>
      </c>
      <c r="G305" t="str">
        <f>TRIM(PROPER(Ecustom_DB[[#This Row],[City]]))</f>
        <v>East Johntown</v>
      </c>
      <c r="H305" t="s">
        <v>92</v>
      </c>
      <c r="I305" t="s">
        <v>12</v>
      </c>
      <c r="J305" t="s">
        <v>19</v>
      </c>
    </row>
    <row r="306" spans="1:10" x14ac:dyDescent="0.3">
      <c r="A306" t="s">
        <v>960</v>
      </c>
      <c r="B306" t="s">
        <v>961</v>
      </c>
      <c r="C306" t="str">
        <f>TRIM(PROPER(Ecustom_DB[[#This Row],[Name]]))</f>
        <v>Miss Alexandria Li Dvm</v>
      </c>
      <c r="D306">
        <v>41</v>
      </c>
      <c r="E306" t="s">
        <v>9</v>
      </c>
      <c r="F306" t="s">
        <v>962</v>
      </c>
      <c r="G306" t="str">
        <f>TRIM(PROPER(Ecustom_DB[[#This Row],[City]]))</f>
        <v>Port Jenniferton</v>
      </c>
      <c r="H306" t="s">
        <v>62</v>
      </c>
      <c r="I306" t="s">
        <v>12</v>
      </c>
      <c r="J306" t="s">
        <v>31</v>
      </c>
    </row>
    <row r="307" spans="1:10" x14ac:dyDescent="0.3">
      <c r="A307" t="s">
        <v>963</v>
      </c>
      <c r="B307" t="s">
        <v>964</v>
      </c>
      <c r="C307" t="str">
        <f>TRIM(PROPER(Ecustom_DB[[#This Row],[Name]]))</f>
        <v>Roberta Green</v>
      </c>
      <c r="D307">
        <v>64</v>
      </c>
      <c r="E307" t="s">
        <v>9</v>
      </c>
      <c r="F307" t="s">
        <v>965</v>
      </c>
      <c r="G307" t="str">
        <f>TRIM(PROPER(Ecustom_DB[[#This Row],[City]]))</f>
        <v>West Joseph</v>
      </c>
      <c r="H307" t="s">
        <v>74</v>
      </c>
      <c r="I307" t="s">
        <v>12</v>
      </c>
      <c r="J307" t="s">
        <v>19</v>
      </c>
    </row>
    <row r="308" spans="1:10" x14ac:dyDescent="0.3">
      <c r="A308" t="s">
        <v>966</v>
      </c>
      <c r="B308" t="s">
        <v>967</v>
      </c>
      <c r="C308" t="str">
        <f>TRIM(PROPER(Ecustom_DB[[#This Row],[Name]]))</f>
        <v>Angela Robinson</v>
      </c>
      <c r="D308">
        <v>44</v>
      </c>
      <c r="E308" t="s">
        <v>9</v>
      </c>
      <c r="F308" t="s">
        <v>968</v>
      </c>
      <c r="G308" t="str">
        <f>TRIM(PROPER(Ecustom_DB[[#This Row],[City]]))</f>
        <v>New Nicholasstad</v>
      </c>
      <c r="H308" t="s">
        <v>237</v>
      </c>
      <c r="I308" t="s">
        <v>12</v>
      </c>
      <c r="J308" t="s">
        <v>19</v>
      </c>
    </row>
    <row r="309" spans="1:10" x14ac:dyDescent="0.3">
      <c r="A309" t="s">
        <v>969</v>
      </c>
      <c r="B309" t="s">
        <v>970</v>
      </c>
      <c r="C309" t="str">
        <f>TRIM(PROPER(Ecustom_DB[[#This Row],[Name]]))</f>
        <v>Brandy Thompson</v>
      </c>
      <c r="D309">
        <v>56</v>
      </c>
      <c r="E309" t="s">
        <v>16</v>
      </c>
      <c r="F309" t="s">
        <v>971</v>
      </c>
      <c r="G309" t="str">
        <f>TRIM(PROPER(Ecustom_DB[[#This Row],[City]]))</f>
        <v>West Patriciaview</v>
      </c>
      <c r="H309" t="s">
        <v>22</v>
      </c>
      <c r="I309" t="s">
        <v>12</v>
      </c>
      <c r="J309" t="s">
        <v>26</v>
      </c>
    </row>
    <row r="310" spans="1:10" x14ac:dyDescent="0.3">
      <c r="A310" t="s">
        <v>972</v>
      </c>
      <c r="B310" t="s">
        <v>973</v>
      </c>
      <c r="C310" t="str">
        <f>TRIM(PROPER(Ecustom_DB[[#This Row],[Name]]))</f>
        <v>Jennifer Zamora</v>
      </c>
      <c r="D310">
        <v>60</v>
      </c>
      <c r="E310" t="s">
        <v>16</v>
      </c>
      <c r="F310" t="s">
        <v>974</v>
      </c>
      <c r="G310" t="str">
        <f>TRIM(PROPER(Ecustom_DB[[#This Row],[City]]))</f>
        <v>Sarahland</v>
      </c>
      <c r="H310" t="s">
        <v>267</v>
      </c>
      <c r="I310" t="s">
        <v>12</v>
      </c>
      <c r="J310" t="s">
        <v>13</v>
      </c>
    </row>
    <row r="311" spans="1:10" x14ac:dyDescent="0.3">
      <c r="A311" t="s">
        <v>975</v>
      </c>
      <c r="B311" t="s">
        <v>976</v>
      </c>
      <c r="C311" t="str">
        <f>TRIM(PROPER(Ecustom_DB[[#This Row],[Name]]))</f>
        <v>Stacy Collins</v>
      </c>
      <c r="D311">
        <v>41</v>
      </c>
      <c r="E311" t="s">
        <v>16</v>
      </c>
      <c r="F311" t="s">
        <v>977</v>
      </c>
      <c r="G311" t="str">
        <f>TRIM(PROPER(Ecustom_DB[[#This Row],[City]]))</f>
        <v>Randychester</v>
      </c>
      <c r="H311" t="s">
        <v>30</v>
      </c>
      <c r="I311" t="s">
        <v>12</v>
      </c>
      <c r="J311" t="s">
        <v>26</v>
      </c>
    </row>
    <row r="312" spans="1:10" x14ac:dyDescent="0.3">
      <c r="A312" t="s">
        <v>978</v>
      </c>
      <c r="B312" t="s">
        <v>979</v>
      </c>
      <c r="C312" t="str">
        <f>TRIM(PROPER(Ecustom_DB[[#This Row],[Name]]))</f>
        <v>Kara Dodson</v>
      </c>
      <c r="D312">
        <v>20</v>
      </c>
      <c r="E312" t="s">
        <v>9</v>
      </c>
      <c r="F312" t="s">
        <v>980</v>
      </c>
      <c r="G312" t="str">
        <f>TRIM(PROPER(Ecustom_DB[[#This Row],[City]]))</f>
        <v>Joelside</v>
      </c>
      <c r="H312" t="s">
        <v>171</v>
      </c>
      <c r="I312" t="s">
        <v>12</v>
      </c>
      <c r="J312" t="s">
        <v>31</v>
      </c>
    </row>
    <row r="313" spans="1:10" x14ac:dyDescent="0.3">
      <c r="A313" t="s">
        <v>981</v>
      </c>
      <c r="B313" t="s">
        <v>982</v>
      </c>
      <c r="C313" t="str">
        <f>TRIM(PROPER(Ecustom_DB[[#This Row],[Name]]))</f>
        <v>Kevin Larson</v>
      </c>
      <c r="D313">
        <v>35</v>
      </c>
      <c r="E313" t="s">
        <v>9</v>
      </c>
      <c r="F313" t="s">
        <v>983</v>
      </c>
      <c r="G313" t="str">
        <f>TRIM(PROPER(Ecustom_DB[[#This Row],[City]]))</f>
        <v>Port Edwardmouth</v>
      </c>
      <c r="H313" t="s">
        <v>35</v>
      </c>
      <c r="I313" t="s">
        <v>12</v>
      </c>
      <c r="J313" t="s">
        <v>19</v>
      </c>
    </row>
    <row r="314" spans="1:10" x14ac:dyDescent="0.3">
      <c r="A314" t="s">
        <v>984</v>
      </c>
      <c r="B314" t="s">
        <v>985</v>
      </c>
      <c r="C314" t="str">
        <f>TRIM(PROPER(Ecustom_DB[[#This Row],[Name]]))</f>
        <v>Jason Mullins</v>
      </c>
      <c r="D314">
        <v>47</v>
      </c>
      <c r="E314" t="s">
        <v>16</v>
      </c>
      <c r="F314" t="s">
        <v>986</v>
      </c>
      <c r="G314" t="str">
        <f>TRIM(PROPER(Ecustom_DB[[#This Row],[City]]))</f>
        <v>Brianchester</v>
      </c>
      <c r="H314" t="s">
        <v>92</v>
      </c>
      <c r="I314" t="s">
        <v>12</v>
      </c>
      <c r="J314" t="s">
        <v>31</v>
      </c>
    </row>
    <row r="315" spans="1:10" x14ac:dyDescent="0.3">
      <c r="A315" t="s">
        <v>987</v>
      </c>
      <c r="B315" t="s">
        <v>988</v>
      </c>
      <c r="C315" t="str">
        <f>TRIM(PROPER(Ecustom_DB[[#This Row],[Name]]))</f>
        <v>Elizabeth Jones</v>
      </c>
      <c r="D315">
        <v>62</v>
      </c>
      <c r="E315" t="s">
        <v>9</v>
      </c>
      <c r="F315" t="s">
        <v>989</v>
      </c>
      <c r="G315" t="str">
        <f>TRIM(PROPER(Ecustom_DB[[#This Row],[City]]))</f>
        <v>Brownburgh</v>
      </c>
      <c r="H315" t="s">
        <v>140</v>
      </c>
      <c r="I315" t="s">
        <v>12</v>
      </c>
      <c r="J315" t="s">
        <v>19</v>
      </c>
    </row>
    <row r="316" spans="1:10" x14ac:dyDescent="0.3">
      <c r="A316" t="s">
        <v>990</v>
      </c>
      <c r="B316" t="s">
        <v>991</v>
      </c>
      <c r="C316" t="str">
        <f>TRIM(PROPER(Ecustom_DB[[#This Row],[Name]]))</f>
        <v>Elizabeth Johnson</v>
      </c>
      <c r="D316">
        <v>53</v>
      </c>
      <c r="E316" t="s">
        <v>16</v>
      </c>
      <c r="F316" t="s">
        <v>992</v>
      </c>
      <c r="G316" t="str">
        <f>TRIM(PROPER(Ecustom_DB[[#This Row],[City]]))</f>
        <v>Anitaland</v>
      </c>
      <c r="H316" t="s">
        <v>74</v>
      </c>
      <c r="I316" t="s">
        <v>12</v>
      </c>
      <c r="J316" t="s">
        <v>31</v>
      </c>
    </row>
    <row r="317" spans="1:10" x14ac:dyDescent="0.3">
      <c r="A317" t="s">
        <v>993</v>
      </c>
      <c r="B317" t="s">
        <v>994</v>
      </c>
      <c r="C317" t="str">
        <f>TRIM(PROPER(Ecustom_DB[[#This Row],[Name]]))</f>
        <v>William Rodriguez</v>
      </c>
      <c r="D317">
        <v>49</v>
      </c>
      <c r="E317" t="s">
        <v>9</v>
      </c>
      <c r="F317" t="s">
        <v>995</v>
      </c>
      <c r="G317" t="str">
        <f>TRIM(PROPER(Ecustom_DB[[#This Row],[City]]))</f>
        <v>Port Chad</v>
      </c>
      <c r="H317" t="s">
        <v>715</v>
      </c>
      <c r="I317" t="s">
        <v>12</v>
      </c>
      <c r="J317" t="s">
        <v>31</v>
      </c>
    </row>
    <row r="318" spans="1:10" x14ac:dyDescent="0.3">
      <c r="A318" t="s">
        <v>996</v>
      </c>
      <c r="B318" t="s">
        <v>997</v>
      </c>
      <c r="C318" t="str">
        <f>TRIM(PROPER(Ecustom_DB[[#This Row],[Name]]))</f>
        <v>Robert House</v>
      </c>
      <c r="D318">
        <v>34</v>
      </c>
      <c r="E318" t="s">
        <v>9</v>
      </c>
      <c r="F318" t="s">
        <v>998</v>
      </c>
      <c r="G318" t="str">
        <f>TRIM(PROPER(Ecustom_DB[[#This Row],[City]]))</f>
        <v>Lake James</v>
      </c>
      <c r="H318" t="s">
        <v>140</v>
      </c>
      <c r="I318" t="s">
        <v>12</v>
      </c>
      <c r="J318" t="s">
        <v>13</v>
      </c>
    </row>
    <row r="319" spans="1:10" x14ac:dyDescent="0.3">
      <c r="A319" t="s">
        <v>999</v>
      </c>
      <c r="B319" t="s">
        <v>1000</v>
      </c>
      <c r="C319" t="str">
        <f>TRIM(PROPER(Ecustom_DB[[#This Row],[Name]]))</f>
        <v>Tiffany Williams</v>
      </c>
      <c r="D319">
        <v>64</v>
      </c>
      <c r="E319" t="s">
        <v>16</v>
      </c>
      <c r="F319" t="s">
        <v>1001</v>
      </c>
      <c r="G319" t="str">
        <f>TRIM(PROPER(Ecustom_DB[[#This Row],[City]]))</f>
        <v>Richardsport</v>
      </c>
      <c r="H319" t="s">
        <v>47</v>
      </c>
      <c r="I319" t="s">
        <v>12</v>
      </c>
      <c r="J319" t="s">
        <v>13</v>
      </c>
    </row>
    <row r="320" spans="1:10" x14ac:dyDescent="0.3">
      <c r="A320" t="s">
        <v>1002</v>
      </c>
      <c r="B320" t="s">
        <v>1003</v>
      </c>
      <c r="C320" t="str">
        <f>TRIM(PROPER(Ecustom_DB[[#This Row],[Name]]))</f>
        <v>Madison Wright</v>
      </c>
      <c r="D320">
        <v>25</v>
      </c>
      <c r="E320" t="s">
        <v>9</v>
      </c>
      <c r="F320" t="s">
        <v>1004</v>
      </c>
      <c r="G320" t="str">
        <f>TRIM(PROPER(Ecustom_DB[[#This Row],[City]]))</f>
        <v>Monicaview</v>
      </c>
      <c r="H320" t="s">
        <v>62</v>
      </c>
      <c r="I320" t="s">
        <v>12</v>
      </c>
      <c r="J320" t="s">
        <v>19</v>
      </c>
    </row>
    <row r="321" spans="1:10" x14ac:dyDescent="0.3">
      <c r="A321" t="s">
        <v>1005</v>
      </c>
      <c r="B321" t="s">
        <v>1006</v>
      </c>
      <c r="C321" t="str">
        <f>TRIM(PROPER(Ecustom_DB[[#This Row],[Name]]))</f>
        <v>Casey Simpson</v>
      </c>
      <c r="D321">
        <v>54</v>
      </c>
      <c r="E321" t="s">
        <v>9</v>
      </c>
      <c r="F321" t="s">
        <v>1007</v>
      </c>
      <c r="G321" t="str">
        <f>TRIM(PROPER(Ecustom_DB[[#This Row],[City]]))</f>
        <v>West Mathewside</v>
      </c>
      <c r="H321" t="s">
        <v>313</v>
      </c>
      <c r="I321" t="s">
        <v>12</v>
      </c>
      <c r="J321" t="s">
        <v>19</v>
      </c>
    </row>
    <row r="322" spans="1:10" x14ac:dyDescent="0.3">
      <c r="A322" t="s">
        <v>1008</v>
      </c>
      <c r="B322" t="s">
        <v>1009</v>
      </c>
      <c r="C322" t="str">
        <f>TRIM(PROPER(Ecustom_DB[[#This Row],[Name]]))</f>
        <v>Jessica Gonzalez</v>
      </c>
      <c r="D322">
        <v>34</v>
      </c>
      <c r="E322" t="s">
        <v>16</v>
      </c>
      <c r="F322" t="s">
        <v>1010</v>
      </c>
      <c r="G322" t="str">
        <f>TRIM(PROPER(Ecustom_DB[[#This Row],[City]]))</f>
        <v>South Darrenland</v>
      </c>
      <c r="H322" t="s">
        <v>267</v>
      </c>
      <c r="I322" t="s">
        <v>12</v>
      </c>
      <c r="J322" t="s">
        <v>26</v>
      </c>
    </row>
    <row r="323" spans="1:10" x14ac:dyDescent="0.3">
      <c r="A323" t="s">
        <v>1011</v>
      </c>
      <c r="B323" t="s">
        <v>1012</v>
      </c>
      <c r="C323" t="str">
        <f>TRIM(PROPER(Ecustom_DB[[#This Row],[Name]]))</f>
        <v>Darren Burton</v>
      </c>
      <c r="D323">
        <v>21</v>
      </c>
      <c r="E323" t="s">
        <v>16</v>
      </c>
      <c r="F323" t="s">
        <v>1013</v>
      </c>
      <c r="G323" t="str">
        <f>TRIM(PROPER(Ecustom_DB[[#This Row],[City]]))</f>
        <v>Lake Alice</v>
      </c>
      <c r="H323" t="s">
        <v>237</v>
      </c>
      <c r="I323" t="s">
        <v>12</v>
      </c>
      <c r="J323" t="s">
        <v>26</v>
      </c>
    </row>
    <row r="324" spans="1:10" x14ac:dyDescent="0.3">
      <c r="A324" t="s">
        <v>1014</v>
      </c>
      <c r="B324" t="s">
        <v>1015</v>
      </c>
      <c r="C324" t="str">
        <f>TRIM(PROPER(Ecustom_DB[[#This Row],[Name]]))</f>
        <v>Samuel Arias</v>
      </c>
      <c r="D324">
        <v>54</v>
      </c>
      <c r="E324" t="s">
        <v>9</v>
      </c>
      <c r="F324" t="s">
        <v>1016</v>
      </c>
      <c r="G324" t="str">
        <f>TRIM(PROPER(Ecustom_DB[[#This Row],[City]]))</f>
        <v>North Nicole</v>
      </c>
      <c r="H324" t="s">
        <v>845</v>
      </c>
      <c r="I324" t="s">
        <v>12</v>
      </c>
      <c r="J324" t="s">
        <v>26</v>
      </c>
    </row>
    <row r="325" spans="1:10" x14ac:dyDescent="0.3">
      <c r="A325" t="s">
        <v>1017</v>
      </c>
      <c r="B325" t="s">
        <v>1018</v>
      </c>
      <c r="C325" t="str">
        <f>TRIM(PROPER(Ecustom_DB[[#This Row],[Name]]))</f>
        <v>Kristy Dunlap</v>
      </c>
      <c r="D325">
        <v>64</v>
      </c>
      <c r="E325" t="s">
        <v>16</v>
      </c>
      <c r="F325" t="s">
        <v>1019</v>
      </c>
      <c r="G325" t="str">
        <f>TRIM(PROPER(Ecustom_DB[[#This Row],[City]]))</f>
        <v>Whiteport</v>
      </c>
      <c r="H325" t="s">
        <v>11</v>
      </c>
      <c r="I325" t="s">
        <v>12</v>
      </c>
      <c r="J325" t="s">
        <v>19</v>
      </c>
    </row>
    <row r="326" spans="1:10" x14ac:dyDescent="0.3">
      <c r="A326" t="s">
        <v>1020</v>
      </c>
      <c r="B326" t="s">
        <v>1021</v>
      </c>
      <c r="C326" t="str">
        <f>TRIM(PROPER(Ecustom_DB[[#This Row],[Name]]))</f>
        <v>Alex Mann Ii</v>
      </c>
      <c r="D326">
        <v>58</v>
      </c>
      <c r="E326" t="s">
        <v>9</v>
      </c>
      <c r="F326" t="s">
        <v>1022</v>
      </c>
      <c r="G326" t="str">
        <f>TRIM(PROPER(Ecustom_DB[[#This Row],[City]]))</f>
        <v>South Zacharychester</v>
      </c>
      <c r="H326" t="s">
        <v>96</v>
      </c>
      <c r="I326" t="s">
        <v>12</v>
      </c>
      <c r="J326" t="s">
        <v>26</v>
      </c>
    </row>
    <row r="327" spans="1:10" x14ac:dyDescent="0.3">
      <c r="A327" t="s">
        <v>1023</v>
      </c>
      <c r="B327" t="s">
        <v>1024</v>
      </c>
      <c r="C327" t="str">
        <f>TRIM(PROPER(Ecustom_DB[[#This Row],[Name]]))</f>
        <v>Andrew Smith</v>
      </c>
      <c r="D327">
        <v>60</v>
      </c>
      <c r="E327" t="s">
        <v>9</v>
      </c>
      <c r="F327" t="s">
        <v>1025</v>
      </c>
      <c r="G327" t="str">
        <f>TRIM(PROPER(Ecustom_DB[[#This Row],[City]]))</f>
        <v>East Matthew</v>
      </c>
      <c r="H327" t="s">
        <v>324</v>
      </c>
      <c r="I327" t="s">
        <v>12</v>
      </c>
      <c r="J327" t="s">
        <v>26</v>
      </c>
    </row>
    <row r="328" spans="1:10" x14ac:dyDescent="0.3">
      <c r="A328" t="s">
        <v>1026</v>
      </c>
      <c r="B328" t="s">
        <v>1027</v>
      </c>
      <c r="C328" t="str">
        <f>TRIM(PROPER(Ecustom_DB[[#This Row],[Name]]))</f>
        <v>Robert King</v>
      </c>
      <c r="D328">
        <v>58</v>
      </c>
      <c r="E328" t="s">
        <v>16</v>
      </c>
      <c r="F328" t="s">
        <v>1028</v>
      </c>
      <c r="G328" t="str">
        <f>TRIM(PROPER(Ecustom_DB[[#This Row],[City]]))</f>
        <v>Cindyton</v>
      </c>
      <c r="H328" t="s">
        <v>217</v>
      </c>
      <c r="I328" t="s">
        <v>12</v>
      </c>
      <c r="J328" t="s">
        <v>13</v>
      </c>
    </row>
    <row r="329" spans="1:10" x14ac:dyDescent="0.3">
      <c r="A329" t="s">
        <v>1029</v>
      </c>
      <c r="B329" t="s">
        <v>1030</v>
      </c>
      <c r="C329" t="str">
        <f>TRIM(PROPER(Ecustom_DB[[#This Row],[Name]]))</f>
        <v>Reginald Willis</v>
      </c>
      <c r="D329">
        <v>62</v>
      </c>
      <c r="E329" t="s">
        <v>16</v>
      </c>
      <c r="F329" t="s">
        <v>1031</v>
      </c>
      <c r="G329" t="str">
        <f>TRIM(PROPER(Ecustom_DB[[#This Row],[City]]))</f>
        <v>Kellybury</v>
      </c>
      <c r="H329" t="s">
        <v>58</v>
      </c>
      <c r="I329" t="s">
        <v>12</v>
      </c>
      <c r="J329" t="s">
        <v>26</v>
      </c>
    </row>
    <row r="330" spans="1:10" x14ac:dyDescent="0.3">
      <c r="A330" t="s">
        <v>1032</v>
      </c>
      <c r="B330" t="s">
        <v>1033</v>
      </c>
      <c r="C330" t="str">
        <f>TRIM(PROPER(Ecustom_DB[[#This Row],[Name]]))</f>
        <v>Mario Harvey Jr.</v>
      </c>
      <c r="D330">
        <v>46</v>
      </c>
      <c r="E330" t="s">
        <v>9</v>
      </c>
      <c r="F330" t="s">
        <v>1034</v>
      </c>
      <c r="G330" t="str">
        <f>TRIM(PROPER(Ecustom_DB[[#This Row],[City]]))</f>
        <v>Jessicaport</v>
      </c>
      <c r="H330" t="s">
        <v>201</v>
      </c>
      <c r="I330" t="s">
        <v>12</v>
      </c>
      <c r="J330" t="s">
        <v>19</v>
      </c>
    </row>
    <row r="331" spans="1:10" x14ac:dyDescent="0.3">
      <c r="A331" t="s">
        <v>1035</v>
      </c>
      <c r="B331" t="s">
        <v>1036</v>
      </c>
      <c r="C331" t="str">
        <f>TRIM(PROPER(Ecustom_DB[[#This Row],[Name]]))</f>
        <v>Victor Mcintosh</v>
      </c>
      <c r="D331">
        <v>62</v>
      </c>
      <c r="E331" t="s">
        <v>16</v>
      </c>
      <c r="F331" t="s">
        <v>1037</v>
      </c>
      <c r="G331" t="str">
        <f>TRIM(PROPER(Ecustom_DB[[#This Row],[City]]))</f>
        <v>Tiffanyshire</v>
      </c>
      <c r="H331" t="s">
        <v>201</v>
      </c>
      <c r="I331" t="s">
        <v>12</v>
      </c>
      <c r="J331" t="s">
        <v>26</v>
      </c>
    </row>
    <row r="332" spans="1:10" x14ac:dyDescent="0.3">
      <c r="A332" t="s">
        <v>1038</v>
      </c>
      <c r="B332" t="s">
        <v>1039</v>
      </c>
      <c r="C332" t="str">
        <f>TRIM(PROPER(Ecustom_DB[[#This Row],[Name]]))</f>
        <v>Pamela Mcguire</v>
      </c>
      <c r="D332">
        <v>54</v>
      </c>
      <c r="E332" t="s">
        <v>9</v>
      </c>
      <c r="F332" t="s">
        <v>1040</v>
      </c>
      <c r="G332" t="str">
        <f>TRIM(PROPER(Ecustom_DB[[#This Row],[City]]))</f>
        <v>South Jasontown</v>
      </c>
      <c r="H332" t="s">
        <v>194</v>
      </c>
      <c r="I332" t="s">
        <v>12</v>
      </c>
      <c r="J332" t="s">
        <v>19</v>
      </c>
    </row>
    <row r="333" spans="1:10" x14ac:dyDescent="0.3">
      <c r="A333" t="s">
        <v>1041</v>
      </c>
      <c r="B333" t="s">
        <v>1042</v>
      </c>
      <c r="C333" t="str">
        <f>TRIM(PROPER(Ecustom_DB[[#This Row],[Name]]))</f>
        <v>Maria Phillips</v>
      </c>
      <c r="D333">
        <v>38</v>
      </c>
      <c r="E333" t="s">
        <v>16</v>
      </c>
      <c r="F333" t="s">
        <v>1043</v>
      </c>
      <c r="G333" t="str">
        <f>TRIM(PROPER(Ecustom_DB[[#This Row],[City]]))</f>
        <v>North Kathytown</v>
      </c>
      <c r="H333" t="s">
        <v>66</v>
      </c>
      <c r="I333" t="s">
        <v>12</v>
      </c>
      <c r="J333" t="s">
        <v>26</v>
      </c>
    </row>
    <row r="334" spans="1:10" x14ac:dyDescent="0.3">
      <c r="A334" t="s">
        <v>1044</v>
      </c>
      <c r="B334" t="s">
        <v>1045</v>
      </c>
      <c r="C334" t="str">
        <f>TRIM(PROPER(Ecustom_DB[[#This Row],[Name]]))</f>
        <v>Dr. Lindsay Hanna</v>
      </c>
      <c r="D334">
        <v>34</v>
      </c>
      <c r="E334" t="s">
        <v>16</v>
      </c>
      <c r="F334" t="s">
        <v>1046</v>
      </c>
      <c r="G334" t="str">
        <f>TRIM(PROPER(Ecustom_DB[[#This Row],[City]]))</f>
        <v>New Paulstad</v>
      </c>
      <c r="H334" t="s">
        <v>99</v>
      </c>
      <c r="I334" t="s">
        <v>12</v>
      </c>
      <c r="J334" t="s">
        <v>26</v>
      </c>
    </row>
    <row r="335" spans="1:10" x14ac:dyDescent="0.3">
      <c r="A335" t="s">
        <v>1047</v>
      </c>
      <c r="B335" t="s">
        <v>1048</v>
      </c>
      <c r="C335" t="str">
        <f>TRIM(PROPER(Ecustom_DB[[#This Row],[Name]]))</f>
        <v>Teresa Johnson</v>
      </c>
      <c r="D335">
        <v>64</v>
      </c>
      <c r="E335" t="s">
        <v>16</v>
      </c>
      <c r="F335" t="s">
        <v>1049</v>
      </c>
      <c r="G335" t="str">
        <f>TRIM(PROPER(Ecustom_DB[[#This Row],[City]]))</f>
        <v>Johnsonbury</v>
      </c>
      <c r="H335" t="s">
        <v>81</v>
      </c>
      <c r="I335" t="s">
        <v>12</v>
      </c>
      <c r="J335" t="s">
        <v>13</v>
      </c>
    </row>
    <row r="336" spans="1:10" x14ac:dyDescent="0.3">
      <c r="A336" t="s">
        <v>1050</v>
      </c>
      <c r="B336" t="s">
        <v>1051</v>
      </c>
      <c r="C336" t="str">
        <f>TRIM(PROPER(Ecustom_DB[[#This Row],[Name]]))</f>
        <v>Mr. Christopher Sims</v>
      </c>
      <c r="D336">
        <v>50</v>
      </c>
      <c r="E336" t="s">
        <v>16</v>
      </c>
      <c r="F336" t="s">
        <v>1052</v>
      </c>
      <c r="G336" t="str">
        <f>TRIM(PROPER(Ecustom_DB[[#This Row],[City]]))</f>
        <v>Donaldsontown</v>
      </c>
      <c r="H336" t="s">
        <v>167</v>
      </c>
      <c r="I336" t="s">
        <v>12</v>
      </c>
      <c r="J336" t="s">
        <v>31</v>
      </c>
    </row>
    <row r="337" spans="1:10" x14ac:dyDescent="0.3">
      <c r="A337" t="s">
        <v>1053</v>
      </c>
      <c r="B337" t="s">
        <v>1054</v>
      </c>
      <c r="C337" t="str">
        <f>TRIM(PROPER(Ecustom_DB[[#This Row],[Name]]))</f>
        <v>Jennifer Woods</v>
      </c>
      <c r="D337">
        <v>37</v>
      </c>
      <c r="E337" t="s">
        <v>9</v>
      </c>
      <c r="F337" t="s">
        <v>1055</v>
      </c>
      <c r="G337" t="str">
        <f>TRIM(PROPER(Ecustom_DB[[#This Row],[City]]))</f>
        <v>West Brendamouth</v>
      </c>
      <c r="H337" t="s">
        <v>11</v>
      </c>
      <c r="I337" t="s">
        <v>12</v>
      </c>
      <c r="J337" t="s">
        <v>19</v>
      </c>
    </row>
    <row r="338" spans="1:10" x14ac:dyDescent="0.3">
      <c r="A338" t="s">
        <v>1056</v>
      </c>
      <c r="B338" t="s">
        <v>1057</v>
      </c>
      <c r="C338" t="str">
        <f>TRIM(PROPER(Ecustom_DB[[#This Row],[Name]]))</f>
        <v>John Jones</v>
      </c>
      <c r="D338">
        <v>58</v>
      </c>
      <c r="E338" t="s">
        <v>16</v>
      </c>
      <c r="F338" t="s">
        <v>1058</v>
      </c>
      <c r="G338" t="str">
        <f>TRIM(PROPER(Ecustom_DB[[#This Row],[City]]))</f>
        <v>North Michaelborough</v>
      </c>
      <c r="H338" t="s">
        <v>35</v>
      </c>
      <c r="I338" t="s">
        <v>12</v>
      </c>
      <c r="J338" t="s">
        <v>31</v>
      </c>
    </row>
    <row r="339" spans="1:10" x14ac:dyDescent="0.3">
      <c r="A339" t="s">
        <v>1059</v>
      </c>
      <c r="B339" t="s">
        <v>1060</v>
      </c>
      <c r="C339" t="str">
        <f>TRIM(PROPER(Ecustom_DB[[#This Row],[Name]]))</f>
        <v>Carol Lewis</v>
      </c>
      <c r="D339">
        <v>40</v>
      </c>
      <c r="E339" t="s">
        <v>16</v>
      </c>
      <c r="F339" t="s">
        <v>1061</v>
      </c>
      <c r="G339" t="str">
        <f>TRIM(PROPER(Ecustom_DB[[#This Row],[City]]))</f>
        <v>Ryanport</v>
      </c>
      <c r="H339" t="s">
        <v>11</v>
      </c>
      <c r="I339" t="s">
        <v>12</v>
      </c>
      <c r="J339" t="s">
        <v>26</v>
      </c>
    </row>
    <row r="340" spans="1:10" x14ac:dyDescent="0.3">
      <c r="A340" t="s">
        <v>1062</v>
      </c>
      <c r="B340" t="s">
        <v>1063</v>
      </c>
      <c r="C340" t="str">
        <f>TRIM(PROPER(Ecustom_DB[[#This Row],[Name]]))</f>
        <v>Jasmine Snyder</v>
      </c>
      <c r="D340">
        <v>46</v>
      </c>
      <c r="E340" t="s">
        <v>16</v>
      </c>
      <c r="F340" t="s">
        <v>1064</v>
      </c>
      <c r="G340" t="str">
        <f>TRIM(PROPER(Ecustom_DB[[#This Row],[City]]))</f>
        <v>Hudsonfort</v>
      </c>
      <c r="H340" t="s">
        <v>167</v>
      </c>
      <c r="I340" t="s">
        <v>12</v>
      </c>
      <c r="J340" t="s">
        <v>31</v>
      </c>
    </row>
    <row r="341" spans="1:10" x14ac:dyDescent="0.3">
      <c r="A341" t="s">
        <v>1065</v>
      </c>
      <c r="B341" t="s">
        <v>1066</v>
      </c>
      <c r="C341" t="str">
        <f>TRIM(PROPER(Ecustom_DB[[#This Row],[Name]]))</f>
        <v>Mrs. Susan Buckley</v>
      </c>
      <c r="D341">
        <v>52</v>
      </c>
      <c r="E341" t="s">
        <v>16</v>
      </c>
      <c r="F341" t="s">
        <v>1067</v>
      </c>
      <c r="G341" t="str">
        <f>TRIM(PROPER(Ecustom_DB[[#This Row],[City]]))</f>
        <v>Stevensbury</v>
      </c>
      <c r="H341" t="s">
        <v>133</v>
      </c>
      <c r="I341" t="s">
        <v>12</v>
      </c>
      <c r="J341" t="s">
        <v>19</v>
      </c>
    </row>
    <row r="342" spans="1:10" x14ac:dyDescent="0.3">
      <c r="A342" t="s">
        <v>1068</v>
      </c>
      <c r="B342" t="s">
        <v>1069</v>
      </c>
      <c r="C342" t="str">
        <f>TRIM(PROPER(Ecustom_DB[[#This Row],[Name]]))</f>
        <v>Eric Davis</v>
      </c>
      <c r="D342">
        <v>27</v>
      </c>
      <c r="E342" t="s">
        <v>9</v>
      </c>
      <c r="F342" t="s">
        <v>1070</v>
      </c>
      <c r="G342" t="str">
        <f>TRIM(PROPER(Ecustom_DB[[#This Row],[City]]))</f>
        <v>Johntown</v>
      </c>
      <c r="H342" t="s">
        <v>274</v>
      </c>
      <c r="I342" t="s">
        <v>12</v>
      </c>
      <c r="J342" t="s">
        <v>26</v>
      </c>
    </row>
    <row r="343" spans="1:10" x14ac:dyDescent="0.3">
      <c r="A343" t="s">
        <v>1071</v>
      </c>
      <c r="B343" t="s">
        <v>1072</v>
      </c>
      <c r="C343" t="str">
        <f>TRIM(PROPER(Ecustom_DB[[#This Row],[Name]]))</f>
        <v>Angela Williams</v>
      </c>
      <c r="D343">
        <v>56</v>
      </c>
      <c r="E343" t="s">
        <v>16</v>
      </c>
      <c r="F343" t="s">
        <v>1073</v>
      </c>
      <c r="G343" t="str">
        <f>TRIM(PROPER(Ecustom_DB[[#This Row],[City]]))</f>
        <v>Lake Alyssaburgh</v>
      </c>
      <c r="H343" t="s">
        <v>194</v>
      </c>
      <c r="I343" t="s">
        <v>12</v>
      </c>
      <c r="J343" t="s">
        <v>26</v>
      </c>
    </row>
    <row r="344" spans="1:10" x14ac:dyDescent="0.3">
      <c r="A344" t="s">
        <v>1074</v>
      </c>
      <c r="B344" t="s">
        <v>1075</v>
      </c>
      <c r="C344" t="str">
        <f>TRIM(PROPER(Ecustom_DB[[#This Row],[Name]]))</f>
        <v>Michelle Cunningham</v>
      </c>
      <c r="D344">
        <v>30</v>
      </c>
      <c r="E344" t="s">
        <v>16</v>
      </c>
      <c r="F344" t="s">
        <v>1076</v>
      </c>
      <c r="G344" t="str">
        <f>TRIM(PROPER(Ecustom_DB[[#This Row],[City]]))</f>
        <v>Amandaborough</v>
      </c>
      <c r="H344" t="s">
        <v>167</v>
      </c>
      <c r="I344" t="s">
        <v>12</v>
      </c>
      <c r="J344" t="s">
        <v>26</v>
      </c>
    </row>
    <row r="345" spans="1:10" x14ac:dyDescent="0.3">
      <c r="A345" t="s">
        <v>1077</v>
      </c>
      <c r="B345" t="s">
        <v>1078</v>
      </c>
      <c r="C345" t="str">
        <f>TRIM(PROPER(Ecustom_DB[[#This Row],[Name]]))</f>
        <v>Ryan Moore</v>
      </c>
      <c r="D345">
        <v>38</v>
      </c>
      <c r="E345" t="s">
        <v>9</v>
      </c>
      <c r="F345" t="s">
        <v>1079</v>
      </c>
      <c r="G345" t="str">
        <f>TRIM(PROPER(Ecustom_DB[[#This Row],[City]]))</f>
        <v>Cartershire</v>
      </c>
      <c r="H345" t="s">
        <v>287</v>
      </c>
      <c r="I345" t="s">
        <v>12</v>
      </c>
      <c r="J345" t="s">
        <v>26</v>
      </c>
    </row>
    <row r="346" spans="1:10" x14ac:dyDescent="0.3">
      <c r="A346" t="s">
        <v>1080</v>
      </c>
      <c r="B346" t="s">
        <v>1081</v>
      </c>
      <c r="C346" t="str">
        <f>TRIM(PROPER(Ecustom_DB[[#This Row],[Name]]))</f>
        <v>Evelyn Brown</v>
      </c>
      <c r="D346">
        <v>39</v>
      </c>
      <c r="E346" t="s">
        <v>9</v>
      </c>
      <c r="F346" t="s">
        <v>1082</v>
      </c>
      <c r="G346" t="str">
        <f>TRIM(PROPER(Ecustom_DB[[#This Row],[City]]))</f>
        <v>West Victoriaborough</v>
      </c>
      <c r="H346" t="s">
        <v>233</v>
      </c>
      <c r="I346" t="s">
        <v>12</v>
      </c>
      <c r="J346" t="s">
        <v>13</v>
      </c>
    </row>
    <row r="347" spans="1:10" x14ac:dyDescent="0.3">
      <c r="A347" t="s">
        <v>1083</v>
      </c>
      <c r="B347" t="s">
        <v>1084</v>
      </c>
      <c r="C347" t="str">
        <f>TRIM(PROPER(Ecustom_DB[[#This Row],[Name]]))</f>
        <v>Daniel Nelson</v>
      </c>
      <c r="D347">
        <v>33</v>
      </c>
      <c r="E347" t="s">
        <v>9</v>
      </c>
      <c r="F347" t="s">
        <v>1085</v>
      </c>
      <c r="G347" t="str">
        <f>TRIM(PROPER(Ecustom_DB[[#This Row],[City]]))</f>
        <v>North Jonathan</v>
      </c>
      <c r="H347" t="s">
        <v>96</v>
      </c>
      <c r="I347" t="s">
        <v>12</v>
      </c>
      <c r="J347" t="s">
        <v>26</v>
      </c>
    </row>
    <row r="348" spans="1:10" x14ac:dyDescent="0.3">
      <c r="A348" t="s">
        <v>1086</v>
      </c>
      <c r="B348" t="s">
        <v>1087</v>
      </c>
      <c r="C348" t="str">
        <f>TRIM(PROPER(Ecustom_DB[[#This Row],[Name]]))</f>
        <v>John Jordan</v>
      </c>
      <c r="D348">
        <v>58</v>
      </c>
      <c r="E348" t="s">
        <v>16</v>
      </c>
      <c r="F348" t="s">
        <v>1088</v>
      </c>
      <c r="G348" t="str">
        <f>TRIM(PROPER(Ecustom_DB[[#This Row],[City]]))</f>
        <v>Port Crystalberg</v>
      </c>
      <c r="H348" t="s">
        <v>237</v>
      </c>
      <c r="I348" t="s">
        <v>12</v>
      </c>
      <c r="J348" t="s">
        <v>19</v>
      </c>
    </row>
    <row r="349" spans="1:10" x14ac:dyDescent="0.3">
      <c r="A349" t="s">
        <v>1089</v>
      </c>
      <c r="B349" t="s">
        <v>1090</v>
      </c>
      <c r="C349" t="str">
        <f>TRIM(PROPER(Ecustom_DB[[#This Row],[Name]]))</f>
        <v>Justin Mason Dds</v>
      </c>
      <c r="D349">
        <v>39</v>
      </c>
      <c r="E349" t="s">
        <v>16</v>
      </c>
      <c r="F349" t="s">
        <v>1091</v>
      </c>
      <c r="G349" t="str">
        <f>TRIM(PROPER(Ecustom_DB[[#This Row],[City]]))</f>
        <v>Peggystad</v>
      </c>
      <c r="H349" t="s">
        <v>167</v>
      </c>
      <c r="I349" t="s">
        <v>12</v>
      </c>
      <c r="J349" t="s">
        <v>13</v>
      </c>
    </row>
    <row r="350" spans="1:10" x14ac:dyDescent="0.3">
      <c r="A350" t="s">
        <v>1092</v>
      </c>
      <c r="B350" t="s">
        <v>1093</v>
      </c>
      <c r="C350" t="str">
        <f>TRIM(PROPER(Ecustom_DB[[#This Row],[Name]]))</f>
        <v>Sherry Cabrera</v>
      </c>
      <c r="D350">
        <v>55</v>
      </c>
      <c r="E350" t="s">
        <v>9</v>
      </c>
      <c r="F350" t="s">
        <v>1094</v>
      </c>
      <c r="G350" t="str">
        <f>TRIM(PROPER(Ecustom_DB[[#This Row],[City]]))</f>
        <v>Shannonview</v>
      </c>
      <c r="H350" t="s">
        <v>51</v>
      </c>
      <c r="I350" t="s">
        <v>12</v>
      </c>
      <c r="J350" t="s">
        <v>31</v>
      </c>
    </row>
    <row r="351" spans="1:10" x14ac:dyDescent="0.3">
      <c r="A351" t="s">
        <v>1095</v>
      </c>
      <c r="B351" t="s">
        <v>1096</v>
      </c>
      <c r="C351" t="str">
        <f>TRIM(PROPER(Ecustom_DB[[#This Row],[Name]]))</f>
        <v>Heather Valenzuela</v>
      </c>
      <c r="D351">
        <v>31</v>
      </c>
      <c r="E351" t="s">
        <v>9</v>
      </c>
      <c r="F351" t="s">
        <v>1097</v>
      </c>
      <c r="G351" t="str">
        <f>TRIM(PROPER(Ecustom_DB[[#This Row],[City]]))</f>
        <v>New Angiefurt</v>
      </c>
      <c r="H351" t="s">
        <v>163</v>
      </c>
      <c r="I351" t="s">
        <v>12</v>
      </c>
      <c r="J351" t="s">
        <v>26</v>
      </c>
    </row>
    <row r="352" spans="1:10" x14ac:dyDescent="0.3">
      <c r="A352" t="s">
        <v>1098</v>
      </c>
      <c r="B352" t="s">
        <v>1099</v>
      </c>
      <c r="C352" t="str">
        <f>TRIM(PROPER(Ecustom_DB[[#This Row],[Name]]))</f>
        <v>Charles Miller</v>
      </c>
      <c r="D352">
        <v>26</v>
      </c>
      <c r="E352" t="s">
        <v>9</v>
      </c>
      <c r="F352" t="s">
        <v>1100</v>
      </c>
      <c r="G352" t="str">
        <f>TRIM(PROPER(Ecustom_DB[[#This Row],[City]]))</f>
        <v>Lake Allisonborough</v>
      </c>
      <c r="H352" t="s">
        <v>267</v>
      </c>
      <c r="I352" t="s">
        <v>12</v>
      </c>
      <c r="J352" t="s">
        <v>31</v>
      </c>
    </row>
    <row r="353" spans="1:10" x14ac:dyDescent="0.3">
      <c r="A353" t="s">
        <v>1101</v>
      </c>
      <c r="B353" t="s">
        <v>1102</v>
      </c>
      <c r="C353" t="str">
        <f>TRIM(PROPER(Ecustom_DB[[#This Row],[Name]]))</f>
        <v>Jeffrey Mccarthy</v>
      </c>
      <c r="D353">
        <v>25</v>
      </c>
      <c r="E353" t="s">
        <v>16</v>
      </c>
      <c r="F353" t="s">
        <v>1103</v>
      </c>
      <c r="G353" t="str">
        <f>TRIM(PROPER(Ecustom_DB[[#This Row],[City]]))</f>
        <v>North Samuel</v>
      </c>
      <c r="H353" t="s">
        <v>70</v>
      </c>
      <c r="I353" t="s">
        <v>12</v>
      </c>
      <c r="J353" t="s">
        <v>26</v>
      </c>
    </row>
    <row r="354" spans="1:10" x14ac:dyDescent="0.3">
      <c r="A354" t="s">
        <v>1104</v>
      </c>
      <c r="B354" t="s">
        <v>1105</v>
      </c>
      <c r="C354" t="str">
        <f>TRIM(PROPER(Ecustom_DB[[#This Row],[Name]]))</f>
        <v>Michael Greene</v>
      </c>
      <c r="D354">
        <v>52</v>
      </c>
      <c r="E354" t="s">
        <v>16</v>
      </c>
      <c r="F354" t="s">
        <v>1106</v>
      </c>
      <c r="G354" t="str">
        <f>TRIM(PROPER(Ecustom_DB[[#This Row],[City]]))</f>
        <v>Port Saramouth</v>
      </c>
      <c r="H354" t="s">
        <v>324</v>
      </c>
      <c r="I354" t="s">
        <v>12</v>
      </c>
      <c r="J354" t="s">
        <v>31</v>
      </c>
    </row>
    <row r="355" spans="1:10" x14ac:dyDescent="0.3">
      <c r="A355" t="s">
        <v>1107</v>
      </c>
      <c r="B355" t="s">
        <v>3833</v>
      </c>
      <c r="C355" t="str">
        <f>TRIM(PROPER(Ecustom_DB[[#This Row],[Name]]))</f>
        <v>Laura Green</v>
      </c>
      <c r="D355">
        <v>56</v>
      </c>
      <c r="E355" t="s">
        <v>16</v>
      </c>
      <c r="F355" t="s">
        <v>1108</v>
      </c>
      <c r="G355" t="str">
        <f>TRIM(PROPER(Ecustom_DB[[#This Row],[City]]))</f>
        <v>Westbury</v>
      </c>
      <c r="H355" t="s">
        <v>35</v>
      </c>
      <c r="I355" t="s">
        <v>12</v>
      </c>
      <c r="J355" t="s">
        <v>19</v>
      </c>
    </row>
    <row r="356" spans="1:10" x14ac:dyDescent="0.3">
      <c r="A356" t="s">
        <v>1109</v>
      </c>
      <c r="B356" t="s">
        <v>1110</v>
      </c>
      <c r="C356" t="str">
        <f>TRIM(PROPER(Ecustom_DB[[#This Row],[Name]]))</f>
        <v>Ryan Torres</v>
      </c>
      <c r="D356">
        <v>38</v>
      </c>
      <c r="E356" t="s">
        <v>9</v>
      </c>
      <c r="F356" t="s">
        <v>1111</v>
      </c>
      <c r="G356" t="str">
        <f>TRIM(PROPER(Ecustom_DB[[#This Row],[City]]))</f>
        <v>Guerreroport</v>
      </c>
      <c r="H356" t="s">
        <v>167</v>
      </c>
      <c r="I356" t="s">
        <v>12</v>
      </c>
      <c r="J356" t="s">
        <v>31</v>
      </c>
    </row>
    <row r="357" spans="1:10" x14ac:dyDescent="0.3">
      <c r="A357" t="s">
        <v>1112</v>
      </c>
      <c r="B357" t="s">
        <v>1113</v>
      </c>
      <c r="C357" t="str">
        <f>TRIM(PROPER(Ecustom_DB[[#This Row],[Name]]))</f>
        <v>Carlos Flores</v>
      </c>
      <c r="D357">
        <v>20</v>
      </c>
      <c r="E357" t="s">
        <v>9</v>
      </c>
      <c r="F357" t="s">
        <v>1114</v>
      </c>
      <c r="G357" t="str">
        <f>TRIM(PROPER(Ecustom_DB[[#This Row],[City]]))</f>
        <v>North Johnfurt</v>
      </c>
      <c r="H357" t="s">
        <v>74</v>
      </c>
      <c r="I357" t="s">
        <v>12</v>
      </c>
      <c r="J357" t="s">
        <v>13</v>
      </c>
    </row>
    <row r="358" spans="1:10" x14ac:dyDescent="0.3">
      <c r="A358" t="s">
        <v>1115</v>
      </c>
      <c r="B358" t="s">
        <v>1116</v>
      </c>
      <c r="C358" t="str">
        <f>TRIM(PROPER(Ecustom_DB[[#This Row],[Name]]))</f>
        <v>Steve Hunt</v>
      </c>
      <c r="D358">
        <v>54</v>
      </c>
      <c r="E358" t="s">
        <v>9</v>
      </c>
      <c r="F358" t="s">
        <v>1117</v>
      </c>
      <c r="G358" t="str">
        <f>TRIM(PROPER(Ecustom_DB[[#This Row],[City]]))</f>
        <v>North Richard</v>
      </c>
      <c r="H358" t="s">
        <v>287</v>
      </c>
      <c r="I358" t="s">
        <v>12</v>
      </c>
      <c r="J358" t="s">
        <v>26</v>
      </c>
    </row>
    <row r="359" spans="1:10" x14ac:dyDescent="0.3">
      <c r="A359" t="s">
        <v>1118</v>
      </c>
      <c r="B359" t="s">
        <v>1119</v>
      </c>
      <c r="C359" t="str">
        <f>TRIM(PROPER(Ecustom_DB[[#This Row],[Name]]))</f>
        <v>Manuel Castillo</v>
      </c>
      <c r="D359">
        <v>41</v>
      </c>
      <c r="E359" t="s">
        <v>9</v>
      </c>
      <c r="F359" t="s">
        <v>1120</v>
      </c>
      <c r="G359" t="str">
        <f>TRIM(PROPER(Ecustom_DB[[#This Row],[City]]))</f>
        <v>Nealview</v>
      </c>
      <c r="H359" t="s">
        <v>237</v>
      </c>
      <c r="I359" t="s">
        <v>12</v>
      </c>
      <c r="J359" t="s">
        <v>13</v>
      </c>
    </row>
    <row r="360" spans="1:10" x14ac:dyDescent="0.3">
      <c r="A360" t="s">
        <v>1121</v>
      </c>
      <c r="B360" t="s">
        <v>1122</v>
      </c>
      <c r="C360" t="str">
        <f>TRIM(PROPER(Ecustom_DB[[#This Row],[Name]]))</f>
        <v>Ashley Anderson</v>
      </c>
      <c r="D360">
        <v>60</v>
      </c>
      <c r="E360" t="s">
        <v>16</v>
      </c>
      <c r="F360" t="s">
        <v>1123</v>
      </c>
      <c r="G360" t="str">
        <f>TRIM(PROPER(Ecustom_DB[[#This Row],[City]]))</f>
        <v>West Johnmouth</v>
      </c>
      <c r="H360" t="s">
        <v>313</v>
      </c>
      <c r="I360" t="s">
        <v>12</v>
      </c>
      <c r="J360" t="s">
        <v>13</v>
      </c>
    </row>
    <row r="361" spans="1:10" x14ac:dyDescent="0.3">
      <c r="A361" t="s">
        <v>1124</v>
      </c>
      <c r="B361" t="s">
        <v>1125</v>
      </c>
      <c r="C361" t="str">
        <f>TRIM(PROPER(Ecustom_DB[[#This Row],[Name]]))</f>
        <v>Melanie Lam</v>
      </c>
      <c r="D361">
        <v>32</v>
      </c>
      <c r="E361" t="s">
        <v>9</v>
      </c>
      <c r="F361" t="s">
        <v>1126</v>
      </c>
      <c r="G361" t="str">
        <f>TRIM(PROPER(Ecustom_DB[[#This Row],[City]]))</f>
        <v>East Michaelton</v>
      </c>
      <c r="H361" t="s">
        <v>62</v>
      </c>
      <c r="I361" t="s">
        <v>12</v>
      </c>
      <c r="J361" t="s">
        <v>31</v>
      </c>
    </row>
    <row r="362" spans="1:10" x14ac:dyDescent="0.3">
      <c r="A362" t="s">
        <v>1127</v>
      </c>
      <c r="B362" t="s">
        <v>1128</v>
      </c>
      <c r="C362" t="str">
        <f>TRIM(PROPER(Ecustom_DB[[#This Row],[Name]]))</f>
        <v>Denise Tate</v>
      </c>
      <c r="D362">
        <v>34</v>
      </c>
      <c r="E362" t="s">
        <v>9</v>
      </c>
      <c r="F362" t="s">
        <v>1129</v>
      </c>
      <c r="G362" t="str">
        <f>TRIM(PROPER(Ecustom_DB[[#This Row],[City]]))</f>
        <v>Andersonside</v>
      </c>
      <c r="H362" t="s">
        <v>291</v>
      </c>
      <c r="I362" t="s">
        <v>12</v>
      </c>
      <c r="J362" t="s">
        <v>19</v>
      </c>
    </row>
    <row r="363" spans="1:10" x14ac:dyDescent="0.3">
      <c r="A363" t="s">
        <v>1130</v>
      </c>
      <c r="B363" t="s">
        <v>1131</v>
      </c>
      <c r="C363" t="str">
        <f>TRIM(PROPER(Ecustom_DB[[#This Row],[Name]]))</f>
        <v>Natalie Johnson</v>
      </c>
      <c r="D363">
        <v>64</v>
      </c>
      <c r="E363" t="s">
        <v>9</v>
      </c>
      <c r="F363" t="s">
        <v>1132</v>
      </c>
      <c r="G363" t="str">
        <f>TRIM(PROPER(Ecustom_DB[[#This Row],[City]]))</f>
        <v>New Jessechester</v>
      </c>
      <c r="H363" t="s">
        <v>254</v>
      </c>
      <c r="I363" t="s">
        <v>12</v>
      </c>
      <c r="J363" t="s">
        <v>19</v>
      </c>
    </row>
    <row r="364" spans="1:10" x14ac:dyDescent="0.3">
      <c r="A364" t="s">
        <v>1133</v>
      </c>
      <c r="B364" t="s">
        <v>1134</v>
      </c>
      <c r="C364" t="str">
        <f>TRIM(PROPER(Ecustom_DB[[#This Row],[Name]]))</f>
        <v>Joshua Smith Dvm</v>
      </c>
      <c r="D364">
        <v>60</v>
      </c>
      <c r="E364" t="s">
        <v>9</v>
      </c>
      <c r="F364" t="s">
        <v>1135</v>
      </c>
      <c r="G364" t="str">
        <f>TRIM(PROPER(Ecustom_DB[[#This Row],[City]]))</f>
        <v>Melvinton</v>
      </c>
      <c r="H364" t="s">
        <v>163</v>
      </c>
      <c r="I364" t="s">
        <v>12</v>
      </c>
      <c r="J364" t="s">
        <v>13</v>
      </c>
    </row>
    <row r="365" spans="1:10" x14ac:dyDescent="0.3">
      <c r="A365" t="s">
        <v>1136</v>
      </c>
      <c r="B365" t="s">
        <v>1137</v>
      </c>
      <c r="C365" t="str">
        <f>TRIM(PROPER(Ecustom_DB[[#This Row],[Name]]))</f>
        <v>Elizabeth Smith</v>
      </c>
      <c r="D365">
        <v>23</v>
      </c>
      <c r="E365" t="s">
        <v>9</v>
      </c>
      <c r="F365" t="s">
        <v>1138</v>
      </c>
      <c r="G365" t="str">
        <f>TRIM(PROPER(Ecustom_DB[[#This Row],[City]]))</f>
        <v>Murphytown</v>
      </c>
      <c r="H365" t="s">
        <v>25</v>
      </c>
      <c r="I365" t="s">
        <v>12</v>
      </c>
      <c r="J365" t="s">
        <v>26</v>
      </c>
    </row>
    <row r="366" spans="1:10" x14ac:dyDescent="0.3">
      <c r="A366" t="s">
        <v>1139</v>
      </c>
      <c r="B366" t="s">
        <v>1140</v>
      </c>
      <c r="C366" t="str">
        <f>TRIM(PROPER(Ecustom_DB[[#This Row],[Name]]))</f>
        <v>Chloe Aguilar</v>
      </c>
      <c r="D366">
        <v>58</v>
      </c>
      <c r="E366" t="s">
        <v>9</v>
      </c>
      <c r="F366" t="s">
        <v>1141</v>
      </c>
      <c r="G366" t="str">
        <f>TRIM(PROPER(Ecustom_DB[[#This Row],[City]]))</f>
        <v>Lake Johnside</v>
      </c>
      <c r="H366" t="s">
        <v>133</v>
      </c>
      <c r="I366" t="s">
        <v>12</v>
      </c>
      <c r="J366" t="s">
        <v>26</v>
      </c>
    </row>
    <row r="367" spans="1:10" x14ac:dyDescent="0.3">
      <c r="A367" t="s">
        <v>1142</v>
      </c>
      <c r="B367" t="s">
        <v>1143</v>
      </c>
      <c r="C367" t="str">
        <f>TRIM(PROPER(Ecustom_DB[[#This Row],[Name]]))</f>
        <v>Brandon Mcbride</v>
      </c>
      <c r="D367">
        <v>63</v>
      </c>
      <c r="E367" t="s">
        <v>16</v>
      </c>
      <c r="F367" t="s">
        <v>1144</v>
      </c>
      <c r="G367" t="str">
        <f>TRIM(PROPER(Ecustom_DB[[#This Row],[City]]))</f>
        <v>Kellyside</v>
      </c>
      <c r="H367" t="s">
        <v>163</v>
      </c>
      <c r="I367" t="s">
        <v>12</v>
      </c>
      <c r="J367" t="s">
        <v>19</v>
      </c>
    </row>
    <row r="368" spans="1:10" x14ac:dyDescent="0.3">
      <c r="A368" t="s">
        <v>1145</v>
      </c>
      <c r="B368" t="s">
        <v>1146</v>
      </c>
      <c r="C368" t="str">
        <f>TRIM(PROPER(Ecustom_DB[[#This Row],[Name]]))</f>
        <v>Mallory Allen</v>
      </c>
      <c r="D368">
        <v>40</v>
      </c>
      <c r="E368" t="s">
        <v>16</v>
      </c>
      <c r="F368" t="s">
        <v>1147</v>
      </c>
      <c r="G368" t="str">
        <f>TRIM(PROPER(Ecustom_DB[[#This Row],[City]]))</f>
        <v>North Theresa</v>
      </c>
      <c r="H368" t="s">
        <v>22</v>
      </c>
      <c r="I368" t="s">
        <v>12</v>
      </c>
      <c r="J368" t="s">
        <v>19</v>
      </c>
    </row>
    <row r="369" spans="1:10" x14ac:dyDescent="0.3">
      <c r="A369" t="s">
        <v>1148</v>
      </c>
      <c r="B369" t="s">
        <v>1149</v>
      </c>
      <c r="C369" t="str">
        <f>TRIM(PROPER(Ecustom_DB[[#This Row],[Name]]))</f>
        <v>Melinda Johnson</v>
      </c>
      <c r="D369">
        <v>51</v>
      </c>
      <c r="E369" t="s">
        <v>9</v>
      </c>
      <c r="F369" t="s">
        <v>1150</v>
      </c>
      <c r="G369" t="str">
        <f>TRIM(PROPER(Ecustom_DB[[#This Row],[City]]))</f>
        <v>Kaufmanfurt</v>
      </c>
      <c r="H369" t="s">
        <v>25</v>
      </c>
      <c r="I369" t="s">
        <v>12</v>
      </c>
      <c r="J369" t="s">
        <v>26</v>
      </c>
    </row>
    <row r="370" spans="1:10" x14ac:dyDescent="0.3">
      <c r="A370" t="s">
        <v>1151</v>
      </c>
      <c r="B370" t="s">
        <v>1152</v>
      </c>
      <c r="C370" t="str">
        <f>TRIM(PROPER(Ecustom_DB[[#This Row],[Name]]))</f>
        <v>Miranda King</v>
      </c>
      <c r="D370">
        <v>34</v>
      </c>
      <c r="E370" t="s">
        <v>16</v>
      </c>
      <c r="F370" t="s">
        <v>1153</v>
      </c>
      <c r="G370" t="str">
        <f>TRIM(PROPER(Ecustom_DB[[#This Row],[City]]))</f>
        <v>West Mathew</v>
      </c>
      <c r="H370" t="s">
        <v>58</v>
      </c>
      <c r="I370" t="s">
        <v>12</v>
      </c>
      <c r="J370" t="s">
        <v>19</v>
      </c>
    </row>
    <row r="371" spans="1:10" x14ac:dyDescent="0.3">
      <c r="A371" t="s">
        <v>1154</v>
      </c>
      <c r="B371" t="s">
        <v>1155</v>
      </c>
      <c r="C371" t="str">
        <f>TRIM(PROPER(Ecustom_DB[[#This Row],[Name]]))</f>
        <v>Gregory Allen</v>
      </c>
      <c r="D371">
        <v>20</v>
      </c>
      <c r="E371" t="s">
        <v>16</v>
      </c>
      <c r="F371" t="s">
        <v>1156</v>
      </c>
      <c r="G371" t="str">
        <f>TRIM(PROPER(Ecustom_DB[[#This Row],[City]]))</f>
        <v>West Bruce</v>
      </c>
      <c r="H371" t="s">
        <v>171</v>
      </c>
      <c r="I371" t="s">
        <v>12</v>
      </c>
      <c r="J371" t="s">
        <v>19</v>
      </c>
    </row>
    <row r="372" spans="1:10" x14ac:dyDescent="0.3">
      <c r="A372" t="s">
        <v>1157</v>
      </c>
      <c r="B372" t="s">
        <v>1158</v>
      </c>
      <c r="C372" t="str">
        <f>TRIM(PROPER(Ecustom_DB[[#This Row],[Name]]))</f>
        <v>James Holloway Jr.</v>
      </c>
      <c r="D372">
        <v>45</v>
      </c>
      <c r="E372" t="s">
        <v>9</v>
      </c>
      <c r="F372" t="s">
        <v>1159</v>
      </c>
      <c r="G372" t="str">
        <f>TRIM(PROPER(Ecustom_DB[[#This Row],[City]]))</f>
        <v>Millston</v>
      </c>
      <c r="H372" t="s">
        <v>254</v>
      </c>
      <c r="I372" t="s">
        <v>12</v>
      </c>
      <c r="J372" t="s">
        <v>31</v>
      </c>
    </row>
    <row r="373" spans="1:10" x14ac:dyDescent="0.3">
      <c r="A373" t="s">
        <v>1160</v>
      </c>
      <c r="B373" t="s">
        <v>1161</v>
      </c>
      <c r="C373" t="str">
        <f>TRIM(PROPER(Ecustom_DB[[#This Row],[Name]]))</f>
        <v>Michael Garner</v>
      </c>
      <c r="D373">
        <v>21</v>
      </c>
      <c r="E373" t="s">
        <v>16</v>
      </c>
      <c r="F373" t="s">
        <v>1162</v>
      </c>
      <c r="G373" t="str">
        <f>TRIM(PROPER(Ecustom_DB[[#This Row],[City]]))</f>
        <v>Port Crystal</v>
      </c>
      <c r="H373" t="s">
        <v>47</v>
      </c>
      <c r="I373" t="s">
        <v>12</v>
      </c>
      <c r="J373" t="s">
        <v>19</v>
      </c>
    </row>
    <row r="374" spans="1:10" x14ac:dyDescent="0.3">
      <c r="A374" t="s">
        <v>1163</v>
      </c>
      <c r="B374" t="s">
        <v>1164</v>
      </c>
      <c r="C374" t="str">
        <f>TRIM(PROPER(Ecustom_DB[[#This Row],[Name]]))</f>
        <v>Jacqueline Anthony</v>
      </c>
      <c r="D374">
        <v>28</v>
      </c>
      <c r="E374" t="s">
        <v>9</v>
      </c>
      <c r="F374" t="s">
        <v>1165</v>
      </c>
      <c r="G374" t="str">
        <f>TRIM(PROPER(Ecustom_DB[[#This Row],[City]]))</f>
        <v>Vincentside</v>
      </c>
      <c r="H374" t="s">
        <v>25</v>
      </c>
      <c r="I374" t="s">
        <v>12</v>
      </c>
      <c r="J374" t="s">
        <v>26</v>
      </c>
    </row>
    <row r="375" spans="1:10" x14ac:dyDescent="0.3">
      <c r="A375" t="s">
        <v>1166</v>
      </c>
      <c r="B375" t="s">
        <v>1167</v>
      </c>
      <c r="C375" t="str">
        <f>TRIM(PROPER(Ecustom_DB[[#This Row],[Name]]))</f>
        <v>James Orozco</v>
      </c>
      <c r="D375">
        <v>37</v>
      </c>
      <c r="E375" t="s">
        <v>16</v>
      </c>
      <c r="F375" t="s">
        <v>1168</v>
      </c>
      <c r="G375" t="str">
        <f>TRIM(PROPER(Ecustom_DB[[#This Row],[City]]))</f>
        <v>Simpsonfort</v>
      </c>
      <c r="H375" t="s">
        <v>434</v>
      </c>
      <c r="I375" t="s">
        <v>12</v>
      </c>
      <c r="J375" t="s">
        <v>13</v>
      </c>
    </row>
    <row r="376" spans="1:10" x14ac:dyDescent="0.3">
      <c r="A376" t="s">
        <v>1169</v>
      </c>
      <c r="B376" t="s">
        <v>1170</v>
      </c>
      <c r="C376" t="str">
        <f>TRIM(PROPER(Ecustom_DB[[#This Row],[Name]]))</f>
        <v>Emma Wilson</v>
      </c>
      <c r="D376">
        <v>60</v>
      </c>
      <c r="E376" t="s">
        <v>9</v>
      </c>
      <c r="F376" t="s">
        <v>1171</v>
      </c>
      <c r="G376" t="str">
        <f>TRIM(PROPER(Ecustom_DB[[#This Row],[City]]))</f>
        <v>Andersonburgh</v>
      </c>
      <c r="H376" t="s">
        <v>99</v>
      </c>
      <c r="I376" t="s">
        <v>12</v>
      </c>
      <c r="J376" t="s">
        <v>19</v>
      </c>
    </row>
    <row r="377" spans="1:10" x14ac:dyDescent="0.3">
      <c r="A377" t="s">
        <v>1172</v>
      </c>
      <c r="B377" t="s">
        <v>1173</v>
      </c>
      <c r="C377" t="str">
        <f>TRIM(PROPER(Ecustom_DB[[#This Row],[Name]]))</f>
        <v>Joshua Bell</v>
      </c>
      <c r="D377">
        <v>26</v>
      </c>
      <c r="E377" t="s">
        <v>9</v>
      </c>
      <c r="F377" t="s">
        <v>1174</v>
      </c>
      <c r="G377" t="str">
        <f>TRIM(PROPER(Ecustom_DB[[#This Row],[City]]))</f>
        <v>Port Richardshire</v>
      </c>
      <c r="H377" t="s">
        <v>201</v>
      </c>
      <c r="I377" t="s">
        <v>12</v>
      </c>
      <c r="J377" t="s">
        <v>19</v>
      </c>
    </row>
    <row r="378" spans="1:10" x14ac:dyDescent="0.3">
      <c r="A378" t="s">
        <v>1175</v>
      </c>
      <c r="B378" t="s">
        <v>1176</v>
      </c>
      <c r="C378" t="str">
        <f>TRIM(PROPER(Ecustom_DB[[#This Row],[Name]]))</f>
        <v>Michele Burke</v>
      </c>
      <c r="D378">
        <v>30</v>
      </c>
      <c r="E378" t="s">
        <v>9</v>
      </c>
      <c r="F378" t="s">
        <v>1177</v>
      </c>
      <c r="G378" t="str">
        <f>TRIM(PROPER(Ecustom_DB[[#This Row],[City]]))</f>
        <v>Chambersberg</v>
      </c>
      <c r="H378" t="s">
        <v>167</v>
      </c>
      <c r="I378" t="s">
        <v>12</v>
      </c>
      <c r="J378" t="s">
        <v>26</v>
      </c>
    </row>
    <row r="379" spans="1:10" x14ac:dyDescent="0.3">
      <c r="A379" t="s">
        <v>1178</v>
      </c>
      <c r="B379" t="s">
        <v>1179</v>
      </c>
      <c r="C379" t="str">
        <f>TRIM(PROPER(Ecustom_DB[[#This Row],[Name]]))</f>
        <v>Charles Conley</v>
      </c>
      <c r="D379">
        <v>39</v>
      </c>
      <c r="E379" t="s">
        <v>16</v>
      </c>
      <c r="F379" t="s">
        <v>1180</v>
      </c>
      <c r="G379" t="str">
        <f>TRIM(PROPER(Ecustom_DB[[#This Row],[City]]))</f>
        <v>Nathanshire</v>
      </c>
      <c r="H379" t="s">
        <v>434</v>
      </c>
      <c r="I379" t="s">
        <v>12</v>
      </c>
      <c r="J379" t="s">
        <v>13</v>
      </c>
    </row>
    <row r="380" spans="1:10" x14ac:dyDescent="0.3">
      <c r="A380" t="s">
        <v>1181</v>
      </c>
      <c r="B380" t="s">
        <v>1182</v>
      </c>
      <c r="C380" t="str">
        <f>TRIM(PROPER(Ecustom_DB[[#This Row],[Name]]))</f>
        <v>Frank Stewart</v>
      </c>
      <c r="D380">
        <v>44</v>
      </c>
      <c r="E380" t="s">
        <v>16</v>
      </c>
      <c r="F380" t="s">
        <v>1183</v>
      </c>
      <c r="G380" t="str">
        <f>TRIM(PROPER(Ecustom_DB[[#This Row],[City]]))</f>
        <v>Fischerborough</v>
      </c>
      <c r="H380" t="s">
        <v>92</v>
      </c>
      <c r="I380" t="s">
        <v>12</v>
      </c>
      <c r="J380" t="s">
        <v>26</v>
      </c>
    </row>
    <row r="381" spans="1:10" x14ac:dyDescent="0.3">
      <c r="A381" t="s">
        <v>1184</v>
      </c>
      <c r="B381" t="s">
        <v>1185</v>
      </c>
      <c r="C381" t="str">
        <f>TRIM(PROPER(Ecustom_DB[[#This Row],[Name]]))</f>
        <v>Tanya Lopez</v>
      </c>
      <c r="D381">
        <v>34</v>
      </c>
      <c r="E381" t="s">
        <v>16</v>
      </c>
      <c r="F381" t="s">
        <v>1186</v>
      </c>
      <c r="G381" t="str">
        <f>TRIM(PROPER(Ecustom_DB[[#This Row],[City]]))</f>
        <v>West Jeffreyburgh</v>
      </c>
      <c r="H381" t="s">
        <v>267</v>
      </c>
      <c r="I381" t="s">
        <v>12</v>
      </c>
      <c r="J381" t="s">
        <v>13</v>
      </c>
    </row>
    <row r="382" spans="1:10" x14ac:dyDescent="0.3">
      <c r="A382" t="s">
        <v>1187</v>
      </c>
      <c r="B382" t="s">
        <v>1188</v>
      </c>
      <c r="C382" t="str">
        <f>TRIM(PROPER(Ecustom_DB[[#This Row],[Name]]))</f>
        <v>Shelley Ponce</v>
      </c>
      <c r="D382">
        <v>23</v>
      </c>
      <c r="E382" t="s">
        <v>9</v>
      </c>
      <c r="F382" t="s">
        <v>1189</v>
      </c>
      <c r="G382" t="str">
        <f>TRIM(PROPER(Ecustom_DB[[#This Row],[City]]))</f>
        <v>South Cassandrachester</v>
      </c>
      <c r="H382" t="s">
        <v>217</v>
      </c>
      <c r="I382" t="s">
        <v>12</v>
      </c>
      <c r="J382" t="s">
        <v>13</v>
      </c>
    </row>
    <row r="383" spans="1:10" x14ac:dyDescent="0.3">
      <c r="A383" t="s">
        <v>1190</v>
      </c>
      <c r="B383" t="s">
        <v>1191</v>
      </c>
      <c r="C383" t="str">
        <f>TRIM(PROPER(Ecustom_DB[[#This Row],[Name]]))</f>
        <v>Erika Padilla</v>
      </c>
      <c r="D383">
        <v>50</v>
      </c>
      <c r="E383" t="s">
        <v>9</v>
      </c>
      <c r="F383" t="s">
        <v>1192</v>
      </c>
      <c r="G383" t="str">
        <f>TRIM(PROPER(Ecustom_DB[[#This Row],[City]]))</f>
        <v>Andrewsland</v>
      </c>
      <c r="H383" t="s">
        <v>22</v>
      </c>
      <c r="I383" t="s">
        <v>12</v>
      </c>
      <c r="J383" t="s">
        <v>31</v>
      </c>
    </row>
    <row r="384" spans="1:10" x14ac:dyDescent="0.3">
      <c r="A384" t="s">
        <v>1193</v>
      </c>
      <c r="B384" t="s">
        <v>1194</v>
      </c>
      <c r="C384" t="str">
        <f>TRIM(PROPER(Ecustom_DB[[#This Row],[Name]]))</f>
        <v>Martha Brown</v>
      </c>
      <c r="D384">
        <v>20</v>
      </c>
      <c r="E384" t="s">
        <v>16</v>
      </c>
      <c r="F384" t="s">
        <v>1195</v>
      </c>
      <c r="G384" t="str">
        <f>TRIM(PROPER(Ecustom_DB[[#This Row],[City]]))</f>
        <v>Novakstad</v>
      </c>
      <c r="H384" t="s">
        <v>30</v>
      </c>
      <c r="I384" t="s">
        <v>12</v>
      </c>
      <c r="J384" t="s">
        <v>13</v>
      </c>
    </row>
    <row r="385" spans="1:10" x14ac:dyDescent="0.3">
      <c r="A385" t="s">
        <v>1196</v>
      </c>
      <c r="B385" t="s">
        <v>1197</v>
      </c>
      <c r="C385" t="str">
        <f>TRIM(PROPER(Ecustom_DB[[#This Row],[Name]]))</f>
        <v>Kristine Higgins</v>
      </c>
      <c r="D385">
        <v>27</v>
      </c>
      <c r="E385" t="s">
        <v>16</v>
      </c>
      <c r="F385" t="s">
        <v>1198</v>
      </c>
      <c r="G385" t="str">
        <f>TRIM(PROPER(Ecustom_DB[[#This Row],[City]]))</f>
        <v>Jennifertown</v>
      </c>
      <c r="H385" t="s">
        <v>317</v>
      </c>
      <c r="I385" t="s">
        <v>12</v>
      </c>
      <c r="J385" t="s">
        <v>31</v>
      </c>
    </row>
    <row r="386" spans="1:10" x14ac:dyDescent="0.3">
      <c r="A386" t="s">
        <v>1199</v>
      </c>
      <c r="B386" t="s">
        <v>1200</v>
      </c>
      <c r="C386" t="str">
        <f>TRIM(PROPER(Ecustom_DB[[#This Row],[Name]]))</f>
        <v>Andrew Mason</v>
      </c>
      <c r="D386">
        <v>52</v>
      </c>
      <c r="E386" t="s">
        <v>16</v>
      </c>
      <c r="F386" t="s">
        <v>1201</v>
      </c>
      <c r="G386" t="str">
        <f>TRIM(PROPER(Ecustom_DB[[#This Row],[City]]))</f>
        <v>North Michael</v>
      </c>
      <c r="H386" t="s">
        <v>267</v>
      </c>
      <c r="I386" t="s">
        <v>12</v>
      </c>
      <c r="J386" t="s">
        <v>26</v>
      </c>
    </row>
    <row r="387" spans="1:10" x14ac:dyDescent="0.3">
      <c r="A387" t="s">
        <v>1202</v>
      </c>
      <c r="B387" t="s">
        <v>1203</v>
      </c>
      <c r="C387" t="str">
        <f>TRIM(PROPER(Ecustom_DB[[#This Row],[Name]]))</f>
        <v>Tammy Brennan</v>
      </c>
      <c r="D387">
        <v>60</v>
      </c>
      <c r="E387" t="s">
        <v>9</v>
      </c>
      <c r="F387" t="s">
        <v>1204</v>
      </c>
      <c r="G387" t="str">
        <f>TRIM(PROPER(Ecustom_DB[[#This Row],[City]]))</f>
        <v>Lake Brandontown</v>
      </c>
      <c r="H387" t="s">
        <v>317</v>
      </c>
      <c r="I387" t="s">
        <v>12</v>
      </c>
      <c r="J387" t="s">
        <v>13</v>
      </c>
    </row>
    <row r="388" spans="1:10" x14ac:dyDescent="0.3">
      <c r="A388" t="s">
        <v>1205</v>
      </c>
      <c r="B388" t="s">
        <v>1206</v>
      </c>
      <c r="C388" t="str">
        <f>TRIM(PROPER(Ecustom_DB[[#This Row],[Name]]))</f>
        <v>Melanie Mitchell</v>
      </c>
      <c r="D388">
        <v>18</v>
      </c>
      <c r="E388" t="s">
        <v>16</v>
      </c>
      <c r="F388" t="s">
        <v>1207</v>
      </c>
      <c r="G388" t="str">
        <f>TRIM(PROPER(Ecustom_DB[[#This Row],[City]]))</f>
        <v>West Laura</v>
      </c>
      <c r="H388" t="s">
        <v>140</v>
      </c>
      <c r="I388" t="s">
        <v>12</v>
      </c>
      <c r="J388" t="s">
        <v>26</v>
      </c>
    </row>
    <row r="389" spans="1:10" x14ac:dyDescent="0.3">
      <c r="A389" t="s">
        <v>1208</v>
      </c>
      <c r="B389" t="s">
        <v>1209</v>
      </c>
      <c r="C389" t="str">
        <f>TRIM(PROPER(Ecustom_DB[[#This Row],[Name]]))</f>
        <v>Timothy Gardner</v>
      </c>
      <c r="D389">
        <v>28</v>
      </c>
      <c r="E389" t="s">
        <v>16</v>
      </c>
      <c r="F389" t="s">
        <v>1210</v>
      </c>
      <c r="G389" t="str">
        <f>TRIM(PROPER(Ecustom_DB[[#This Row],[City]]))</f>
        <v>New Dawn</v>
      </c>
      <c r="H389" t="s">
        <v>88</v>
      </c>
      <c r="I389" t="s">
        <v>12</v>
      </c>
      <c r="J389" t="s">
        <v>31</v>
      </c>
    </row>
    <row r="390" spans="1:10" x14ac:dyDescent="0.3">
      <c r="A390" t="s">
        <v>1211</v>
      </c>
      <c r="B390" t="s">
        <v>1212</v>
      </c>
      <c r="C390" t="str">
        <f>TRIM(PROPER(Ecustom_DB[[#This Row],[Name]]))</f>
        <v>Timothy Valenzuela</v>
      </c>
      <c r="D390">
        <v>53</v>
      </c>
      <c r="E390" t="s">
        <v>9</v>
      </c>
      <c r="F390" t="s">
        <v>1213</v>
      </c>
      <c r="G390" t="str">
        <f>TRIM(PROPER(Ecustom_DB[[#This Row],[City]]))</f>
        <v>Stevensshire</v>
      </c>
      <c r="H390" t="s">
        <v>113</v>
      </c>
      <c r="I390" t="s">
        <v>12</v>
      </c>
      <c r="J390" t="s">
        <v>19</v>
      </c>
    </row>
    <row r="391" spans="1:10" x14ac:dyDescent="0.3">
      <c r="A391" t="s">
        <v>1214</v>
      </c>
      <c r="B391" t="s">
        <v>1215</v>
      </c>
      <c r="C391" t="str">
        <f>TRIM(PROPER(Ecustom_DB[[#This Row],[Name]]))</f>
        <v>Cynthia Lopez</v>
      </c>
      <c r="D391">
        <v>50</v>
      </c>
      <c r="E391" t="s">
        <v>9</v>
      </c>
      <c r="F391" t="s">
        <v>1216</v>
      </c>
      <c r="G391" t="str">
        <f>TRIM(PROPER(Ecustom_DB[[#This Row],[City]]))</f>
        <v>Joseland</v>
      </c>
      <c r="H391" t="s">
        <v>70</v>
      </c>
      <c r="I391" t="s">
        <v>12</v>
      </c>
      <c r="J391" t="s">
        <v>19</v>
      </c>
    </row>
    <row r="392" spans="1:10" x14ac:dyDescent="0.3">
      <c r="A392" t="s">
        <v>1217</v>
      </c>
      <c r="B392" t="s">
        <v>1218</v>
      </c>
      <c r="C392" t="str">
        <f>TRIM(PROPER(Ecustom_DB[[#This Row],[Name]]))</f>
        <v>Daniel Bell</v>
      </c>
      <c r="D392">
        <v>56</v>
      </c>
      <c r="E392" t="s">
        <v>9</v>
      </c>
      <c r="F392" t="s">
        <v>1219</v>
      </c>
      <c r="G392" t="str">
        <f>TRIM(PROPER(Ecustom_DB[[#This Row],[City]]))</f>
        <v>Deniseberg</v>
      </c>
      <c r="H392" t="s">
        <v>291</v>
      </c>
      <c r="I392" t="s">
        <v>12</v>
      </c>
      <c r="J392" t="s">
        <v>31</v>
      </c>
    </row>
    <row r="393" spans="1:10" x14ac:dyDescent="0.3">
      <c r="A393" t="s">
        <v>1220</v>
      </c>
      <c r="B393" t="s">
        <v>1221</v>
      </c>
      <c r="C393" t="str">
        <f>TRIM(PROPER(Ecustom_DB[[#This Row],[Name]]))</f>
        <v>Heidi Tyler</v>
      </c>
      <c r="D393">
        <v>40</v>
      </c>
      <c r="E393" t="s">
        <v>16</v>
      </c>
      <c r="F393" t="s">
        <v>1222</v>
      </c>
      <c r="G393" t="str">
        <f>TRIM(PROPER(Ecustom_DB[[#This Row],[City]]))</f>
        <v>Dawnstad</v>
      </c>
      <c r="H393" t="s">
        <v>35</v>
      </c>
      <c r="I393" t="s">
        <v>12</v>
      </c>
      <c r="J393" t="s">
        <v>26</v>
      </c>
    </row>
    <row r="394" spans="1:10" x14ac:dyDescent="0.3">
      <c r="A394" t="s">
        <v>1223</v>
      </c>
      <c r="B394" t="s">
        <v>1224</v>
      </c>
      <c r="C394" t="str">
        <f>TRIM(PROPER(Ecustom_DB[[#This Row],[Name]]))</f>
        <v>Jacqueline Payne</v>
      </c>
      <c r="D394">
        <v>46</v>
      </c>
      <c r="E394" t="s">
        <v>9</v>
      </c>
      <c r="F394" t="s">
        <v>1225</v>
      </c>
      <c r="G394" t="str">
        <f>TRIM(PROPER(Ecustom_DB[[#This Row],[City]]))</f>
        <v>Gutierrezstad</v>
      </c>
      <c r="H394" t="s">
        <v>113</v>
      </c>
      <c r="I394" t="s">
        <v>12</v>
      </c>
      <c r="J394" t="s">
        <v>13</v>
      </c>
    </row>
    <row r="395" spans="1:10" x14ac:dyDescent="0.3">
      <c r="A395" t="s">
        <v>1226</v>
      </c>
      <c r="B395" t="s">
        <v>1227</v>
      </c>
      <c r="C395" t="str">
        <f>TRIM(PROPER(Ecustom_DB[[#This Row],[Name]]))</f>
        <v>Michael Mcneil</v>
      </c>
      <c r="D395">
        <v>46</v>
      </c>
      <c r="E395" t="s">
        <v>9</v>
      </c>
      <c r="F395" t="s">
        <v>1228</v>
      </c>
      <c r="G395" t="str">
        <f>TRIM(PROPER(Ecustom_DB[[#This Row],[City]]))</f>
        <v>Stewartchester</v>
      </c>
      <c r="H395" t="s">
        <v>117</v>
      </c>
      <c r="I395" t="s">
        <v>12</v>
      </c>
      <c r="J395" t="s">
        <v>26</v>
      </c>
    </row>
    <row r="396" spans="1:10" x14ac:dyDescent="0.3">
      <c r="A396" t="s">
        <v>1229</v>
      </c>
      <c r="B396" t="s">
        <v>1230</v>
      </c>
      <c r="C396" t="str">
        <f>TRIM(PROPER(Ecustom_DB[[#This Row],[Name]]))</f>
        <v>Alejandro Evans</v>
      </c>
      <c r="D396">
        <v>43</v>
      </c>
      <c r="E396" t="s">
        <v>16</v>
      </c>
      <c r="F396" t="s">
        <v>1231</v>
      </c>
      <c r="G396" t="str">
        <f>TRIM(PROPER(Ecustom_DB[[#This Row],[City]]))</f>
        <v>Cannonberg</v>
      </c>
      <c r="H396" t="s">
        <v>167</v>
      </c>
      <c r="I396" t="s">
        <v>12</v>
      </c>
      <c r="J396" t="s">
        <v>26</v>
      </c>
    </row>
    <row r="397" spans="1:10" x14ac:dyDescent="0.3">
      <c r="A397" t="s">
        <v>1232</v>
      </c>
      <c r="B397" t="s">
        <v>1233</v>
      </c>
      <c r="C397" t="str">
        <f>TRIM(PROPER(Ecustom_DB[[#This Row],[Name]]))</f>
        <v>Brandon Mcguire</v>
      </c>
      <c r="D397">
        <v>50</v>
      </c>
      <c r="E397" t="s">
        <v>9</v>
      </c>
      <c r="F397" t="s">
        <v>1234</v>
      </c>
      <c r="G397" t="str">
        <f>TRIM(PROPER(Ecustom_DB[[#This Row],[City]]))</f>
        <v>Lake Morganland</v>
      </c>
      <c r="H397" t="s">
        <v>62</v>
      </c>
      <c r="I397" t="s">
        <v>12</v>
      </c>
      <c r="J397" t="s">
        <v>13</v>
      </c>
    </row>
    <row r="398" spans="1:10" x14ac:dyDescent="0.3">
      <c r="A398" t="s">
        <v>1235</v>
      </c>
      <c r="B398" t="s">
        <v>1236</v>
      </c>
      <c r="C398" t="str">
        <f>TRIM(PROPER(Ecustom_DB[[#This Row],[Name]]))</f>
        <v>Alexander Byrd</v>
      </c>
      <c r="D398">
        <v>25</v>
      </c>
      <c r="E398" t="s">
        <v>16</v>
      </c>
      <c r="F398" t="s">
        <v>1237</v>
      </c>
      <c r="G398" t="str">
        <f>TRIM(PROPER(Ecustom_DB[[#This Row],[City]]))</f>
        <v>Parkerview</v>
      </c>
      <c r="H398" t="s">
        <v>58</v>
      </c>
      <c r="I398" t="s">
        <v>12</v>
      </c>
      <c r="J398" t="s">
        <v>31</v>
      </c>
    </row>
    <row r="399" spans="1:10" x14ac:dyDescent="0.3">
      <c r="A399" t="s">
        <v>1238</v>
      </c>
      <c r="B399" t="s">
        <v>1239</v>
      </c>
      <c r="C399" t="str">
        <f>TRIM(PROPER(Ecustom_DB[[#This Row],[Name]]))</f>
        <v>Charles Norman Phd</v>
      </c>
      <c r="D399">
        <v>62</v>
      </c>
      <c r="E399" t="s">
        <v>16</v>
      </c>
      <c r="F399" t="s">
        <v>123</v>
      </c>
      <c r="G399" t="str">
        <f>TRIM(PROPER(Ecustom_DB[[#This Row],[City]]))</f>
        <v>East Jennifer</v>
      </c>
      <c r="H399" t="s">
        <v>62</v>
      </c>
      <c r="I399" t="s">
        <v>12</v>
      </c>
      <c r="J399" t="s">
        <v>19</v>
      </c>
    </row>
    <row r="400" spans="1:10" x14ac:dyDescent="0.3">
      <c r="A400" t="s">
        <v>1240</v>
      </c>
      <c r="B400" t="s">
        <v>1241</v>
      </c>
      <c r="C400" t="str">
        <f>TRIM(PROPER(Ecustom_DB[[#This Row],[Name]]))</f>
        <v>Jennifer Johnson</v>
      </c>
      <c r="D400">
        <v>54</v>
      </c>
      <c r="E400" t="s">
        <v>9</v>
      </c>
      <c r="F400" t="s">
        <v>1242</v>
      </c>
      <c r="G400" t="str">
        <f>TRIM(PROPER(Ecustom_DB[[#This Row],[City]]))</f>
        <v>Cheyenneborough</v>
      </c>
      <c r="H400" t="s">
        <v>47</v>
      </c>
      <c r="I400" t="s">
        <v>12</v>
      </c>
      <c r="J400" t="s">
        <v>26</v>
      </c>
    </row>
    <row r="401" spans="1:10" x14ac:dyDescent="0.3">
      <c r="A401" t="s">
        <v>1243</v>
      </c>
      <c r="B401" t="s">
        <v>1244</v>
      </c>
      <c r="C401" t="str">
        <f>TRIM(PROPER(Ecustom_DB[[#This Row],[Name]]))</f>
        <v>John Donaldson</v>
      </c>
      <c r="D401">
        <v>27</v>
      </c>
      <c r="E401" t="s">
        <v>9</v>
      </c>
      <c r="F401" t="s">
        <v>1245</v>
      </c>
      <c r="G401" t="str">
        <f>TRIM(PROPER(Ecustom_DB[[#This Row],[City]]))</f>
        <v>New Edward</v>
      </c>
      <c r="H401" t="s">
        <v>434</v>
      </c>
      <c r="I401" t="s">
        <v>12</v>
      </c>
      <c r="J401" t="s">
        <v>26</v>
      </c>
    </row>
    <row r="402" spans="1:10" x14ac:dyDescent="0.3">
      <c r="A402" t="s">
        <v>1246</v>
      </c>
      <c r="B402" t="s">
        <v>1247</v>
      </c>
      <c r="C402" t="str">
        <f>TRIM(PROPER(Ecustom_DB[[#This Row],[Name]]))</f>
        <v>Mark Rogers</v>
      </c>
      <c r="D402">
        <v>57</v>
      </c>
      <c r="E402" t="s">
        <v>16</v>
      </c>
      <c r="F402" t="s">
        <v>1248</v>
      </c>
      <c r="G402" t="str">
        <f>TRIM(PROPER(Ecustom_DB[[#This Row],[City]]))</f>
        <v>Bookertown</v>
      </c>
      <c r="H402" t="s">
        <v>96</v>
      </c>
      <c r="I402" t="s">
        <v>12</v>
      </c>
      <c r="J402" t="s">
        <v>19</v>
      </c>
    </row>
    <row r="403" spans="1:10" x14ac:dyDescent="0.3">
      <c r="A403" t="s">
        <v>1249</v>
      </c>
      <c r="B403" t="s">
        <v>1250</v>
      </c>
      <c r="C403" t="str">
        <f>TRIM(PROPER(Ecustom_DB[[#This Row],[Name]]))</f>
        <v>Terry Moses</v>
      </c>
      <c r="D403">
        <v>51</v>
      </c>
      <c r="E403" t="s">
        <v>16</v>
      </c>
      <c r="F403" t="s">
        <v>1251</v>
      </c>
      <c r="G403" t="str">
        <f>TRIM(PROPER(Ecustom_DB[[#This Row],[City]]))</f>
        <v>Leahmouth</v>
      </c>
      <c r="H403" t="s">
        <v>184</v>
      </c>
      <c r="I403" t="s">
        <v>12</v>
      </c>
      <c r="J403" t="s">
        <v>19</v>
      </c>
    </row>
    <row r="404" spans="1:10" x14ac:dyDescent="0.3">
      <c r="A404" t="s">
        <v>1252</v>
      </c>
      <c r="B404" t="s">
        <v>1253</v>
      </c>
      <c r="C404" t="str">
        <f>TRIM(PROPER(Ecustom_DB[[#This Row],[Name]]))</f>
        <v>Cassandra Perez</v>
      </c>
      <c r="D404">
        <v>31</v>
      </c>
      <c r="E404" t="s">
        <v>9</v>
      </c>
      <c r="F404" t="s">
        <v>80</v>
      </c>
      <c r="G404" t="str">
        <f>TRIM(PROPER(Ecustom_DB[[#This Row],[City]]))</f>
        <v>Brandonville</v>
      </c>
      <c r="H404" t="s">
        <v>313</v>
      </c>
      <c r="I404" t="s">
        <v>12</v>
      </c>
      <c r="J404" t="s">
        <v>26</v>
      </c>
    </row>
    <row r="405" spans="1:10" x14ac:dyDescent="0.3">
      <c r="A405" t="s">
        <v>1254</v>
      </c>
      <c r="B405" t="s">
        <v>1255</v>
      </c>
      <c r="C405" t="str">
        <f>TRIM(PROPER(Ecustom_DB[[#This Row],[Name]]))</f>
        <v>Justin Ingram</v>
      </c>
      <c r="D405">
        <v>34</v>
      </c>
      <c r="E405" t="s">
        <v>9</v>
      </c>
      <c r="F405" t="s">
        <v>1256</v>
      </c>
      <c r="G405" t="str">
        <f>TRIM(PROPER(Ecustom_DB[[#This Row],[City]]))</f>
        <v>Lake Lisaland</v>
      </c>
      <c r="H405" t="s">
        <v>328</v>
      </c>
      <c r="I405" t="s">
        <v>12</v>
      </c>
      <c r="J405" t="s">
        <v>26</v>
      </c>
    </row>
    <row r="406" spans="1:10" x14ac:dyDescent="0.3">
      <c r="A406" t="s">
        <v>1257</v>
      </c>
      <c r="B406" t="s">
        <v>1258</v>
      </c>
      <c r="C406" t="str">
        <f>TRIM(PROPER(Ecustom_DB[[#This Row],[Name]]))</f>
        <v>David Ross</v>
      </c>
      <c r="D406">
        <v>22</v>
      </c>
      <c r="E406" t="s">
        <v>16</v>
      </c>
      <c r="F406" t="s">
        <v>1259</v>
      </c>
      <c r="G406" t="str">
        <f>TRIM(PROPER(Ecustom_DB[[#This Row],[City]]))</f>
        <v>South Angela</v>
      </c>
      <c r="H406" t="s">
        <v>291</v>
      </c>
      <c r="I406" t="s">
        <v>12</v>
      </c>
      <c r="J406" t="s">
        <v>31</v>
      </c>
    </row>
    <row r="407" spans="1:10" x14ac:dyDescent="0.3">
      <c r="A407" t="s">
        <v>1260</v>
      </c>
      <c r="B407" t="s">
        <v>1261</v>
      </c>
      <c r="C407" t="str">
        <f>TRIM(PROPER(Ecustom_DB[[#This Row],[Name]]))</f>
        <v>Eric Wolfe</v>
      </c>
      <c r="D407">
        <v>18</v>
      </c>
      <c r="E407" t="s">
        <v>16</v>
      </c>
      <c r="F407" t="s">
        <v>1262</v>
      </c>
      <c r="G407" t="str">
        <f>TRIM(PROPER(Ecustom_DB[[#This Row],[City]]))</f>
        <v>Garciaview</v>
      </c>
      <c r="H407" t="s">
        <v>328</v>
      </c>
      <c r="I407" t="s">
        <v>12</v>
      </c>
      <c r="J407" t="s">
        <v>13</v>
      </c>
    </row>
    <row r="408" spans="1:10" x14ac:dyDescent="0.3">
      <c r="A408" t="s">
        <v>1263</v>
      </c>
      <c r="B408" t="s">
        <v>1264</v>
      </c>
      <c r="C408" t="str">
        <f>TRIM(PROPER(Ecustom_DB[[#This Row],[Name]]))</f>
        <v>David Lozano</v>
      </c>
      <c r="D408">
        <v>23</v>
      </c>
      <c r="E408" t="s">
        <v>16</v>
      </c>
      <c r="F408" t="s">
        <v>1265</v>
      </c>
      <c r="G408" t="str">
        <f>TRIM(PROPER(Ecustom_DB[[#This Row],[City]]))</f>
        <v>North Michaelfurt</v>
      </c>
      <c r="H408" t="s">
        <v>324</v>
      </c>
      <c r="I408" t="s">
        <v>12</v>
      </c>
      <c r="J408" t="s">
        <v>13</v>
      </c>
    </row>
    <row r="409" spans="1:10" x14ac:dyDescent="0.3">
      <c r="A409" t="s">
        <v>1266</v>
      </c>
      <c r="B409" t="s">
        <v>1267</v>
      </c>
      <c r="C409" t="str">
        <f>TRIM(PROPER(Ecustom_DB[[#This Row],[Name]]))</f>
        <v>Joseph Mendoza</v>
      </c>
      <c r="D409">
        <v>33</v>
      </c>
      <c r="E409" t="s">
        <v>9</v>
      </c>
      <c r="F409" t="s">
        <v>1268</v>
      </c>
      <c r="G409" t="str">
        <f>TRIM(PROPER(Ecustom_DB[[#This Row],[City]]))</f>
        <v>Ashleymouth</v>
      </c>
      <c r="H409" t="s">
        <v>140</v>
      </c>
      <c r="I409" t="s">
        <v>12</v>
      </c>
      <c r="J409" t="s">
        <v>13</v>
      </c>
    </row>
    <row r="410" spans="1:10" x14ac:dyDescent="0.3">
      <c r="A410" t="s">
        <v>1269</v>
      </c>
      <c r="B410" t="s">
        <v>1270</v>
      </c>
      <c r="C410" t="str">
        <f>TRIM(PROPER(Ecustom_DB[[#This Row],[Name]]))</f>
        <v>Isabel Foster</v>
      </c>
      <c r="D410">
        <v>36</v>
      </c>
      <c r="E410" t="s">
        <v>9</v>
      </c>
      <c r="F410" t="s">
        <v>1271</v>
      </c>
      <c r="G410" t="str">
        <f>TRIM(PROPER(Ecustom_DB[[#This Row],[City]]))</f>
        <v>Port Joshuaville</v>
      </c>
      <c r="H410" t="s">
        <v>88</v>
      </c>
      <c r="I410" t="s">
        <v>12</v>
      </c>
      <c r="J410" t="s">
        <v>13</v>
      </c>
    </row>
    <row r="411" spans="1:10" x14ac:dyDescent="0.3">
      <c r="A411" t="s">
        <v>1272</v>
      </c>
      <c r="B411" t="s">
        <v>1273</v>
      </c>
      <c r="C411" t="str">
        <f>TRIM(PROPER(Ecustom_DB[[#This Row],[Name]]))</f>
        <v>Sarah Smith</v>
      </c>
      <c r="D411">
        <v>55</v>
      </c>
      <c r="E411" t="s">
        <v>9</v>
      </c>
      <c r="F411" t="s">
        <v>1274</v>
      </c>
      <c r="G411" t="str">
        <f>TRIM(PROPER(Ecustom_DB[[#This Row],[City]]))</f>
        <v>Kathleenport</v>
      </c>
      <c r="H411" t="s">
        <v>845</v>
      </c>
      <c r="I411" t="s">
        <v>12</v>
      </c>
      <c r="J411" t="s">
        <v>13</v>
      </c>
    </row>
    <row r="412" spans="1:10" x14ac:dyDescent="0.3">
      <c r="A412" t="s">
        <v>1275</v>
      </c>
      <c r="B412" t="s">
        <v>1276</v>
      </c>
      <c r="C412" t="str">
        <f>TRIM(PROPER(Ecustom_DB[[#This Row],[Name]]))</f>
        <v>Jackie Thompson</v>
      </c>
      <c r="D412">
        <v>48</v>
      </c>
      <c r="E412" t="s">
        <v>16</v>
      </c>
      <c r="F412" t="s">
        <v>1277</v>
      </c>
      <c r="G412" t="str">
        <f>TRIM(PROPER(Ecustom_DB[[#This Row],[City]]))</f>
        <v>South Edwin</v>
      </c>
      <c r="H412" t="s">
        <v>88</v>
      </c>
      <c r="I412" t="s">
        <v>12</v>
      </c>
      <c r="J412" t="s">
        <v>26</v>
      </c>
    </row>
    <row r="413" spans="1:10" x14ac:dyDescent="0.3">
      <c r="A413" t="s">
        <v>1278</v>
      </c>
      <c r="B413" t="s">
        <v>1279</v>
      </c>
      <c r="C413" t="str">
        <f>TRIM(PROPER(Ecustom_DB[[#This Row],[Name]]))</f>
        <v>Katrina Perez</v>
      </c>
      <c r="D413">
        <v>63</v>
      </c>
      <c r="E413" t="s">
        <v>9</v>
      </c>
      <c r="F413" t="s">
        <v>1280</v>
      </c>
      <c r="G413" t="str">
        <f>TRIM(PROPER(Ecustom_DB[[#This Row],[City]]))</f>
        <v>West Rebecca</v>
      </c>
      <c r="H413" t="s">
        <v>25</v>
      </c>
      <c r="I413" t="s">
        <v>12</v>
      </c>
      <c r="J413" t="s">
        <v>31</v>
      </c>
    </row>
    <row r="414" spans="1:10" x14ac:dyDescent="0.3">
      <c r="A414" t="s">
        <v>1281</v>
      </c>
      <c r="B414" t="s">
        <v>1282</v>
      </c>
      <c r="C414" t="str">
        <f>TRIM(PROPER(Ecustom_DB[[#This Row],[Name]]))</f>
        <v>Shane Brown</v>
      </c>
      <c r="D414">
        <v>23</v>
      </c>
      <c r="E414" t="s">
        <v>16</v>
      </c>
      <c r="F414" t="s">
        <v>204</v>
      </c>
      <c r="G414" t="str">
        <f>TRIM(PROPER(Ecustom_DB[[#This Row],[City]]))</f>
        <v>East Andrea</v>
      </c>
      <c r="H414" t="s">
        <v>156</v>
      </c>
      <c r="I414" t="s">
        <v>12</v>
      </c>
      <c r="J414" t="s">
        <v>13</v>
      </c>
    </row>
    <row r="415" spans="1:10" x14ac:dyDescent="0.3">
      <c r="A415" t="s">
        <v>1283</v>
      </c>
      <c r="B415" t="s">
        <v>1284</v>
      </c>
      <c r="C415" t="str">
        <f>TRIM(PROPER(Ecustom_DB[[#This Row],[Name]]))</f>
        <v>Megan Ryan</v>
      </c>
      <c r="D415">
        <v>59</v>
      </c>
      <c r="E415" t="s">
        <v>16</v>
      </c>
      <c r="F415" t="s">
        <v>1285</v>
      </c>
      <c r="G415" t="str">
        <f>TRIM(PROPER(Ecustom_DB[[#This Row],[City]]))</f>
        <v>Andrewsfurt</v>
      </c>
      <c r="H415" t="s">
        <v>106</v>
      </c>
      <c r="I415" t="s">
        <v>12</v>
      </c>
      <c r="J415" t="s">
        <v>26</v>
      </c>
    </row>
    <row r="416" spans="1:10" x14ac:dyDescent="0.3">
      <c r="A416" t="s">
        <v>1286</v>
      </c>
      <c r="B416" t="s">
        <v>1287</v>
      </c>
      <c r="C416" t="str">
        <f>TRIM(PROPER(Ecustom_DB[[#This Row],[Name]]))</f>
        <v>Melissa Valentine</v>
      </c>
      <c r="D416">
        <v>35</v>
      </c>
      <c r="E416" t="s">
        <v>16</v>
      </c>
      <c r="F416" t="s">
        <v>1288</v>
      </c>
      <c r="G416" t="str">
        <f>TRIM(PROPER(Ecustom_DB[[#This Row],[City]]))</f>
        <v>East Patriciafort</v>
      </c>
      <c r="H416" t="s">
        <v>113</v>
      </c>
      <c r="I416" t="s">
        <v>12</v>
      </c>
      <c r="J416" t="s">
        <v>13</v>
      </c>
    </row>
    <row r="417" spans="1:10" x14ac:dyDescent="0.3">
      <c r="A417" t="s">
        <v>1289</v>
      </c>
      <c r="B417" t="s">
        <v>1290</v>
      </c>
      <c r="C417" t="str">
        <f>TRIM(PROPER(Ecustom_DB[[#This Row],[Name]]))</f>
        <v>Tyler Cook</v>
      </c>
      <c r="D417">
        <v>26</v>
      </c>
      <c r="E417" t="s">
        <v>16</v>
      </c>
      <c r="F417" t="s">
        <v>1291</v>
      </c>
      <c r="G417" t="str">
        <f>TRIM(PROPER(Ecustom_DB[[#This Row],[City]]))</f>
        <v>Kramerview</v>
      </c>
      <c r="H417" t="s">
        <v>163</v>
      </c>
      <c r="I417" t="s">
        <v>12</v>
      </c>
      <c r="J417" t="s">
        <v>31</v>
      </c>
    </row>
    <row r="418" spans="1:10" x14ac:dyDescent="0.3">
      <c r="A418" t="s">
        <v>1292</v>
      </c>
      <c r="B418" t="s">
        <v>1293</v>
      </c>
      <c r="C418" t="str">
        <f>TRIM(PROPER(Ecustom_DB[[#This Row],[Name]]))</f>
        <v>Jennifer Myers</v>
      </c>
      <c r="D418">
        <v>46</v>
      </c>
      <c r="E418" t="s">
        <v>9</v>
      </c>
      <c r="F418" t="s">
        <v>1294</v>
      </c>
      <c r="G418" t="str">
        <f>TRIM(PROPER(Ecustom_DB[[#This Row],[City]]))</f>
        <v>Marthaborough</v>
      </c>
      <c r="H418" t="s">
        <v>324</v>
      </c>
      <c r="I418" t="s">
        <v>12</v>
      </c>
      <c r="J418" t="s">
        <v>19</v>
      </c>
    </row>
    <row r="419" spans="1:10" x14ac:dyDescent="0.3">
      <c r="A419" t="s">
        <v>1295</v>
      </c>
      <c r="B419" t="s">
        <v>1296</v>
      </c>
      <c r="C419" t="str">
        <f>TRIM(PROPER(Ecustom_DB[[#This Row],[Name]]))</f>
        <v>Karen King</v>
      </c>
      <c r="D419">
        <v>64</v>
      </c>
      <c r="E419" t="s">
        <v>16</v>
      </c>
      <c r="F419" t="s">
        <v>1297</v>
      </c>
      <c r="G419" t="str">
        <f>TRIM(PROPER(Ecustom_DB[[#This Row],[City]]))</f>
        <v>Kimburgh</v>
      </c>
      <c r="H419" t="s">
        <v>11</v>
      </c>
      <c r="I419" t="s">
        <v>12</v>
      </c>
      <c r="J419" t="s">
        <v>26</v>
      </c>
    </row>
    <row r="420" spans="1:10" x14ac:dyDescent="0.3">
      <c r="A420" t="s">
        <v>1298</v>
      </c>
      <c r="B420" t="s">
        <v>1299</v>
      </c>
      <c r="C420" t="str">
        <f>TRIM(PROPER(Ecustom_DB[[#This Row],[Name]]))</f>
        <v>Luke Parks</v>
      </c>
      <c r="D420">
        <v>60</v>
      </c>
      <c r="E420" t="s">
        <v>16</v>
      </c>
      <c r="F420" t="s">
        <v>1300</v>
      </c>
      <c r="G420" t="str">
        <f>TRIM(PROPER(Ecustom_DB[[#This Row],[City]]))</f>
        <v>West Mario</v>
      </c>
      <c r="H420" t="s">
        <v>47</v>
      </c>
      <c r="I420" t="s">
        <v>12</v>
      </c>
      <c r="J420" t="s">
        <v>31</v>
      </c>
    </row>
    <row r="421" spans="1:10" x14ac:dyDescent="0.3">
      <c r="A421" t="s">
        <v>1301</v>
      </c>
      <c r="B421" t="s">
        <v>1302</v>
      </c>
      <c r="C421" t="str">
        <f>TRIM(PROPER(Ecustom_DB[[#This Row],[Name]]))</f>
        <v>Monica Miller</v>
      </c>
      <c r="D421">
        <v>33</v>
      </c>
      <c r="E421" t="s">
        <v>9</v>
      </c>
      <c r="F421" t="s">
        <v>1303</v>
      </c>
      <c r="G421" t="str">
        <f>TRIM(PROPER(Ecustom_DB[[#This Row],[City]]))</f>
        <v>Lake David</v>
      </c>
      <c r="H421" t="s">
        <v>313</v>
      </c>
      <c r="I421" t="s">
        <v>12</v>
      </c>
      <c r="J421" t="s">
        <v>13</v>
      </c>
    </row>
    <row r="422" spans="1:10" x14ac:dyDescent="0.3">
      <c r="A422" t="s">
        <v>1304</v>
      </c>
      <c r="B422" t="s">
        <v>1305</v>
      </c>
      <c r="C422" t="str">
        <f>TRIM(PROPER(Ecustom_DB[[#This Row],[Name]]))</f>
        <v>Dr. Tamara White Md</v>
      </c>
      <c r="D422">
        <v>60</v>
      </c>
      <c r="E422" t="s">
        <v>9</v>
      </c>
      <c r="F422" t="s">
        <v>1306</v>
      </c>
      <c r="G422" t="str">
        <f>TRIM(PROPER(Ecustom_DB[[#This Row],[City]]))</f>
        <v>New Benjamin</v>
      </c>
      <c r="H422" t="s">
        <v>11</v>
      </c>
      <c r="I422" t="s">
        <v>12</v>
      </c>
      <c r="J422" t="s">
        <v>26</v>
      </c>
    </row>
    <row r="423" spans="1:10" x14ac:dyDescent="0.3">
      <c r="A423" t="s">
        <v>1307</v>
      </c>
      <c r="B423" t="s">
        <v>1308</v>
      </c>
      <c r="C423" t="str">
        <f>TRIM(PROPER(Ecustom_DB[[#This Row],[Name]]))</f>
        <v>Holly Robinson</v>
      </c>
      <c r="D423">
        <v>45</v>
      </c>
      <c r="E423" t="s">
        <v>16</v>
      </c>
      <c r="F423" t="s">
        <v>1309</v>
      </c>
      <c r="G423" t="str">
        <f>TRIM(PROPER(Ecustom_DB[[#This Row],[City]]))</f>
        <v>East Amy</v>
      </c>
      <c r="H423" t="s">
        <v>74</v>
      </c>
      <c r="I423" t="s">
        <v>12</v>
      </c>
      <c r="J423" t="s">
        <v>19</v>
      </c>
    </row>
    <row r="424" spans="1:10" x14ac:dyDescent="0.3">
      <c r="A424" t="s">
        <v>1310</v>
      </c>
      <c r="B424" t="s">
        <v>1311</v>
      </c>
      <c r="C424" t="str">
        <f>TRIM(PROPER(Ecustom_DB[[#This Row],[Name]]))</f>
        <v>Brittany Edwards Dds</v>
      </c>
      <c r="D424">
        <v>42</v>
      </c>
      <c r="E424" t="s">
        <v>16</v>
      </c>
      <c r="F424" t="s">
        <v>1312</v>
      </c>
      <c r="G424" t="str">
        <f>TRIM(PROPER(Ecustom_DB[[#This Row],[City]]))</f>
        <v>Aliciahaven</v>
      </c>
      <c r="H424" t="s">
        <v>62</v>
      </c>
      <c r="I424" t="s">
        <v>12</v>
      </c>
      <c r="J424" t="s">
        <v>19</v>
      </c>
    </row>
    <row r="425" spans="1:10" x14ac:dyDescent="0.3">
      <c r="A425" t="s">
        <v>1313</v>
      </c>
      <c r="B425" t="s">
        <v>1314</v>
      </c>
      <c r="C425" t="str">
        <f>TRIM(PROPER(Ecustom_DB[[#This Row],[Name]]))</f>
        <v>Rebecca Baker</v>
      </c>
      <c r="D425">
        <v>35</v>
      </c>
      <c r="E425" t="s">
        <v>9</v>
      </c>
      <c r="F425" t="s">
        <v>1315</v>
      </c>
      <c r="G425" t="str">
        <f>TRIM(PROPER(Ecustom_DB[[#This Row],[City]]))</f>
        <v>New Katherine</v>
      </c>
      <c r="H425" t="s">
        <v>62</v>
      </c>
      <c r="I425" t="s">
        <v>12</v>
      </c>
      <c r="J425" t="s">
        <v>31</v>
      </c>
    </row>
    <row r="426" spans="1:10" x14ac:dyDescent="0.3">
      <c r="A426" t="s">
        <v>1316</v>
      </c>
      <c r="B426" t="s">
        <v>1317</v>
      </c>
      <c r="C426" t="str">
        <f>TRIM(PROPER(Ecustom_DB[[#This Row],[Name]]))</f>
        <v>Edwin Barnes</v>
      </c>
      <c r="D426">
        <v>53</v>
      </c>
      <c r="E426" t="s">
        <v>9</v>
      </c>
      <c r="F426" t="s">
        <v>1318</v>
      </c>
      <c r="G426" t="str">
        <f>TRIM(PROPER(Ecustom_DB[[#This Row],[City]]))</f>
        <v>Lake Alexandra</v>
      </c>
      <c r="H426" t="s">
        <v>11</v>
      </c>
      <c r="I426" t="s">
        <v>12</v>
      </c>
      <c r="J426" t="s">
        <v>26</v>
      </c>
    </row>
    <row r="427" spans="1:10" x14ac:dyDescent="0.3">
      <c r="A427" t="s">
        <v>1319</v>
      </c>
      <c r="B427" t="s">
        <v>1320</v>
      </c>
      <c r="C427" t="str">
        <f>TRIM(PROPER(Ecustom_DB[[#This Row],[Name]]))</f>
        <v>Bryce Hawkins</v>
      </c>
      <c r="D427">
        <v>40</v>
      </c>
      <c r="E427" t="s">
        <v>9</v>
      </c>
      <c r="F427" t="s">
        <v>1321</v>
      </c>
      <c r="G427" t="str">
        <f>TRIM(PROPER(Ecustom_DB[[#This Row],[City]]))</f>
        <v>Lake Monique</v>
      </c>
      <c r="H427" t="s">
        <v>117</v>
      </c>
      <c r="I427" t="s">
        <v>12</v>
      </c>
      <c r="J427" t="s">
        <v>26</v>
      </c>
    </row>
    <row r="428" spans="1:10" x14ac:dyDescent="0.3">
      <c r="A428" t="s">
        <v>1322</v>
      </c>
      <c r="B428" t="s">
        <v>1323</v>
      </c>
      <c r="C428" t="str">
        <f>TRIM(PROPER(Ecustom_DB[[#This Row],[Name]]))</f>
        <v>Jeanette Nichols</v>
      </c>
      <c r="D428">
        <v>28</v>
      </c>
      <c r="E428" t="s">
        <v>9</v>
      </c>
      <c r="F428" t="s">
        <v>1324</v>
      </c>
      <c r="G428" t="str">
        <f>TRIM(PROPER(Ecustom_DB[[#This Row],[City]]))</f>
        <v>Aguilarland</v>
      </c>
      <c r="H428" t="s">
        <v>11</v>
      </c>
      <c r="I428" t="s">
        <v>12</v>
      </c>
      <c r="J428" t="s">
        <v>19</v>
      </c>
    </row>
    <row r="429" spans="1:10" x14ac:dyDescent="0.3">
      <c r="A429" t="s">
        <v>1325</v>
      </c>
      <c r="B429" t="s">
        <v>1326</v>
      </c>
      <c r="C429" t="str">
        <f>TRIM(PROPER(Ecustom_DB[[#This Row],[Name]]))</f>
        <v>Jose Stewart</v>
      </c>
      <c r="D429">
        <v>18</v>
      </c>
      <c r="E429" t="s">
        <v>16</v>
      </c>
      <c r="F429" t="s">
        <v>1327</v>
      </c>
      <c r="G429" t="str">
        <f>TRIM(PROPER(Ecustom_DB[[#This Row],[City]]))</f>
        <v>South Robert</v>
      </c>
      <c r="H429" t="s">
        <v>434</v>
      </c>
      <c r="I429" t="s">
        <v>12</v>
      </c>
      <c r="J429" t="s">
        <v>13</v>
      </c>
    </row>
    <row r="430" spans="1:10" x14ac:dyDescent="0.3">
      <c r="A430" t="s">
        <v>1328</v>
      </c>
      <c r="B430" t="s">
        <v>1329</v>
      </c>
      <c r="C430" t="str">
        <f>TRIM(PROPER(Ecustom_DB[[#This Row],[Name]]))</f>
        <v>Samuel Mullins</v>
      </c>
      <c r="D430">
        <v>27</v>
      </c>
      <c r="E430" t="s">
        <v>16</v>
      </c>
      <c r="F430" t="s">
        <v>1330</v>
      </c>
      <c r="G430" t="str">
        <f>TRIM(PROPER(Ecustom_DB[[#This Row],[City]]))</f>
        <v>Hartmouth</v>
      </c>
      <c r="H430" t="s">
        <v>328</v>
      </c>
      <c r="I430" t="s">
        <v>12</v>
      </c>
      <c r="J430" t="s">
        <v>26</v>
      </c>
    </row>
    <row r="431" spans="1:10" x14ac:dyDescent="0.3">
      <c r="A431" t="s">
        <v>1331</v>
      </c>
      <c r="B431" t="s">
        <v>1332</v>
      </c>
      <c r="C431" t="str">
        <f>TRIM(PROPER(Ecustom_DB[[#This Row],[Name]]))</f>
        <v>Sean Vang</v>
      </c>
      <c r="D431">
        <v>43</v>
      </c>
      <c r="E431" t="s">
        <v>9</v>
      </c>
      <c r="F431" t="s">
        <v>1333</v>
      </c>
      <c r="G431" t="str">
        <f>TRIM(PROPER(Ecustom_DB[[#This Row],[City]]))</f>
        <v>Davidchester</v>
      </c>
      <c r="H431" t="s">
        <v>106</v>
      </c>
      <c r="I431" t="s">
        <v>12</v>
      </c>
      <c r="J431" t="s">
        <v>19</v>
      </c>
    </row>
    <row r="432" spans="1:10" x14ac:dyDescent="0.3">
      <c r="A432" t="s">
        <v>1334</v>
      </c>
      <c r="B432" t="s">
        <v>1335</v>
      </c>
      <c r="C432" t="str">
        <f>TRIM(PROPER(Ecustom_DB[[#This Row],[Name]]))</f>
        <v>Kimberly Roberts</v>
      </c>
      <c r="D432">
        <v>36</v>
      </c>
      <c r="E432" t="s">
        <v>16</v>
      </c>
      <c r="F432" t="s">
        <v>1336</v>
      </c>
      <c r="G432" t="str">
        <f>TRIM(PROPER(Ecustom_DB[[#This Row],[City]]))</f>
        <v>Josephchester</v>
      </c>
      <c r="H432" t="s">
        <v>88</v>
      </c>
      <c r="I432" t="s">
        <v>12</v>
      </c>
      <c r="J432" t="s">
        <v>13</v>
      </c>
    </row>
    <row r="433" spans="1:10" x14ac:dyDescent="0.3">
      <c r="A433" t="s">
        <v>1337</v>
      </c>
      <c r="B433" t="s">
        <v>1338</v>
      </c>
      <c r="C433" t="str">
        <f>TRIM(PROPER(Ecustom_DB[[#This Row],[Name]]))</f>
        <v>John Smith</v>
      </c>
      <c r="D433">
        <v>27</v>
      </c>
      <c r="E433" t="s">
        <v>9</v>
      </c>
      <c r="F433" t="s">
        <v>1339</v>
      </c>
      <c r="G433" t="str">
        <f>TRIM(PROPER(Ecustom_DB[[#This Row],[City]]))</f>
        <v>South Andrewport</v>
      </c>
      <c r="H433" t="s">
        <v>30</v>
      </c>
      <c r="I433" t="s">
        <v>12</v>
      </c>
      <c r="J433" t="s">
        <v>19</v>
      </c>
    </row>
    <row r="434" spans="1:10" x14ac:dyDescent="0.3">
      <c r="A434" t="s">
        <v>1340</v>
      </c>
      <c r="B434" t="s">
        <v>1341</v>
      </c>
      <c r="C434" t="str">
        <f>TRIM(PROPER(Ecustom_DB[[#This Row],[Name]]))</f>
        <v>Summer Weiss</v>
      </c>
      <c r="D434">
        <v>37</v>
      </c>
      <c r="E434" t="s">
        <v>9</v>
      </c>
      <c r="F434" t="s">
        <v>1342</v>
      </c>
      <c r="G434" t="str">
        <f>TRIM(PROPER(Ecustom_DB[[#This Row],[City]]))</f>
        <v>Phyllisport</v>
      </c>
      <c r="H434" t="s">
        <v>88</v>
      </c>
      <c r="I434" t="s">
        <v>12</v>
      </c>
      <c r="J434" t="s">
        <v>26</v>
      </c>
    </row>
    <row r="435" spans="1:10" x14ac:dyDescent="0.3">
      <c r="A435" t="s">
        <v>1343</v>
      </c>
      <c r="B435" t="s">
        <v>1344</v>
      </c>
      <c r="C435" t="str">
        <f>TRIM(PROPER(Ecustom_DB[[#This Row],[Name]]))</f>
        <v>Thomas Moore</v>
      </c>
      <c r="D435">
        <v>51</v>
      </c>
      <c r="E435" t="s">
        <v>16</v>
      </c>
      <c r="F435" t="s">
        <v>1345</v>
      </c>
      <c r="G435" t="str">
        <f>TRIM(PROPER(Ecustom_DB[[#This Row],[City]]))</f>
        <v>Williamsberg</v>
      </c>
      <c r="H435" t="s">
        <v>58</v>
      </c>
      <c r="I435" t="s">
        <v>12</v>
      </c>
      <c r="J435" t="s">
        <v>31</v>
      </c>
    </row>
    <row r="436" spans="1:10" x14ac:dyDescent="0.3">
      <c r="A436" t="s">
        <v>1346</v>
      </c>
      <c r="B436" t="s">
        <v>1347</v>
      </c>
      <c r="C436" t="str">
        <f>TRIM(PROPER(Ecustom_DB[[#This Row],[Name]]))</f>
        <v>Monique Castro</v>
      </c>
      <c r="D436">
        <v>48</v>
      </c>
      <c r="E436" t="s">
        <v>16</v>
      </c>
      <c r="F436" t="s">
        <v>1348</v>
      </c>
      <c r="G436" t="str">
        <f>TRIM(PROPER(Ecustom_DB[[#This Row],[City]]))</f>
        <v>New Sarah</v>
      </c>
      <c r="H436" t="s">
        <v>254</v>
      </c>
      <c r="I436" t="s">
        <v>12</v>
      </c>
      <c r="J436" t="s">
        <v>13</v>
      </c>
    </row>
    <row r="437" spans="1:10" x14ac:dyDescent="0.3">
      <c r="A437" t="s">
        <v>1349</v>
      </c>
      <c r="B437" t="s">
        <v>1350</v>
      </c>
      <c r="C437" t="str">
        <f>TRIM(PROPER(Ecustom_DB[[#This Row],[Name]]))</f>
        <v>Lindsay Beasley</v>
      </c>
      <c r="D437">
        <v>37</v>
      </c>
      <c r="E437" t="s">
        <v>16</v>
      </c>
      <c r="F437" t="s">
        <v>1351</v>
      </c>
      <c r="G437" t="str">
        <f>TRIM(PROPER(Ecustom_DB[[#This Row],[City]]))</f>
        <v>Wesleyhaven</v>
      </c>
      <c r="H437" t="s">
        <v>106</v>
      </c>
      <c r="I437" t="s">
        <v>12</v>
      </c>
      <c r="J437" t="s">
        <v>31</v>
      </c>
    </row>
    <row r="438" spans="1:10" x14ac:dyDescent="0.3">
      <c r="A438" t="s">
        <v>1352</v>
      </c>
      <c r="B438" t="s">
        <v>1353</v>
      </c>
      <c r="C438" t="str">
        <f>TRIM(PROPER(Ecustom_DB[[#This Row],[Name]]))</f>
        <v>Sharon Simpson</v>
      </c>
      <c r="D438">
        <v>61</v>
      </c>
      <c r="E438" t="s">
        <v>9</v>
      </c>
      <c r="F438" t="s">
        <v>1354</v>
      </c>
      <c r="G438" t="str">
        <f>TRIM(PROPER(Ecustom_DB[[#This Row],[City]]))</f>
        <v>South Michellebury</v>
      </c>
      <c r="H438" t="s">
        <v>39</v>
      </c>
      <c r="I438" t="s">
        <v>12</v>
      </c>
      <c r="J438" t="s">
        <v>13</v>
      </c>
    </row>
    <row r="439" spans="1:10" x14ac:dyDescent="0.3">
      <c r="A439" t="s">
        <v>1355</v>
      </c>
      <c r="B439" t="s">
        <v>1356</v>
      </c>
      <c r="C439" t="str">
        <f>TRIM(PROPER(Ecustom_DB[[#This Row],[Name]]))</f>
        <v>Melinda Rivera</v>
      </c>
      <c r="D439">
        <v>47</v>
      </c>
      <c r="E439" t="s">
        <v>16</v>
      </c>
      <c r="F439" t="s">
        <v>597</v>
      </c>
      <c r="G439" t="str">
        <f>TRIM(PROPER(Ecustom_DB[[#This Row],[City]]))</f>
        <v>East Davidmouth</v>
      </c>
      <c r="H439" t="s">
        <v>47</v>
      </c>
      <c r="I439" t="s">
        <v>12</v>
      </c>
      <c r="J439" t="s">
        <v>19</v>
      </c>
    </row>
    <row r="440" spans="1:10" x14ac:dyDescent="0.3">
      <c r="A440" t="s">
        <v>1357</v>
      </c>
      <c r="B440" t="s">
        <v>1358</v>
      </c>
      <c r="C440" t="str">
        <f>TRIM(PROPER(Ecustom_DB[[#This Row],[Name]]))</f>
        <v>Monica Flynn</v>
      </c>
      <c r="D440">
        <v>59</v>
      </c>
      <c r="E440" t="s">
        <v>16</v>
      </c>
      <c r="F440" t="s">
        <v>1359</v>
      </c>
      <c r="G440" t="str">
        <f>TRIM(PROPER(Ecustom_DB[[#This Row],[City]]))</f>
        <v>Amberburgh</v>
      </c>
      <c r="H440" t="s">
        <v>237</v>
      </c>
      <c r="I440" t="s">
        <v>12</v>
      </c>
      <c r="J440" t="s">
        <v>19</v>
      </c>
    </row>
    <row r="441" spans="1:10" x14ac:dyDescent="0.3">
      <c r="A441" t="s">
        <v>1360</v>
      </c>
      <c r="B441" t="s">
        <v>1361</v>
      </c>
      <c r="C441" t="str">
        <f>TRIM(PROPER(Ecustom_DB[[#This Row],[Name]]))</f>
        <v>John Compton</v>
      </c>
      <c r="D441">
        <v>53</v>
      </c>
      <c r="E441" t="s">
        <v>9</v>
      </c>
      <c r="F441" t="s">
        <v>931</v>
      </c>
      <c r="G441" t="str">
        <f>TRIM(PROPER(Ecustom_DB[[#This Row],[City]]))</f>
        <v>North Daniel</v>
      </c>
      <c r="H441" t="s">
        <v>156</v>
      </c>
      <c r="I441" t="s">
        <v>12</v>
      </c>
      <c r="J441" t="s">
        <v>31</v>
      </c>
    </row>
    <row r="442" spans="1:10" x14ac:dyDescent="0.3">
      <c r="A442" t="s">
        <v>1362</v>
      </c>
      <c r="B442" t="s">
        <v>1363</v>
      </c>
      <c r="C442" t="str">
        <f>TRIM(PROPER(Ecustom_DB[[#This Row],[Name]]))</f>
        <v>Tammy Trevino</v>
      </c>
      <c r="D442">
        <v>60</v>
      </c>
      <c r="E442" t="s">
        <v>9</v>
      </c>
      <c r="F442" t="s">
        <v>1364</v>
      </c>
      <c r="G442" t="str">
        <f>TRIM(PROPER(Ecustom_DB[[#This Row],[City]]))</f>
        <v>Justinberg</v>
      </c>
      <c r="H442" t="s">
        <v>18</v>
      </c>
      <c r="I442" t="s">
        <v>12</v>
      </c>
      <c r="J442" t="s">
        <v>31</v>
      </c>
    </row>
    <row r="443" spans="1:10" x14ac:dyDescent="0.3">
      <c r="A443" t="s">
        <v>1365</v>
      </c>
      <c r="B443" t="s">
        <v>1366</v>
      </c>
      <c r="C443" t="str">
        <f>TRIM(PROPER(Ecustom_DB[[#This Row],[Name]]))</f>
        <v>Dalton Walters</v>
      </c>
      <c r="D443">
        <v>31</v>
      </c>
      <c r="E443" t="s">
        <v>9</v>
      </c>
      <c r="F443" t="s">
        <v>1367</v>
      </c>
      <c r="G443" t="str">
        <f>TRIM(PROPER(Ecustom_DB[[#This Row],[City]]))</f>
        <v>Jonesstad</v>
      </c>
      <c r="H443" t="s">
        <v>324</v>
      </c>
      <c r="I443" t="s">
        <v>12</v>
      </c>
      <c r="J443" t="s">
        <v>31</v>
      </c>
    </row>
    <row r="444" spans="1:10" x14ac:dyDescent="0.3">
      <c r="A444" t="s">
        <v>1368</v>
      </c>
      <c r="B444" t="s">
        <v>1369</v>
      </c>
      <c r="C444" t="str">
        <f>TRIM(PROPER(Ecustom_DB[[#This Row],[Name]]))</f>
        <v>Kelli Smith</v>
      </c>
      <c r="D444">
        <v>42</v>
      </c>
      <c r="E444" t="s">
        <v>16</v>
      </c>
      <c r="F444" t="s">
        <v>1370</v>
      </c>
      <c r="G444" t="str">
        <f>TRIM(PROPER(Ecustom_DB[[#This Row],[City]]))</f>
        <v>North Maryfort</v>
      </c>
      <c r="H444" t="s">
        <v>35</v>
      </c>
      <c r="I444" t="s">
        <v>12</v>
      </c>
      <c r="J444" t="s">
        <v>26</v>
      </c>
    </row>
    <row r="445" spans="1:10" x14ac:dyDescent="0.3">
      <c r="A445" t="s">
        <v>1371</v>
      </c>
      <c r="B445" t="s">
        <v>1372</v>
      </c>
      <c r="C445" t="str">
        <f>TRIM(PROPER(Ecustom_DB[[#This Row],[Name]]))</f>
        <v>Adam Castro</v>
      </c>
      <c r="D445">
        <v>51</v>
      </c>
      <c r="E445" t="s">
        <v>9</v>
      </c>
      <c r="F445" t="s">
        <v>1373</v>
      </c>
      <c r="G445" t="str">
        <f>TRIM(PROPER(Ecustom_DB[[#This Row],[City]]))</f>
        <v>New Donnabury</v>
      </c>
      <c r="H445" t="s">
        <v>359</v>
      </c>
      <c r="I445" t="s">
        <v>12</v>
      </c>
      <c r="J445" t="s">
        <v>31</v>
      </c>
    </row>
    <row r="446" spans="1:10" x14ac:dyDescent="0.3">
      <c r="A446" t="s">
        <v>1374</v>
      </c>
      <c r="B446" t="s">
        <v>1375</v>
      </c>
      <c r="C446" t="str">
        <f>TRIM(PROPER(Ecustom_DB[[#This Row],[Name]]))</f>
        <v>Cheryl Carr</v>
      </c>
      <c r="D446">
        <v>19</v>
      </c>
      <c r="E446" t="s">
        <v>9</v>
      </c>
      <c r="F446" t="s">
        <v>1376</v>
      </c>
      <c r="G446" t="str">
        <f>TRIM(PROPER(Ecustom_DB[[#This Row],[City]]))</f>
        <v>Jessicaland</v>
      </c>
      <c r="H446" t="s">
        <v>845</v>
      </c>
      <c r="I446" t="s">
        <v>12</v>
      </c>
      <c r="J446" t="s">
        <v>13</v>
      </c>
    </row>
    <row r="447" spans="1:10" x14ac:dyDescent="0.3">
      <c r="A447" t="s">
        <v>1377</v>
      </c>
      <c r="B447" t="s">
        <v>1378</v>
      </c>
      <c r="C447" t="str">
        <f>TRIM(PROPER(Ecustom_DB[[#This Row],[Name]]))</f>
        <v>Gene Lee</v>
      </c>
      <c r="D447">
        <v>41</v>
      </c>
      <c r="E447" t="s">
        <v>16</v>
      </c>
      <c r="F447" t="s">
        <v>1379</v>
      </c>
      <c r="G447" t="str">
        <f>TRIM(PROPER(Ecustom_DB[[#This Row],[City]]))</f>
        <v>Mcfarlandmouth</v>
      </c>
      <c r="H447" t="s">
        <v>287</v>
      </c>
      <c r="I447" t="s">
        <v>12</v>
      </c>
      <c r="J447" t="s">
        <v>19</v>
      </c>
    </row>
    <row r="448" spans="1:10" x14ac:dyDescent="0.3">
      <c r="A448" t="s">
        <v>1380</v>
      </c>
      <c r="B448" t="s">
        <v>1381</v>
      </c>
      <c r="C448" t="str">
        <f>TRIM(PROPER(Ecustom_DB[[#This Row],[Name]]))</f>
        <v>Shannon Turner</v>
      </c>
      <c r="D448">
        <v>35</v>
      </c>
      <c r="E448" t="s">
        <v>9</v>
      </c>
      <c r="F448" t="s">
        <v>1382</v>
      </c>
      <c r="G448" t="str">
        <f>TRIM(PROPER(Ecustom_DB[[#This Row],[City]]))</f>
        <v>West Jorge</v>
      </c>
      <c r="H448" t="s">
        <v>96</v>
      </c>
      <c r="I448" t="s">
        <v>12</v>
      </c>
      <c r="J448" t="s">
        <v>31</v>
      </c>
    </row>
    <row r="449" spans="1:10" x14ac:dyDescent="0.3">
      <c r="A449" t="s">
        <v>1383</v>
      </c>
      <c r="B449" t="s">
        <v>1384</v>
      </c>
      <c r="C449" t="str">
        <f>TRIM(PROPER(Ecustom_DB[[#This Row],[Name]]))</f>
        <v>Monica Wright</v>
      </c>
      <c r="D449">
        <v>45</v>
      </c>
      <c r="E449" t="s">
        <v>9</v>
      </c>
      <c r="F449" t="s">
        <v>1385</v>
      </c>
      <c r="G449" t="str">
        <f>TRIM(PROPER(Ecustom_DB[[#This Row],[City]]))</f>
        <v>Paulside</v>
      </c>
      <c r="H449" t="s">
        <v>11</v>
      </c>
      <c r="I449" t="s">
        <v>12</v>
      </c>
      <c r="J449" t="s">
        <v>13</v>
      </c>
    </row>
    <row r="450" spans="1:10" x14ac:dyDescent="0.3">
      <c r="A450" t="s">
        <v>1386</v>
      </c>
      <c r="B450" t="s">
        <v>1387</v>
      </c>
      <c r="C450" t="str">
        <f>TRIM(PROPER(Ecustom_DB[[#This Row],[Name]]))</f>
        <v>Eric Holmes</v>
      </c>
      <c r="D450">
        <v>64</v>
      </c>
      <c r="E450" t="s">
        <v>16</v>
      </c>
      <c r="F450" t="s">
        <v>1388</v>
      </c>
      <c r="G450" t="str">
        <f>TRIM(PROPER(Ecustom_DB[[#This Row],[City]]))</f>
        <v>Smithville</v>
      </c>
      <c r="H450" t="s">
        <v>845</v>
      </c>
      <c r="I450" t="s">
        <v>12</v>
      </c>
      <c r="J450" t="s">
        <v>26</v>
      </c>
    </row>
    <row r="451" spans="1:10" x14ac:dyDescent="0.3">
      <c r="A451" t="s">
        <v>1389</v>
      </c>
      <c r="B451" t="s">
        <v>1390</v>
      </c>
      <c r="C451" t="str">
        <f>TRIM(PROPER(Ecustom_DB[[#This Row],[Name]]))</f>
        <v>William Cortez</v>
      </c>
      <c r="D451">
        <v>29</v>
      </c>
      <c r="E451" t="s">
        <v>9</v>
      </c>
      <c r="F451" t="s">
        <v>1391</v>
      </c>
      <c r="G451" t="str">
        <f>TRIM(PROPER(Ecustom_DB[[#This Row],[City]]))</f>
        <v>Port Hannahport</v>
      </c>
      <c r="H451" t="s">
        <v>25</v>
      </c>
      <c r="I451" t="s">
        <v>12</v>
      </c>
      <c r="J451" t="s">
        <v>26</v>
      </c>
    </row>
    <row r="452" spans="1:10" x14ac:dyDescent="0.3">
      <c r="A452" t="s">
        <v>1392</v>
      </c>
      <c r="B452" t="s">
        <v>1393</v>
      </c>
      <c r="C452" t="str">
        <f>TRIM(PROPER(Ecustom_DB[[#This Row],[Name]]))</f>
        <v>Shane Mills</v>
      </c>
      <c r="D452">
        <v>59</v>
      </c>
      <c r="E452" t="s">
        <v>9</v>
      </c>
      <c r="F452" t="s">
        <v>1394</v>
      </c>
      <c r="G452" t="str">
        <f>TRIM(PROPER(Ecustom_DB[[#This Row],[City]]))</f>
        <v>Lake Meganstad</v>
      </c>
      <c r="H452" t="s">
        <v>70</v>
      </c>
      <c r="I452" t="s">
        <v>12</v>
      </c>
      <c r="J452" t="s">
        <v>26</v>
      </c>
    </row>
    <row r="453" spans="1:10" x14ac:dyDescent="0.3">
      <c r="A453" t="s">
        <v>1395</v>
      </c>
      <c r="B453" t="s">
        <v>1396</v>
      </c>
      <c r="C453" t="str">
        <f>TRIM(PROPER(Ecustom_DB[[#This Row],[Name]]))</f>
        <v>Ashley Roberts</v>
      </c>
      <c r="D453">
        <v>46</v>
      </c>
      <c r="E453" t="s">
        <v>9</v>
      </c>
      <c r="F453" t="s">
        <v>564</v>
      </c>
      <c r="G453" t="str">
        <f>TRIM(PROPER(Ecustom_DB[[#This Row],[City]]))</f>
        <v>Josephmouth</v>
      </c>
      <c r="H453" t="s">
        <v>233</v>
      </c>
      <c r="I453" t="s">
        <v>12</v>
      </c>
      <c r="J453" t="s">
        <v>13</v>
      </c>
    </row>
    <row r="454" spans="1:10" x14ac:dyDescent="0.3">
      <c r="A454" t="s">
        <v>1397</v>
      </c>
      <c r="B454" t="s">
        <v>1398</v>
      </c>
      <c r="C454" t="str">
        <f>TRIM(PROPER(Ecustom_DB[[#This Row],[Name]]))</f>
        <v>Jeffery Wolf</v>
      </c>
      <c r="D454">
        <v>60</v>
      </c>
      <c r="E454" t="s">
        <v>16</v>
      </c>
      <c r="F454" t="s">
        <v>1399</v>
      </c>
      <c r="G454" t="str">
        <f>TRIM(PROPER(Ecustom_DB[[#This Row],[City]]))</f>
        <v>New Laura</v>
      </c>
      <c r="H454" t="s">
        <v>313</v>
      </c>
      <c r="I454" t="s">
        <v>12</v>
      </c>
      <c r="J454" t="s">
        <v>26</v>
      </c>
    </row>
    <row r="455" spans="1:10" x14ac:dyDescent="0.3">
      <c r="A455" t="s">
        <v>1400</v>
      </c>
      <c r="B455" t="s">
        <v>1401</v>
      </c>
      <c r="C455" t="str">
        <f>TRIM(PROPER(Ecustom_DB[[#This Row],[Name]]))</f>
        <v>April Phillips</v>
      </c>
      <c r="D455">
        <v>62</v>
      </c>
      <c r="E455" t="s">
        <v>16</v>
      </c>
      <c r="F455" t="s">
        <v>1402</v>
      </c>
      <c r="G455" t="str">
        <f>TRIM(PROPER(Ecustom_DB[[#This Row],[City]]))</f>
        <v>Lake Carolyn</v>
      </c>
      <c r="H455" t="s">
        <v>99</v>
      </c>
      <c r="I455" t="s">
        <v>12</v>
      </c>
      <c r="J455" t="s">
        <v>19</v>
      </c>
    </row>
    <row r="456" spans="1:10" x14ac:dyDescent="0.3">
      <c r="A456" t="s">
        <v>1403</v>
      </c>
      <c r="B456" t="s">
        <v>1404</v>
      </c>
      <c r="C456" t="str">
        <f>TRIM(PROPER(Ecustom_DB[[#This Row],[Name]]))</f>
        <v>John Berg</v>
      </c>
      <c r="D456">
        <v>60</v>
      </c>
      <c r="E456" t="s">
        <v>9</v>
      </c>
      <c r="F456" t="s">
        <v>129</v>
      </c>
      <c r="G456" t="str">
        <f>TRIM(PROPER(Ecustom_DB[[#This Row],[City]]))</f>
        <v>Johnsonville</v>
      </c>
      <c r="H456" t="s">
        <v>96</v>
      </c>
      <c r="I456" t="s">
        <v>12</v>
      </c>
      <c r="J456" t="s">
        <v>13</v>
      </c>
    </row>
    <row r="457" spans="1:10" x14ac:dyDescent="0.3">
      <c r="A457" t="s">
        <v>1405</v>
      </c>
      <c r="B457" t="s">
        <v>1406</v>
      </c>
      <c r="C457" t="str">
        <f>TRIM(PROPER(Ecustom_DB[[#This Row],[Name]]))</f>
        <v>Tyler Weber</v>
      </c>
      <c r="D457">
        <v>54</v>
      </c>
      <c r="E457" t="s">
        <v>9</v>
      </c>
      <c r="F457" t="s">
        <v>1407</v>
      </c>
      <c r="G457" t="str">
        <f>TRIM(PROPER(Ecustom_DB[[#This Row],[City]]))</f>
        <v>East Yvette</v>
      </c>
      <c r="H457" t="s">
        <v>194</v>
      </c>
      <c r="I457" t="s">
        <v>12</v>
      </c>
      <c r="J457" t="s">
        <v>13</v>
      </c>
    </row>
    <row r="458" spans="1:10" x14ac:dyDescent="0.3">
      <c r="A458" t="s">
        <v>1408</v>
      </c>
      <c r="B458" t="s">
        <v>1409</v>
      </c>
      <c r="C458" t="str">
        <f>TRIM(PROPER(Ecustom_DB[[#This Row],[Name]]))</f>
        <v>Julie Powell</v>
      </c>
      <c r="D458">
        <v>59</v>
      </c>
      <c r="E458" t="s">
        <v>16</v>
      </c>
      <c r="F458" t="s">
        <v>1410</v>
      </c>
      <c r="G458" t="str">
        <f>TRIM(PROPER(Ecustom_DB[[#This Row],[City]]))</f>
        <v>South Barbara</v>
      </c>
      <c r="H458" t="s">
        <v>291</v>
      </c>
      <c r="I458" t="s">
        <v>12</v>
      </c>
      <c r="J458" t="s">
        <v>13</v>
      </c>
    </row>
    <row r="459" spans="1:10" x14ac:dyDescent="0.3">
      <c r="A459" t="s">
        <v>1411</v>
      </c>
      <c r="B459" t="s">
        <v>1412</v>
      </c>
      <c r="C459" t="str">
        <f>TRIM(PROPER(Ecustom_DB[[#This Row],[Name]]))</f>
        <v>Christina Robertson</v>
      </c>
      <c r="D459">
        <v>59</v>
      </c>
      <c r="E459" t="s">
        <v>9</v>
      </c>
      <c r="F459" t="s">
        <v>1413</v>
      </c>
      <c r="G459" t="str">
        <f>TRIM(PROPER(Ecustom_DB[[#This Row],[City]]))</f>
        <v>Hubbardborough</v>
      </c>
      <c r="H459" t="s">
        <v>588</v>
      </c>
      <c r="I459" t="s">
        <v>12</v>
      </c>
      <c r="J459" t="s">
        <v>19</v>
      </c>
    </row>
    <row r="460" spans="1:10" x14ac:dyDescent="0.3">
      <c r="A460" t="s">
        <v>1414</v>
      </c>
      <c r="B460" t="s">
        <v>1415</v>
      </c>
      <c r="C460" t="str">
        <f>TRIM(PROPER(Ecustom_DB[[#This Row],[Name]]))</f>
        <v>Kelly Garrett</v>
      </c>
      <c r="D460">
        <v>62</v>
      </c>
      <c r="E460" t="s">
        <v>16</v>
      </c>
      <c r="F460" t="s">
        <v>1416</v>
      </c>
      <c r="G460" t="str">
        <f>TRIM(PROPER(Ecustom_DB[[#This Row],[City]]))</f>
        <v>Port Taylorberg</v>
      </c>
      <c r="H460" t="s">
        <v>51</v>
      </c>
      <c r="I460" t="s">
        <v>12</v>
      </c>
      <c r="J460" t="s">
        <v>31</v>
      </c>
    </row>
    <row r="461" spans="1:10" x14ac:dyDescent="0.3">
      <c r="A461" t="s">
        <v>1417</v>
      </c>
      <c r="B461" t="s">
        <v>679</v>
      </c>
      <c r="C461" t="str">
        <f>TRIM(PROPER(Ecustom_DB[[#This Row],[Name]]))</f>
        <v>John Perez</v>
      </c>
      <c r="D461">
        <v>29</v>
      </c>
      <c r="E461" t="s">
        <v>16</v>
      </c>
      <c r="F461" t="s">
        <v>1418</v>
      </c>
      <c r="G461" t="str">
        <f>TRIM(PROPER(Ecustom_DB[[#This Row],[City]]))</f>
        <v>Brandontown</v>
      </c>
      <c r="H461" t="s">
        <v>317</v>
      </c>
      <c r="I461" t="s">
        <v>12</v>
      </c>
      <c r="J461" t="s">
        <v>13</v>
      </c>
    </row>
    <row r="462" spans="1:10" x14ac:dyDescent="0.3">
      <c r="A462" t="s">
        <v>1419</v>
      </c>
      <c r="B462" t="s">
        <v>1420</v>
      </c>
      <c r="C462" t="str">
        <f>TRIM(PROPER(Ecustom_DB[[#This Row],[Name]]))</f>
        <v>Justin Johnson</v>
      </c>
      <c r="D462">
        <v>35</v>
      </c>
      <c r="E462" t="s">
        <v>9</v>
      </c>
      <c r="F462" t="s">
        <v>1421</v>
      </c>
      <c r="G462" t="str">
        <f>TRIM(PROPER(Ecustom_DB[[#This Row],[City]]))</f>
        <v>Hughesview</v>
      </c>
      <c r="H462" t="s">
        <v>267</v>
      </c>
      <c r="I462" t="s">
        <v>12</v>
      </c>
      <c r="J462" t="s">
        <v>13</v>
      </c>
    </row>
    <row r="463" spans="1:10" x14ac:dyDescent="0.3">
      <c r="A463" t="s">
        <v>1422</v>
      </c>
      <c r="B463" t="s">
        <v>1423</v>
      </c>
      <c r="C463" t="str">
        <f>TRIM(PROPER(Ecustom_DB[[#This Row],[Name]]))</f>
        <v>Paul Cox</v>
      </c>
      <c r="D463">
        <v>60</v>
      </c>
      <c r="E463" t="s">
        <v>16</v>
      </c>
      <c r="F463" t="s">
        <v>1424</v>
      </c>
      <c r="G463" t="str">
        <f>TRIM(PROPER(Ecustom_DB[[#This Row],[City]]))</f>
        <v>East Julie</v>
      </c>
      <c r="H463" t="s">
        <v>62</v>
      </c>
      <c r="I463" t="s">
        <v>12</v>
      </c>
      <c r="J463" t="s">
        <v>31</v>
      </c>
    </row>
    <row r="464" spans="1:10" x14ac:dyDescent="0.3">
      <c r="A464" t="s">
        <v>1425</v>
      </c>
      <c r="B464" t="s">
        <v>1426</v>
      </c>
      <c r="C464" t="str">
        <f>TRIM(PROPER(Ecustom_DB[[#This Row],[Name]]))</f>
        <v>Beth Martin</v>
      </c>
      <c r="D464">
        <v>34</v>
      </c>
      <c r="E464" t="s">
        <v>16</v>
      </c>
      <c r="F464" t="s">
        <v>1427</v>
      </c>
      <c r="G464" t="str">
        <f>TRIM(PROPER(Ecustom_DB[[#This Row],[City]]))</f>
        <v>Burkefurt</v>
      </c>
      <c r="H464" t="s">
        <v>43</v>
      </c>
      <c r="I464" t="s">
        <v>12</v>
      </c>
      <c r="J464" t="s">
        <v>31</v>
      </c>
    </row>
    <row r="465" spans="1:10" x14ac:dyDescent="0.3">
      <c r="A465" t="s">
        <v>1428</v>
      </c>
      <c r="B465" t="s">
        <v>1429</v>
      </c>
      <c r="C465" t="str">
        <f>TRIM(PROPER(Ecustom_DB[[#This Row],[Name]]))</f>
        <v>Samantha Lee</v>
      </c>
      <c r="D465">
        <v>36</v>
      </c>
      <c r="E465" t="s">
        <v>16</v>
      </c>
      <c r="F465" t="s">
        <v>1430</v>
      </c>
      <c r="G465" t="str">
        <f>TRIM(PROPER(Ecustom_DB[[#This Row],[City]]))</f>
        <v>Port Anthony</v>
      </c>
      <c r="H465" t="s">
        <v>167</v>
      </c>
      <c r="I465" t="s">
        <v>12</v>
      </c>
      <c r="J465" t="s">
        <v>26</v>
      </c>
    </row>
    <row r="466" spans="1:10" x14ac:dyDescent="0.3">
      <c r="A466" t="s">
        <v>1431</v>
      </c>
      <c r="B466" t="s">
        <v>1432</v>
      </c>
      <c r="C466" t="str">
        <f>TRIM(PROPER(Ecustom_DB[[#This Row],[Name]]))</f>
        <v>David Pierce</v>
      </c>
      <c r="D466">
        <v>45</v>
      </c>
      <c r="E466" t="s">
        <v>16</v>
      </c>
      <c r="F466" t="s">
        <v>1433</v>
      </c>
      <c r="G466" t="str">
        <f>TRIM(PROPER(Ecustom_DB[[#This Row],[City]]))</f>
        <v>Grayland</v>
      </c>
      <c r="H466" t="s">
        <v>74</v>
      </c>
      <c r="I466" t="s">
        <v>12</v>
      </c>
      <c r="J466" t="s">
        <v>19</v>
      </c>
    </row>
    <row r="467" spans="1:10" x14ac:dyDescent="0.3">
      <c r="A467" t="s">
        <v>1434</v>
      </c>
      <c r="B467" t="s">
        <v>1435</v>
      </c>
      <c r="C467" t="str">
        <f>TRIM(PROPER(Ecustom_DB[[#This Row],[Name]]))</f>
        <v>Ronald Ross</v>
      </c>
      <c r="D467">
        <v>28</v>
      </c>
      <c r="E467" t="s">
        <v>16</v>
      </c>
      <c r="F467" t="s">
        <v>1436</v>
      </c>
      <c r="G467" t="str">
        <f>TRIM(PROPER(Ecustom_DB[[#This Row],[City]]))</f>
        <v>Hartmanside</v>
      </c>
      <c r="H467" t="s">
        <v>11</v>
      </c>
      <c r="I467" t="s">
        <v>12</v>
      </c>
      <c r="J467" t="s">
        <v>31</v>
      </c>
    </row>
    <row r="468" spans="1:10" x14ac:dyDescent="0.3">
      <c r="A468" t="s">
        <v>1437</v>
      </c>
      <c r="B468" t="s">
        <v>1438</v>
      </c>
      <c r="C468" t="str">
        <f>TRIM(PROPER(Ecustom_DB[[#This Row],[Name]]))</f>
        <v>Cynthia Parrish</v>
      </c>
      <c r="D468">
        <v>18</v>
      </c>
      <c r="E468" t="s">
        <v>9</v>
      </c>
      <c r="F468" t="s">
        <v>1439</v>
      </c>
      <c r="G468" t="str">
        <f>TRIM(PROPER(Ecustom_DB[[#This Row],[City]]))</f>
        <v>Espinozaberg</v>
      </c>
      <c r="H468" t="s">
        <v>201</v>
      </c>
      <c r="I468" t="s">
        <v>12</v>
      </c>
      <c r="J468" t="s">
        <v>31</v>
      </c>
    </row>
    <row r="469" spans="1:10" x14ac:dyDescent="0.3">
      <c r="A469" t="s">
        <v>1440</v>
      </c>
      <c r="B469" t="s">
        <v>1441</v>
      </c>
      <c r="C469" t="str">
        <f>TRIM(PROPER(Ecustom_DB[[#This Row],[Name]]))</f>
        <v>Michael Foley</v>
      </c>
      <c r="D469">
        <v>63</v>
      </c>
      <c r="E469" t="s">
        <v>16</v>
      </c>
      <c r="F469" t="s">
        <v>1442</v>
      </c>
      <c r="G469" t="str">
        <f>TRIM(PROPER(Ecustom_DB[[#This Row],[City]]))</f>
        <v>Oneillfurt</v>
      </c>
      <c r="H469" t="s">
        <v>171</v>
      </c>
      <c r="I469" t="s">
        <v>12</v>
      </c>
      <c r="J469" t="s">
        <v>13</v>
      </c>
    </row>
    <row r="470" spans="1:10" x14ac:dyDescent="0.3">
      <c r="A470" t="s">
        <v>1443</v>
      </c>
      <c r="B470" t="s">
        <v>1444</v>
      </c>
      <c r="C470" t="str">
        <f>TRIM(PROPER(Ecustom_DB[[#This Row],[Name]]))</f>
        <v>Gregory Curtis</v>
      </c>
      <c r="D470">
        <v>45</v>
      </c>
      <c r="E470" t="s">
        <v>9</v>
      </c>
      <c r="F470" t="s">
        <v>1445</v>
      </c>
      <c r="G470" t="str">
        <f>TRIM(PROPER(Ecustom_DB[[#This Row],[City]]))</f>
        <v>Bergermouth</v>
      </c>
      <c r="H470" t="s">
        <v>171</v>
      </c>
      <c r="I470" t="s">
        <v>12</v>
      </c>
      <c r="J470" t="s">
        <v>26</v>
      </c>
    </row>
    <row r="471" spans="1:10" x14ac:dyDescent="0.3">
      <c r="A471" t="s">
        <v>1446</v>
      </c>
      <c r="B471" t="s">
        <v>1447</v>
      </c>
      <c r="C471" t="str">
        <f>TRIM(PROPER(Ecustom_DB[[#This Row],[Name]]))</f>
        <v>James Foster</v>
      </c>
      <c r="D471">
        <v>19</v>
      </c>
      <c r="E471" t="s">
        <v>9</v>
      </c>
      <c r="F471" t="s">
        <v>1448</v>
      </c>
      <c r="G471" t="str">
        <f>TRIM(PROPER(Ecustom_DB[[#This Row],[City]]))</f>
        <v>East Audrey</v>
      </c>
      <c r="H471" t="s">
        <v>117</v>
      </c>
      <c r="I471" t="s">
        <v>12</v>
      </c>
      <c r="J471" t="s">
        <v>13</v>
      </c>
    </row>
    <row r="472" spans="1:10" x14ac:dyDescent="0.3">
      <c r="A472" t="s">
        <v>1449</v>
      </c>
      <c r="B472" t="s">
        <v>1450</v>
      </c>
      <c r="C472" t="str">
        <f>TRIM(PROPER(Ecustom_DB[[#This Row],[Name]]))</f>
        <v>Manuel Fisher</v>
      </c>
      <c r="D472">
        <v>21</v>
      </c>
      <c r="E472" t="s">
        <v>16</v>
      </c>
      <c r="F472" t="s">
        <v>1451</v>
      </c>
      <c r="G472" t="str">
        <f>TRIM(PROPER(Ecustom_DB[[#This Row],[City]]))</f>
        <v>Kanebury</v>
      </c>
      <c r="H472" t="s">
        <v>47</v>
      </c>
      <c r="I472" t="s">
        <v>12</v>
      </c>
      <c r="J472" t="s">
        <v>13</v>
      </c>
    </row>
    <row r="473" spans="1:10" x14ac:dyDescent="0.3">
      <c r="A473" t="s">
        <v>1452</v>
      </c>
      <c r="B473" t="s">
        <v>1453</v>
      </c>
      <c r="C473" t="str">
        <f>TRIM(PROPER(Ecustom_DB[[#This Row],[Name]]))</f>
        <v>Debra Mccullough</v>
      </c>
      <c r="D473">
        <v>42</v>
      </c>
      <c r="E473" t="s">
        <v>9</v>
      </c>
      <c r="F473" t="s">
        <v>1454</v>
      </c>
      <c r="G473" t="str">
        <f>TRIM(PROPER(Ecustom_DB[[#This Row],[City]]))</f>
        <v>Mcdanielfurt</v>
      </c>
      <c r="H473" t="s">
        <v>66</v>
      </c>
      <c r="I473" t="s">
        <v>12</v>
      </c>
      <c r="J473" t="s">
        <v>19</v>
      </c>
    </row>
    <row r="474" spans="1:10" x14ac:dyDescent="0.3">
      <c r="A474" t="s">
        <v>1455</v>
      </c>
      <c r="B474" t="s">
        <v>1456</v>
      </c>
      <c r="C474" t="str">
        <f>TRIM(PROPER(Ecustom_DB[[#This Row],[Name]]))</f>
        <v>Philip Mendoza</v>
      </c>
      <c r="D474">
        <v>42</v>
      </c>
      <c r="E474" t="s">
        <v>9</v>
      </c>
      <c r="F474" t="s">
        <v>1457</v>
      </c>
      <c r="G474" t="str">
        <f>TRIM(PROPER(Ecustom_DB[[#This Row],[City]]))</f>
        <v>Tylermouth</v>
      </c>
      <c r="H474" t="s">
        <v>715</v>
      </c>
      <c r="I474" t="s">
        <v>12</v>
      </c>
      <c r="J474" t="s">
        <v>31</v>
      </c>
    </row>
    <row r="475" spans="1:10" x14ac:dyDescent="0.3">
      <c r="A475" t="s">
        <v>1458</v>
      </c>
      <c r="B475" t="s">
        <v>1459</v>
      </c>
      <c r="C475" t="str">
        <f>TRIM(PROPER(Ecustom_DB[[#This Row],[Name]]))</f>
        <v>Laura Mathews</v>
      </c>
      <c r="D475">
        <v>53</v>
      </c>
      <c r="E475" t="s">
        <v>9</v>
      </c>
      <c r="F475" t="s">
        <v>1460</v>
      </c>
      <c r="G475" t="str">
        <f>TRIM(PROPER(Ecustom_DB[[#This Row],[City]]))</f>
        <v>Chambersfurt</v>
      </c>
      <c r="H475" t="s">
        <v>324</v>
      </c>
      <c r="I475" t="s">
        <v>12</v>
      </c>
      <c r="J475" t="s">
        <v>26</v>
      </c>
    </row>
    <row r="476" spans="1:10" x14ac:dyDescent="0.3">
      <c r="A476" t="s">
        <v>1461</v>
      </c>
      <c r="B476" t="s">
        <v>1462</v>
      </c>
      <c r="C476" t="str">
        <f>TRIM(PROPER(Ecustom_DB[[#This Row],[Name]]))</f>
        <v>Joshua Howard</v>
      </c>
      <c r="D476">
        <v>32</v>
      </c>
      <c r="E476" t="s">
        <v>16</v>
      </c>
      <c r="F476" t="s">
        <v>1463</v>
      </c>
      <c r="G476" t="str">
        <f>TRIM(PROPER(Ecustom_DB[[#This Row],[City]]))</f>
        <v>East Christopherhaven</v>
      </c>
      <c r="H476" t="s">
        <v>39</v>
      </c>
      <c r="I476" t="s">
        <v>12</v>
      </c>
      <c r="J476" t="s">
        <v>19</v>
      </c>
    </row>
    <row r="477" spans="1:10" x14ac:dyDescent="0.3">
      <c r="A477" t="s">
        <v>1464</v>
      </c>
      <c r="B477" t="s">
        <v>1465</v>
      </c>
      <c r="C477" t="str">
        <f>TRIM(PROPER(Ecustom_DB[[#This Row],[Name]]))</f>
        <v>Barbara Berry</v>
      </c>
      <c r="D477">
        <v>18</v>
      </c>
      <c r="E477" t="s">
        <v>16</v>
      </c>
      <c r="F477" t="s">
        <v>395</v>
      </c>
      <c r="G477" t="str">
        <f>TRIM(PROPER(Ecustom_DB[[#This Row],[City]]))</f>
        <v>Lake Michael</v>
      </c>
      <c r="H477" t="s">
        <v>171</v>
      </c>
      <c r="I477" t="s">
        <v>12</v>
      </c>
      <c r="J477" t="s">
        <v>19</v>
      </c>
    </row>
    <row r="478" spans="1:10" x14ac:dyDescent="0.3">
      <c r="A478" t="s">
        <v>1466</v>
      </c>
      <c r="B478" t="s">
        <v>1467</v>
      </c>
      <c r="C478" t="str">
        <f>TRIM(PROPER(Ecustom_DB[[#This Row],[Name]]))</f>
        <v>Elizabeth Foster</v>
      </c>
      <c r="D478">
        <v>33</v>
      </c>
      <c r="E478" t="s">
        <v>16</v>
      </c>
      <c r="F478" t="s">
        <v>1468</v>
      </c>
      <c r="G478" t="str">
        <f>TRIM(PROPER(Ecustom_DB[[#This Row],[City]]))</f>
        <v>Anthonymouth</v>
      </c>
      <c r="H478" t="s">
        <v>96</v>
      </c>
      <c r="I478" t="s">
        <v>12</v>
      </c>
      <c r="J478" t="s">
        <v>13</v>
      </c>
    </row>
    <row r="479" spans="1:10" x14ac:dyDescent="0.3">
      <c r="A479" t="s">
        <v>1469</v>
      </c>
      <c r="B479" t="s">
        <v>1470</v>
      </c>
      <c r="C479" t="str">
        <f>TRIM(PROPER(Ecustom_DB[[#This Row],[Name]]))</f>
        <v>Andrea Harris</v>
      </c>
      <c r="D479">
        <v>41</v>
      </c>
      <c r="E479" t="s">
        <v>16</v>
      </c>
      <c r="F479" t="s">
        <v>1471</v>
      </c>
      <c r="G479" t="str">
        <f>TRIM(PROPER(Ecustom_DB[[#This Row],[City]]))</f>
        <v>West Kelseyberg</v>
      </c>
      <c r="H479" t="s">
        <v>62</v>
      </c>
      <c r="I479" t="s">
        <v>12</v>
      </c>
      <c r="J479" t="s">
        <v>19</v>
      </c>
    </row>
    <row r="480" spans="1:10" x14ac:dyDescent="0.3">
      <c r="A480" t="s">
        <v>1472</v>
      </c>
      <c r="B480" t="s">
        <v>1473</v>
      </c>
      <c r="C480" t="str">
        <f>TRIM(PROPER(Ecustom_DB[[#This Row],[Name]]))</f>
        <v>Earl Smith Dds</v>
      </c>
      <c r="D480">
        <v>59</v>
      </c>
      <c r="E480" t="s">
        <v>9</v>
      </c>
      <c r="F480" t="s">
        <v>1474</v>
      </c>
      <c r="G480" t="str">
        <f>TRIM(PROPER(Ecustom_DB[[#This Row],[City]]))</f>
        <v>West Sarah</v>
      </c>
      <c r="H480" t="s">
        <v>39</v>
      </c>
      <c r="I480" t="s">
        <v>12</v>
      </c>
      <c r="J480" t="s">
        <v>13</v>
      </c>
    </row>
    <row r="481" spans="1:10" x14ac:dyDescent="0.3">
      <c r="A481" t="s">
        <v>1475</v>
      </c>
      <c r="B481" t="s">
        <v>1476</v>
      </c>
      <c r="C481" t="str">
        <f>TRIM(PROPER(Ecustom_DB[[#This Row],[Name]]))</f>
        <v>Dylan Gutierrez</v>
      </c>
      <c r="D481">
        <v>40</v>
      </c>
      <c r="E481" t="s">
        <v>9</v>
      </c>
      <c r="F481" t="s">
        <v>1477</v>
      </c>
      <c r="G481" t="str">
        <f>TRIM(PROPER(Ecustom_DB[[#This Row],[City]]))</f>
        <v>New Jamesview</v>
      </c>
      <c r="H481" t="s">
        <v>43</v>
      </c>
      <c r="I481" t="s">
        <v>12</v>
      </c>
      <c r="J481" t="s">
        <v>26</v>
      </c>
    </row>
    <row r="482" spans="1:10" x14ac:dyDescent="0.3">
      <c r="A482" t="s">
        <v>1478</v>
      </c>
      <c r="B482" t="s">
        <v>1479</v>
      </c>
      <c r="C482" t="str">
        <f>TRIM(PROPER(Ecustom_DB[[#This Row],[Name]]))</f>
        <v>Jordan Medina</v>
      </c>
      <c r="D482">
        <v>33</v>
      </c>
      <c r="E482" t="s">
        <v>9</v>
      </c>
      <c r="F482" t="s">
        <v>1480</v>
      </c>
      <c r="G482" t="str">
        <f>TRIM(PROPER(Ecustom_DB[[#This Row],[City]]))</f>
        <v>Robinchester</v>
      </c>
      <c r="H482" t="s">
        <v>250</v>
      </c>
      <c r="I482" t="s">
        <v>12</v>
      </c>
      <c r="J482" t="s">
        <v>26</v>
      </c>
    </row>
    <row r="483" spans="1:10" x14ac:dyDescent="0.3">
      <c r="A483" t="s">
        <v>1481</v>
      </c>
      <c r="B483" t="s">
        <v>1482</v>
      </c>
      <c r="C483" t="str">
        <f>TRIM(PROPER(Ecustom_DB[[#This Row],[Name]]))</f>
        <v>Bryan Tran</v>
      </c>
      <c r="D483">
        <v>21</v>
      </c>
      <c r="E483" t="s">
        <v>9</v>
      </c>
      <c r="F483" t="s">
        <v>1483</v>
      </c>
      <c r="G483" t="str">
        <f>TRIM(PROPER(Ecustom_DB[[#This Row],[City]]))</f>
        <v>Kelseybury</v>
      </c>
      <c r="H483" t="s">
        <v>81</v>
      </c>
      <c r="I483" t="s">
        <v>12</v>
      </c>
      <c r="J483" t="s">
        <v>13</v>
      </c>
    </row>
    <row r="484" spans="1:10" x14ac:dyDescent="0.3">
      <c r="A484" t="s">
        <v>1484</v>
      </c>
      <c r="B484" t="s">
        <v>1485</v>
      </c>
      <c r="C484" t="str">
        <f>TRIM(PROPER(Ecustom_DB[[#This Row],[Name]]))</f>
        <v>Sheri Joyce</v>
      </c>
      <c r="D484">
        <v>26</v>
      </c>
      <c r="E484" t="s">
        <v>9</v>
      </c>
      <c r="F484" t="s">
        <v>1486</v>
      </c>
      <c r="G484" t="str">
        <f>TRIM(PROPER(Ecustom_DB[[#This Row],[City]]))</f>
        <v>West Tylerfort</v>
      </c>
      <c r="H484" t="s">
        <v>588</v>
      </c>
      <c r="I484" t="s">
        <v>12</v>
      </c>
      <c r="J484" t="s">
        <v>19</v>
      </c>
    </row>
    <row r="485" spans="1:10" x14ac:dyDescent="0.3">
      <c r="A485" t="s">
        <v>1487</v>
      </c>
      <c r="B485" t="s">
        <v>1273</v>
      </c>
      <c r="C485" t="str">
        <f>TRIM(PROPER(Ecustom_DB[[#This Row],[Name]]))</f>
        <v>Sarah Smith</v>
      </c>
      <c r="D485">
        <v>48</v>
      </c>
      <c r="E485" t="s">
        <v>9</v>
      </c>
      <c r="F485" t="s">
        <v>1488</v>
      </c>
      <c r="G485" t="str">
        <f>TRIM(PROPER(Ecustom_DB[[#This Row],[City]]))</f>
        <v>East Rodney</v>
      </c>
      <c r="H485" t="s">
        <v>184</v>
      </c>
      <c r="I485" t="s">
        <v>12</v>
      </c>
      <c r="J485" t="s">
        <v>13</v>
      </c>
    </row>
    <row r="486" spans="1:10" x14ac:dyDescent="0.3">
      <c r="A486" t="s">
        <v>1489</v>
      </c>
      <c r="B486" t="s">
        <v>1490</v>
      </c>
      <c r="C486" t="str">
        <f>TRIM(PROPER(Ecustom_DB[[#This Row],[Name]]))</f>
        <v>Jessica Castro</v>
      </c>
      <c r="D486">
        <v>32</v>
      </c>
      <c r="E486" t="s">
        <v>9</v>
      </c>
      <c r="F486" t="s">
        <v>1491</v>
      </c>
      <c r="G486" t="str">
        <f>TRIM(PROPER(Ecustom_DB[[#This Row],[City]]))</f>
        <v>West Markton</v>
      </c>
      <c r="H486" t="s">
        <v>715</v>
      </c>
      <c r="I486" t="s">
        <v>12</v>
      </c>
      <c r="J486" t="s">
        <v>26</v>
      </c>
    </row>
    <row r="487" spans="1:10" x14ac:dyDescent="0.3">
      <c r="A487" t="s">
        <v>1492</v>
      </c>
      <c r="B487" t="s">
        <v>1493</v>
      </c>
      <c r="C487" t="str">
        <f>TRIM(PROPER(Ecustom_DB[[#This Row],[Name]]))</f>
        <v>Sara Ingram</v>
      </c>
      <c r="D487">
        <v>46</v>
      </c>
      <c r="E487" t="s">
        <v>16</v>
      </c>
      <c r="F487" t="s">
        <v>1494</v>
      </c>
      <c r="G487" t="str">
        <f>TRIM(PROPER(Ecustom_DB[[#This Row],[City]]))</f>
        <v>East Dillonview</v>
      </c>
      <c r="H487" t="s">
        <v>287</v>
      </c>
      <c r="I487" t="s">
        <v>12</v>
      </c>
      <c r="J487" t="s">
        <v>26</v>
      </c>
    </row>
    <row r="488" spans="1:10" x14ac:dyDescent="0.3">
      <c r="A488" t="s">
        <v>1495</v>
      </c>
      <c r="B488" t="s">
        <v>1496</v>
      </c>
      <c r="C488" t="str">
        <f>TRIM(PROPER(Ecustom_DB[[#This Row],[Name]]))</f>
        <v>Eric Lee</v>
      </c>
      <c r="D488">
        <v>22</v>
      </c>
      <c r="E488" t="s">
        <v>16</v>
      </c>
      <c r="F488" t="s">
        <v>1497</v>
      </c>
      <c r="G488" t="str">
        <f>TRIM(PROPER(Ecustom_DB[[#This Row],[City]]))</f>
        <v>Lake April</v>
      </c>
      <c r="H488" t="s">
        <v>171</v>
      </c>
      <c r="I488" t="s">
        <v>12</v>
      </c>
      <c r="J488" t="s">
        <v>26</v>
      </c>
    </row>
    <row r="489" spans="1:10" x14ac:dyDescent="0.3">
      <c r="A489" t="s">
        <v>1498</v>
      </c>
      <c r="B489" t="s">
        <v>1499</v>
      </c>
      <c r="C489" t="str">
        <f>TRIM(PROPER(Ecustom_DB[[#This Row],[Name]]))</f>
        <v>Amanda Medina</v>
      </c>
      <c r="D489">
        <v>36</v>
      </c>
      <c r="E489" t="s">
        <v>16</v>
      </c>
      <c r="F489" t="s">
        <v>1500</v>
      </c>
      <c r="G489" t="str">
        <f>TRIM(PROPER(Ecustom_DB[[#This Row],[City]]))</f>
        <v>East Patriciastad</v>
      </c>
      <c r="H489" t="s">
        <v>117</v>
      </c>
      <c r="I489" t="s">
        <v>12</v>
      </c>
      <c r="J489" t="s">
        <v>19</v>
      </c>
    </row>
    <row r="490" spans="1:10" x14ac:dyDescent="0.3">
      <c r="A490" t="s">
        <v>1501</v>
      </c>
      <c r="B490" t="s">
        <v>1502</v>
      </c>
      <c r="C490" t="str">
        <f>TRIM(PROPER(Ecustom_DB[[#This Row],[Name]]))</f>
        <v>Zachary Andrade</v>
      </c>
      <c r="D490">
        <v>23</v>
      </c>
      <c r="E490" t="s">
        <v>16</v>
      </c>
      <c r="F490" t="s">
        <v>1503</v>
      </c>
      <c r="G490" t="str">
        <f>TRIM(PROPER(Ecustom_DB[[#This Row],[City]]))</f>
        <v>South Davidport</v>
      </c>
      <c r="H490" t="s">
        <v>30</v>
      </c>
      <c r="I490" t="s">
        <v>12</v>
      </c>
      <c r="J490" t="s">
        <v>19</v>
      </c>
    </row>
    <row r="491" spans="1:10" x14ac:dyDescent="0.3">
      <c r="A491" t="s">
        <v>1504</v>
      </c>
      <c r="B491" t="s">
        <v>1505</v>
      </c>
      <c r="C491" t="str">
        <f>TRIM(PROPER(Ecustom_DB[[#This Row],[Name]]))</f>
        <v>Melinda Thomas</v>
      </c>
      <c r="D491">
        <v>42</v>
      </c>
      <c r="E491" t="s">
        <v>16</v>
      </c>
      <c r="F491" t="s">
        <v>1506</v>
      </c>
      <c r="G491" t="str">
        <f>TRIM(PROPER(Ecustom_DB[[#This Row],[City]]))</f>
        <v>Lake Elizabethside</v>
      </c>
      <c r="H491" t="s">
        <v>254</v>
      </c>
      <c r="I491" t="s">
        <v>12</v>
      </c>
      <c r="J491" t="s">
        <v>31</v>
      </c>
    </row>
    <row r="492" spans="1:10" x14ac:dyDescent="0.3">
      <c r="A492" t="s">
        <v>1507</v>
      </c>
      <c r="B492" t="s">
        <v>1508</v>
      </c>
      <c r="C492" t="str">
        <f>TRIM(PROPER(Ecustom_DB[[#This Row],[Name]]))</f>
        <v>Scott Harris</v>
      </c>
      <c r="D492">
        <v>23</v>
      </c>
      <c r="E492" t="s">
        <v>9</v>
      </c>
      <c r="F492" t="s">
        <v>1509</v>
      </c>
      <c r="G492" t="str">
        <f>TRIM(PROPER(Ecustom_DB[[#This Row],[City]]))</f>
        <v>North Nataliemouth</v>
      </c>
      <c r="H492" t="s">
        <v>140</v>
      </c>
      <c r="I492" t="s">
        <v>12</v>
      </c>
      <c r="J492" t="s">
        <v>19</v>
      </c>
    </row>
    <row r="493" spans="1:10" x14ac:dyDescent="0.3">
      <c r="A493" t="s">
        <v>1510</v>
      </c>
      <c r="B493" t="s">
        <v>1511</v>
      </c>
      <c r="C493" t="str">
        <f>TRIM(PROPER(Ecustom_DB[[#This Row],[Name]]))</f>
        <v>Kaitlin Brown</v>
      </c>
      <c r="D493">
        <v>52</v>
      </c>
      <c r="E493" t="s">
        <v>16</v>
      </c>
      <c r="F493" t="s">
        <v>1512</v>
      </c>
      <c r="G493" t="str">
        <f>TRIM(PROPER(Ecustom_DB[[#This Row],[City]]))</f>
        <v>Kellyberg</v>
      </c>
      <c r="H493" t="s">
        <v>39</v>
      </c>
      <c r="I493" t="s">
        <v>12</v>
      </c>
      <c r="J493" t="s">
        <v>13</v>
      </c>
    </row>
    <row r="494" spans="1:10" x14ac:dyDescent="0.3">
      <c r="A494" t="s">
        <v>1513</v>
      </c>
      <c r="B494" t="s">
        <v>1514</v>
      </c>
      <c r="C494" t="str">
        <f>TRIM(PROPER(Ecustom_DB[[#This Row],[Name]]))</f>
        <v>Darrell Miller</v>
      </c>
      <c r="D494">
        <v>59</v>
      </c>
      <c r="E494" t="s">
        <v>16</v>
      </c>
      <c r="F494" t="s">
        <v>1515</v>
      </c>
      <c r="G494" t="str">
        <f>TRIM(PROPER(Ecustom_DB[[#This Row],[City]]))</f>
        <v>Port Carol</v>
      </c>
      <c r="H494" t="s">
        <v>250</v>
      </c>
      <c r="I494" t="s">
        <v>12</v>
      </c>
      <c r="J494" t="s">
        <v>19</v>
      </c>
    </row>
    <row r="495" spans="1:10" x14ac:dyDescent="0.3">
      <c r="A495" t="s">
        <v>1516</v>
      </c>
      <c r="B495" t="s">
        <v>1517</v>
      </c>
      <c r="C495" t="str">
        <f>TRIM(PROPER(Ecustom_DB[[#This Row],[Name]]))</f>
        <v>Amanda Powell</v>
      </c>
      <c r="D495">
        <v>28</v>
      </c>
      <c r="E495" t="s">
        <v>9</v>
      </c>
      <c r="F495" t="s">
        <v>84</v>
      </c>
      <c r="G495" t="str">
        <f>TRIM(PROPER(Ecustom_DB[[#This Row],[City]]))</f>
        <v>South William</v>
      </c>
      <c r="H495" t="s">
        <v>22</v>
      </c>
      <c r="I495" t="s">
        <v>12</v>
      </c>
      <c r="J495" t="s">
        <v>31</v>
      </c>
    </row>
    <row r="496" spans="1:10" x14ac:dyDescent="0.3">
      <c r="A496" t="s">
        <v>1518</v>
      </c>
      <c r="B496" t="s">
        <v>1519</v>
      </c>
      <c r="C496" t="str">
        <f>TRIM(PROPER(Ecustom_DB[[#This Row],[Name]]))</f>
        <v>Justin Lopez</v>
      </c>
      <c r="D496">
        <v>21</v>
      </c>
      <c r="E496" t="s">
        <v>9</v>
      </c>
      <c r="F496" t="s">
        <v>1520</v>
      </c>
      <c r="G496" t="str">
        <f>TRIM(PROPER(Ecustom_DB[[#This Row],[City]]))</f>
        <v>Port Cheryl</v>
      </c>
      <c r="H496" t="s">
        <v>359</v>
      </c>
      <c r="I496" t="s">
        <v>12</v>
      </c>
      <c r="J496" t="s">
        <v>13</v>
      </c>
    </row>
    <row r="497" spans="1:10" x14ac:dyDescent="0.3">
      <c r="A497" t="s">
        <v>1521</v>
      </c>
      <c r="B497" t="s">
        <v>1522</v>
      </c>
      <c r="C497" t="str">
        <f>TRIM(PROPER(Ecustom_DB[[#This Row],[Name]]))</f>
        <v>James Berger</v>
      </c>
      <c r="D497">
        <v>23</v>
      </c>
      <c r="E497" t="s">
        <v>16</v>
      </c>
      <c r="F497" t="s">
        <v>1523</v>
      </c>
      <c r="G497" t="str">
        <f>TRIM(PROPER(Ecustom_DB[[#This Row],[City]]))</f>
        <v>Bryanmouth</v>
      </c>
      <c r="H497" t="s">
        <v>92</v>
      </c>
      <c r="I497" t="s">
        <v>12</v>
      </c>
      <c r="J497" t="s">
        <v>26</v>
      </c>
    </row>
    <row r="498" spans="1:10" x14ac:dyDescent="0.3">
      <c r="A498" t="s">
        <v>1524</v>
      </c>
      <c r="B498" t="s">
        <v>1525</v>
      </c>
      <c r="C498" t="str">
        <f>TRIM(PROPER(Ecustom_DB[[#This Row],[Name]]))</f>
        <v>Christopher Ford</v>
      </c>
      <c r="D498">
        <v>56</v>
      </c>
      <c r="E498" t="s">
        <v>9</v>
      </c>
      <c r="F498" t="s">
        <v>1526</v>
      </c>
      <c r="G498" t="str">
        <f>TRIM(PROPER(Ecustom_DB[[#This Row],[City]]))</f>
        <v>North Seanfurt</v>
      </c>
      <c r="H498" t="s">
        <v>25</v>
      </c>
      <c r="I498" t="s">
        <v>12</v>
      </c>
      <c r="J498" t="s">
        <v>26</v>
      </c>
    </row>
    <row r="499" spans="1:10" x14ac:dyDescent="0.3">
      <c r="A499" t="s">
        <v>1527</v>
      </c>
      <c r="B499" t="s">
        <v>1528</v>
      </c>
      <c r="C499" t="str">
        <f>TRIM(PROPER(Ecustom_DB[[#This Row],[Name]]))</f>
        <v>Sarah Marsh</v>
      </c>
      <c r="D499">
        <v>47</v>
      </c>
      <c r="E499" t="s">
        <v>16</v>
      </c>
      <c r="F499" t="s">
        <v>1529</v>
      </c>
      <c r="G499" t="str">
        <f>TRIM(PROPER(Ecustom_DB[[#This Row],[City]]))</f>
        <v>Port William</v>
      </c>
      <c r="H499" t="s">
        <v>58</v>
      </c>
      <c r="I499" t="s">
        <v>12</v>
      </c>
      <c r="J499" t="s">
        <v>13</v>
      </c>
    </row>
    <row r="500" spans="1:10" x14ac:dyDescent="0.3">
      <c r="A500" t="s">
        <v>1530</v>
      </c>
      <c r="B500" t="s">
        <v>1531</v>
      </c>
      <c r="C500" t="str">
        <f>TRIM(PROPER(Ecustom_DB[[#This Row],[Name]]))</f>
        <v>Traci Gonzalez</v>
      </c>
      <c r="D500">
        <v>35</v>
      </c>
      <c r="E500" t="s">
        <v>9</v>
      </c>
      <c r="F500" t="s">
        <v>1532</v>
      </c>
      <c r="G500" t="str">
        <f>TRIM(PROPER(Ecustom_DB[[#This Row],[City]]))</f>
        <v>Snyderfurt</v>
      </c>
      <c r="H500" t="s">
        <v>233</v>
      </c>
      <c r="I500" t="s">
        <v>12</v>
      </c>
      <c r="J500" t="s">
        <v>31</v>
      </c>
    </row>
    <row r="501" spans="1:10" x14ac:dyDescent="0.3">
      <c r="A501" t="s">
        <v>1533</v>
      </c>
      <c r="B501" t="s">
        <v>1534</v>
      </c>
      <c r="C501" t="str">
        <f>TRIM(PROPER(Ecustom_DB[[#This Row],[Name]]))</f>
        <v>Philip Pennington</v>
      </c>
      <c r="D501">
        <v>27</v>
      </c>
      <c r="E501" t="s">
        <v>16</v>
      </c>
      <c r="F501" t="s">
        <v>1535</v>
      </c>
      <c r="G501" t="str">
        <f>TRIM(PROPER(Ecustom_DB[[#This Row],[City]]))</f>
        <v>East Valerieview</v>
      </c>
      <c r="H501" t="s">
        <v>35</v>
      </c>
      <c r="I501" t="s">
        <v>12</v>
      </c>
      <c r="J501" t="s">
        <v>19</v>
      </c>
    </row>
  </sheetData>
  <phoneticPr fontId="6"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topLeftCell="B1" workbookViewId="0">
      <selection activeCell="J11" sqref="J11"/>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 min="6" max="6" width="15.109375" customWidth="1"/>
    <col min="7" max="7" width="16.77734375" bestFit="1" customWidth="1"/>
    <col min="8" max="8" width="12.88671875" customWidth="1"/>
    <col min="9" max="9" width="17.88671875" bestFit="1" customWidth="1"/>
  </cols>
  <sheetData>
    <row r="1" spans="1:9" x14ac:dyDescent="0.3">
      <c r="A1" s="1" t="s">
        <v>1536</v>
      </c>
      <c r="B1" s="1" t="s">
        <v>1537</v>
      </c>
      <c r="C1" s="1" t="s">
        <v>1538</v>
      </c>
      <c r="D1" s="1" t="s">
        <v>1539</v>
      </c>
      <c r="E1" s="1" t="s">
        <v>1540</v>
      </c>
      <c r="F1" s="1" t="s">
        <v>1541</v>
      </c>
      <c r="G1" s="8" t="s">
        <v>3965</v>
      </c>
      <c r="H1" s="1" t="s">
        <v>1542</v>
      </c>
      <c r="I1" s="8" t="s">
        <v>3966</v>
      </c>
    </row>
    <row r="2" spans="1:9" x14ac:dyDescent="0.3">
      <c r="A2" t="s">
        <v>1543</v>
      </c>
      <c r="B2" t="s">
        <v>3838</v>
      </c>
      <c r="C2" t="s">
        <v>1563</v>
      </c>
      <c r="D2" t="s">
        <v>3839</v>
      </c>
      <c r="E2" t="s">
        <v>1545</v>
      </c>
      <c r="F2">
        <v>112.42</v>
      </c>
      <c r="G2" s="9">
        <f>IF(ISBLANK(Eproduct_DB[[#This Row],[Cost]]),AVERAGEIF(Eproduct_DB[Sub_Category],Eproduct_DB[[#This Row],[Sub_Category]],Eproduct_DB[Cost]),Eproduct_DB[[#This Row],[Cost]])</f>
        <v>112.42</v>
      </c>
      <c r="H2">
        <v>416</v>
      </c>
      <c r="I2">
        <f>IF(ISBLANK(Eproduct_DB[[#This Row],[Stock]]),AVERAGEIFS(Eproduct_DB[Stock],Eproduct_DB[Category],Eproduct_DB[[#This Row],[Category]],Eproduct_DB[Sub_Category],Eproduct_DB[[#This Row],[Sub_Category]]),Eproduct_DB[[#This Row],[Stock]])</f>
        <v>416</v>
      </c>
    </row>
    <row r="3" spans="1:9" x14ac:dyDescent="0.3">
      <c r="A3" t="s">
        <v>1546</v>
      </c>
      <c r="B3" t="s">
        <v>3840</v>
      </c>
      <c r="C3" t="s">
        <v>1547</v>
      </c>
      <c r="D3" t="s">
        <v>3841</v>
      </c>
      <c r="E3" t="s">
        <v>1548</v>
      </c>
      <c r="F3">
        <v>342.56</v>
      </c>
      <c r="G3" s="9">
        <f>IF(ISBLANK(Eproduct_DB[[#This Row],[Cost]]),AVERAGEIF(Eproduct_DB[Sub_Category],Eproduct_DB[[#This Row],[Sub_Category]],Eproduct_DB[Cost]),Eproduct_DB[[#This Row],[Cost]])</f>
        <v>342.56</v>
      </c>
      <c r="H3">
        <v>181</v>
      </c>
      <c r="I3">
        <f>IF(ISBLANK(Eproduct_DB[[#This Row],[Stock]]),AVERAGEIFS(Eproduct_DB[Stock],Eproduct_DB[Category],Eproduct_DB[[#This Row],[Category]],Eproduct_DB[Sub_Category],Eproduct_DB[[#This Row],[Sub_Category]]),Eproduct_DB[[#This Row],[Stock]])</f>
        <v>181</v>
      </c>
    </row>
    <row r="4" spans="1:9" x14ac:dyDescent="0.3">
      <c r="A4" t="s">
        <v>1549</v>
      </c>
      <c r="B4" t="s">
        <v>3842</v>
      </c>
      <c r="C4" t="s">
        <v>1547</v>
      </c>
      <c r="D4" t="s">
        <v>3843</v>
      </c>
      <c r="E4" t="s">
        <v>1550</v>
      </c>
      <c r="G4" s="9">
        <f>IF(ISBLANK(Eproduct_DB[[#This Row],[Cost]]),AVERAGEIF(Eproduct_DB[Sub_Category],Eproduct_DB[[#This Row],[Sub_Category]],Eproduct_DB[Cost]),Eproduct_DB[[#This Row],[Cost]])</f>
        <v>296.82666666666665</v>
      </c>
      <c r="H4">
        <v>352</v>
      </c>
      <c r="I4">
        <f>IF(ISBLANK(Eproduct_DB[[#This Row],[Stock]]),AVERAGEIFS(Eproduct_DB[Stock],Eproduct_DB[Category],Eproduct_DB[[#This Row],[Category]],Eproduct_DB[Sub_Category],Eproduct_DB[[#This Row],[Sub_Category]]),Eproduct_DB[[#This Row],[Stock]])</f>
        <v>352</v>
      </c>
    </row>
    <row r="5" spans="1:9" x14ac:dyDescent="0.3">
      <c r="A5" t="s">
        <v>1551</v>
      </c>
      <c r="B5" t="s">
        <v>3844</v>
      </c>
      <c r="C5" t="s">
        <v>1547</v>
      </c>
      <c r="D5" t="s">
        <v>3843</v>
      </c>
      <c r="E5" t="s">
        <v>1552</v>
      </c>
      <c r="F5">
        <v>364.67</v>
      </c>
      <c r="G5" s="9">
        <f>IF(ISBLANK(Eproduct_DB[[#This Row],[Cost]]),AVERAGEIF(Eproduct_DB[Sub_Category],Eproduct_DB[[#This Row],[Sub_Category]],Eproduct_DB[Cost]),Eproduct_DB[[#This Row],[Cost]])</f>
        <v>364.67</v>
      </c>
      <c r="H5">
        <v>452</v>
      </c>
      <c r="I5">
        <f>IF(ISBLANK(Eproduct_DB[[#This Row],[Stock]]),AVERAGEIFS(Eproduct_DB[Stock],Eproduct_DB[Category],Eproduct_DB[[#This Row],[Category]],Eproduct_DB[Sub_Category],Eproduct_DB[[#This Row],[Sub_Category]]),Eproduct_DB[[#This Row],[Stock]])</f>
        <v>452</v>
      </c>
    </row>
    <row r="6" spans="1:9" x14ac:dyDescent="0.3">
      <c r="A6" t="s">
        <v>1553</v>
      </c>
      <c r="B6" t="s">
        <v>3845</v>
      </c>
      <c r="C6" t="s">
        <v>1547</v>
      </c>
      <c r="D6" t="s">
        <v>3846</v>
      </c>
      <c r="E6" t="s">
        <v>1554</v>
      </c>
      <c r="F6">
        <v>306.45999999999998</v>
      </c>
      <c r="G6" s="9">
        <f>IF(ISBLANK(Eproduct_DB[[#This Row],[Cost]]),AVERAGEIF(Eproduct_DB[Sub_Category],Eproduct_DB[[#This Row],[Sub_Category]],Eproduct_DB[Cost]),Eproduct_DB[[#This Row],[Cost]])</f>
        <v>306.45999999999998</v>
      </c>
      <c r="H6">
        <v>487</v>
      </c>
      <c r="I6">
        <f>IF(ISBLANK(Eproduct_DB[[#This Row],[Stock]]),AVERAGEIFS(Eproduct_DB[Stock],Eproduct_DB[Category],Eproduct_DB[[#This Row],[Category]],Eproduct_DB[Sub_Category],Eproduct_DB[[#This Row],[Sub_Category]]),Eproduct_DB[[#This Row],[Stock]])</f>
        <v>487</v>
      </c>
    </row>
    <row r="7" spans="1:9" x14ac:dyDescent="0.3">
      <c r="A7" t="s">
        <v>1555</v>
      </c>
      <c r="B7" t="s">
        <v>3847</v>
      </c>
      <c r="C7" t="s">
        <v>1547</v>
      </c>
      <c r="D7" t="s">
        <v>3848</v>
      </c>
      <c r="E7" t="s">
        <v>1556</v>
      </c>
      <c r="F7">
        <v>261</v>
      </c>
      <c r="G7" s="9">
        <f>IF(ISBLANK(Eproduct_DB[[#This Row],[Cost]]),AVERAGEIF(Eproduct_DB[Sub_Category],Eproduct_DB[[#This Row],[Sub_Category]],Eproduct_DB[Cost]),Eproduct_DB[[#This Row],[Cost]])</f>
        <v>261</v>
      </c>
      <c r="H7">
        <v>59</v>
      </c>
      <c r="I7">
        <f>IF(ISBLANK(Eproduct_DB[[#This Row],[Stock]]),AVERAGEIFS(Eproduct_DB[Stock],Eproduct_DB[Category],Eproduct_DB[[#This Row],[Category]],Eproduct_DB[Sub_Category],Eproduct_DB[[#This Row],[Sub_Category]]),Eproduct_DB[[#This Row],[Stock]])</f>
        <v>59</v>
      </c>
    </row>
    <row r="8" spans="1:9" x14ac:dyDescent="0.3">
      <c r="A8" t="s">
        <v>1557</v>
      </c>
      <c r="B8" t="s">
        <v>3849</v>
      </c>
      <c r="C8" t="s">
        <v>1558</v>
      </c>
      <c r="D8" t="s">
        <v>3850</v>
      </c>
      <c r="E8" t="s">
        <v>1559</v>
      </c>
      <c r="F8">
        <v>312.8</v>
      </c>
      <c r="G8" s="9">
        <f>IF(ISBLANK(Eproduct_DB[[#This Row],[Cost]]),AVERAGEIF(Eproduct_DB[Sub_Category],Eproduct_DB[[#This Row],[Sub_Category]],Eproduct_DB[Cost]),Eproduct_DB[[#This Row],[Cost]])</f>
        <v>312.8</v>
      </c>
      <c r="H8">
        <v>350</v>
      </c>
      <c r="I8">
        <f>IF(ISBLANK(Eproduct_DB[[#This Row],[Stock]]),AVERAGEIFS(Eproduct_DB[Stock],Eproduct_DB[Category],Eproduct_DB[[#This Row],[Category]],Eproduct_DB[Sub_Category],Eproduct_DB[[#This Row],[Sub_Category]]),Eproduct_DB[[#This Row],[Stock]])</f>
        <v>350</v>
      </c>
    </row>
    <row r="9" spans="1:9" x14ac:dyDescent="0.3">
      <c r="A9" t="s">
        <v>1560</v>
      </c>
      <c r="B9" t="s">
        <v>3851</v>
      </c>
      <c r="C9" t="s">
        <v>1544</v>
      </c>
      <c r="D9" t="s">
        <v>3852</v>
      </c>
      <c r="E9" t="s">
        <v>1561</v>
      </c>
      <c r="F9">
        <v>218.86</v>
      </c>
      <c r="G9" s="9">
        <f>IF(ISBLANK(Eproduct_DB[[#This Row],[Cost]]),AVERAGEIF(Eproduct_DB[Sub_Category],Eproduct_DB[[#This Row],[Sub_Category]],Eproduct_DB[Cost]),Eproduct_DB[[#This Row],[Cost]])</f>
        <v>218.86</v>
      </c>
      <c r="H9">
        <v>170</v>
      </c>
      <c r="I9">
        <f>IF(ISBLANK(Eproduct_DB[[#This Row],[Stock]]),AVERAGEIFS(Eproduct_DB[Stock],Eproduct_DB[Category],Eproduct_DB[[#This Row],[Category]],Eproduct_DB[Sub_Category],Eproduct_DB[[#This Row],[Sub_Category]]),Eproduct_DB[[#This Row],[Stock]])</f>
        <v>170</v>
      </c>
    </row>
    <row r="10" spans="1:9" x14ac:dyDescent="0.3">
      <c r="A10" t="s">
        <v>1562</v>
      </c>
      <c r="B10" t="s">
        <v>3853</v>
      </c>
      <c r="C10" t="s">
        <v>1563</v>
      </c>
      <c r="D10" t="s">
        <v>3854</v>
      </c>
      <c r="E10" t="s">
        <v>1564</v>
      </c>
      <c r="F10">
        <v>439.07</v>
      </c>
      <c r="G10" s="9">
        <f>IF(ISBLANK(Eproduct_DB[[#This Row],[Cost]]),AVERAGEIF(Eproduct_DB[Sub_Category],Eproduct_DB[[#This Row],[Sub_Category]],Eproduct_DB[Cost]),Eproduct_DB[[#This Row],[Cost]])</f>
        <v>439.07</v>
      </c>
      <c r="H10">
        <v>142</v>
      </c>
      <c r="I10">
        <f>IF(ISBLANK(Eproduct_DB[[#This Row],[Stock]]),AVERAGEIFS(Eproduct_DB[Stock],Eproduct_DB[Category],Eproduct_DB[[#This Row],[Category]],Eproduct_DB[Sub_Category],Eproduct_DB[[#This Row],[Sub_Category]]),Eproduct_DB[[#This Row],[Stock]])</f>
        <v>142</v>
      </c>
    </row>
    <row r="11" spans="1:9" x14ac:dyDescent="0.3">
      <c r="A11" t="s">
        <v>1565</v>
      </c>
      <c r="B11" t="s">
        <v>3855</v>
      </c>
      <c r="C11" t="s">
        <v>1566</v>
      </c>
      <c r="D11" t="s">
        <v>3856</v>
      </c>
      <c r="E11" t="s">
        <v>1567</v>
      </c>
      <c r="F11">
        <v>495.72</v>
      </c>
      <c r="G11" s="9">
        <f>IF(ISBLANK(Eproduct_DB[[#This Row],[Cost]]),AVERAGEIF(Eproduct_DB[Sub_Category],Eproduct_DB[[#This Row],[Sub_Category]],Eproduct_DB[Cost]),Eproduct_DB[[#This Row],[Cost]])</f>
        <v>495.72</v>
      </c>
      <c r="H11">
        <v>323</v>
      </c>
      <c r="I11">
        <f>IF(ISBLANK(Eproduct_DB[[#This Row],[Stock]]),AVERAGEIFS(Eproduct_DB[Stock],Eproduct_DB[Category],Eproduct_DB[[#This Row],[Category]],Eproduct_DB[Sub_Category],Eproduct_DB[[#This Row],[Sub_Category]]),Eproduct_DB[[#This Row],[Stock]])</f>
        <v>323</v>
      </c>
    </row>
    <row r="12" spans="1:9" x14ac:dyDescent="0.3">
      <c r="A12" t="s">
        <v>1568</v>
      </c>
      <c r="B12" t="s">
        <v>3857</v>
      </c>
      <c r="C12" t="s">
        <v>1544</v>
      </c>
      <c r="D12" t="s">
        <v>3858</v>
      </c>
      <c r="E12" t="s">
        <v>1569</v>
      </c>
      <c r="F12">
        <v>298.86</v>
      </c>
      <c r="G12" s="9">
        <f>IF(ISBLANK(Eproduct_DB[[#This Row],[Cost]]),AVERAGEIF(Eproduct_DB[Sub_Category],Eproduct_DB[[#This Row],[Sub_Category]],Eproduct_DB[Cost]),Eproduct_DB[[#This Row],[Cost]])</f>
        <v>298.86</v>
      </c>
      <c r="H12">
        <v>308</v>
      </c>
      <c r="I12">
        <f>IF(ISBLANK(Eproduct_DB[[#This Row],[Stock]]),AVERAGEIFS(Eproduct_DB[Stock],Eproduct_DB[Category],Eproduct_DB[[#This Row],[Category]],Eproduct_DB[Sub_Category],Eproduct_DB[[#This Row],[Sub_Category]]),Eproduct_DB[[#This Row],[Stock]])</f>
        <v>308</v>
      </c>
    </row>
    <row r="13" spans="1:9" x14ac:dyDescent="0.3">
      <c r="A13" t="s">
        <v>1570</v>
      </c>
      <c r="B13" t="s">
        <v>3859</v>
      </c>
      <c r="C13" t="s">
        <v>1563</v>
      </c>
      <c r="D13" t="s">
        <v>3848</v>
      </c>
      <c r="E13" t="s">
        <v>1571</v>
      </c>
      <c r="F13">
        <v>449.4</v>
      </c>
      <c r="G13" s="9">
        <f>IF(ISBLANK(Eproduct_DB[[#This Row],[Cost]]),AVERAGEIF(Eproduct_DB[Sub_Category],Eproduct_DB[[#This Row],[Sub_Category]],Eproduct_DB[Cost]),Eproduct_DB[[#This Row],[Cost]])</f>
        <v>449.4</v>
      </c>
      <c r="I13" s="17">
        <f>IF(ISBLANK(Eproduct_DB[[#This Row],[Stock]]),AVERAGEIFS(Eproduct_DB[Stock],Eproduct_DB[Category],Eproduct_DB[[#This Row],[Category]],Eproduct_DB[Sub_Category],Eproduct_DB[[#This Row],[Sub_Category]]),Eproduct_DB[[#This Row],[Stock]])</f>
        <v>338</v>
      </c>
    </row>
    <row r="14" spans="1:9" x14ac:dyDescent="0.3">
      <c r="A14" t="s">
        <v>1572</v>
      </c>
      <c r="B14" t="s">
        <v>3860</v>
      </c>
      <c r="C14" t="s">
        <v>1558</v>
      </c>
      <c r="D14" t="s">
        <v>3861</v>
      </c>
      <c r="E14" t="s">
        <v>1573</v>
      </c>
      <c r="F14">
        <v>115.82</v>
      </c>
      <c r="G14" s="9">
        <f>IF(ISBLANK(Eproduct_DB[[#This Row],[Cost]]),AVERAGEIF(Eproduct_DB[Sub_Category],Eproduct_DB[[#This Row],[Sub_Category]],Eproduct_DB[Cost]),Eproduct_DB[[#This Row],[Cost]])</f>
        <v>115.82</v>
      </c>
      <c r="H14">
        <v>460</v>
      </c>
      <c r="I14">
        <f>IF(ISBLANK(Eproduct_DB[[#This Row],[Stock]]),AVERAGEIFS(Eproduct_DB[Stock],Eproduct_DB[Category],Eproduct_DB[[#This Row],[Category]],Eproduct_DB[Sub_Category],Eproduct_DB[[#This Row],[Sub_Category]]),Eproduct_DB[[#This Row],[Stock]])</f>
        <v>460</v>
      </c>
    </row>
    <row r="15" spans="1:9" x14ac:dyDescent="0.3">
      <c r="A15" t="s">
        <v>1574</v>
      </c>
      <c r="B15" t="s">
        <v>3862</v>
      </c>
      <c r="C15" t="s">
        <v>1563</v>
      </c>
      <c r="D15" t="s">
        <v>3848</v>
      </c>
      <c r="E15" t="s">
        <v>1575</v>
      </c>
      <c r="F15">
        <v>242.23</v>
      </c>
      <c r="G15" s="9">
        <f>IF(ISBLANK(Eproduct_DB[[#This Row],[Cost]]),AVERAGEIF(Eproduct_DB[Sub_Category],Eproduct_DB[[#This Row],[Sub_Category]],Eproduct_DB[Cost]),Eproduct_DB[[#This Row],[Cost]])</f>
        <v>242.23</v>
      </c>
      <c r="H15">
        <v>453</v>
      </c>
      <c r="I15">
        <f>IF(ISBLANK(Eproduct_DB[[#This Row],[Stock]]),AVERAGEIFS(Eproduct_DB[Stock],Eproduct_DB[Category],Eproduct_DB[[#This Row],[Category]],Eproduct_DB[Sub_Category],Eproduct_DB[[#This Row],[Sub_Category]]),Eproduct_DB[[#This Row],[Stock]])</f>
        <v>453</v>
      </c>
    </row>
    <row r="16" spans="1:9" x14ac:dyDescent="0.3">
      <c r="A16" t="s">
        <v>1576</v>
      </c>
      <c r="B16" t="s">
        <v>3863</v>
      </c>
      <c r="C16" t="s">
        <v>1544</v>
      </c>
      <c r="D16" t="s">
        <v>3864</v>
      </c>
      <c r="E16" t="s">
        <v>1577</v>
      </c>
      <c r="F16">
        <v>48.01</v>
      </c>
      <c r="G16" s="9">
        <f>IF(ISBLANK(Eproduct_DB[[#This Row],[Cost]]),AVERAGEIF(Eproduct_DB[Sub_Category],Eproduct_DB[[#This Row],[Sub_Category]],Eproduct_DB[Cost]),Eproduct_DB[[#This Row],[Cost]])</f>
        <v>48.01</v>
      </c>
      <c r="H16">
        <v>439</v>
      </c>
      <c r="I16">
        <f>IF(ISBLANK(Eproduct_DB[[#This Row],[Stock]]),AVERAGEIFS(Eproduct_DB[Stock],Eproduct_DB[Category],Eproduct_DB[[#This Row],[Category]],Eproduct_DB[Sub_Category],Eproduct_DB[[#This Row],[Sub_Category]]),Eproduct_DB[[#This Row],[Stock]])</f>
        <v>439</v>
      </c>
    </row>
    <row r="17" spans="1:9" x14ac:dyDescent="0.3">
      <c r="A17" t="s">
        <v>1578</v>
      </c>
      <c r="B17" t="s">
        <v>3865</v>
      </c>
      <c r="C17" t="s">
        <v>1563</v>
      </c>
      <c r="D17" t="s">
        <v>3866</v>
      </c>
      <c r="E17" t="s">
        <v>1579</v>
      </c>
      <c r="F17">
        <v>465.34</v>
      </c>
      <c r="G17" s="9">
        <f>IF(ISBLANK(Eproduct_DB[[#This Row],[Cost]]),AVERAGEIF(Eproduct_DB[Sub_Category],Eproduct_DB[[#This Row],[Sub_Category]],Eproduct_DB[Cost]),Eproduct_DB[[#This Row],[Cost]])</f>
        <v>465.34</v>
      </c>
      <c r="H17">
        <v>301</v>
      </c>
      <c r="I17">
        <f>IF(ISBLANK(Eproduct_DB[[#This Row],[Stock]]),AVERAGEIFS(Eproduct_DB[Stock],Eproduct_DB[Category],Eproduct_DB[[#This Row],[Category]],Eproduct_DB[Sub_Category],Eproduct_DB[[#This Row],[Sub_Category]]),Eproduct_DB[[#This Row],[Stock]])</f>
        <v>301</v>
      </c>
    </row>
    <row r="18" spans="1:9" x14ac:dyDescent="0.3">
      <c r="A18" t="s">
        <v>1580</v>
      </c>
      <c r="B18" t="s">
        <v>3867</v>
      </c>
      <c r="C18" t="s">
        <v>1558</v>
      </c>
      <c r="D18" t="s">
        <v>3868</v>
      </c>
      <c r="E18" t="s">
        <v>1581</v>
      </c>
      <c r="F18">
        <v>337.42</v>
      </c>
      <c r="G18" s="9">
        <f>IF(ISBLANK(Eproduct_DB[[#This Row],[Cost]]),AVERAGEIF(Eproduct_DB[Sub_Category],Eproduct_DB[[#This Row],[Sub_Category]],Eproduct_DB[Cost]),Eproduct_DB[[#This Row],[Cost]])</f>
        <v>337.42</v>
      </c>
      <c r="H18">
        <v>256</v>
      </c>
      <c r="I18">
        <f>IF(ISBLANK(Eproduct_DB[[#This Row],[Stock]]),AVERAGEIFS(Eproduct_DB[Stock],Eproduct_DB[Category],Eproduct_DB[[#This Row],[Category]],Eproduct_DB[Sub_Category],Eproduct_DB[[#This Row],[Sub_Category]]),Eproduct_DB[[#This Row],[Stock]])</f>
        <v>256</v>
      </c>
    </row>
    <row r="19" spans="1:9" x14ac:dyDescent="0.3">
      <c r="A19" t="s">
        <v>1582</v>
      </c>
      <c r="B19" t="s">
        <v>3869</v>
      </c>
      <c r="C19" t="s">
        <v>1566</v>
      </c>
      <c r="D19" t="s">
        <v>3848</v>
      </c>
      <c r="E19" t="s">
        <v>1583</v>
      </c>
      <c r="F19">
        <v>144.53</v>
      </c>
      <c r="G19" s="9">
        <f>IF(ISBLANK(Eproduct_DB[[#This Row],[Cost]]),AVERAGEIF(Eproduct_DB[Sub_Category],Eproduct_DB[[#This Row],[Sub_Category]],Eproduct_DB[Cost]),Eproduct_DB[[#This Row],[Cost]])</f>
        <v>144.53</v>
      </c>
      <c r="H19">
        <v>367</v>
      </c>
      <c r="I19">
        <f>IF(ISBLANK(Eproduct_DB[[#This Row],[Stock]]),AVERAGEIFS(Eproduct_DB[Stock],Eproduct_DB[Category],Eproduct_DB[[#This Row],[Category]],Eproduct_DB[Sub_Category],Eproduct_DB[[#This Row],[Sub_Category]]),Eproduct_DB[[#This Row],[Stock]])</f>
        <v>367</v>
      </c>
    </row>
    <row r="20" spans="1:9" x14ac:dyDescent="0.3">
      <c r="A20" t="s">
        <v>1584</v>
      </c>
      <c r="B20" t="s">
        <v>3870</v>
      </c>
      <c r="C20" t="s">
        <v>1547</v>
      </c>
      <c r="D20" t="s">
        <v>3846</v>
      </c>
      <c r="E20" t="s">
        <v>1585</v>
      </c>
      <c r="G20" s="9">
        <f>IF(ISBLANK(Eproduct_DB[[#This Row],[Cost]]),AVERAGEIF(Eproduct_DB[Sub_Category],Eproduct_DB[[#This Row],[Sub_Category]],Eproduct_DB[Cost]),Eproduct_DB[[#This Row],[Cost]])</f>
        <v>303.74666666666667</v>
      </c>
      <c r="H20">
        <v>343</v>
      </c>
      <c r="I20">
        <f>IF(ISBLANK(Eproduct_DB[[#This Row],[Stock]]),AVERAGEIFS(Eproduct_DB[Stock],Eproduct_DB[Category],Eproduct_DB[[#This Row],[Category]],Eproduct_DB[Sub_Category],Eproduct_DB[[#This Row],[Sub_Category]]),Eproduct_DB[[#This Row],[Stock]])</f>
        <v>343</v>
      </c>
    </row>
    <row r="21" spans="1:9" x14ac:dyDescent="0.3">
      <c r="A21" t="s">
        <v>1586</v>
      </c>
      <c r="B21" t="s">
        <v>3871</v>
      </c>
      <c r="C21" t="s">
        <v>1566</v>
      </c>
      <c r="D21" t="s">
        <v>3872</v>
      </c>
      <c r="E21" t="s">
        <v>1587</v>
      </c>
      <c r="F21">
        <v>21.34</v>
      </c>
      <c r="G21" s="9">
        <f>IF(ISBLANK(Eproduct_DB[[#This Row],[Cost]]),AVERAGEIF(Eproduct_DB[Sub_Category],Eproduct_DB[[#This Row],[Sub_Category]],Eproduct_DB[Cost]),Eproduct_DB[[#This Row],[Cost]])</f>
        <v>21.34</v>
      </c>
      <c r="H21">
        <v>65</v>
      </c>
      <c r="I21">
        <f>IF(ISBLANK(Eproduct_DB[[#This Row],[Stock]]),AVERAGEIFS(Eproduct_DB[Stock],Eproduct_DB[Category],Eproduct_DB[[#This Row],[Category]],Eproduct_DB[Sub_Category],Eproduct_DB[[#This Row],[Sub_Category]]),Eproduct_DB[[#This Row],[Stock]])</f>
        <v>65</v>
      </c>
    </row>
    <row r="22" spans="1:9" x14ac:dyDescent="0.3">
      <c r="A22" t="s">
        <v>1588</v>
      </c>
      <c r="B22" t="s">
        <v>3873</v>
      </c>
      <c r="C22" t="s">
        <v>1566</v>
      </c>
      <c r="D22" t="s">
        <v>3848</v>
      </c>
      <c r="E22" t="s">
        <v>1589</v>
      </c>
      <c r="F22">
        <v>131.51</v>
      </c>
      <c r="G22" s="9">
        <f>IF(ISBLANK(Eproduct_DB[[#This Row],[Cost]]),AVERAGEIF(Eproduct_DB[Sub_Category],Eproduct_DB[[#This Row],[Sub_Category]],Eproduct_DB[Cost]),Eproduct_DB[[#This Row],[Cost]])</f>
        <v>131.51</v>
      </c>
      <c r="I22" s="18">
        <f>IF(ISBLANK(Eproduct_DB[[#This Row],[Stock]]),AVERAGEIFS(Eproduct_DB[Stock],Eproduct_DB[Category],Eproduct_DB[[#This Row],[Category]],Eproduct_DB[Sub_Category],Eproduct_DB[[#This Row],[Sub_Category]]),Eproduct_DB[[#This Row],[Stock]])</f>
        <v>199.2</v>
      </c>
    </row>
    <row r="23" spans="1:9" x14ac:dyDescent="0.3">
      <c r="A23" t="s">
        <v>1590</v>
      </c>
      <c r="B23" t="s">
        <v>3874</v>
      </c>
      <c r="C23" t="s">
        <v>1544</v>
      </c>
      <c r="D23" t="s">
        <v>3875</v>
      </c>
      <c r="E23" t="s">
        <v>1591</v>
      </c>
      <c r="F23">
        <v>123.46</v>
      </c>
      <c r="G23" s="9">
        <f>IF(ISBLANK(Eproduct_DB[[#This Row],[Cost]]),AVERAGEIF(Eproduct_DB[Sub_Category],Eproduct_DB[[#This Row],[Sub_Category]],Eproduct_DB[Cost]),Eproduct_DB[[#This Row],[Cost]])</f>
        <v>123.46</v>
      </c>
      <c r="H23">
        <v>76</v>
      </c>
      <c r="I23">
        <f>IF(ISBLANK(Eproduct_DB[[#This Row],[Stock]]),AVERAGEIFS(Eproduct_DB[Stock],Eproduct_DB[Category],Eproduct_DB[[#This Row],[Category]],Eproduct_DB[Sub_Category],Eproduct_DB[[#This Row],[Sub_Category]]),Eproduct_DB[[#This Row],[Stock]])</f>
        <v>76</v>
      </c>
    </row>
    <row r="24" spans="1:9" x14ac:dyDescent="0.3">
      <c r="A24" t="s">
        <v>1592</v>
      </c>
      <c r="B24" t="s">
        <v>3876</v>
      </c>
      <c r="C24" t="s">
        <v>1566</v>
      </c>
      <c r="D24" t="s">
        <v>3872</v>
      </c>
      <c r="E24" t="s">
        <v>1593</v>
      </c>
      <c r="F24">
        <v>484.62</v>
      </c>
      <c r="G24" s="9">
        <f>IF(ISBLANK(Eproduct_DB[[#This Row],[Cost]]),AVERAGEIF(Eproduct_DB[Sub_Category],Eproduct_DB[[#This Row],[Sub_Category]],Eproduct_DB[Cost]),Eproduct_DB[[#This Row],[Cost]])</f>
        <v>484.62</v>
      </c>
      <c r="H24">
        <v>432</v>
      </c>
      <c r="I24">
        <f>IF(ISBLANK(Eproduct_DB[[#This Row],[Stock]]),AVERAGEIFS(Eproduct_DB[Stock],Eproduct_DB[Category],Eproduct_DB[[#This Row],[Category]],Eproduct_DB[Sub_Category],Eproduct_DB[[#This Row],[Sub_Category]]),Eproduct_DB[[#This Row],[Stock]])</f>
        <v>432</v>
      </c>
    </row>
    <row r="25" spans="1:9" x14ac:dyDescent="0.3">
      <c r="A25" t="s">
        <v>1594</v>
      </c>
      <c r="B25" t="s">
        <v>3877</v>
      </c>
      <c r="C25" t="s">
        <v>1547</v>
      </c>
      <c r="D25" t="s">
        <v>3841</v>
      </c>
      <c r="E25" t="s">
        <v>1595</v>
      </c>
      <c r="G25" s="9">
        <f>IF(ISBLANK(Eproduct_DB[[#This Row],[Cost]]),AVERAGEIF(Eproduct_DB[Sub_Category],Eproduct_DB[[#This Row],[Sub_Category]],Eproduct_DB[Cost]),Eproduct_DB[[#This Row],[Cost]])</f>
        <v>282.995</v>
      </c>
      <c r="H25">
        <v>360</v>
      </c>
      <c r="I25">
        <f>IF(ISBLANK(Eproduct_DB[[#This Row],[Stock]]),AVERAGEIFS(Eproduct_DB[Stock],Eproduct_DB[Category],Eproduct_DB[[#This Row],[Category]],Eproduct_DB[Sub_Category],Eproduct_DB[[#This Row],[Sub_Category]]),Eproduct_DB[[#This Row],[Stock]])</f>
        <v>360</v>
      </c>
    </row>
    <row r="26" spans="1:9" x14ac:dyDescent="0.3">
      <c r="A26" t="s">
        <v>1596</v>
      </c>
      <c r="B26" t="s">
        <v>3878</v>
      </c>
      <c r="C26" t="s">
        <v>1566</v>
      </c>
      <c r="D26" t="s">
        <v>3879</v>
      </c>
      <c r="E26" t="s">
        <v>1597</v>
      </c>
      <c r="F26">
        <v>166.06</v>
      </c>
      <c r="G26" s="9">
        <f>IF(ISBLANK(Eproduct_DB[[#This Row],[Cost]]),AVERAGEIF(Eproduct_DB[Sub_Category],Eproduct_DB[[#This Row],[Sub_Category]],Eproduct_DB[Cost]),Eproduct_DB[[#This Row],[Cost]])</f>
        <v>166.06</v>
      </c>
      <c r="H26">
        <v>340</v>
      </c>
      <c r="I26">
        <f>IF(ISBLANK(Eproduct_DB[[#This Row],[Stock]]),AVERAGEIFS(Eproduct_DB[Stock],Eproduct_DB[Category],Eproduct_DB[[#This Row],[Category]],Eproduct_DB[Sub_Category],Eproduct_DB[[#This Row],[Sub_Category]]),Eproduct_DB[[#This Row],[Stock]])</f>
        <v>340</v>
      </c>
    </row>
    <row r="27" spans="1:9" x14ac:dyDescent="0.3">
      <c r="A27" t="s">
        <v>1598</v>
      </c>
      <c r="B27" t="s">
        <v>3880</v>
      </c>
      <c r="C27" t="s">
        <v>1547</v>
      </c>
      <c r="D27" t="s">
        <v>3848</v>
      </c>
      <c r="E27" t="s">
        <v>1599</v>
      </c>
      <c r="F27">
        <v>174.02</v>
      </c>
      <c r="G27" s="9">
        <f>IF(ISBLANK(Eproduct_DB[[#This Row],[Cost]]),AVERAGEIF(Eproduct_DB[Sub_Category],Eproduct_DB[[#This Row],[Sub_Category]],Eproduct_DB[Cost]),Eproduct_DB[[#This Row],[Cost]])</f>
        <v>174.02</v>
      </c>
      <c r="H27">
        <v>268</v>
      </c>
      <c r="I27">
        <f>IF(ISBLANK(Eproduct_DB[[#This Row],[Stock]]),AVERAGEIFS(Eproduct_DB[Stock],Eproduct_DB[Category],Eproduct_DB[[#This Row],[Category]],Eproduct_DB[Sub_Category],Eproduct_DB[[#This Row],[Sub_Category]]),Eproduct_DB[[#This Row],[Stock]])</f>
        <v>268</v>
      </c>
    </row>
    <row r="28" spans="1:9" x14ac:dyDescent="0.3">
      <c r="A28" t="s">
        <v>1600</v>
      </c>
      <c r="B28" t="s">
        <v>3881</v>
      </c>
      <c r="C28" t="s">
        <v>1563</v>
      </c>
      <c r="D28" t="s">
        <v>3854</v>
      </c>
      <c r="E28" t="s">
        <v>1601</v>
      </c>
      <c r="F28">
        <v>322.41000000000003</v>
      </c>
      <c r="G28" s="9">
        <f>IF(ISBLANK(Eproduct_DB[[#This Row],[Cost]]),AVERAGEIF(Eproduct_DB[Sub_Category],Eproduct_DB[[#This Row],[Sub_Category]],Eproduct_DB[Cost]),Eproduct_DB[[#This Row],[Cost]])</f>
        <v>322.41000000000003</v>
      </c>
      <c r="H28">
        <v>213</v>
      </c>
      <c r="I28">
        <f>IF(ISBLANK(Eproduct_DB[[#This Row],[Stock]]),AVERAGEIFS(Eproduct_DB[Stock],Eproduct_DB[Category],Eproduct_DB[[#This Row],[Category]],Eproduct_DB[Sub_Category],Eproduct_DB[[#This Row],[Sub_Category]]),Eproduct_DB[[#This Row],[Stock]])</f>
        <v>213</v>
      </c>
    </row>
    <row r="29" spans="1:9" x14ac:dyDescent="0.3">
      <c r="A29" t="s">
        <v>1602</v>
      </c>
      <c r="B29" t="s">
        <v>3882</v>
      </c>
      <c r="C29" t="s">
        <v>1544</v>
      </c>
      <c r="D29" t="s">
        <v>3864</v>
      </c>
      <c r="E29" t="s">
        <v>1603</v>
      </c>
      <c r="G29" s="9">
        <f>IF(ISBLANK(Eproduct_DB[[#This Row],[Cost]]),AVERAGEIF(Eproduct_DB[Sub_Category],Eproduct_DB[[#This Row],[Sub_Category]],Eproduct_DB[Cost]),Eproduct_DB[[#This Row],[Cost]])</f>
        <v>219.12333333333333</v>
      </c>
      <c r="H29">
        <v>378</v>
      </c>
      <c r="I29">
        <f>IF(ISBLANK(Eproduct_DB[[#This Row],[Stock]]),AVERAGEIFS(Eproduct_DB[Stock],Eproduct_DB[Category],Eproduct_DB[[#This Row],[Category]],Eproduct_DB[Sub_Category],Eproduct_DB[[#This Row],[Sub_Category]]),Eproduct_DB[[#This Row],[Stock]])</f>
        <v>378</v>
      </c>
    </row>
    <row r="30" spans="1:9" x14ac:dyDescent="0.3">
      <c r="A30" t="s">
        <v>1604</v>
      </c>
      <c r="B30" t="s">
        <v>3883</v>
      </c>
      <c r="C30" t="s">
        <v>1566</v>
      </c>
      <c r="D30" t="s">
        <v>3848</v>
      </c>
      <c r="E30" t="s">
        <v>1605</v>
      </c>
      <c r="F30">
        <v>38.76</v>
      </c>
      <c r="G30" s="9">
        <f>IF(ISBLANK(Eproduct_DB[[#This Row],[Cost]]),AVERAGEIF(Eproduct_DB[Sub_Category],Eproduct_DB[[#This Row],[Sub_Category]],Eproduct_DB[Cost]),Eproduct_DB[[#This Row],[Cost]])</f>
        <v>38.76</v>
      </c>
      <c r="H30">
        <v>137</v>
      </c>
      <c r="I30">
        <f>IF(ISBLANK(Eproduct_DB[[#This Row],[Stock]]),AVERAGEIFS(Eproduct_DB[Stock],Eproduct_DB[Category],Eproduct_DB[[#This Row],[Category]],Eproduct_DB[Sub_Category],Eproduct_DB[[#This Row],[Sub_Category]]),Eproduct_DB[[#This Row],[Stock]])</f>
        <v>137</v>
      </c>
    </row>
    <row r="31" spans="1:9" x14ac:dyDescent="0.3">
      <c r="A31" t="s">
        <v>1606</v>
      </c>
      <c r="B31" t="s">
        <v>3884</v>
      </c>
      <c r="C31" t="s">
        <v>1544</v>
      </c>
      <c r="D31" t="s">
        <v>3864</v>
      </c>
      <c r="E31" t="s">
        <v>1607</v>
      </c>
      <c r="F31">
        <v>218.48</v>
      </c>
      <c r="G31" s="9">
        <f>IF(ISBLANK(Eproduct_DB[[#This Row],[Cost]]),AVERAGEIF(Eproduct_DB[Sub_Category],Eproduct_DB[[#This Row],[Sub_Category]],Eproduct_DB[Cost]),Eproduct_DB[[#This Row],[Cost]])</f>
        <v>218.48</v>
      </c>
      <c r="H31">
        <v>276</v>
      </c>
      <c r="I31">
        <f>IF(ISBLANK(Eproduct_DB[[#This Row],[Stock]]),AVERAGEIFS(Eproduct_DB[Stock],Eproduct_DB[Category],Eproduct_DB[[#This Row],[Category]],Eproduct_DB[Sub_Category],Eproduct_DB[[#This Row],[Sub_Category]]),Eproduct_DB[[#This Row],[Stock]])</f>
        <v>276</v>
      </c>
    </row>
    <row r="32" spans="1:9" x14ac:dyDescent="0.3">
      <c r="A32" t="s">
        <v>1608</v>
      </c>
      <c r="B32" t="s">
        <v>3885</v>
      </c>
      <c r="C32" t="s">
        <v>1544</v>
      </c>
      <c r="D32" t="s">
        <v>3858</v>
      </c>
      <c r="E32" t="s">
        <v>1609</v>
      </c>
      <c r="F32">
        <v>19.52</v>
      </c>
      <c r="G32" s="9">
        <f>IF(ISBLANK(Eproduct_DB[[#This Row],[Cost]]),AVERAGEIF(Eproduct_DB[Sub_Category],Eproduct_DB[[#This Row],[Sub_Category]],Eproduct_DB[Cost]),Eproduct_DB[[#This Row],[Cost]])</f>
        <v>19.52</v>
      </c>
      <c r="H32">
        <v>57</v>
      </c>
      <c r="I32">
        <f>IF(ISBLANK(Eproduct_DB[[#This Row],[Stock]]),AVERAGEIFS(Eproduct_DB[Stock],Eproduct_DB[Category],Eproduct_DB[[#This Row],[Category]],Eproduct_DB[Sub_Category],Eproduct_DB[[#This Row],[Sub_Category]]),Eproduct_DB[[#This Row],[Stock]])</f>
        <v>57</v>
      </c>
    </row>
    <row r="33" spans="1:9" x14ac:dyDescent="0.3">
      <c r="A33" t="s">
        <v>1610</v>
      </c>
      <c r="B33" t="s">
        <v>3886</v>
      </c>
      <c r="C33" t="s">
        <v>1566</v>
      </c>
      <c r="D33" t="s">
        <v>3887</v>
      </c>
      <c r="E33" t="s">
        <v>1611</v>
      </c>
      <c r="F33">
        <v>204.39</v>
      </c>
      <c r="G33" s="9">
        <f>IF(ISBLANK(Eproduct_DB[[#This Row],[Cost]]),AVERAGEIF(Eproduct_DB[Sub_Category],Eproduct_DB[[#This Row],[Sub_Category]],Eproduct_DB[Cost]),Eproduct_DB[[#This Row],[Cost]])</f>
        <v>204.39</v>
      </c>
      <c r="H33">
        <v>281</v>
      </c>
      <c r="I33">
        <f>IF(ISBLANK(Eproduct_DB[[#This Row],[Stock]]),AVERAGEIFS(Eproduct_DB[Stock],Eproduct_DB[Category],Eproduct_DB[[#This Row],[Category]],Eproduct_DB[Sub_Category],Eproduct_DB[[#This Row],[Sub_Category]]),Eproduct_DB[[#This Row],[Stock]])</f>
        <v>281</v>
      </c>
    </row>
    <row r="34" spans="1:9" x14ac:dyDescent="0.3">
      <c r="A34" t="s">
        <v>1612</v>
      </c>
      <c r="B34" t="s">
        <v>3888</v>
      </c>
      <c r="C34" t="s">
        <v>1558</v>
      </c>
      <c r="D34" t="s">
        <v>3850</v>
      </c>
      <c r="E34" t="s">
        <v>1613</v>
      </c>
      <c r="F34">
        <v>283.83</v>
      </c>
      <c r="G34" s="9">
        <f>IF(ISBLANK(Eproduct_DB[[#This Row],[Cost]]),AVERAGEIF(Eproduct_DB[Sub_Category],Eproduct_DB[[#This Row],[Sub_Category]],Eproduct_DB[Cost]),Eproduct_DB[[#This Row],[Cost]])</f>
        <v>283.83</v>
      </c>
      <c r="H34">
        <v>244</v>
      </c>
      <c r="I34">
        <f>IF(ISBLANK(Eproduct_DB[[#This Row],[Stock]]),AVERAGEIFS(Eproduct_DB[Stock],Eproduct_DB[Category],Eproduct_DB[[#This Row],[Category]],Eproduct_DB[Sub_Category],Eproduct_DB[[#This Row],[Sub_Category]]),Eproduct_DB[[#This Row],[Stock]])</f>
        <v>244</v>
      </c>
    </row>
    <row r="35" spans="1:9" x14ac:dyDescent="0.3">
      <c r="A35" t="s">
        <v>1614</v>
      </c>
      <c r="B35" t="s">
        <v>3889</v>
      </c>
      <c r="C35" t="s">
        <v>1544</v>
      </c>
      <c r="D35" t="s">
        <v>3864</v>
      </c>
      <c r="E35" t="s">
        <v>1615</v>
      </c>
      <c r="F35">
        <v>179.77</v>
      </c>
      <c r="G35" s="9">
        <f>IF(ISBLANK(Eproduct_DB[[#This Row],[Cost]]),AVERAGEIF(Eproduct_DB[Sub_Category],Eproduct_DB[[#This Row],[Sub_Category]],Eproduct_DB[Cost]),Eproduct_DB[[#This Row],[Cost]])</f>
        <v>179.77</v>
      </c>
      <c r="H35">
        <v>305</v>
      </c>
      <c r="I35">
        <f>IF(ISBLANK(Eproduct_DB[[#This Row],[Stock]]),AVERAGEIFS(Eproduct_DB[Stock],Eproduct_DB[Category],Eproduct_DB[[#This Row],[Category]],Eproduct_DB[Sub_Category],Eproduct_DB[[#This Row],[Sub_Category]]),Eproduct_DB[[#This Row],[Stock]])</f>
        <v>305</v>
      </c>
    </row>
    <row r="36" spans="1:9" x14ac:dyDescent="0.3">
      <c r="A36" t="s">
        <v>1616</v>
      </c>
      <c r="B36" t="s">
        <v>3890</v>
      </c>
      <c r="C36" t="s">
        <v>1563</v>
      </c>
      <c r="D36" t="s">
        <v>3839</v>
      </c>
      <c r="E36" t="s">
        <v>1617</v>
      </c>
      <c r="F36">
        <v>419.28</v>
      </c>
      <c r="G36" s="9">
        <f>IF(ISBLANK(Eproduct_DB[[#This Row],[Cost]]),AVERAGEIF(Eproduct_DB[Sub_Category],Eproduct_DB[[#This Row],[Sub_Category]],Eproduct_DB[Cost]),Eproduct_DB[[#This Row],[Cost]])</f>
        <v>419.28</v>
      </c>
      <c r="H36">
        <v>86</v>
      </c>
      <c r="I36">
        <f>IF(ISBLANK(Eproduct_DB[[#This Row],[Stock]]),AVERAGEIFS(Eproduct_DB[Stock],Eproduct_DB[Category],Eproduct_DB[[#This Row],[Category]],Eproduct_DB[Sub_Category],Eproduct_DB[[#This Row],[Sub_Category]]),Eproduct_DB[[#This Row],[Stock]])</f>
        <v>86</v>
      </c>
    </row>
    <row r="37" spans="1:9" x14ac:dyDescent="0.3">
      <c r="A37" t="s">
        <v>1618</v>
      </c>
      <c r="B37" t="s">
        <v>3891</v>
      </c>
      <c r="C37" t="s">
        <v>1544</v>
      </c>
      <c r="D37" t="s">
        <v>3852</v>
      </c>
      <c r="E37" t="s">
        <v>1619</v>
      </c>
      <c r="F37">
        <v>382.22</v>
      </c>
      <c r="G37" s="9">
        <f>IF(ISBLANK(Eproduct_DB[[#This Row],[Cost]]),AVERAGEIF(Eproduct_DB[Sub_Category],Eproduct_DB[[#This Row],[Sub_Category]],Eproduct_DB[Cost]),Eproduct_DB[[#This Row],[Cost]])</f>
        <v>382.22</v>
      </c>
      <c r="H37">
        <v>329</v>
      </c>
      <c r="I37">
        <f>IF(ISBLANK(Eproduct_DB[[#This Row],[Stock]]),AVERAGEIFS(Eproduct_DB[Stock],Eproduct_DB[Category],Eproduct_DB[[#This Row],[Category]],Eproduct_DB[Sub_Category],Eproduct_DB[[#This Row],[Sub_Category]]),Eproduct_DB[[#This Row],[Stock]])</f>
        <v>329</v>
      </c>
    </row>
    <row r="38" spans="1:9" x14ac:dyDescent="0.3">
      <c r="A38" t="s">
        <v>1620</v>
      </c>
      <c r="B38" t="s">
        <v>3892</v>
      </c>
      <c r="C38" t="s">
        <v>1547</v>
      </c>
      <c r="D38" t="s">
        <v>3841</v>
      </c>
      <c r="E38" t="s">
        <v>1621</v>
      </c>
      <c r="F38">
        <v>223.43</v>
      </c>
      <c r="G38" s="9">
        <f>IF(ISBLANK(Eproduct_DB[[#This Row],[Cost]]),AVERAGEIF(Eproduct_DB[Sub_Category],Eproduct_DB[[#This Row],[Sub_Category]],Eproduct_DB[Cost]),Eproduct_DB[[#This Row],[Cost]])</f>
        <v>223.43</v>
      </c>
      <c r="H38">
        <v>154</v>
      </c>
      <c r="I38">
        <f>IF(ISBLANK(Eproduct_DB[[#This Row],[Stock]]),AVERAGEIFS(Eproduct_DB[Stock],Eproduct_DB[Category],Eproduct_DB[[#This Row],[Category]],Eproduct_DB[Sub_Category],Eproduct_DB[[#This Row],[Sub_Category]]),Eproduct_DB[[#This Row],[Stock]])</f>
        <v>154</v>
      </c>
    </row>
    <row r="39" spans="1:9" x14ac:dyDescent="0.3">
      <c r="A39" t="s">
        <v>1622</v>
      </c>
      <c r="B39" t="s">
        <v>3893</v>
      </c>
      <c r="C39" t="s">
        <v>1547</v>
      </c>
      <c r="D39" t="s">
        <v>3894</v>
      </c>
      <c r="E39" t="s">
        <v>1623</v>
      </c>
      <c r="F39">
        <v>353.47</v>
      </c>
      <c r="G39" s="9">
        <f>IF(ISBLANK(Eproduct_DB[[#This Row],[Cost]]),AVERAGEIF(Eproduct_DB[Sub_Category],Eproduct_DB[[#This Row],[Sub_Category]],Eproduct_DB[Cost]),Eproduct_DB[[#This Row],[Cost]])</f>
        <v>353.47</v>
      </c>
      <c r="H39">
        <v>214</v>
      </c>
      <c r="I39">
        <f>IF(ISBLANK(Eproduct_DB[[#This Row],[Stock]]),AVERAGEIFS(Eproduct_DB[Stock],Eproduct_DB[Category],Eproduct_DB[[#This Row],[Category]],Eproduct_DB[Sub_Category],Eproduct_DB[[#This Row],[Sub_Category]]),Eproduct_DB[[#This Row],[Stock]])</f>
        <v>214</v>
      </c>
    </row>
    <row r="40" spans="1:9" x14ac:dyDescent="0.3">
      <c r="A40" t="s">
        <v>1624</v>
      </c>
      <c r="B40" t="s">
        <v>3895</v>
      </c>
      <c r="C40" t="s">
        <v>1566</v>
      </c>
      <c r="D40" t="s">
        <v>3879</v>
      </c>
      <c r="E40" t="s">
        <v>1625</v>
      </c>
      <c r="F40">
        <v>135.61000000000001</v>
      </c>
      <c r="G40" s="9">
        <f>IF(ISBLANK(Eproduct_DB[[#This Row],[Cost]]),AVERAGEIF(Eproduct_DB[Sub_Category],Eproduct_DB[[#This Row],[Sub_Category]],Eproduct_DB[Cost]),Eproduct_DB[[#This Row],[Cost]])</f>
        <v>135.61000000000001</v>
      </c>
      <c r="H40">
        <v>394</v>
      </c>
      <c r="I40">
        <f>IF(ISBLANK(Eproduct_DB[[#This Row],[Stock]]),AVERAGEIFS(Eproduct_DB[Stock],Eproduct_DB[Category],Eproduct_DB[[#This Row],[Category]],Eproduct_DB[Sub_Category],Eproduct_DB[[#This Row],[Sub_Category]]),Eproduct_DB[[#This Row],[Stock]])</f>
        <v>394</v>
      </c>
    </row>
    <row r="41" spans="1:9" x14ac:dyDescent="0.3">
      <c r="A41" t="s">
        <v>1626</v>
      </c>
      <c r="B41" t="s">
        <v>3896</v>
      </c>
      <c r="C41" t="s">
        <v>1563</v>
      </c>
      <c r="D41" t="s">
        <v>3897</v>
      </c>
      <c r="E41" t="s">
        <v>1627</v>
      </c>
      <c r="F41">
        <v>326.06</v>
      </c>
      <c r="G41" s="9">
        <f>IF(ISBLANK(Eproduct_DB[[#This Row],[Cost]]),AVERAGEIF(Eproduct_DB[Sub_Category],Eproduct_DB[[#This Row],[Sub_Category]],Eproduct_DB[Cost]),Eproduct_DB[[#This Row],[Cost]])</f>
        <v>326.06</v>
      </c>
      <c r="H41">
        <v>301</v>
      </c>
      <c r="I41">
        <f>IF(ISBLANK(Eproduct_DB[[#This Row],[Stock]]),AVERAGEIFS(Eproduct_DB[Stock],Eproduct_DB[Category],Eproduct_DB[[#This Row],[Category]],Eproduct_DB[Sub_Category],Eproduct_DB[[#This Row],[Sub_Category]]),Eproduct_DB[[#This Row],[Stock]])</f>
        <v>301</v>
      </c>
    </row>
    <row r="42" spans="1:9" x14ac:dyDescent="0.3">
      <c r="A42" t="s">
        <v>1628</v>
      </c>
      <c r="B42" t="s">
        <v>3898</v>
      </c>
      <c r="C42" t="s">
        <v>1563</v>
      </c>
      <c r="D42" t="s">
        <v>3854</v>
      </c>
      <c r="E42" t="s">
        <v>1629</v>
      </c>
      <c r="F42">
        <v>38.520000000000003</v>
      </c>
      <c r="G42" s="9">
        <f>IF(ISBLANK(Eproduct_DB[[#This Row],[Cost]]),AVERAGEIF(Eproduct_DB[Sub_Category],Eproduct_DB[[#This Row],[Sub_Category]],Eproduct_DB[Cost]),Eproduct_DB[[#This Row],[Cost]])</f>
        <v>38.520000000000003</v>
      </c>
      <c r="H42">
        <v>378</v>
      </c>
      <c r="I42">
        <f>IF(ISBLANK(Eproduct_DB[[#This Row],[Stock]]),AVERAGEIFS(Eproduct_DB[Stock],Eproduct_DB[Category],Eproduct_DB[[#This Row],[Category]],Eproduct_DB[Sub_Category],Eproduct_DB[[#This Row],[Sub_Category]]),Eproduct_DB[[#This Row],[Stock]])</f>
        <v>378</v>
      </c>
    </row>
    <row r="43" spans="1:9" x14ac:dyDescent="0.3">
      <c r="A43" t="s">
        <v>1630</v>
      </c>
      <c r="B43" t="s">
        <v>3899</v>
      </c>
      <c r="C43" t="s">
        <v>1566</v>
      </c>
      <c r="D43" t="s">
        <v>3856</v>
      </c>
      <c r="E43" t="s">
        <v>1631</v>
      </c>
      <c r="F43">
        <v>313.26</v>
      </c>
      <c r="G43" s="9">
        <f>IF(ISBLANK(Eproduct_DB[[#This Row],[Cost]]),AVERAGEIF(Eproduct_DB[Sub_Category],Eproduct_DB[[#This Row],[Sub_Category]],Eproduct_DB[Cost]),Eproduct_DB[[#This Row],[Cost]])</f>
        <v>313.26</v>
      </c>
      <c r="H43">
        <v>369</v>
      </c>
      <c r="I43">
        <f>IF(ISBLANK(Eproduct_DB[[#This Row],[Stock]]),AVERAGEIFS(Eproduct_DB[Stock],Eproduct_DB[Category],Eproduct_DB[[#This Row],[Category]],Eproduct_DB[Sub_Category],Eproduct_DB[[#This Row],[Sub_Category]]),Eproduct_DB[[#This Row],[Stock]])</f>
        <v>369</v>
      </c>
    </row>
    <row r="44" spans="1:9" x14ac:dyDescent="0.3">
      <c r="A44" t="s">
        <v>1632</v>
      </c>
      <c r="B44" t="s">
        <v>3900</v>
      </c>
      <c r="C44" t="s">
        <v>1563</v>
      </c>
      <c r="D44" t="s">
        <v>3848</v>
      </c>
      <c r="E44" t="s">
        <v>1633</v>
      </c>
      <c r="F44">
        <v>450.71</v>
      </c>
      <c r="G44" s="9">
        <f>IF(ISBLANK(Eproduct_DB[[#This Row],[Cost]]),AVERAGEIF(Eproduct_DB[Sub_Category],Eproduct_DB[[#This Row],[Sub_Category]],Eproduct_DB[Cost]),Eproduct_DB[[#This Row],[Cost]])</f>
        <v>450.71</v>
      </c>
      <c r="H44">
        <v>389</v>
      </c>
      <c r="I44">
        <f>IF(ISBLANK(Eproduct_DB[[#This Row],[Stock]]),AVERAGEIFS(Eproduct_DB[Stock],Eproduct_DB[Category],Eproduct_DB[[#This Row],[Category]],Eproduct_DB[Sub_Category],Eproduct_DB[[#This Row],[Sub_Category]]),Eproduct_DB[[#This Row],[Stock]])</f>
        <v>389</v>
      </c>
    </row>
    <row r="45" spans="1:9" x14ac:dyDescent="0.3">
      <c r="A45" t="s">
        <v>1634</v>
      </c>
      <c r="B45" t="s">
        <v>3901</v>
      </c>
      <c r="C45" t="s">
        <v>1563</v>
      </c>
      <c r="D45" t="s">
        <v>3839</v>
      </c>
      <c r="E45" t="s">
        <v>1635</v>
      </c>
      <c r="F45">
        <v>253.33</v>
      </c>
      <c r="G45" s="9">
        <f>IF(ISBLANK(Eproduct_DB[[#This Row],[Cost]]),AVERAGEIF(Eproduct_DB[Sub_Category],Eproduct_DB[[#This Row],[Sub_Category]],Eproduct_DB[Cost]),Eproduct_DB[[#This Row],[Cost]])</f>
        <v>253.33</v>
      </c>
      <c r="H45">
        <v>266</v>
      </c>
      <c r="I45">
        <f>IF(ISBLANK(Eproduct_DB[[#This Row],[Stock]]),AVERAGEIFS(Eproduct_DB[Stock],Eproduct_DB[Category],Eproduct_DB[[#This Row],[Category]],Eproduct_DB[Sub_Category],Eproduct_DB[[#This Row],[Sub_Category]]),Eproduct_DB[[#This Row],[Stock]])</f>
        <v>266</v>
      </c>
    </row>
    <row r="46" spans="1:9" x14ac:dyDescent="0.3">
      <c r="A46" t="s">
        <v>1636</v>
      </c>
      <c r="B46" t="s">
        <v>3902</v>
      </c>
      <c r="C46" t="s">
        <v>1566</v>
      </c>
      <c r="D46" t="s">
        <v>3856</v>
      </c>
      <c r="E46" t="s">
        <v>1637</v>
      </c>
      <c r="F46">
        <v>167.12</v>
      </c>
      <c r="G46" s="9">
        <f>IF(ISBLANK(Eproduct_DB[[#This Row],[Cost]]),AVERAGEIF(Eproduct_DB[Sub_Category],Eproduct_DB[[#This Row],[Sub_Category]],Eproduct_DB[Cost]),Eproduct_DB[[#This Row],[Cost]])</f>
        <v>167.12</v>
      </c>
      <c r="H46">
        <v>316</v>
      </c>
      <c r="I46">
        <f>IF(ISBLANK(Eproduct_DB[[#This Row],[Stock]]),AVERAGEIFS(Eproduct_DB[Stock],Eproduct_DB[Category],Eproduct_DB[[#This Row],[Category]],Eproduct_DB[Sub_Category],Eproduct_DB[[#This Row],[Sub_Category]]),Eproduct_DB[[#This Row],[Stock]])</f>
        <v>316</v>
      </c>
    </row>
    <row r="47" spans="1:9" x14ac:dyDescent="0.3">
      <c r="A47" t="s">
        <v>1638</v>
      </c>
      <c r="B47" t="s">
        <v>3903</v>
      </c>
      <c r="C47" t="s">
        <v>1566</v>
      </c>
      <c r="D47" t="s">
        <v>3887</v>
      </c>
      <c r="E47" t="s">
        <v>1639</v>
      </c>
      <c r="F47">
        <v>318.91000000000003</v>
      </c>
      <c r="G47" s="9">
        <f>IF(ISBLANK(Eproduct_DB[[#This Row],[Cost]]),AVERAGEIF(Eproduct_DB[Sub_Category],Eproduct_DB[[#This Row],[Sub_Category]],Eproduct_DB[Cost]),Eproduct_DB[[#This Row],[Cost]])</f>
        <v>318.91000000000003</v>
      </c>
      <c r="H47">
        <v>114</v>
      </c>
      <c r="I47">
        <f>IF(ISBLANK(Eproduct_DB[[#This Row],[Stock]]),AVERAGEIFS(Eproduct_DB[Stock],Eproduct_DB[Category],Eproduct_DB[[#This Row],[Category]],Eproduct_DB[Sub_Category],Eproduct_DB[[#This Row],[Sub_Category]]),Eproduct_DB[[#This Row],[Stock]])</f>
        <v>114</v>
      </c>
    </row>
    <row r="48" spans="1:9" x14ac:dyDescent="0.3">
      <c r="A48" t="s">
        <v>1640</v>
      </c>
      <c r="B48" t="s">
        <v>3904</v>
      </c>
      <c r="C48" t="s">
        <v>1547</v>
      </c>
      <c r="D48" t="s">
        <v>3843</v>
      </c>
      <c r="E48" t="s">
        <v>1641</v>
      </c>
      <c r="F48">
        <v>167.34</v>
      </c>
      <c r="G48" s="9">
        <f>IF(ISBLANK(Eproduct_DB[[#This Row],[Cost]]),AVERAGEIF(Eproduct_DB[Sub_Category],Eproduct_DB[[#This Row],[Sub_Category]],Eproduct_DB[Cost]),Eproduct_DB[[#This Row],[Cost]])</f>
        <v>167.34</v>
      </c>
      <c r="H48">
        <v>296</v>
      </c>
      <c r="I48">
        <f>IF(ISBLANK(Eproduct_DB[[#This Row],[Stock]]),AVERAGEIFS(Eproduct_DB[Stock],Eproduct_DB[Category],Eproduct_DB[[#This Row],[Category]],Eproduct_DB[Sub_Category],Eproduct_DB[[#This Row],[Sub_Category]]),Eproduct_DB[[#This Row],[Stock]])</f>
        <v>296</v>
      </c>
    </row>
    <row r="49" spans="1:9" x14ac:dyDescent="0.3">
      <c r="A49" t="s">
        <v>1642</v>
      </c>
      <c r="B49" t="s">
        <v>3905</v>
      </c>
      <c r="C49" t="s">
        <v>1558</v>
      </c>
      <c r="D49" t="s">
        <v>3906</v>
      </c>
      <c r="E49" t="s">
        <v>1643</v>
      </c>
      <c r="G49" s="9">
        <f>IF(ISBLANK(Eproduct_DB[[#This Row],[Cost]]),AVERAGEIF(Eproduct_DB[Sub_Category],Eproduct_DB[[#This Row],[Sub_Category]],Eproduct_DB[Cost]),Eproduct_DB[[#This Row],[Cost]])</f>
        <v>241.07499999999999</v>
      </c>
      <c r="H49">
        <v>431</v>
      </c>
      <c r="I49">
        <f>IF(ISBLANK(Eproduct_DB[[#This Row],[Stock]]),AVERAGEIFS(Eproduct_DB[Stock],Eproduct_DB[Category],Eproduct_DB[[#This Row],[Category]],Eproduct_DB[Sub_Category],Eproduct_DB[[#This Row],[Sub_Category]]),Eproduct_DB[[#This Row],[Stock]])</f>
        <v>431</v>
      </c>
    </row>
    <row r="50" spans="1:9" x14ac:dyDescent="0.3">
      <c r="A50" t="s">
        <v>1644</v>
      </c>
      <c r="B50" t="s">
        <v>3907</v>
      </c>
      <c r="C50" t="s">
        <v>1563</v>
      </c>
      <c r="D50" t="s">
        <v>3848</v>
      </c>
      <c r="E50" t="s">
        <v>1645</v>
      </c>
      <c r="F50">
        <v>177.98</v>
      </c>
      <c r="G50" s="9">
        <f>IF(ISBLANK(Eproduct_DB[[#This Row],[Cost]]),AVERAGEIF(Eproduct_DB[Sub_Category],Eproduct_DB[[#This Row],[Sub_Category]],Eproduct_DB[Cost]),Eproduct_DB[[#This Row],[Cost]])</f>
        <v>177.98</v>
      </c>
      <c r="H50">
        <v>103</v>
      </c>
      <c r="I50">
        <f>IF(ISBLANK(Eproduct_DB[[#This Row],[Stock]]),AVERAGEIFS(Eproduct_DB[Stock],Eproduct_DB[Category],Eproduct_DB[[#This Row],[Category]],Eproduct_DB[Sub_Category],Eproduct_DB[[#This Row],[Sub_Category]]),Eproduct_DB[[#This Row],[Stock]])</f>
        <v>103</v>
      </c>
    </row>
    <row r="51" spans="1:9" x14ac:dyDescent="0.3">
      <c r="A51" t="s">
        <v>1646</v>
      </c>
      <c r="B51" t="s">
        <v>3908</v>
      </c>
      <c r="C51" t="s">
        <v>1558</v>
      </c>
      <c r="D51" t="s">
        <v>3909</v>
      </c>
      <c r="E51" t="s">
        <v>1647</v>
      </c>
      <c r="F51">
        <v>43.29</v>
      </c>
      <c r="G51" s="9">
        <f>IF(ISBLANK(Eproduct_DB[[#This Row],[Cost]]),AVERAGEIF(Eproduct_DB[Sub_Category],Eproduct_DB[[#This Row],[Sub_Category]],Eproduct_DB[Cost]),Eproduct_DB[[#This Row],[Cost]])</f>
        <v>43.29</v>
      </c>
      <c r="H51">
        <v>267</v>
      </c>
      <c r="I51">
        <f>IF(ISBLANK(Eproduct_DB[[#This Row],[Stock]]),AVERAGEIFS(Eproduct_DB[Stock],Eproduct_DB[Category],Eproduct_DB[[#This Row],[Category]],Eproduct_DB[Sub_Category],Eproduct_DB[[#This Row],[Sub_Category]]),Eproduct_DB[[#This Row],[Stock]])</f>
        <v>267</v>
      </c>
    </row>
    <row r="52" spans="1:9" x14ac:dyDescent="0.3">
      <c r="A52" t="s">
        <v>1648</v>
      </c>
      <c r="B52" t="s">
        <v>3910</v>
      </c>
      <c r="C52" t="s">
        <v>1566</v>
      </c>
      <c r="D52" t="s">
        <v>3856</v>
      </c>
      <c r="E52" t="s">
        <v>1649</v>
      </c>
      <c r="F52">
        <v>190.29</v>
      </c>
      <c r="G52" s="9">
        <f>IF(ISBLANK(Eproduct_DB[[#This Row],[Cost]]),AVERAGEIF(Eproduct_DB[Sub_Category],Eproduct_DB[[#This Row],[Sub_Category]],Eproduct_DB[Cost]),Eproduct_DB[[#This Row],[Cost]])</f>
        <v>190.29</v>
      </c>
      <c r="H52">
        <v>260</v>
      </c>
      <c r="I52">
        <f>IF(ISBLANK(Eproduct_DB[[#This Row],[Stock]]),AVERAGEIFS(Eproduct_DB[Stock],Eproduct_DB[Category],Eproduct_DB[[#This Row],[Category]],Eproduct_DB[Sub_Category],Eproduct_DB[[#This Row],[Sub_Category]]),Eproduct_DB[[#This Row],[Stock]])</f>
        <v>260</v>
      </c>
    </row>
    <row r="53" spans="1:9" x14ac:dyDescent="0.3">
      <c r="A53" t="s">
        <v>1650</v>
      </c>
      <c r="B53" t="s">
        <v>3911</v>
      </c>
      <c r="C53" t="s">
        <v>1563</v>
      </c>
      <c r="D53" t="s">
        <v>3848</v>
      </c>
      <c r="E53" t="s">
        <v>1651</v>
      </c>
      <c r="F53">
        <v>88.49</v>
      </c>
      <c r="G53" s="9">
        <f>IF(ISBLANK(Eproduct_DB[[#This Row],[Cost]]),AVERAGEIF(Eproduct_DB[Sub_Category],Eproduct_DB[[#This Row],[Sub_Category]],Eproduct_DB[Cost]),Eproduct_DB[[#This Row],[Cost]])</f>
        <v>88.49</v>
      </c>
      <c r="H53">
        <v>246</v>
      </c>
      <c r="I53">
        <f>IF(ISBLANK(Eproduct_DB[[#This Row],[Stock]]),AVERAGEIFS(Eproduct_DB[Stock],Eproduct_DB[Category],Eproduct_DB[[#This Row],[Category]],Eproduct_DB[Sub_Category],Eproduct_DB[[#This Row],[Sub_Category]]),Eproduct_DB[[#This Row],[Stock]])</f>
        <v>246</v>
      </c>
    </row>
    <row r="54" spans="1:9" x14ac:dyDescent="0.3">
      <c r="A54" t="s">
        <v>1652</v>
      </c>
      <c r="B54" t="s">
        <v>3912</v>
      </c>
      <c r="C54" t="s">
        <v>1566</v>
      </c>
      <c r="D54" t="s">
        <v>3887</v>
      </c>
      <c r="E54" t="s">
        <v>1653</v>
      </c>
      <c r="F54">
        <v>212.26</v>
      </c>
      <c r="G54" s="9">
        <f>IF(ISBLANK(Eproduct_DB[[#This Row],[Cost]]),AVERAGEIF(Eproduct_DB[Sub_Category],Eproduct_DB[[#This Row],[Sub_Category]],Eproduct_DB[Cost]),Eproduct_DB[[#This Row],[Cost]])</f>
        <v>212.26</v>
      </c>
      <c r="H54">
        <v>82</v>
      </c>
      <c r="I54">
        <f>IF(ISBLANK(Eproduct_DB[[#This Row],[Stock]]),AVERAGEIFS(Eproduct_DB[Stock],Eproduct_DB[Category],Eproduct_DB[[#This Row],[Category]],Eproduct_DB[Sub_Category],Eproduct_DB[[#This Row],[Sub_Category]]),Eproduct_DB[[#This Row],[Stock]])</f>
        <v>82</v>
      </c>
    </row>
    <row r="55" spans="1:9" x14ac:dyDescent="0.3">
      <c r="A55" t="s">
        <v>1654</v>
      </c>
      <c r="B55" t="s">
        <v>3913</v>
      </c>
      <c r="C55" t="s">
        <v>1547</v>
      </c>
      <c r="D55" t="s">
        <v>3846</v>
      </c>
      <c r="E55" t="s">
        <v>1655</v>
      </c>
      <c r="F55">
        <v>386.56</v>
      </c>
      <c r="G55" s="9">
        <f>IF(ISBLANK(Eproduct_DB[[#This Row],[Cost]]),AVERAGEIF(Eproduct_DB[Sub_Category],Eproduct_DB[[#This Row],[Sub_Category]],Eproduct_DB[Cost]),Eproduct_DB[[#This Row],[Cost]])</f>
        <v>386.56</v>
      </c>
      <c r="H55">
        <v>125</v>
      </c>
      <c r="I55">
        <f>IF(ISBLANK(Eproduct_DB[[#This Row],[Stock]]),AVERAGEIFS(Eproduct_DB[Stock],Eproduct_DB[Category],Eproduct_DB[[#This Row],[Category]],Eproduct_DB[Sub_Category],Eproduct_DB[[#This Row],[Sub_Category]]),Eproduct_DB[[#This Row],[Stock]])</f>
        <v>125</v>
      </c>
    </row>
    <row r="56" spans="1:9" x14ac:dyDescent="0.3">
      <c r="A56" t="s">
        <v>1656</v>
      </c>
      <c r="B56" t="s">
        <v>3914</v>
      </c>
      <c r="C56" t="s">
        <v>1566</v>
      </c>
      <c r="D56" t="s">
        <v>3848</v>
      </c>
      <c r="E56" t="s">
        <v>1657</v>
      </c>
      <c r="F56">
        <v>434.84</v>
      </c>
      <c r="G56" s="9">
        <f>IF(ISBLANK(Eproduct_DB[[#This Row],[Cost]]),AVERAGEIF(Eproduct_DB[Sub_Category],Eproduct_DB[[#This Row],[Sub_Category]],Eproduct_DB[Cost]),Eproduct_DB[[#This Row],[Cost]])</f>
        <v>434.84</v>
      </c>
      <c r="H56">
        <v>185</v>
      </c>
      <c r="I56">
        <f>IF(ISBLANK(Eproduct_DB[[#This Row],[Stock]]),AVERAGEIFS(Eproduct_DB[Stock],Eproduct_DB[Category],Eproduct_DB[[#This Row],[Category]],Eproduct_DB[Sub_Category],Eproduct_DB[[#This Row],[Sub_Category]]),Eproduct_DB[[#This Row],[Stock]])</f>
        <v>185</v>
      </c>
    </row>
    <row r="57" spans="1:9" x14ac:dyDescent="0.3">
      <c r="A57" t="s">
        <v>1658</v>
      </c>
      <c r="B57" t="s">
        <v>3915</v>
      </c>
      <c r="C57" t="s">
        <v>1544</v>
      </c>
      <c r="D57" t="s">
        <v>3864</v>
      </c>
      <c r="E57" t="s">
        <v>1659</v>
      </c>
      <c r="F57">
        <v>81.75</v>
      </c>
      <c r="G57" s="9">
        <f>IF(ISBLANK(Eproduct_DB[[#This Row],[Cost]]),AVERAGEIF(Eproduct_DB[Sub_Category],Eproduct_DB[[#This Row],[Sub_Category]],Eproduct_DB[Cost]),Eproduct_DB[[#This Row],[Cost]])</f>
        <v>81.75</v>
      </c>
      <c r="I57" s="18">
        <f>IF(ISBLANK(Eproduct_DB[[#This Row],[Stock]]),AVERAGEIFS(Eproduct_DB[Stock],Eproduct_DB[Category],Eproduct_DB[[#This Row],[Category]],Eproduct_DB[Sub_Category],Eproduct_DB[[#This Row],[Sub_Category]]),Eproduct_DB[[#This Row],[Stock]])</f>
        <v>331.33333333333331</v>
      </c>
    </row>
    <row r="58" spans="1:9" x14ac:dyDescent="0.3">
      <c r="A58" t="s">
        <v>1660</v>
      </c>
      <c r="B58" t="s">
        <v>3916</v>
      </c>
      <c r="C58" t="s">
        <v>1544</v>
      </c>
      <c r="D58" t="s">
        <v>3864</v>
      </c>
      <c r="E58" t="s">
        <v>1661</v>
      </c>
      <c r="F58">
        <v>461.47</v>
      </c>
      <c r="G58" s="9">
        <f>IF(ISBLANK(Eproduct_DB[[#This Row],[Cost]]),AVERAGEIF(Eproduct_DB[Sub_Category],Eproduct_DB[[#This Row],[Sub_Category]],Eproduct_DB[Cost]),Eproduct_DB[[#This Row],[Cost]])</f>
        <v>461.47</v>
      </c>
      <c r="H58">
        <v>190</v>
      </c>
      <c r="I58">
        <f>IF(ISBLANK(Eproduct_DB[[#This Row],[Stock]]),AVERAGEIFS(Eproduct_DB[Stock],Eproduct_DB[Category],Eproduct_DB[[#This Row],[Category]],Eproduct_DB[Sub_Category],Eproduct_DB[[#This Row],[Sub_Category]]),Eproduct_DB[[#This Row],[Stock]])</f>
        <v>190</v>
      </c>
    </row>
    <row r="59" spans="1:9" x14ac:dyDescent="0.3">
      <c r="A59" t="s">
        <v>1662</v>
      </c>
      <c r="B59" t="s">
        <v>3917</v>
      </c>
      <c r="C59" t="s">
        <v>1566</v>
      </c>
      <c r="D59" t="s">
        <v>3856</v>
      </c>
      <c r="E59" t="s">
        <v>1663</v>
      </c>
      <c r="F59">
        <v>30.62</v>
      </c>
      <c r="G59" s="9">
        <f>IF(ISBLANK(Eproduct_DB[[#This Row],[Cost]]),AVERAGEIF(Eproduct_DB[Sub_Category],Eproduct_DB[[#This Row],[Sub_Category]],Eproduct_DB[Cost]),Eproduct_DB[[#This Row],[Cost]])</f>
        <v>30.62</v>
      </c>
      <c r="H59">
        <v>138</v>
      </c>
      <c r="I59">
        <f>IF(ISBLANK(Eproduct_DB[[#This Row],[Stock]]),AVERAGEIFS(Eproduct_DB[Stock],Eproduct_DB[Category],Eproduct_DB[[#This Row],[Category]],Eproduct_DB[Sub_Category],Eproduct_DB[[#This Row],[Sub_Category]]),Eproduct_DB[[#This Row],[Stock]])</f>
        <v>138</v>
      </c>
    </row>
    <row r="60" spans="1:9" x14ac:dyDescent="0.3">
      <c r="A60" t="s">
        <v>1664</v>
      </c>
      <c r="B60" t="s">
        <v>3918</v>
      </c>
      <c r="C60" t="s">
        <v>1547</v>
      </c>
      <c r="D60" t="s">
        <v>3848</v>
      </c>
      <c r="E60" t="s">
        <v>1665</v>
      </c>
      <c r="F60">
        <v>113.83</v>
      </c>
      <c r="G60" s="9">
        <f>IF(ISBLANK(Eproduct_DB[[#This Row],[Cost]]),AVERAGEIF(Eproduct_DB[Sub_Category],Eproduct_DB[[#This Row],[Sub_Category]],Eproduct_DB[Cost]),Eproduct_DB[[#This Row],[Cost]])</f>
        <v>113.83</v>
      </c>
      <c r="H60">
        <v>485</v>
      </c>
      <c r="I60">
        <f>IF(ISBLANK(Eproduct_DB[[#This Row],[Stock]]),AVERAGEIFS(Eproduct_DB[Stock],Eproduct_DB[Category],Eproduct_DB[[#This Row],[Category]],Eproduct_DB[Sub_Category],Eproduct_DB[[#This Row],[Sub_Category]]),Eproduct_DB[[#This Row],[Stock]])</f>
        <v>485</v>
      </c>
    </row>
    <row r="61" spans="1:9" x14ac:dyDescent="0.3">
      <c r="A61" t="s">
        <v>1666</v>
      </c>
      <c r="B61" t="s">
        <v>3919</v>
      </c>
      <c r="C61" t="s">
        <v>1558</v>
      </c>
      <c r="D61" t="s">
        <v>3861</v>
      </c>
      <c r="E61" t="s">
        <v>1667</v>
      </c>
      <c r="F61">
        <v>17.309999999999999</v>
      </c>
      <c r="G61" s="9">
        <f>IF(ISBLANK(Eproduct_DB[[#This Row],[Cost]]),AVERAGEIF(Eproduct_DB[Sub_Category],Eproduct_DB[[#This Row],[Sub_Category]],Eproduct_DB[Cost]),Eproduct_DB[[#This Row],[Cost]])</f>
        <v>17.309999999999999</v>
      </c>
      <c r="H61">
        <v>399</v>
      </c>
      <c r="I61">
        <f>IF(ISBLANK(Eproduct_DB[[#This Row],[Stock]]),AVERAGEIFS(Eproduct_DB[Stock],Eproduct_DB[Category],Eproduct_DB[[#This Row],[Category]],Eproduct_DB[Sub_Category],Eproduct_DB[[#This Row],[Sub_Category]]),Eproduct_DB[[#This Row],[Stock]])</f>
        <v>399</v>
      </c>
    </row>
    <row r="62" spans="1:9" x14ac:dyDescent="0.3">
      <c r="A62" t="s">
        <v>1668</v>
      </c>
      <c r="B62" t="s">
        <v>3920</v>
      </c>
      <c r="C62" t="s">
        <v>1558</v>
      </c>
      <c r="D62" t="s">
        <v>3909</v>
      </c>
      <c r="E62" t="s">
        <v>1669</v>
      </c>
      <c r="F62">
        <v>482.75</v>
      </c>
      <c r="G62" s="9">
        <f>IF(ISBLANK(Eproduct_DB[[#This Row],[Cost]]),AVERAGEIF(Eproduct_DB[Sub_Category],Eproduct_DB[[#This Row],[Sub_Category]],Eproduct_DB[Cost]),Eproduct_DB[[#This Row],[Cost]])</f>
        <v>482.75</v>
      </c>
      <c r="H62">
        <v>444</v>
      </c>
      <c r="I62">
        <f>IF(ISBLANK(Eproduct_DB[[#This Row],[Stock]]),AVERAGEIFS(Eproduct_DB[Stock],Eproduct_DB[Category],Eproduct_DB[[#This Row],[Category]],Eproduct_DB[Sub_Category],Eproduct_DB[[#This Row],[Sub_Category]]),Eproduct_DB[[#This Row],[Stock]])</f>
        <v>444</v>
      </c>
    </row>
    <row r="63" spans="1:9" x14ac:dyDescent="0.3">
      <c r="A63" t="s">
        <v>1670</v>
      </c>
      <c r="B63" t="s">
        <v>3921</v>
      </c>
      <c r="C63" t="s">
        <v>1566</v>
      </c>
      <c r="D63" t="s">
        <v>3872</v>
      </c>
      <c r="E63" t="s">
        <v>1671</v>
      </c>
      <c r="F63">
        <v>103.45</v>
      </c>
      <c r="G63" s="9">
        <f>IF(ISBLANK(Eproduct_DB[[#This Row],[Cost]]),AVERAGEIF(Eproduct_DB[Sub_Category],Eproduct_DB[[#This Row],[Sub_Category]],Eproduct_DB[Cost]),Eproduct_DB[[#This Row],[Cost]])</f>
        <v>103.45</v>
      </c>
      <c r="H63">
        <v>465</v>
      </c>
      <c r="I63">
        <f>IF(ISBLANK(Eproduct_DB[[#This Row],[Stock]]),AVERAGEIFS(Eproduct_DB[Stock],Eproduct_DB[Category],Eproduct_DB[[#This Row],[Category]],Eproduct_DB[Sub_Category],Eproduct_DB[[#This Row],[Sub_Category]]),Eproduct_DB[[#This Row],[Stock]])</f>
        <v>465</v>
      </c>
    </row>
    <row r="64" spans="1:9" x14ac:dyDescent="0.3">
      <c r="A64" t="s">
        <v>1672</v>
      </c>
      <c r="B64" t="s">
        <v>3922</v>
      </c>
      <c r="C64" t="s">
        <v>1563</v>
      </c>
      <c r="D64" t="s">
        <v>3839</v>
      </c>
      <c r="E64" t="s">
        <v>1673</v>
      </c>
      <c r="F64">
        <v>86.42</v>
      </c>
      <c r="G64" s="9">
        <f>IF(ISBLANK(Eproduct_DB[[#This Row],[Cost]]),AVERAGEIF(Eproduct_DB[Sub_Category],Eproduct_DB[[#This Row],[Sub_Category]],Eproduct_DB[Cost]),Eproduct_DB[[#This Row],[Cost]])</f>
        <v>86.42</v>
      </c>
      <c r="H64">
        <v>222</v>
      </c>
      <c r="I64">
        <f>IF(ISBLANK(Eproduct_DB[[#This Row],[Stock]]),AVERAGEIFS(Eproduct_DB[Stock],Eproduct_DB[Category],Eproduct_DB[[#This Row],[Category]],Eproduct_DB[Sub_Category],Eproduct_DB[[#This Row],[Sub_Category]]),Eproduct_DB[[#This Row],[Stock]])</f>
        <v>222</v>
      </c>
    </row>
    <row r="65" spans="1:9" x14ac:dyDescent="0.3">
      <c r="A65" t="s">
        <v>1674</v>
      </c>
      <c r="B65" t="s">
        <v>3923</v>
      </c>
      <c r="C65" t="s">
        <v>1558</v>
      </c>
      <c r="D65" t="s">
        <v>3850</v>
      </c>
      <c r="E65" t="s">
        <v>1675</v>
      </c>
      <c r="F65">
        <v>266.86</v>
      </c>
      <c r="G65" s="9">
        <f>IF(ISBLANK(Eproduct_DB[[#This Row],[Cost]]),AVERAGEIF(Eproduct_DB[Sub_Category],Eproduct_DB[[#This Row],[Sub_Category]],Eproduct_DB[Cost]),Eproduct_DB[[#This Row],[Cost]])</f>
        <v>266.86</v>
      </c>
      <c r="H65">
        <v>458</v>
      </c>
      <c r="I65">
        <f>IF(ISBLANK(Eproduct_DB[[#This Row],[Stock]]),AVERAGEIFS(Eproduct_DB[Stock],Eproduct_DB[Category],Eproduct_DB[[#This Row],[Category]],Eproduct_DB[Sub_Category],Eproduct_DB[[#This Row],[Sub_Category]]),Eproduct_DB[[#This Row],[Stock]])</f>
        <v>458</v>
      </c>
    </row>
    <row r="66" spans="1:9" x14ac:dyDescent="0.3">
      <c r="A66" t="s">
        <v>1676</v>
      </c>
      <c r="B66" t="s">
        <v>3924</v>
      </c>
      <c r="C66" t="s">
        <v>1558</v>
      </c>
      <c r="D66" t="s">
        <v>3906</v>
      </c>
      <c r="E66" t="s">
        <v>1677</v>
      </c>
      <c r="F66">
        <v>299.11</v>
      </c>
      <c r="G66" s="9">
        <f>IF(ISBLANK(Eproduct_DB[[#This Row],[Cost]]),AVERAGEIF(Eproduct_DB[Sub_Category],Eproduct_DB[[#This Row],[Sub_Category]],Eproduct_DB[Cost]),Eproduct_DB[[#This Row],[Cost]])</f>
        <v>299.11</v>
      </c>
      <c r="H66">
        <v>118</v>
      </c>
      <c r="I66">
        <f>IF(ISBLANK(Eproduct_DB[[#This Row],[Stock]]),AVERAGEIFS(Eproduct_DB[Stock],Eproduct_DB[Category],Eproduct_DB[[#This Row],[Category]],Eproduct_DB[Sub_Category],Eproduct_DB[[#This Row],[Sub_Category]]),Eproduct_DB[[#This Row],[Stock]])</f>
        <v>118</v>
      </c>
    </row>
    <row r="67" spans="1:9" x14ac:dyDescent="0.3">
      <c r="A67" t="s">
        <v>1678</v>
      </c>
      <c r="B67" t="s">
        <v>3925</v>
      </c>
      <c r="C67" t="s">
        <v>1566</v>
      </c>
      <c r="D67" t="s">
        <v>3856</v>
      </c>
      <c r="E67" t="s">
        <v>1679</v>
      </c>
      <c r="F67">
        <v>240.63</v>
      </c>
      <c r="G67" s="9">
        <f>IF(ISBLANK(Eproduct_DB[[#This Row],[Cost]]),AVERAGEIF(Eproduct_DB[Sub_Category],Eproduct_DB[[#This Row],[Sub_Category]],Eproduct_DB[Cost]),Eproduct_DB[[#This Row],[Cost]])</f>
        <v>240.63</v>
      </c>
      <c r="H67">
        <v>423</v>
      </c>
      <c r="I67">
        <f>IF(ISBLANK(Eproduct_DB[[#This Row],[Stock]]),AVERAGEIFS(Eproduct_DB[Stock],Eproduct_DB[Category],Eproduct_DB[[#This Row],[Category]],Eproduct_DB[Sub_Category],Eproduct_DB[[#This Row],[Sub_Category]]),Eproduct_DB[[#This Row],[Stock]])</f>
        <v>423</v>
      </c>
    </row>
    <row r="68" spans="1:9" x14ac:dyDescent="0.3">
      <c r="A68" t="s">
        <v>1680</v>
      </c>
      <c r="B68" t="s">
        <v>3926</v>
      </c>
      <c r="C68" t="s">
        <v>1558</v>
      </c>
      <c r="D68" t="s">
        <v>3861</v>
      </c>
      <c r="E68" t="s">
        <v>1681</v>
      </c>
      <c r="F68">
        <v>340.39</v>
      </c>
      <c r="G68" s="9">
        <f>IF(ISBLANK(Eproduct_DB[[#This Row],[Cost]]),AVERAGEIF(Eproduct_DB[Sub_Category],Eproduct_DB[[#This Row],[Sub_Category]],Eproduct_DB[Cost]),Eproduct_DB[[#This Row],[Cost]])</f>
        <v>340.39</v>
      </c>
      <c r="H68">
        <v>177</v>
      </c>
      <c r="I68">
        <f>IF(ISBLANK(Eproduct_DB[[#This Row],[Stock]]),AVERAGEIFS(Eproduct_DB[Stock],Eproduct_DB[Category],Eproduct_DB[[#This Row],[Category]],Eproduct_DB[Sub_Category],Eproduct_DB[[#This Row],[Sub_Category]]),Eproduct_DB[[#This Row],[Stock]])</f>
        <v>177</v>
      </c>
    </row>
    <row r="69" spans="1:9" x14ac:dyDescent="0.3">
      <c r="A69" t="s">
        <v>1682</v>
      </c>
      <c r="B69" t="s">
        <v>3927</v>
      </c>
      <c r="C69" t="s">
        <v>1563</v>
      </c>
      <c r="D69" t="s">
        <v>3848</v>
      </c>
      <c r="E69" t="s">
        <v>1683</v>
      </c>
      <c r="F69">
        <v>349.17</v>
      </c>
      <c r="G69" s="9">
        <f>IF(ISBLANK(Eproduct_DB[[#This Row],[Cost]]),AVERAGEIF(Eproduct_DB[Sub_Category],Eproduct_DB[[#This Row],[Sub_Category]],Eproduct_DB[Cost]),Eproduct_DB[[#This Row],[Cost]])</f>
        <v>349.17</v>
      </c>
      <c r="H69">
        <v>476</v>
      </c>
      <c r="I69">
        <f>IF(ISBLANK(Eproduct_DB[[#This Row],[Stock]]),AVERAGEIFS(Eproduct_DB[Stock],Eproduct_DB[Category],Eproduct_DB[[#This Row],[Category]],Eproduct_DB[Sub_Category],Eproduct_DB[[#This Row],[Sub_Category]]),Eproduct_DB[[#This Row],[Stock]])</f>
        <v>476</v>
      </c>
    </row>
    <row r="70" spans="1:9" x14ac:dyDescent="0.3">
      <c r="A70" t="s">
        <v>1684</v>
      </c>
      <c r="B70" t="s">
        <v>3928</v>
      </c>
      <c r="C70" t="s">
        <v>1544</v>
      </c>
      <c r="D70" t="s">
        <v>3929</v>
      </c>
      <c r="E70" t="s">
        <v>1685</v>
      </c>
      <c r="F70">
        <v>243.7</v>
      </c>
      <c r="G70" s="9">
        <f>IF(ISBLANK(Eproduct_DB[[#This Row],[Cost]]),AVERAGEIF(Eproduct_DB[Sub_Category],Eproduct_DB[[#This Row],[Sub_Category]],Eproduct_DB[Cost]),Eproduct_DB[[#This Row],[Cost]])</f>
        <v>243.7</v>
      </c>
      <c r="H70">
        <v>130</v>
      </c>
      <c r="I70">
        <f>IF(ISBLANK(Eproduct_DB[[#This Row],[Stock]]),AVERAGEIFS(Eproduct_DB[Stock],Eproduct_DB[Category],Eproduct_DB[[#This Row],[Category]],Eproduct_DB[Sub_Category],Eproduct_DB[[#This Row],[Sub_Category]]),Eproduct_DB[[#This Row],[Stock]])</f>
        <v>130</v>
      </c>
    </row>
    <row r="71" spans="1:9" x14ac:dyDescent="0.3">
      <c r="A71" t="s">
        <v>1686</v>
      </c>
      <c r="B71" t="s">
        <v>3930</v>
      </c>
      <c r="C71" t="s">
        <v>1547</v>
      </c>
      <c r="D71" t="s">
        <v>3846</v>
      </c>
      <c r="E71" t="s">
        <v>1687</v>
      </c>
      <c r="F71">
        <v>218.22</v>
      </c>
      <c r="G71" s="9">
        <f>IF(ISBLANK(Eproduct_DB[[#This Row],[Cost]]),AVERAGEIF(Eproduct_DB[Sub_Category],Eproduct_DB[[#This Row],[Sub_Category]],Eproduct_DB[Cost]),Eproduct_DB[[#This Row],[Cost]])</f>
        <v>218.22</v>
      </c>
      <c r="H71">
        <v>224</v>
      </c>
      <c r="I71">
        <f>IF(ISBLANK(Eproduct_DB[[#This Row],[Stock]]),AVERAGEIFS(Eproduct_DB[Stock],Eproduct_DB[Category],Eproduct_DB[[#This Row],[Category]],Eproduct_DB[Sub_Category],Eproduct_DB[[#This Row],[Sub_Category]]),Eproduct_DB[[#This Row],[Stock]])</f>
        <v>224</v>
      </c>
    </row>
    <row r="72" spans="1:9" x14ac:dyDescent="0.3">
      <c r="A72" t="s">
        <v>1688</v>
      </c>
      <c r="B72" t="s">
        <v>3931</v>
      </c>
      <c r="C72" t="s">
        <v>1544</v>
      </c>
      <c r="D72" t="s">
        <v>3875</v>
      </c>
      <c r="E72" t="s">
        <v>1689</v>
      </c>
      <c r="F72">
        <v>138.05000000000001</v>
      </c>
      <c r="G72" s="9">
        <f>IF(ISBLANK(Eproduct_DB[[#This Row],[Cost]]),AVERAGEIF(Eproduct_DB[Sub_Category],Eproduct_DB[[#This Row],[Sub_Category]],Eproduct_DB[Cost]),Eproduct_DB[[#This Row],[Cost]])</f>
        <v>138.05000000000001</v>
      </c>
      <c r="H72">
        <v>89</v>
      </c>
      <c r="I72">
        <f>IF(ISBLANK(Eproduct_DB[[#This Row],[Stock]]),AVERAGEIFS(Eproduct_DB[Stock],Eproduct_DB[Category],Eproduct_DB[[#This Row],[Category]],Eproduct_DB[Sub_Category],Eproduct_DB[[#This Row],[Sub_Category]]),Eproduct_DB[[#This Row],[Stock]])</f>
        <v>89</v>
      </c>
    </row>
    <row r="73" spans="1:9" x14ac:dyDescent="0.3">
      <c r="A73" t="s">
        <v>1690</v>
      </c>
      <c r="B73" t="s">
        <v>3932</v>
      </c>
      <c r="C73" t="s">
        <v>1558</v>
      </c>
      <c r="D73" t="s">
        <v>3861</v>
      </c>
      <c r="E73" t="s">
        <v>1691</v>
      </c>
      <c r="F73">
        <v>214.32</v>
      </c>
      <c r="G73" s="9">
        <f>IF(ISBLANK(Eproduct_DB[[#This Row],[Cost]]),AVERAGEIF(Eproduct_DB[Sub_Category],Eproduct_DB[[#This Row],[Sub_Category]],Eproduct_DB[Cost]),Eproduct_DB[[#This Row],[Cost]])</f>
        <v>214.32</v>
      </c>
      <c r="H73">
        <v>383</v>
      </c>
      <c r="I73">
        <f>IF(ISBLANK(Eproduct_DB[[#This Row],[Stock]]),AVERAGEIFS(Eproduct_DB[Stock],Eproduct_DB[Category],Eproduct_DB[[#This Row],[Category]],Eproduct_DB[Sub_Category],Eproduct_DB[[#This Row],[Sub_Category]]),Eproduct_DB[[#This Row],[Stock]])</f>
        <v>383</v>
      </c>
    </row>
    <row r="74" spans="1:9" x14ac:dyDescent="0.3">
      <c r="A74" t="s">
        <v>1692</v>
      </c>
      <c r="B74" t="s">
        <v>3933</v>
      </c>
      <c r="C74" t="s">
        <v>1566</v>
      </c>
      <c r="D74" t="s">
        <v>3856</v>
      </c>
      <c r="E74" t="s">
        <v>1693</v>
      </c>
      <c r="F74">
        <v>477.61</v>
      </c>
      <c r="G74" s="9">
        <f>IF(ISBLANK(Eproduct_DB[[#This Row],[Cost]]),AVERAGEIF(Eproduct_DB[Sub_Category],Eproduct_DB[[#This Row],[Sub_Category]],Eproduct_DB[Cost]),Eproduct_DB[[#This Row],[Cost]])</f>
        <v>477.61</v>
      </c>
      <c r="H74">
        <v>300</v>
      </c>
      <c r="I74">
        <f>IF(ISBLANK(Eproduct_DB[[#This Row],[Stock]]),AVERAGEIFS(Eproduct_DB[Stock],Eproduct_DB[Category],Eproduct_DB[[#This Row],[Category]],Eproduct_DB[Sub_Category],Eproduct_DB[[#This Row],[Sub_Category]]),Eproduct_DB[[#This Row],[Stock]])</f>
        <v>300</v>
      </c>
    </row>
    <row r="75" spans="1:9" x14ac:dyDescent="0.3">
      <c r="A75" t="s">
        <v>1694</v>
      </c>
      <c r="B75" t="s">
        <v>3934</v>
      </c>
      <c r="C75" t="s">
        <v>1566</v>
      </c>
      <c r="D75" t="s">
        <v>3887</v>
      </c>
      <c r="E75" t="s">
        <v>1695</v>
      </c>
      <c r="F75">
        <v>107.06</v>
      </c>
      <c r="G75" s="9">
        <f>IF(ISBLANK(Eproduct_DB[[#This Row],[Cost]]),AVERAGEIF(Eproduct_DB[Sub_Category],Eproduct_DB[[#This Row],[Sub_Category]],Eproduct_DB[Cost]),Eproduct_DB[[#This Row],[Cost]])</f>
        <v>107.06</v>
      </c>
      <c r="H75">
        <v>359</v>
      </c>
      <c r="I75">
        <f>IF(ISBLANK(Eproduct_DB[[#This Row],[Stock]]),AVERAGEIFS(Eproduct_DB[Stock],Eproduct_DB[Category],Eproduct_DB[[#This Row],[Category]],Eproduct_DB[Sub_Category],Eproduct_DB[[#This Row],[Sub_Category]]),Eproduct_DB[[#This Row],[Stock]])</f>
        <v>359</v>
      </c>
    </row>
    <row r="76" spans="1:9" x14ac:dyDescent="0.3">
      <c r="A76" t="s">
        <v>1696</v>
      </c>
      <c r="B76" t="s">
        <v>3935</v>
      </c>
      <c r="C76" t="s">
        <v>1563</v>
      </c>
      <c r="D76" t="s">
        <v>3854</v>
      </c>
      <c r="E76" t="s">
        <v>1697</v>
      </c>
      <c r="F76">
        <v>403.71</v>
      </c>
      <c r="G76" s="9">
        <f>IF(ISBLANK(Eproduct_DB[[#This Row],[Cost]]),AVERAGEIF(Eproduct_DB[Sub_Category],Eproduct_DB[[#This Row],[Sub_Category]],Eproduct_DB[Cost]),Eproduct_DB[[#This Row],[Cost]])</f>
        <v>403.71</v>
      </c>
      <c r="H76">
        <v>159</v>
      </c>
      <c r="I76">
        <f>IF(ISBLANK(Eproduct_DB[[#This Row],[Stock]]),AVERAGEIFS(Eproduct_DB[Stock],Eproduct_DB[Category],Eproduct_DB[[#This Row],[Category]],Eproduct_DB[Sub_Category],Eproduct_DB[[#This Row],[Sub_Category]]),Eproduct_DB[[#This Row],[Stock]])</f>
        <v>159</v>
      </c>
    </row>
    <row r="77" spans="1:9" x14ac:dyDescent="0.3">
      <c r="A77" t="s">
        <v>1698</v>
      </c>
      <c r="B77" t="s">
        <v>3936</v>
      </c>
      <c r="C77" t="s">
        <v>1547</v>
      </c>
      <c r="D77" t="s">
        <v>3894</v>
      </c>
      <c r="E77" t="s">
        <v>1699</v>
      </c>
      <c r="F77">
        <v>158.13999999999999</v>
      </c>
      <c r="G77" s="9">
        <f>IF(ISBLANK(Eproduct_DB[[#This Row],[Cost]]),AVERAGEIF(Eproduct_DB[Sub_Category],Eproduct_DB[[#This Row],[Sub_Category]],Eproduct_DB[Cost]),Eproduct_DB[[#This Row],[Cost]])</f>
        <v>158.13999999999999</v>
      </c>
      <c r="H77">
        <v>82</v>
      </c>
      <c r="I77">
        <f>IF(ISBLANK(Eproduct_DB[[#This Row],[Stock]]),AVERAGEIFS(Eproduct_DB[Stock],Eproduct_DB[Category],Eproduct_DB[[#This Row],[Category]],Eproduct_DB[Sub_Category],Eproduct_DB[[#This Row],[Sub_Category]]),Eproduct_DB[[#This Row],[Stock]])</f>
        <v>82</v>
      </c>
    </row>
    <row r="78" spans="1:9" x14ac:dyDescent="0.3">
      <c r="A78" t="s">
        <v>1700</v>
      </c>
      <c r="B78" t="s">
        <v>3937</v>
      </c>
      <c r="C78" t="s">
        <v>1563</v>
      </c>
      <c r="D78" t="s">
        <v>3839</v>
      </c>
      <c r="E78" t="s">
        <v>1701</v>
      </c>
      <c r="F78">
        <v>392.89</v>
      </c>
      <c r="G78" s="9">
        <f>IF(ISBLANK(Eproduct_DB[[#This Row],[Cost]]),AVERAGEIF(Eproduct_DB[Sub_Category],Eproduct_DB[[#This Row],[Sub_Category]],Eproduct_DB[Cost]),Eproduct_DB[[#This Row],[Cost]])</f>
        <v>392.89</v>
      </c>
      <c r="H78">
        <v>320</v>
      </c>
      <c r="I78">
        <f>IF(ISBLANK(Eproduct_DB[[#This Row],[Stock]]),AVERAGEIFS(Eproduct_DB[Stock],Eproduct_DB[Category],Eproduct_DB[[#This Row],[Category]],Eproduct_DB[Sub_Category],Eproduct_DB[[#This Row],[Sub_Category]]),Eproduct_DB[[#This Row],[Stock]])</f>
        <v>320</v>
      </c>
    </row>
    <row r="79" spans="1:9" x14ac:dyDescent="0.3">
      <c r="A79" t="s">
        <v>1702</v>
      </c>
      <c r="B79" t="s">
        <v>3938</v>
      </c>
      <c r="C79" t="s">
        <v>1563</v>
      </c>
      <c r="D79" t="s">
        <v>3866</v>
      </c>
      <c r="E79" t="s">
        <v>1703</v>
      </c>
      <c r="F79">
        <v>480.9</v>
      </c>
      <c r="G79" s="9">
        <f>IF(ISBLANK(Eproduct_DB[[#This Row],[Cost]]),AVERAGEIF(Eproduct_DB[Sub_Category],Eproduct_DB[[#This Row],[Sub_Category]],Eproduct_DB[Cost]),Eproduct_DB[[#This Row],[Cost]])</f>
        <v>480.9</v>
      </c>
      <c r="H79">
        <v>104</v>
      </c>
      <c r="I79">
        <f>IF(ISBLANK(Eproduct_DB[[#This Row],[Stock]]),AVERAGEIFS(Eproduct_DB[Stock],Eproduct_DB[Category],Eproduct_DB[[#This Row],[Category]],Eproduct_DB[Sub_Category],Eproduct_DB[[#This Row],[Sub_Category]]),Eproduct_DB[[#This Row],[Stock]])</f>
        <v>104</v>
      </c>
    </row>
    <row r="80" spans="1:9" x14ac:dyDescent="0.3">
      <c r="A80" t="s">
        <v>1704</v>
      </c>
      <c r="B80" t="s">
        <v>3939</v>
      </c>
      <c r="C80" t="s">
        <v>1544</v>
      </c>
      <c r="D80" t="s">
        <v>3864</v>
      </c>
      <c r="E80" t="s">
        <v>1705</v>
      </c>
      <c r="F80">
        <v>325.26</v>
      </c>
      <c r="G80" s="9">
        <f>IF(ISBLANK(Eproduct_DB[[#This Row],[Cost]]),AVERAGEIF(Eproduct_DB[Sub_Category],Eproduct_DB[[#This Row],[Sub_Category]],Eproduct_DB[Cost]),Eproduct_DB[[#This Row],[Cost]])</f>
        <v>325.26</v>
      </c>
      <c r="H80">
        <v>400</v>
      </c>
      <c r="I80">
        <f>IF(ISBLANK(Eproduct_DB[[#This Row],[Stock]]),AVERAGEIFS(Eproduct_DB[Stock],Eproduct_DB[Category],Eproduct_DB[[#This Row],[Category]],Eproduct_DB[Sub_Category],Eproduct_DB[[#This Row],[Sub_Category]]),Eproduct_DB[[#This Row],[Stock]])</f>
        <v>400</v>
      </c>
    </row>
    <row r="81" spans="1:9" x14ac:dyDescent="0.3">
      <c r="A81" t="s">
        <v>1706</v>
      </c>
      <c r="B81" t="s">
        <v>3940</v>
      </c>
      <c r="C81" t="s">
        <v>1544</v>
      </c>
      <c r="D81" t="s">
        <v>3852</v>
      </c>
      <c r="E81" t="s">
        <v>1707</v>
      </c>
      <c r="F81">
        <v>228.53</v>
      </c>
      <c r="G81" s="9">
        <f>IF(ISBLANK(Eproduct_DB[[#This Row],[Cost]]),AVERAGEIF(Eproduct_DB[Sub_Category],Eproduct_DB[[#This Row],[Sub_Category]],Eproduct_DB[Cost]),Eproduct_DB[[#This Row],[Cost]])</f>
        <v>228.53</v>
      </c>
      <c r="H81">
        <v>469</v>
      </c>
      <c r="I81">
        <f>IF(ISBLANK(Eproduct_DB[[#This Row],[Stock]]),AVERAGEIFS(Eproduct_DB[Stock],Eproduct_DB[Category],Eproduct_DB[[#This Row],[Category]],Eproduct_DB[Sub_Category],Eproduct_DB[[#This Row],[Sub_Category]]),Eproduct_DB[[#This Row],[Stock]])</f>
        <v>469</v>
      </c>
    </row>
    <row r="82" spans="1:9" x14ac:dyDescent="0.3">
      <c r="A82" t="s">
        <v>1708</v>
      </c>
      <c r="B82" t="s">
        <v>3941</v>
      </c>
      <c r="C82" t="s">
        <v>1544</v>
      </c>
      <c r="D82" t="s">
        <v>3858</v>
      </c>
      <c r="E82" t="s">
        <v>1709</v>
      </c>
      <c r="F82">
        <v>143.43</v>
      </c>
      <c r="G82" s="9">
        <f>IF(ISBLANK(Eproduct_DB[[#This Row],[Cost]]),AVERAGEIF(Eproduct_DB[Sub_Category],Eproduct_DB[[#This Row],[Sub_Category]],Eproduct_DB[Cost]),Eproduct_DB[[#This Row],[Cost]])</f>
        <v>143.43</v>
      </c>
      <c r="H82">
        <v>58</v>
      </c>
      <c r="I82">
        <f>IF(ISBLANK(Eproduct_DB[[#This Row],[Stock]]),AVERAGEIFS(Eproduct_DB[Stock],Eproduct_DB[Category],Eproduct_DB[[#This Row],[Category]],Eproduct_DB[Sub_Category],Eproduct_DB[[#This Row],[Sub_Category]]),Eproduct_DB[[#This Row],[Stock]])</f>
        <v>58</v>
      </c>
    </row>
    <row r="83" spans="1:9" x14ac:dyDescent="0.3">
      <c r="A83" t="s">
        <v>1710</v>
      </c>
      <c r="B83" t="s">
        <v>3942</v>
      </c>
      <c r="C83" t="s">
        <v>1566</v>
      </c>
      <c r="D83" t="s">
        <v>3872</v>
      </c>
      <c r="E83" t="s">
        <v>1711</v>
      </c>
      <c r="F83">
        <v>285.54000000000002</v>
      </c>
      <c r="G83" s="9">
        <f>IF(ISBLANK(Eproduct_DB[[#This Row],[Cost]]),AVERAGEIF(Eproduct_DB[Sub_Category],Eproduct_DB[[#This Row],[Sub_Category]],Eproduct_DB[Cost]),Eproduct_DB[[#This Row],[Cost]])</f>
        <v>285.54000000000002</v>
      </c>
      <c r="H83">
        <v>358</v>
      </c>
      <c r="I83">
        <f>IF(ISBLANK(Eproduct_DB[[#This Row],[Stock]]),AVERAGEIFS(Eproduct_DB[Stock],Eproduct_DB[Category],Eproduct_DB[[#This Row],[Category]],Eproduct_DB[Sub_Category],Eproduct_DB[[#This Row],[Sub_Category]]),Eproduct_DB[[#This Row],[Stock]])</f>
        <v>358</v>
      </c>
    </row>
    <row r="84" spans="1:9" x14ac:dyDescent="0.3">
      <c r="A84" t="s">
        <v>1712</v>
      </c>
      <c r="B84" t="s">
        <v>3943</v>
      </c>
      <c r="C84" t="s">
        <v>1566</v>
      </c>
      <c r="D84" t="s">
        <v>3856</v>
      </c>
      <c r="E84" t="s">
        <v>1713</v>
      </c>
      <c r="F84">
        <v>152.91999999999999</v>
      </c>
      <c r="G84" s="9">
        <f>IF(ISBLANK(Eproduct_DB[[#This Row],[Cost]]),AVERAGEIF(Eproduct_DB[Sub_Category],Eproduct_DB[[#This Row],[Sub_Category]],Eproduct_DB[Cost]),Eproduct_DB[[#This Row],[Cost]])</f>
        <v>152.91999999999999</v>
      </c>
      <c r="H84">
        <v>281</v>
      </c>
      <c r="I84">
        <f>IF(ISBLANK(Eproduct_DB[[#This Row],[Stock]]),AVERAGEIFS(Eproduct_DB[Stock],Eproduct_DB[Category],Eproduct_DB[[#This Row],[Category]],Eproduct_DB[Sub_Category],Eproduct_DB[[#This Row],[Sub_Category]]),Eproduct_DB[[#This Row],[Stock]])</f>
        <v>281</v>
      </c>
    </row>
    <row r="85" spans="1:9" x14ac:dyDescent="0.3">
      <c r="A85" t="s">
        <v>1714</v>
      </c>
      <c r="B85" t="s">
        <v>3944</v>
      </c>
      <c r="C85" t="s">
        <v>1558</v>
      </c>
      <c r="D85" t="s">
        <v>3850</v>
      </c>
      <c r="E85" t="s">
        <v>1715</v>
      </c>
      <c r="G85" s="9">
        <f>IF(ISBLANK(Eproduct_DB[[#This Row],[Cost]]),AVERAGEIF(Eproduct_DB[Sub_Category],Eproduct_DB[[#This Row],[Sub_Category]],Eproduct_DB[Cost]),Eproduct_DB[[#This Row],[Cost]])</f>
        <v>305.49</v>
      </c>
      <c r="H85">
        <v>159</v>
      </c>
      <c r="I85">
        <f>IF(ISBLANK(Eproduct_DB[[#This Row],[Stock]]),AVERAGEIFS(Eproduct_DB[Stock],Eproduct_DB[Category],Eproduct_DB[[#This Row],[Category]],Eproduct_DB[Sub_Category],Eproduct_DB[[#This Row],[Sub_Category]]),Eproduct_DB[[#This Row],[Stock]])</f>
        <v>159</v>
      </c>
    </row>
    <row r="86" spans="1:9" x14ac:dyDescent="0.3">
      <c r="A86" t="s">
        <v>1716</v>
      </c>
      <c r="B86" t="s">
        <v>3945</v>
      </c>
      <c r="C86" t="s">
        <v>1544</v>
      </c>
      <c r="D86" t="s">
        <v>3929</v>
      </c>
      <c r="E86" t="s">
        <v>1717</v>
      </c>
      <c r="F86">
        <v>388.46</v>
      </c>
      <c r="G86" s="9">
        <f>IF(ISBLANK(Eproduct_DB[[#This Row],[Cost]]),AVERAGEIF(Eproduct_DB[Sub_Category],Eproduct_DB[[#This Row],[Sub_Category]],Eproduct_DB[Cost]),Eproduct_DB[[#This Row],[Cost]])</f>
        <v>388.46</v>
      </c>
      <c r="H86">
        <v>208</v>
      </c>
      <c r="I86">
        <f>IF(ISBLANK(Eproduct_DB[[#This Row],[Stock]]),AVERAGEIFS(Eproduct_DB[Stock],Eproduct_DB[Category],Eproduct_DB[[#This Row],[Category]],Eproduct_DB[Sub_Category],Eproduct_DB[[#This Row],[Sub_Category]]),Eproduct_DB[[#This Row],[Stock]])</f>
        <v>208</v>
      </c>
    </row>
    <row r="87" spans="1:9" x14ac:dyDescent="0.3">
      <c r="A87" t="s">
        <v>1718</v>
      </c>
      <c r="B87" t="s">
        <v>3946</v>
      </c>
      <c r="C87" t="s">
        <v>1547</v>
      </c>
      <c r="D87" t="s">
        <v>3848</v>
      </c>
      <c r="E87" t="s">
        <v>1719</v>
      </c>
      <c r="F87">
        <v>119.57</v>
      </c>
      <c r="G87" s="9">
        <f>IF(ISBLANK(Eproduct_DB[[#This Row],[Cost]]),AVERAGEIF(Eproduct_DB[Sub_Category],Eproduct_DB[[#This Row],[Sub_Category]],Eproduct_DB[Cost]),Eproduct_DB[[#This Row],[Cost]])</f>
        <v>119.57</v>
      </c>
      <c r="H87">
        <v>210</v>
      </c>
      <c r="I87">
        <f>IF(ISBLANK(Eproduct_DB[[#This Row],[Stock]]),AVERAGEIFS(Eproduct_DB[Stock],Eproduct_DB[Category],Eproduct_DB[[#This Row],[Category]],Eproduct_DB[Sub_Category],Eproduct_DB[[#This Row],[Sub_Category]]),Eproduct_DB[[#This Row],[Stock]])</f>
        <v>210</v>
      </c>
    </row>
    <row r="88" spans="1:9" x14ac:dyDescent="0.3">
      <c r="A88" t="s">
        <v>1720</v>
      </c>
      <c r="B88" t="s">
        <v>3947</v>
      </c>
      <c r="C88" t="s">
        <v>1544</v>
      </c>
      <c r="D88" t="s">
        <v>3858</v>
      </c>
      <c r="E88" t="s">
        <v>1721</v>
      </c>
      <c r="F88">
        <v>176.07</v>
      </c>
      <c r="G88" s="9">
        <f>IF(ISBLANK(Eproduct_DB[[#This Row],[Cost]]),AVERAGEIF(Eproduct_DB[Sub_Category],Eproduct_DB[[#This Row],[Sub_Category]],Eproduct_DB[Cost]),Eproduct_DB[[#This Row],[Cost]])</f>
        <v>176.07</v>
      </c>
      <c r="H88">
        <v>82</v>
      </c>
      <c r="I88">
        <f>IF(ISBLANK(Eproduct_DB[[#This Row],[Stock]]),AVERAGEIFS(Eproduct_DB[Stock],Eproduct_DB[Category],Eproduct_DB[[#This Row],[Category]],Eproduct_DB[Sub_Category],Eproduct_DB[[#This Row],[Sub_Category]]),Eproduct_DB[[#This Row],[Stock]])</f>
        <v>82</v>
      </c>
    </row>
    <row r="89" spans="1:9" x14ac:dyDescent="0.3">
      <c r="A89" t="s">
        <v>1722</v>
      </c>
      <c r="B89" t="s">
        <v>3948</v>
      </c>
      <c r="C89" t="s">
        <v>1544</v>
      </c>
      <c r="D89" t="s">
        <v>3852</v>
      </c>
      <c r="E89" t="s">
        <v>1723</v>
      </c>
      <c r="F89">
        <v>371.38</v>
      </c>
      <c r="G89" s="9">
        <f>IF(ISBLANK(Eproduct_DB[[#This Row],[Cost]]),AVERAGEIF(Eproduct_DB[Sub_Category],Eproduct_DB[[#This Row],[Sub_Category]],Eproduct_DB[Cost]),Eproduct_DB[[#This Row],[Cost]])</f>
        <v>371.38</v>
      </c>
      <c r="H89">
        <v>220</v>
      </c>
      <c r="I89">
        <f>IF(ISBLANK(Eproduct_DB[[#This Row],[Stock]]),AVERAGEIFS(Eproduct_DB[Stock],Eproduct_DB[Category],Eproduct_DB[[#This Row],[Category]],Eproduct_DB[Sub_Category],Eproduct_DB[[#This Row],[Sub_Category]]),Eproduct_DB[[#This Row],[Stock]])</f>
        <v>220</v>
      </c>
    </row>
    <row r="90" spans="1:9" x14ac:dyDescent="0.3">
      <c r="A90" t="s">
        <v>1724</v>
      </c>
      <c r="B90" t="s">
        <v>3949</v>
      </c>
      <c r="C90" t="s">
        <v>1566</v>
      </c>
      <c r="D90" t="s">
        <v>3848</v>
      </c>
      <c r="E90" t="s">
        <v>1725</v>
      </c>
      <c r="F90">
        <v>131.24</v>
      </c>
      <c r="G90" s="9">
        <f>IF(ISBLANK(Eproduct_DB[[#This Row],[Cost]]),AVERAGEIF(Eproduct_DB[Sub_Category],Eproduct_DB[[#This Row],[Sub_Category]],Eproduct_DB[Cost]),Eproduct_DB[[#This Row],[Cost]])</f>
        <v>131.24</v>
      </c>
      <c r="H90">
        <v>232</v>
      </c>
      <c r="I90">
        <f>IF(ISBLANK(Eproduct_DB[[#This Row],[Stock]]),AVERAGEIFS(Eproduct_DB[Stock],Eproduct_DB[Category],Eproduct_DB[[#This Row],[Category]],Eproduct_DB[Sub_Category],Eproduct_DB[[#This Row],[Sub_Category]]),Eproduct_DB[[#This Row],[Stock]])</f>
        <v>232</v>
      </c>
    </row>
    <row r="91" spans="1:9" x14ac:dyDescent="0.3">
      <c r="A91" t="s">
        <v>1726</v>
      </c>
      <c r="B91" t="s">
        <v>3950</v>
      </c>
      <c r="C91" t="s">
        <v>1558</v>
      </c>
      <c r="D91" t="s">
        <v>3906</v>
      </c>
      <c r="E91" t="s">
        <v>1727</v>
      </c>
      <c r="F91">
        <v>183.04</v>
      </c>
      <c r="G91" s="9">
        <f>IF(ISBLANK(Eproduct_DB[[#This Row],[Cost]]),AVERAGEIF(Eproduct_DB[Sub_Category],Eproduct_DB[[#This Row],[Sub_Category]],Eproduct_DB[Cost]),Eproduct_DB[[#This Row],[Cost]])</f>
        <v>183.04</v>
      </c>
      <c r="H91">
        <v>457</v>
      </c>
      <c r="I91">
        <f>IF(ISBLANK(Eproduct_DB[[#This Row],[Stock]]),AVERAGEIFS(Eproduct_DB[Stock],Eproduct_DB[Category],Eproduct_DB[[#This Row],[Category]],Eproduct_DB[Sub_Category],Eproduct_DB[[#This Row],[Sub_Category]]),Eproduct_DB[[#This Row],[Stock]])</f>
        <v>457</v>
      </c>
    </row>
    <row r="92" spans="1:9" x14ac:dyDescent="0.3">
      <c r="A92" t="s">
        <v>1728</v>
      </c>
      <c r="B92" t="s">
        <v>3951</v>
      </c>
      <c r="C92" t="s">
        <v>1563</v>
      </c>
      <c r="D92" t="s">
        <v>3848</v>
      </c>
      <c r="E92" t="s">
        <v>1729</v>
      </c>
      <c r="F92">
        <v>340.14</v>
      </c>
      <c r="G92" s="9">
        <f>IF(ISBLANK(Eproduct_DB[[#This Row],[Cost]]),AVERAGEIF(Eproduct_DB[Sub_Category],Eproduct_DB[[#This Row],[Sub_Category]],Eproduct_DB[Cost]),Eproduct_DB[[#This Row],[Cost]])</f>
        <v>340.14</v>
      </c>
      <c r="H92">
        <v>361</v>
      </c>
      <c r="I92">
        <f>IF(ISBLANK(Eproduct_DB[[#This Row],[Stock]]),AVERAGEIFS(Eproduct_DB[Stock],Eproduct_DB[Category],Eproduct_DB[[#This Row],[Category]],Eproduct_DB[Sub_Category],Eproduct_DB[[#This Row],[Sub_Category]]),Eproduct_DB[[#This Row],[Stock]])</f>
        <v>361</v>
      </c>
    </row>
    <row r="93" spans="1:9" x14ac:dyDescent="0.3">
      <c r="A93" t="s">
        <v>1730</v>
      </c>
      <c r="B93" t="s">
        <v>3952</v>
      </c>
      <c r="C93" t="s">
        <v>1547</v>
      </c>
      <c r="D93" t="s">
        <v>3894</v>
      </c>
      <c r="E93" t="s">
        <v>1731</v>
      </c>
      <c r="F93">
        <v>438.25</v>
      </c>
      <c r="G93" s="9">
        <f>IF(ISBLANK(Eproduct_DB[[#This Row],[Cost]]),AVERAGEIF(Eproduct_DB[Sub_Category],Eproduct_DB[[#This Row],[Sub_Category]],Eproduct_DB[Cost]),Eproduct_DB[[#This Row],[Cost]])</f>
        <v>438.25</v>
      </c>
      <c r="H93">
        <v>496</v>
      </c>
      <c r="I93">
        <f>IF(ISBLANK(Eproduct_DB[[#This Row],[Stock]]),AVERAGEIFS(Eproduct_DB[Stock],Eproduct_DB[Category],Eproduct_DB[[#This Row],[Category]],Eproduct_DB[Sub_Category],Eproduct_DB[[#This Row],[Sub_Category]]),Eproduct_DB[[#This Row],[Stock]])</f>
        <v>496</v>
      </c>
    </row>
    <row r="94" spans="1:9" x14ac:dyDescent="0.3">
      <c r="A94" t="s">
        <v>1732</v>
      </c>
      <c r="B94" t="s">
        <v>3953</v>
      </c>
      <c r="C94" t="s">
        <v>1544</v>
      </c>
      <c r="D94" t="s">
        <v>3866</v>
      </c>
      <c r="E94" t="s">
        <v>1733</v>
      </c>
      <c r="F94">
        <v>447.43</v>
      </c>
      <c r="G94" s="9">
        <f>IF(ISBLANK(Eproduct_DB[[#This Row],[Cost]]),AVERAGEIF(Eproduct_DB[Sub_Category],Eproduct_DB[[#This Row],[Sub_Category]],Eproduct_DB[Cost]),Eproduct_DB[[#This Row],[Cost]])</f>
        <v>447.43</v>
      </c>
      <c r="H94">
        <v>191</v>
      </c>
      <c r="I94">
        <f>IF(ISBLANK(Eproduct_DB[[#This Row],[Stock]]),AVERAGEIFS(Eproduct_DB[Stock],Eproduct_DB[Category],Eproduct_DB[[#This Row],[Category]],Eproduct_DB[Sub_Category],Eproduct_DB[[#This Row],[Sub_Category]]),Eproduct_DB[[#This Row],[Stock]])</f>
        <v>191</v>
      </c>
    </row>
    <row r="95" spans="1:9" x14ac:dyDescent="0.3">
      <c r="A95" t="s">
        <v>1734</v>
      </c>
      <c r="B95" t="s">
        <v>3954</v>
      </c>
      <c r="C95" t="s">
        <v>1563</v>
      </c>
      <c r="D95" t="s">
        <v>3839</v>
      </c>
      <c r="E95" t="s">
        <v>1735</v>
      </c>
      <c r="F95">
        <v>377.52</v>
      </c>
      <c r="G95" s="9">
        <f>IF(ISBLANK(Eproduct_DB[[#This Row],[Cost]]),AVERAGEIF(Eproduct_DB[Sub_Category],Eproduct_DB[[#This Row],[Sub_Category]],Eproduct_DB[Cost]),Eproduct_DB[[#This Row],[Cost]])</f>
        <v>377.52</v>
      </c>
      <c r="H95">
        <v>485</v>
      </c>
      <c r="I95">
        <f>IF(ISBLANK(Eproduct_DB[[#This Row],[Stock]]),AVERAGEIFS(Eproduct_DB[Stock],Eproduct_DB[Category],Eproduct_DB[[#This Row],[Category]],Eproduct_DB[Sub_Category],Eproduct_DB[[#This Row],[Sub_Category]]),Eproduct_DB[[#This Row],[Stock]])</f>
        <v>485</v>
      </c>
    </row>
    <row r="96" spans="1:9" x14ac:dyDescent="0.3">
      <c r="A96" t="s">
        <v>1736</v>
      </c>
      <c r="B96" t="s">
        <v>3955</v>
      </c>
      <c r="C96" t="s">
        <v>1558</v>
      </c>
      <c r="D96" t="s">
        <v>3850</v>
      </c>
      <c r="E96" t="s">
        <v>1737</v>
      </c>
      <c r="F96">
        <v>358.47</v>
      </c>
      <c r="G96" s="9">
        <f>IF(ISBLANK(Eproduct_DB[[#This Row],[Cost]]),AVERAGEIF(Eproduct_DB[Sub_Category],Eproduct_DB[[#This Row],[Sub_Category]],Eproduct_DB[Cost]),Eproduct_DB[[#This Row],[Cost]])</f>
        <v>358.47</v>
      </c>
      <c r="H96">
        <v>213</v>
      </c>
      <c r="I96">
        <f>IF(ISBLANK(Eproduct_DB[[#This Row],[Stock]]),AVERAGEIFS(Eproduct_DB[Stock],Eproduct_DB[Category],Eproduct_DB[[#This Row],[Category]],Eproduct_DB[Sub_Category],Eproduct_DB[[#This Row],[Sub_Category]]),Eproduct_DB[[#This Row],[Stock]])</f>
        <v>213</v>
      </c>
    </row>
    <row r="97" spans="1:9" x14ac:dyDescent="0.3">
      <c r="A97" t="s">
        <v>1738</v>
      </c>
      <c r="B97" t="s">
        <v>3956</v>
      </c>
      <c r="C97" t="s">
        <v>1566</v>
      </c>
      <c r="D97" t="s">
        <v>3848</v>
      </c>
      <c r="E97" t="s">
        <v>1739</v>
      </c>
      <c r="F97">
        <v>60.65</v>
      </c>
      <c r="G97" s="9">
        <f>IF(ISBLANK(Eproduct_DB[[#This Row],[Cost]]),AVERAGEIF(Eproduct_DB[Sub_Category],Eproduct_DB[[#This Row],[Sub_Category]],Eproduct_DB[Cost]),Eproduct_DB[[#This Row],[Cost]])</f>
        <v>60.65</v>
      </c>
      <c r="H97">
        <v>75</v>
      </c>
      <c r="I97">
        <f>IF(ISBLANK(Eproduct_DB[[#This Row],[Stock]]),AVERAGEIFS(Eproduct_DB[Stock],Eproduct_DB[Category],Eproduct_DB[[#This Row],[Category]],Eproduct_DB[Sub_Category],Eproduct_DB[[#This Row],[Sub_Category]]),Eproduct_DB[[#This Row],[Stock]])</f>
        <v>75</v>
      </c>
    </row>
    <row r="98" spans="1:9" x14ac:dyDescent="0.3">
      <c r="A98" t="s">
        <v>1740</v>
      </c>
      <c r="B98" t="s">
        <v>3957</v>
      </c>
      <c r="C98" t="s">
        <v>1547</v>
      </c>
      <c r="D98" t="s">
        <v>3843</v>
      </c>
      <c r="E98" t="s">
        <v>1741</v>
      </c>
      <c r="F98">
        <v>358.47</v>
      </c>
      <c r="G98" s="9">
        <f>IF(ISBLANK(Eproduct_DB[[#This Row],[Cost]]),AVERAGEIF(Eproduct_DB[Sub_Category],Eproduct_DB[[#This Row],[Sub_Category]],Eproduct_DB[Cost]),Eproduct_DB[[#This Row],[Cost]])</f>
        <v>358.47</v>
      </c>
      <c r="H98">
        <v>143</v>
      </c>
      <c r="I98">
        <f>IF(ISBLANK(Eproduct_DB[[#This Row],[Stock]]),AVERAGEIFS(Eproduct_DB[Stock],Eproduct_DB[Category],Eproduct_DB[[#This Row],[Category]],Eproduct_DB[Sub_Category],Eproduct_DB[[#This Row],[Sub_Category]]),Eproduct_DB[[#This Row],[Stock]])</f>
        <v>143</v>
      </c>
    </row>
    <row r="99" spans="1:9" x14ac:dyDescent="0.3">
      <c r="A99" t="s">
        <v>1742</v>
      </c>
      <c r="B99" t="s">
        <v>3958</v>
      </c>
      <c r="C99" t="s">
        <v>1566</v>
      </c>
      <c r="D99" t="s">
        <v>3887</v>
      </c>
      <c r="E99" t="s">
        <v>1743</v>
      </c>
      <c r="F99">
        <v>245.98</v>
      </c>
      <c r="G99" s="9">
        <f>IF(ISBLANK(Eproduct_DB[[#This Row],[Cost]]),AVERAGEIF(Eproduct_DB[Sub_Category],Eproduct_DB[[#This Row],[Sub_Category]],Eproduct_DB[Cost]),Eproduct_DB[[#This Row],[Cost]])</f>
        <v>245.98</v>
      </c>
      <c r="H99">
        <v>471</v>
      </c>
      <c r="I99">
        <f>IF(ISBLANK(Eproduct_DB[[#This Row],[Stock]]),AVERAGEIFS(Eproduct_DB[Stock],Eproduct_DB[Category],Eproduct_DB[[#This Row],[Category]],Eproduct_DB[Sub_Category],Eproduct_DB[[#This Row],[Sub_Category]]),Eproduct_DB[[#This Row],[Stock]])</f>
        <v>471</v>
      </c>
    </row>
    <row r="100" spans="1:9" x14ac:dyDescent="0.3">
      <c r="A100" t="s">
        <v>1744</v>
      </c>
      <c r="B100" t="s">
        <v>3959</v>
      </c>
      <c r="C100" t="s">
        <v>1563</v>
      </c>
      <c r="D100" t="s">
        <v>3854</v>
      </c>
      <c r="E100" t="s">
        <v>1745</v>
      </c>
      <c r="F100">
        <v>431.67</v>
      </c>
      <c r="G100" s="9">
        <f>IF(ISBLANK(Eproduct_DB[[#This Row],[Cost]]),AVERAGEIF(Eproduct_DB[Sub_Category],Eproduct_DB[[#This Row],[Sub_Category]],Eproduct_DB[Cost]),Eproduct_DB[[#This Row],[Cost]])</f>
        <v>431.67</v>
      </c>
      <c r="H100">
        <v>73</v>
      </c>
      <c r="I100">
        <f>IF(ISBLANK(Eproduct_DB[[#This Row],[Stock]]),AVERAGEIFS(Eproduct_DB[Stock],Eproduct_DB[Category],Eproduct_DB[[#This Row],[Category]],Eproduct_DB[Sub_Category],Eproduct_DB[[#This Row],[Sub_Category]]),Eproduct_DB[[#This Row],[Stock]])</f>
        <v>73</v>
      </c>
    </row>
    <row r="101" spans="1:9" x14ac:dyDescent="0.3">
      <c r="A101" t="s">
        <v>1746</v>
      </c>
      <c r="B101" t="s">
        <v>3960</v>
      </c>
      <c r="C101" t="s">
        <v>1544</v>
      </c>
      <c r="D101" t="s">
        <v>3858</v>
      </c>
      <c r="E101" t="s">
        <v>1747</v>
      </c>
      <c r="F101">
        <v>201.41</v>
      </c>
      <c r="G101" s="9">
        <f>IF(ISBLANK(Eproduct_DB[[#This Row],[Cost]]),AVERAGEIF(Eproduct_DB[Sub_Category],Eproduct_DB[[#This Row],[Sub_Category]],Eproduct_DB[Cost]),Eproduct_DB[[#This Row],[Cost]])</f>
        <v>201.41</v>
      </c>
      <c r="H101">
        <v>146</v>
      </c>
      <c r="I101">
        <f>IF(ISBLANK(Eproduct_DB[[#This Row],[Stock]]),AVERAGEIFS(Eproduct_DB[Stock],Eproduct_DB[Category],Eproduct_DB[[#This Row],[Category]],Eproduct_DB[Sub_Category],Eproduct_DB[[#This Row],[Sub_Category]]),Eproduct_DB[[#This Row],[Stock]])</f>
        <v>146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I6" sqref="I6"/>
    </sheetView>
  </sheetViews>
  <sheetFormatPr defaultRowHeight="14.4" x14ac:dyDescent="0.3"/>
  <cols>
    <col min="1" max="1" width="12.6640625" bestFit="1" customWidth="1"/>
    <col min="2" max="2" width="29.109375" bestFit="1" customWidth="1"/>
    <col min="3" max="3" width="17.5546875" customWidth="1"/>
    <col min="4" max="4" width="19.77734375" customWidth="1"/>
    <col min="5" max="5" width="15" bestFit="1" customWidth="1"/>
  </cols>
  <sheetData>
    <row r="1" spans="1:5" x14ac:dyDescent="0.3">
      <c r="A1" s="1" t="s">
        <v>1748</v>
      </c>
      <c r="B1" s="1" t="s">
        <v>1749</v>
      </c>
      <c r="C1" s="1" t="s">
        <v>1750</v>
      </c>
      <c r="D1" s="1" t="s">
        <v>4</v>
      </c>
      <c r="E1" s="1" t="s">
        <v>1751</v>
      </c>
    </row>
    <row r="2" spans="1:5" x14ac:dyDescent="0.3">
      <c r="A2" t="s">
        <v>1752</v>
      </c>
      <c r="B2" t="s">
        <v>1753</v>
      </c>
      <c r="C2" t="s">
        <v>1754</v>
      </c>
      <c r="D2" t="s">
        <v>1755</v>
      </c>
      <c r="E2" t="s">
        <v>1756</v>
      </c>
    </row>
    <row r="3" spans="1:5" x14ac:dyDescent="0.3">
      <c r="A3" t="s">
        <v>1757</v>
      </c>
      <c r="B3" t="s">
        <v>1758</v>
      </c>
      <c r="C3" t="s">
        <v>1759</v>
      </c>
      <c r="D3" t="s">
        <v>1760</v>
      </c>
      <c r="E3" t="s">
        <v>1756</v>
      </c>
    </row>
    <row r="4" spans="1:5" x14ac:dyDescent="0.3">
      <c r="A4" t="s">
        <v>1761</v>
      </c>
      <c r="B4" t="s">
        <v>1762</v>
      </c>
      <c r="C4" t="s">
        <v>1763</v>
      </c>
      <c r="D4" t="s">
        <v>1764</v>
      </c>
      <c r="E4" t="s">
        <v>1765</v>
      </c>
    </row>
    <row r="5" spans="1:5" x14ac:dyDescent="0.3">
      <c r="A5" t="s">
        <v>1766</v>
      </c>
      <c r="B5" t="s">
        <v>1767</v>
      </c>
      <c r="C5" t="s">
        <v>1759</v>
      </c>
      <c r="D5" t="s">
        <v>1768</v>
      </c>
      <c r="E5" t="s">
        <v>1765</v>
      </c>
    </row>
    <row r="6" spans="1:5" x14ac:dyDescent="0.3">
      <c r="A6" t="s">
        <v>1769</v>
      </c>
      <c r="B6" t="s">
        <v>1770</v>
      </c>
      <c r="C6" t="s">
        <v>1763</v>
      </c>
      <c r="D6" t="s">
        <v>1771</v>
      </c>
      <c r="E6" t="s">
        <v>1772</v>
      </c>
    </row>
    <row r="7" spans="1:5" x14ac:dyDescent="0.3">
      <c r="A7" t="s">
        <v>1773</v>
      </c>
      <c r="B7" t="s">
        <v>1774</v>
      </c>
      <c r="C7" t="s">
        <v>1759</v>
      </c>
      <c r="D7" t="s">
        <v>1775</v>
      </c>
      <c r="E7" t="s">
        <v>1765</v>
      </c>
    </row>
    <row r="8" spans="1:5" x14ac:dyDescent="0.3">
      <c r="A8" t="s">
        <v>1776</v>
      </c>
      <c r="B8" t="s">
        <v>1777</v>
      </c>
      <c r="C8" t="s">
        <v>1754</v>
      </c>
      <c r="D8" t="s">
        <v>1778</v>
      </c>
      <c r="E8" t="s">
        <v>1772</v>
      </c>
    </row>
    <row r="9" spans="1:5" x14ac:dyDescent="0.3">
      <c r="A9" t="s">
        <v>1779</v>
      </c>
      <c r="B9" t="s">
        <v>1780</v>
      </c>
      <c r="C9" t="s">
        <v>1763</v>
      </c>
      <c r="D9" t="s">
        <v>1781</v>
      </c>
      <c r="E9" t="s">
        <v>1772</v>
      </c>
    </row>
    <row r="10" spans="1:5" x14ac:dyDescent="0.3">
      <c r="A10" t="s">
        <v>1782</v>
      </c>
      <c r="B10" t="s">
        <v>1783</v>
      </c>
      <c r="C10" t="s">
        <v>1784</v>
      </c>
      <c r="D10" t="s">
        <v>1785</v>
      </c>
      <c r="E10" t="s">
        <v>1772</v>
      </c>
    </row>
    <row r="11" spans="1:5" x14ac:dyDescent="0.3">
      <c r="A11" t="s">
        <v>1786</v>
      </c>
      <c r="B11" t="s">
        <v>1787</v>
      </c>
      <c r="C11" t="s">
        <v>1763</v>
      </c>
      <c r="D11" t="s">
        <v>1788</v>
      </c>
      <c r="E11" t="s">
        <v>1756</v>
      </c>
    </row>
    <row r="12" spans="1:5" x14ac:dyDescent="0.3">
      <c r="A12" t="s">
        <v>1789</v>
      </c>
      <c r="B12" t="s">
        <v>1790</v>
      </c>
      <c r="C12" t="s">
        <v>1754</v>
      </c>
      <c r="D12" t="s">
        <v>1791</v>
      </c>
      <c r="E12" t="s">
        <v>1772</v>
      </c>
    </row>
    <row r="13" spans="1:5" x14ac:dyDescent="0.3">
      <c r="A13" t="s">
        <v>1792</v>
      </c>
      <c r="B13" t="s">
        <v>1793</v>
      </c>
      <c r="C13" t="s">
        <v>1763</v>
      </c>
      <c r="D13" t="s">
        <v>395</v>
      </c>
      <c r="E13" t="s">
        <v>1772</v>
      </c>
    </row>
    <row r="14" spans="1:5" x14ac:dyDescent="0.3">
      <c r="A14" t="s">
        <v>1794</v>
      </c>
      <c r="B14" t="s">
        <v>1795</v>
      </c>
      <c r="C14" t="s">
        <v>1759</v>
      </c>
      <c r="D14" t="s">
        <v>1796</v>
      </c>
      <c r="E14" t="s">
        <v>1772</v>
      </c>
    </row>
    <row r="15" spans="1:5" x14ac:dyDescent="0.3">
      <c r="A15" t="s">
        <v>1797</v>
      </c>
      <c r="B15" t="s">
        <v>1798</v>
      </c>
      <c r="C15" t="s">
        <v>1754</v>
      </c>
      <c r="D15" t="s">
        <v>129</v>
      </c>
      <c r="E15" t="s">
        <v>1756</v>
      </c>
    </row>
    <row r="16" spans="1:5" x14ac:dyDescent="0.3">
      <c r="A16" t="s">
        <v>1799</v>
      </c>
      <c r="B16" t="s">
        <v>1800</v>
      </c>
      <c r="C16" t="s">
        <v>1763</v>
      </c>
      <c r="D16" t="s">
        <v>207</v>
      </c>
      <c r="E16" t="s">
        <v>1765</v>
      </c>
    </row>
    <row r="17" spans="1:5" x14ac:dyDescent="0.3">
      <c r="A17" t="s">
        <v>1801</v>
      </c>
      <c r="B17" t="s">
        <v>1802</v>
      </c>
      <c r="C17" t="s">
        <v>1759</v>
      </c>
      <c r="D17" t="s">
        <v>1803</v>
      </c>
      <c r="E17" t="s">
        <v>1756</v>
      </c>
    </row>
    <row r="18" spans="1:5" x14ac:dyDescent="0.3">
      <c r="A18" t="s">
        <v>1804</v>
      </c>
      <c r="B18" t="s">
        <v>1805</v>
      </c>
      <c r="C18" t="s">
        <v>1784</v>
      </c>
      <c r="D18" t="s">
        <v>1806</v>
      </c>
      <c r="E18" t="s">
        <v>1756</v>
      </c>
    </row>
    <row r="19" spans="1:5" x14ac:dyDescent="0.3">
      <c r="A19" t="s">
        <v>1807</v>
      </c>
      <c r="B19" t="s">
        <v>1808</v>
      </c>
      <c r="C19" t="s">
        <v>1759</v>
      </c>
      <c r="D19" t="s">
        <v>1809</v>
      </c>
      <c r="E19" t="s">
        <v>1756</v>
      </c>
    </row>
    <row r="20" spans="1:5" x14ac:dyDescent="0.3">
      <c r="A20" t="s">
        <v>1810</v>
      </c>
      <c r="B20" t="s">
        <v>1811</v>
      </c>
      <c r="C20" t="s">
        <v>1754</v>
      </c>
      <c r="D20" t="s">
        <v>1812</v>
      </c>
      <c r="E20" t="s">
        <v>1756</v>
      </c>
    </row>
    <row r="21" spans="1:5" x14ac:dyDescent="0.3">
      <c r="A21" t="s">
        <v>1813</v>
      </c>
      <c r="B21" t="s">
        <v>1814</v>
      </c>
      <c r="C21" t="s">
        <v>1754</v>
      </c>
      <c r="D21" t="s">
        <v>1815</v>
      </c>
      <c r="E21" t="s">
        <v>1772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006"/>
  <sheetViews>
    <sheetView topLeftCell="C1" workbookViewId="0">
      <selection activeCell="L3" sqref="L3"/>
    </sheetView>
  </sheetViews>
  <sheetFormatPr defaultRowHeight="14.4" x14ac:dyDescent="0.3"/>
  <cols>
    <col min="1" max="1" width="12.44140625" bestFit="1" customWidth="1"/>
    <col min="2" max="2" width="15.109375" style="4" bestFit="1" customWidth="1"/>
    <col min="3" max="3" width="15.109375" style="4" customWidth="1"/>
    <col min="4" max="4" width="16.33203125" bestFit="1" customWidth="1"/>
    <col min="5" max="5" width="14.88671875" bestFit="1" customWidth="1"/>
    <col min="6" max="6" width="12.6640625" bestFit="1" customWidth="1"/>
    <col min="7" max="7" width="12.77734375" bestFit="1" customWidth="1"/>
    <col min="8" max="8" width="13.77734375" bestFit="1" customWidth="1"/>
    <col min="9" max="9" width="14.109375" style="2" bestFit="1" customWidth="1"/>
    <col min="10" max="10" width="12.77734375" bestFit="1" customWidth="1"/>
    <col min="11" max="11" width="18.21875" bestFit="1" customWidth="1"/>
    <col min="12" max="12" width="17.6640625" style="2" bestFit="1" customWidth="1"/>
    <col min="13" max="13" width="21.109375" style="2" bestFit="1" customWidth="1"/>
    <col min="14" max="14" width="19.77734375" bestFit="1" customWidth="1"/>
    <col min="15" max="15" width="20.21875" bestFit="1" customWidth="1"/>
    <col min="16" max="16" width="25.44140625" bestFit="1" customWidth="1"/>
    <col min="17" max="17" width="16.33203125" bestFit="1" customWidth="1"/>
    <col min="18" max="19" width="16.21875" bestFit="1" customWidth="1"/>
  </cols>
  <sheetData>
    <row r="1" spans="1:19" x14ac:dyDescent="0.3">
      <c r="A1" s="1" t="s">
        <v>1816</v>
      </c>
      <c r="B1" s="3" t="s">
        <v>1817</v>
      </c>
      <c r="C1" s="6" t="s">
        <v>3961</v>
      </c>
      <c r="D1" s="1" t="s">
        <v>0</v>
      </c>
      <c r="E1" s="1" t="s">
        <v>1536</v>
      </c>
      <c r="F1" s="1" t="s">
        <v>1748</v>
      </c>
      <c r="G1" s="1" t="s">
        <v>1818</v>
      </c>
      <c r="H1" s="8" t="s">
        <v>3968</v>
      </c>
      <c r="I1" s="5" t="s">
        <v>1819</v>
      </c>
      <c r="J1" s="1" t="s">
        <v>1820</v>
      </c>
      <c r="K1" s="1" t="s">
        <v>1821</v>
      </c>
      <c r="L1" s="5" t="s">
        <v>1822</v>
      </c>
      <c r="M1" s="19" t="s">
        <v>3972</v>
      </c>
      <c r="N1" s="12" t="s">
        <v>3969</v>
      </c>
      <c r="O1" s="12" t="s">
        <v>3970</v>
      </c>
      <c r="P1" s="8" t="s">
        <v>4015</v>
      </c>
      <c r="Q1" s="12" t="s">
        <v>3971</v>
      </c>
      <c r="R1" s="8" t="s">
        <v>3973</v>
      </c>
      <c r="S1" s="8" t="s">
        <v>3988</v>
      </c>
    </row>
    <row r="2" spans="1:19" x14ac:dyDescent="0.3">
      <c r="A2" t="s">
        <v>1823</v>
      </c>
      <c r="B2" s="4">
        <v>45480</v>
      </c>
      <c r="C2" s="4" t="str">
        <f>TEXT(ESales_DB[[#This Row],[Order_Date]],"mmm")</f>
        <v>Jul</v>
      </c>
      <c r="D2" t="s">
        <v>1272</v>
      </c>
      <c r="E2" t="s">
        <v>1742</v>
      </c>
      <c r="F2" t="s">
        <v>1766</v>
      </c>
      <c r="G2">
        <v>1</v>
      </c>
      <c r="H2" s="10">
        <f>IF(ISBLANK(ESales_DB[[#This Row],[Quantity]]),AVERAGEIF(ESales_DB[Product_ID],ESales_DB[[#This Row],[Product_ID]],ESales_DB[Quantity]),ESales_DB[[#This Row],[Quantity]])</f>
        <v>1</v>
      </c>
      <c r="I2" s="2">
        <v>218.04</v>
      </c>
      <c r="J2">
        <v>0.09</v>
      </c>
      <c r="K2" t="s">
        <v>1824</v>
      </c>
      <c r="L2" s="2">
        <v>198.41640000000001</v>
      </c>
      <c r="M2" s="2" t="str">
        <f>IF(ESales_DB[[#This Row],[Total_Amount]]&gt;1000,"High","Low")</f>
        <v>Low</v>
      </c>
      <c r="N2" s="2" t="str">
        <f>VLOOKUP(ESales_DB[[#This Row],[Customer_ID]],Ecustom_DB[],3,FALSE)</f>
        <v>Sarah Smith</v>
      </c>
      <c r="O2" s="2" t="str">
        <f>_xlfn.XLOOKUP(ESales_DB[[#This Row],[Product_ID]],Eproduct_DB[Product_ID],Eproduct_DB[Category])</f>
        <v>Sports</v>
      </c>
      <c r="P2" s="2" t="str">
        <f>_xlfn.XLOOKUP(ESales_DB[[#This Row],[Product_ID]],Eproduct_DB[Product_ID],Eproduct_DB[Product_Name])</f>
        <v>Cricket Bat</v>
      </c>
      <c r="Q2" s="2" t="str">
        <f>_xlfn.XLOOKUP(ESales_DB[[#This Row],[Store_ID]],Estore_DB[Store_ID],Estore_DB[Region])</f>
        <v>North</v>
      </c>
      <c r="R2" t="str">
        <f>VLOOKUP(ESales_DB[[#This Row],[Customer_ID]],Ecustom_DB[],10,FALSE)</f>
        <v>Gold</v>
      </c>
      <c r="S2" t="str">
        <f>IF(ESales_DB[[#This Row],[Quantity1]]&gt;3,"Bulk order","Normal order")</f>
        <v>Normal order</v>
      </c>
    </row>
    <row r="3" spans="1:19" x14ac:dyDescent="0.3">
      <c r="A3" t="s">
        <v>1825</v>
      </c>
      <c r="B3" s="4">
        <v>45285</v>
      </c>
      <c r="C3" s="4" t="str">
        <f>TEXT(ESales_DB[[#This Row],[Order_Date]],"mmm")</f>
        <v>Dec</v>
      </c>
      <c r="D3" t="s">
        <v>1440</v>
      </c>
      <c r="E3" t="s">
        <v>1696</v>
      </c>
      <c r="F3" t="s">
        <v>1807</v>
      </c>
      <c r="G3">
        <v>3</v>
      </c>
      <c r="H3" s="10">
        <f>IF(ISBLANK(ESales_DB[[#This Row],[Quantity]]),AVERAGEIF(ESales_DB[Product_ID],ESales_DB[[#This Row],[Product_ID]],ESales_DB[Quantity]),ESales_DB[[#This Row],[Quantity]])</f>
        <v>3</v>
      </c>
      <c r="I3" s="2">
        <v>104.47</v>
      </c>
      <c r="J3">
        <v>0.27</v>
      </c>
      <c r="K3" t="s">
        <v>1826</v>
      </c>
      <c r="L3" s="2">
        <v>228.7893</v>
      </c>
      <c r="M3" s="2" t="str">
        <f>IF(ESales_DB[[#This Row],[Total_Amount]]&gt;1000,"High","Low")</f>
        <v>Low</v>
      </c>
      <c r="N3" s="2" t="str">
        <f>VLOOKUP(ESales_DB[[#This Row],[Customer_ID]],Ecustom_DB[],3,FALSE)</f>
        <v>Michael Foley</v>
      </c>
      <c r="O3" s="2" t="str">
        <f>_xlfn.XLOOKUP(ESales_DB[[#This Row],[Product_ID]],Eproduct_DB[Product_ID],Eproduct_DB[Category])</f>
        <v>Electronics</v>
      </c>
      <c r="P3" s="2" t="str">
        <f>_xlfn.XLOOKUP(ESales_DB[[#This Row],[Product_ID]],Eproduct_DB[Product_ID],Eproduct_DB[Product_Name])</f>
        <v>Bluetooth Car Audio System</v>
      </c>
      <c r="Q3" s="2" t="str">
        <f>_xlfn.XLOOKUP(ESales_DB[[#This Row],[Store_ID]],Estore_DB[Store_ID],Estore_DB[Region])</f>
        <v>North</v>
      </c>
      <c r="R3" t="str">
        <f>VLOOKUP(ESales_DB[[#This Row],[Customer_ID]],Ecustom_DB[],10,FALSE)</f>
        <v>Gold</v>
      </c>
      <c r="S3" t="str">
        <f>IF(ESales_DB[[#This Row],[Quantity1]]&gt;3,"Bulk order","Normal order")</f>
        <v>Normal order</v>
      </c>
    </row>
    <row r="4" spans="1:19" x14ac:dyDescent="0.3">
      <c r="A4" t="s">
        <v>1836</v>
      </c>
      <c r="B4" s="4">
        <v>45335</v>
      </c>
      <c r="C4" s="4" t="str">
        <f>TEXT(ESales_DB[[#This Row],[Order_Date]],"mmm")</f>
        <v>Feb</v>
      </c>
      <c r="D4" t="s">
        <v>241</v>
      </c>
      <c r="E4" t="s">
        <v>1596</v>
      </c>
      <c r="F4" t="s">
        <v>1799</v>
      </c>
      <c r="G4">
        <v>1</v>
      </c>
      <c r="H4" s="10">
        <f>IF(ISBLANK(ESales_DB[[#This Row],[Quantity]]),AVERAGEIF(ESales_DB[Product_ID],ESales_DB[[#This Row],[Product_ID]],ESales_DB[Quantity]),ESales_DB[[#This Row],[Quantity]])</f>
        <v>1</v>
      </c>
      <c r="I4" s="2">
        <v>278.63</v>
      </c>
      <c r="J4">
        <v>7.0000000000000007E-2</v>
      </c>
      <c r="K4" t="s">
        <v>1824</v>
      </c>
      <c r="L4" s="2">
        <v>259.1259</v>
      </c>
      <c r="M4" s="2" t="str">
        <f>IF(ESales_DB[[#This Row],[Total_Amount]]&gt;1000,"High","Low")</f>
        <v>Low</v>
      </c>
      <c r="N4" s="2" t="str">
        <f>VLOOKUP(ESales_DB[[#This Row],[Customer_ID]],Ecustom_DB[],3,FALSE)</f>
        <v>Michael Thomas</v>
      </c>
      <c r="O4" s="2" t="str">
        <f>_xlfn.XLOOKUP(ESales_DB[[#This Row],[Product_ID]],Eproduct_DB[Product_ID],Eproduct_DB[Category])</f>
        <v>Sports</v>
      </c>
      <c r="P4" s="2" t="str">
        <f>_xlfn.XLOOKUP(ESales_DB[[#This Row],[Product_ID]],Eproduct_DB[Product_ID],Eproduct_DB[Product_Name])</f>
        <v>Foldable Camping Chair</v>
      </c>
      <c r="Q4" s="2" t="str">
        <f>_xlfn.XLOOKUP(ESales_DB[[#This Row],[Store_ID]],Estore_DB[Store_ID],Estore_DB[Region])</f>
        <v>South</v>
      </c>
      <c r="R4" t="str">
        <f>VLOOKUP(ESales_DB[[#This Row],[Customer_ID]],Ecustom_DB[],10,FALSE)</f>
        <v>Silver</v>
      </c>
      <c r="S4" t="str">
        <f>IF(ESales_DB[[#This Row],[Quantity1]]&gt;3,"Bulk order","Normal order")</f>
        <v>Normal order</v>
      </c>
    </row>
    <row r="5" spans="1:19" x14ac:dyDescent="0.3">
      <c r="A5" t="s">
        <v>1926</v>
      </c>
      <c r="B5" s="4">
        <v>45677</v>
      </c>
      <c r="C5" s="4" t="str">
        <f>TEXT(ESales_DB[[#This Row],[Order_Date]],"mmm")</f>
        <v>Jan</v>
      </c>
      <c r="D5" t="s">
        <v>1154</v>
      </c>
      <c r="E5" t="s">
        <v>1614</v>
      </c>
      <c r="F5" t="s">
        <v>1773</v>
      </c>
      <c r="G5">
        <v>2</v>
      </c>
      <c r="H5" s="10">
        <f>IF(ISBLANK(ESales_DB[[#This Row],[Quantity]]),AVERAGEIF(ESales_DB[Product_ID],ESales_DB[[#This Row],[Product_ID]],ESales_DB[Quantity]),ESales_DB[[#This Row],[Quantity]])</f>
        <v>2</v>
      </c>
      <c r="I5" s="2">
        <v>401.5</v>
      </c>
      <c r="J5">
        <v>0.18</v>
      </c>
      <c r="K5" t="s">
        <v>1824</v>
      </c>
      <c r="L5" s="2">
        <v>658.46</v>
      </c>
      <c r="M5" s="2" t="str">
        <f>IF(ESales_DB[[#This Row],[Total_Amount]]&gt;1000,"High","Low")</f>
        <v>Low</v>
      </c>
      <c r="N5" s="2" t="str">
        <f>VLOOKUP(ESales_DB[[#This Row],[Customer_ID]],Ecustom_DB[],3,FALSE)</f>
        <v>Gregory Allen</v>
      </c>
      <c r="O5" s="2" t="str">
        <f>_xlfn.XLOOKUP(ESales_DB[[#This Row],[Product_ID]],Eproduct_DB[Product_ID],Eproduct_DB[Category])</f>
        <v>Home</v>
      </c>
      <c r="P5" s="2" t="str">
        <f>_xlfn.XLOOKUP(ESales_DB[[#This Row],[Product_ID]],Eproduct_DB[Product_ID],Eproduct_DB[Product_Name])</f>
        <v>Modern Wall Clock</v>
      </c>
      <c r="Q5" s="2" t="str">
        <f>_xlfn.XLOOKUP(ESales_DB[[#This Row],[Store_ID]],Estore_DB[Store_ID],Estore_DB[Region])</f>
        <v>North</v>
      </c>
      <c r="R5" t="str">
        <f>VLOOKUP(ESales_DB[[#This Row],[Customer_ID]],Ecustom_DB[],10,FALSE)</f>
        <v>Platinum</v>
      </c>
      <c r="S5" t="str">
        <f>IF(ESales_DB[[#This Row],[Quantity1]]&gt;3,"Bulk order","Normal order")</f>
        <v>Normal order</v>
      </c>
    </row>
    <row r="6" spans="1:19" x14ac:dyDescent="0.3">
      <c r="A6" t="s">
        <v>2826</v>
      </c>
      <c r="B6" s="4">
        <v>45456</v>
      </c>
      <c r="C6" s="4" t="str">
        <f>TEXT(ESales_DB[[#This Row],[Order_Date]],"mmm")</f>
        <v>Jun</v>
      </c>
      <c r="D6" t="s">
        <v>625</v>
      </c>
      <c r="E6" t="s">
        <v>1666</v>
      </c>
      <c r="F6" t="s">
        <v>1761</v>
      </c>
      <c r="G6">
        <v>2</v>
      </c>
      <c r="H6" s="10">
        <f>IF(ISBLANK(ESales_DB[[#This Row],[Quantity]]),AVERAGEIF(ESales_DB[Product_ID],ESales_DB[[#This Row],[Product_ID]],ESales_DB[Quantity]),ESales_DB[[#This Row],[Quantity]])</f>
        <v>2</v>
      </c>
      <c r="I6" s="2">
        <v>909.51</v>
      </c>
      <c r="J6">
        <v>0.27</v>
      </c>
      <c r="K6" t="s">
        <v>1824</v>
      </c>
      <c r="L6" s="2">
        <v>1327.8846000000001</v>
      </c>
      <c r="M6" s="2" t="str">
        <f>IF(ESales_DB[[#This Row],[Total_Amount]]&gt;1000,"High","Low")</f>
        <v>High</v>
      </c>
      <c r="N6" s="2" t="str">
        <f>VLOOKUP(ESales_DB[[#This Row],[Customer_ID]],Ecustom_DB[],3,FALSE)</f>
        <v>Christopher Stewart</v>
      </c>
      <c r="O6" s="2" t="str">
        <f>_xlfn.XLOOKUP(ESales_DB[[#This Row],[Product_ID]],Eproduct_DB[Product_ID],Eproduct_DB[Category])</f>
        <v>Beauty</v>
      </c>
      <c r="P6" s="2" t="str">
        <f>_xlfn.XLOOKUP(ESales_DB[[#This Row],[Product_ID]],Eproduct_DB[Product_ID],Eproduct_DB[Product_Name])</f>
        <v>Men's Hair Styling Gel</v>
      </c>
      <c r="Q6" s="2" t="str">
        <f>_xlfn.XLOOKUP(ESales_DB[[#This Row],[Store_ID]],Estore_DB[Store_ID],Estore_DB[Region])</f>
        <v>South</v>
      </c>
      <c r="R6" t="str">
        <f>VLOOKUP(ESales_DB[[#This Row],[Customer_ID]],Ecustom_DB[],10,FALSE)</f>
        <v>Bronze</v>
      </c>
      <c r="S6" t="str">
        <f>IF(ESales_DB[[#This Row],[Quantity1]]&gt;3,"Bulk order","Normal order")</f>
        <v>Normal order</v>
      </c>
    </row>
    <row r="7" spans="1:19" x14ac:dyDescent="0.3">
      <c r="A7" t="s">
        <v>2827</v>
      </c>
      <c r="B7" s="4">
        <v>45776</v>
      </c>
      <c r="C7" s="4" t="str">
        <f>TEXT(ESales_DB[[#This Row],[Order_Date]],"mmm")</f>
        <v>Apr</v>
      </c>
      <c r="D7" t="s">
        <v>198</v>
      </c>
      <c r="E7" t="s">
        <v>1686</v>
      </c>
      <c r="F7" t="s">
        <v>1799</v>
      </c>
      <c r="G7">
        <v>4</v>
      </c>
      <c r="H7" s="10">
        <f>IF(ISBLANK(ESales_DB[[#This Row],[Quantity]]),AVERAGEIF(ESales_DB[Product_ID],ESales_DB[[#This Row],[Product_ID]],ESales_DB[Quantity]),ESales_DB[[#This Row],[Quantity]])</f>
        <v>4</v>
      </c>
      <c r="I7" s="2">
        <v>593.84</v>
      </c>
      <c r="J7">
        <v>0.24</v>
      </c>
      <c r="K7" t="s">
        <v>1826</v>
      </c>
      <c r="L7" s="2">
        <v>1805.2736</v>
      </c>
      <c r="M7" s="2" t="str">
        <f>IF(ESales_DB[[#This Row],[Total_Amount]]&gt;1000,"High","Low")</f>
        <v>High</v>
      </c>
      <c r="N7" s="2" t="str">
        <f>VLOOKUP(ESales_DB[[#This Row],[Customer_ID]],Ecustom_DB[],3,FALSE)</f>
        <v>Debra Liu</v>
      </c>
      <c r="O7" s="2" t="str">
        <f>_xlfn.XLOOKUP(ESales_DB[[#This Row],[Product_ID]],Eproduct_DB[Product_ID],Eproduct_DB[Category])</f>
        <v>Clothing</v>
      </c>
      <c r="P7" s="2" t="str">
        <f>_xlfn.XLOOKUP(ESales_DB[[#This Row],[Product_ID]],Eproduct_DB[Product_ID],Eproduct_DB[Product_Name])</f>
        <v>Men's Sports Shorts</v>
      </c>
      <c r="Q7" s="2" t="str">
        <f>_xlfn.XLOOKUP(ESales_DB[[#This Row],[Store_ID]],Estore_DB[Store_ID],Estore_DB[Region])</f>
        <v>South</v>
      </c>
      <c r="R7" t="str">
        <f>VLOOKUP(ESales_DB[[#This Row],[Customer_ID]],Ecustom_DB[],10,FALSE)</f>
        <v>Bronze</v>
      </c>
      <c r="S7" t="str">
        <f>IF(ESales_DB[[#This Row],[Quantity1]]&gt;3,"Bulk order","Normal order")</f>
        <v>Bulk order</v>
      </c>
    </row>
    <row r="8" spans="1:19" x14ac:dyDescent="0.3">
      <c r="A8" t="s">
        <v>2828</v>
      </c>
      <c r="B8" s="4">
        <v>45566</v>
      </c>
      <c r="C8" s="4" t="str">
        <f>TEXT(ESales_DB[[#This Row],[Order_Date]],"mmm")</f>
        <v>Oct</v>
      </c>
      <c r="D8" t="s">
        <v>384</v>
      </c>
      <c r="E8" t="s">
        <v>1694</v>
      </c>
      <c r="F8" t="s">
        <v>1789</v>
      </c>
      <c r="G8">
        <v>3</v>
      </c>
      <c r="H8" s="10">
        <f>IF(ISBLANK(ESales_DB[[#This Row],[Quantity]]),AVERAGEIF(ESales_DB[Product_ID],ESales_DB[[#This Row],[Product_ID]],ESales_DB[Quantity]),ESales_DB[[#This Row],[Quantity]])</f>
        <v>3</v>
      </c>
      <c r="I8" s="2">
        <v>909.11</v>
      </c>
      <c r="J8">
        <v>0.23</v>
      </c>
      <c r="K8" t="s">
        <v>1829</v>
      </c>
      <c r="L8" s="2">
        <v>2100.0441000000001</v>
      </c>
      <c r="M8" s="2" t="str">
        <f>IF(ESales_DB[[#This Row],[Total_Amount]]&gt;1000,"High","Low")</f>
        <v>High</v>
      </c>
      <c r="N8" s="2" t="str">
        <f>VLOOKUP(ESales_DB[[#This Row],[Customer_ID]],Ecustom_DB[],3,FALSE)</f>
        <v>Amy Walker</v>
      </c>
      <c r="O8" s="2" t="str">
        <f>_xlfn.XLOOKUP(ESales_DB[[#This Row],[Product_ID]],Eproduct_DB[Product_ID],Eproduct_DB[Category])</f>
        <v>Sports</v>
      </c>
      <c r="P8" s="2" t="str">
        <f>_xlfn.XLOOKUP(ESales_DB[[#This Row],[Product_ID]],Eproduct_DB[Product_ID],Eproduct_DB[Product_Name])</f>
        <v>Shin Guards – Adult</v>
      </c>
      <c r="Q8" s="2" t="str">
        <f>_xlfn.XLOOKUP(ESales_DB[[#This Row],[Store_ID]],Estore_DB[Store_ID],Estore_DB[Region])</f>
        <v>East</v>
      </c>
      <c r="R8" t="str">
        <f>VLOOKUP(ESales_DB[[#This Row],[Customer_ID]],Ecustom_DB[],10,FALSE)</f>
        <v>Silver</v>
      </c>
      <c r="S8" t="str">
        <f>IF(ESales_DB[[#This Row],[Quantity1]]&gt;3,"Bulk order","Normal order")</f>
        <v>Normal order</v>
      </c>
    </row>
    <row r="9" spans="1:19" x14ac:dyDescent="0.3">
      <c r="A9" t="s">
        <v>2829</v>
      </c>
      <c r="B9" s="4">
        <v>45542</v>
      </c>
      <c r="C9" s="4" t="str">
        <f>TEXT(ESales_DB[[#This Row],[Order_Date]],"mmm")</f>
        <v>Sep</v>
      </c>
      <c r="D9" t="s">
        <v>1243</v>
      </c>
      <c r="E9" t="s">
        <v>1596</v>
      </c>
      <c r="F9" t="s">
        <v>1757</v>
      </c>
      <c r="G9">
        <v>4</v>
      </c>
      <c r="H9" s="10">
        <f>IF(ISBLANK(ESales_DB[[#This Row],[Quantity]]),AVERAGEIF(ESales_DB[Product_ID],ESales_DB[[#This Row],[Product_ID]],ESales_DB[Quantity]),ESales_DB[[#This Row],[Quantity]])</f>
        <v>4</v>
      </c>
      <c r="I9" s="2">
        <v>996.85</v>
      </c>
      <c r="J9">
        <v>0.24</v>
      </c>
      <c r="K9" t="s">
        <v>1826</v>
      </c>
      <c r="L9" s="2">
        <v>3030.424</v>
      </c>
      <c r="M9" s="2" t="str">
        <f>IF(ESales_DB[[#This Row],[Total_Amount]]&gt;1000,"High","Low")</f>
        <v>High</v>
      </c>
      <c r="N9" s="2" t="str">
        <f>VLOOKUP(ESales_DB[[#This Row],[Customer_ID]],Ecustom_DB[],3,FALSE)</f>
        <v>John Donaldson</v>
      </c>
      <c r="O9" s="2" t="str">
        <f>_xlfn.XLOOKUP(ESales_DB[[#This Row],[Product_ID]],Eproduct_DB[Product_ID],Eproduct_DB[Category])</f>
        <v>Sports</v>
      </c>
      <c r="P9" s="2" t="str">
        <f>_xlfn.XLOOKUP(ESales_DB[[#This Row],[Product_ID]],Eproduct_DB[Product_ID],Eproduct_DB[Product_Name])</f>
        <v>Foldable Camping Chair</v>
      </c>
      <c r="Q9" s="2" t="str">
        <f>_xlfn.XLOOKUP(ESales_DB[[#This Row],[Store_ID]],Estore_DB[Store_ID],Estore_DB[Region])</f>
        <v>North</v>
      </c>
      <c r="R9" t="str">
        <f>VLOOKUP(ESales_DB[[#This Row],[Customer_ID]],Ecustom_DB[],10,FALSE)</f>
        <v>Bronze</v>
      </c>
      <c r="S9" t="str">
        <f>IF(ESales_DB[[#This Row],[Quantity1]]&gt;3,"Bulk order","Normal order")</f>
        <v>Bulk order</v>
      </c>
    </row>
    <row r="10" spans="1:19" x14ac:dyDescent="0.3">
      <c r="A10" t="s">
        <v>2830</v>
      </c>
      <c r="B10" s="4">
        <v>45834</v>
      </c>
      <c r="C10" s="4" t="str">
        <f>TEXT(ESales_DB[[#This Row],[Order_Date]],"mmm")</f>
        <v>Jun</v>
      </c>
      <c r="D10" t="s">
        <v>948</v>
      </c>
      <c r="E10" t="s">
        <v>1543</v>
      </c>
      <c r="F10" t="s">
        <v>1807</v>
      </c>
      <c r="G10">
        <v>1</v>
      </c>
      <c r="H10" s="10">
        <f>IF(ISBLANK(ESales_DB[[#This Row],[Quantity]]),AVERAGEIF(ESales_DB[Product_ID],ESales_DB[[#This Row],[Product_ID]],ESales_DB[Quantity]),ESales_DB[[#This Row],[Quantity]])</f>
        <v>1</v>
      </c>
      <c r="I10" s="2">
        <v>522.69000000000005</v>
      </c>
      <c r="J10">
        <v>0.06</v>
      </c>
      <c r="K10" t="s">
        <v>1829</v>
      </c>
      <c r="L10" s="2">
        <v>491.32860000000011</v>
      </c>
      <c r="M10" s="2" t="str">
        <f>IF(ESales_DB[[#This Row],[Total_Amount]]&gt;1000,"High","Low")</f>
        <v>Low</v>
      </c>
      <c r="N10" s="2" t="str">
        <f>VLOOKUP(ESales_DB[[#This Row],[Customer_ID]],Ecustom_DB[],3,FALSE)</f>
        <v>Matthew Avery</v>
      </c>
      <c r="O10" s="2" t="str">
        <f>_xlfn.XLOOKUP(ESales_DB[[#This Row],[Product_ID]],Eproduct_DB[Product_ID],Eproduct_DB[Category])</f>
        <v>Electronics</v>
      </c>
      <c r="P10" s="2" t="str">
        <f>_xlfn.XLOOKUP(ESales_DB[[#This Row],[Product_ID]],Eproduct_DB[Product_ID],Eproduct_DB[Product_Name])</f>
        <v>Brother Laser Printer</v>
      </c>
      <c r="Q10" s="2" t="str">
        <f>_xlfn.XLOOKUP(ESales_DB[[#This Row],[Store_ID]],Estore_DB[Store_ID],Estore_DB[Region])</f>
        <v>North</v>
      </c>
      <c r="R10" t="str">
        <f>VLOOKUP(ESales_DB[[#This Row],[Customer_ID]],Ecustom_DB[],10,FALSE)</f>
        <v>Silver</v>
      </c>
      <c r="S10" t="str">
        <f>IF(ESales_DB[[#This Row],[Quantity1]]&gt;3,"Bulk order","Normal order")</f>
        <v>Normal order</v>
      </c>
    </row>
    <row r="11" spans="1:19" x14ac:dyDescent="0.3">
      <c r="A11" t="s">
        <v>2831</v>
      </c>
      <c r="B11" s="4">
        <v>45405</v>
      </c>
      <c r="C11" s="4" t="str">
        <f>TEXT(ESales_DB[[#This Row],[Order_Date]],"mmm")</f>
        <v>Apr</v>
      </c>
      <c r="D11" t="s">
        <v>637</v>
      </c>
      <c r="E11" t="s">
        <v>1656</v>
      </c>
      <c r="F11" t="s">
        <v>1766</v>
      </c>
      <c r="G11">
        <v>3</v>
      </c>
      <c r="H11" s="10">
        <f>IF(ISBLANK(ESales_DB[[#This Row],[Quantity]]),AVERAGEIF(ESales_DB[Product_ID],ESales_DB[[#This Row],[Product_ID]],ESales_DB[Quantity]),ESales_DB[[#This Row],[Quantity]])</f>
        <v>3</v>
      </c>
      <c r="I11" s="2">
        <v>261.05</v>
      </c>
      <c r="J11">
        <v>0.12</v>
      </c>
      <c r="K11" t="s">
        <v>1826</v>
      </c>
      <c r="L11" s="2">
        <v>689.17200000000014</v>
      </c>
      <c r="M11" s="2" t="str">
        <f>IF(ESales_DB[[#This Row],[Total_Amount]]&gt;1000,"High","Low")</f>
        <v>Low</v>
      </c>
      <c r="N11" s="2" t="str">
        <f>VLOOKUP(ESales_DB[[#This Row],[Customer_ID]],Ecustom_DB[],3,FALSE)</f>
        <v>Ashley Ferguson</v>
      </c>
      <c r="O11" s="2" t="str">
        <f>_xlfn.XLOOKUP(ESales_DB[[#This Row],[Product_ID]],Eproduct_DB[Product_ID],Eproduct_DB[Category])</f>
        <v>Sports</v>
      </c>
      <c r="P11" s="2" t="str">
        <f>_xlfn.XLOOKUP(ESales_DB[[#This Row],[Product_ID]],Eproduct_DB[Product_ID],Eproduct_DB[Product_Name])</f>
        <v>Sports Stopwatch Pro</v>
      </c>
      <c r="Q11" s="2" t="str">
        <f>_xlfn.XLOOKUP(ESales_DB[[#This Row],[Store_ID]],Estore_DB[Store_ID],Estore_DB[Region])</f>
        <v>North</v>
      </c>
      <c r="R11" t="str">
        <f>VLOOKUP(ESales_DB[[#This Row],[Customer_ID]],Ecustom_DB[],10,FALSE)</f>
        <v>Gold</v>
      </c>
      <c r="S11" t="str">
        <f>IF(ESales_DB[[#This Row],[Quantity1]]&gt;3,"Bulk order","Normal order")</f>
        <v>Normal order</v>
      </c>
    </row>
    <row r="12" spans="1:19" x14ac:dyDescent="0.3">
      <c r="A12" t="s">
        <v>2832</v>
      </c>
      <c r="B12" s="4">
        <v>45918</v>
      </c>
      <c r="C12" s="4" t="str">
        <f>TEXT(ESales_DB[[#This Row],[Order_Date]],"mmm")</f>
        <v>Sep</v>
      </c>
      <c r="D12" t="s">
        <v>314</v>
      </c>
      <c r="E12" t="s">
        <v>1594</v>
      </c>
      <c r="F12" t="s">
        <v>1807</v>
      </c>
      <c r="G12">
        <v>3</v>
      </c>
      <c r="H12" s="10">
        <f>IF(ISBLANK(ESales_DB[[#This Row],[Quantity]]),AVERAGEIF(ESales_DB[Product_ID],ESales_DB[[#This Row],[Product_ID]],ESales_DB[Quantity]),ESales_DB[[#This Row],[Quantity]])</f>
        <v>3</v>
      </c>
      <c r="I12" s="2">
        <v>644.73</v>
      </c>
      <c r="J12">
        <v>0.01</v>
      </c>
      <c r="K12" t="s">
        <v>1829</v>
      </c>
      <c r="L12" s="2">
        <v>1914.8480999999999</v>
      </c>
      <c r="M12" s="2" t="str">
        <f>IF(ESales_DB[[#This Row],[Total_Amount]]&gt;1000,"High","Low")</f>
        <v>High</v>
      </c>
      <c r="N12" s="2" t="str">
        <f>VLOOKUP(ESales_DB[[#This Row],[Customer_ID]],Ecustom_DB[],3,FALSE)</f>
        <v>Melissa Duffy Md</v>
      </c>
      <c r="O12" s="2" t="str">
        <f>_xlfn.XLOOKUP(ESales_DB[[#This Row],[Product_ID]],Eproduct_DB[Product_ID],Eproduct_DB[Category])</f>
        <v>Clothing</v>
      </c>
      <c r="P12" s="2" t="str">
        <f>_xlfn.XLOOKUP(ESales_DB[[#This Row],[Product_ID]],Eproduct_DB[Product_ID],Eproduct_DB[Product_Name])</f>
        <v>Men's Formal Shirt</v>
      </c>
      <c r="Q12" s="2" t="str">
        <f>_xlfn.XLOOKUP(ESales_DB[[#This Row],[Store_ID]],Estore_DB[Store_ID],Estore_DB[Region])</f>
        <v>North</v>
      </c>
      <c r="R12" t="str">
        <f>VLOOKUP(ESales_DB[[#This Row],[Customer_ID]],Ecustom_DB[],10,FALSE)</f>
        <v>Bronze</v>
      </c>
      <c r="S12" t="str">
        <f>IF(ESales_DB[[#This Row],[Quantity1]]&gt;3,"Bulk order","Normal order")</f>
        <v>Normal order</v>
      </c>
    </row>
    <row r="13" spans="1:19" x14ac:dyDescent="0.3">
      <c r="A13" t="s">
        <v>2833</v>
      </c>
      <c r="B13" s="4">
        <v>45217</v>
      </c>
      <c r="C13" s="4" t="str">
        <f>TEXT(ESales_DB[[#This Row],[Order_Date]],"mmm")</f>
        <v>Oct</v>
      </c>
      <c r="D13" t="s">
        <v>648</v>
      </c>
      <c r="E13" t="s">
        <v>1698</v>
      </c>
      <c r="F13" t="s">
        <v>1761</v>
      </c>
      <c r="G13">
        <v>2</v>
      </c>
      <c r="H13" s="10">
        <f>IF(ISBLANK(ESales_DB[[#This Row],[Quantity]]),AVERAGEIF(ESales_DB[Product_ID],ESales_DB[[#This Row],[Product_ID]],ESales_DB[Quantity]),ESales_DB[[#This Row],[Quantity]])</f>
        <v>2</v>
      </c>
      <c r="I13" s="2">
        <v>541.52</v>
      </c>
      <c r="J13">
        <v>0.26</v>
      </c>
      <c r="K13" t="s">
        <v>1826</v>
      </c>
      <c r="L13" s="2">
        <v>801.44959999999992</v>
      </c>
      <c r="M13" s="2" t="str">
        <f>IF(ESales_DB[[#This Row],[Total_Amount]]&gt;1000,"High","Low")</f>
        <v>Low</v>
      </c>
      <c r="N13" s="2" t="str">
        <f>VLOOKUP(ESales_DB[[#This Row],[Customer_ID]],Ecustom_DB[],3,FALSE)</f>
        <v>Wanda Snyder</v>
      </c>
      <c r="O13" s="2" t="str">
        <f>_xlfn.XLOOKUP(ESales_DB[[#This Row],[Product_ID]],Eproduct_DB[Product_ID],Eproduct_DB[Category])</f>
        <v>Clothing</v>
      </c>
      <c r="P13" s="2" t="str">
        <f>_xlfn.XLOOKUP(ESales_DB[[#This Row],[Product_ID]],Eproduct_DB[Product_ID],Eproduct_DB[Product_Name])</f>
        <v>Women's Ankle Boots</v>
      </c>
      <c r="Q13" s="2" t="str">
        <f>_xlfn.XLOOKUP(ESales_DB[[#This Row],[Store_ID]],Estore_DB[Store_ID],Estore_DB[Region])</f>
        <v>South</v>
      </c>
      <c r="R13" t="str">
        <f>VLOOKUP(ESales_DB[[#This Row],[Customer_ID]],Ecustom_DB[],10,FALSE)</f>
        <v>Bronze</v>
      </c>
      <c r="S13" t="str">
        <f>IF(ESales_DB[[#This Row],[Quantity1]]&gt;3,"Bulk order","Normal order")</f>
        <v>Normal order</v>
      </c>
    </row>
    <row r="14" spans="1:19" x14ac:dyDescent="0.3">
      <c r="A14" t="s">
        <v>2834</v>
      </c>
      <c r="B14" s="4">
        <v>45259</v>
      </c>
      <c r="C14" s="4" t="str">
        <f>TEXT(ESales_DB[[#This Row],[Order_Date]],"mmm")</f>
        <v>Nov</v>
      </c>
      <c r="D14" t="s">
        <v>1322</v>
      </c>
      <c r="E14" t="s">
        <v>1674</v>
      </c>
      <c r="F14" t="s">
        <v>1789</v>
      </c>
      <c r="G14">
        <v>1</v>
      </c>
      <c r="H14" s="10">
        <f>IF(ISBLANK(ESales_DB[[#This Row],[Quantity]]),AVERAGEIF(ESales_DB[Product_ID],ESales_DB[[#This Row],[Product_ID]],ESales_DB[Quantity]),ESales_DB[[#This Row],[Quantity]])</f>
        <v>1</v>
      </c>
      <c r="I14" s="2">
        <v>395.18</v>
      </c>
      <c r="J14">
        <v>0.09</v>
      </c>
      <c r="K14" t="s">
        <v>1826</v>
      </c>
      <c r="L14" s="2">
        <v>359.61380000000003</v>
      </c>
      <c r="M14" s="2" t="str">
        <f>IF(ESales_DB[[#This Row],[Total_Amount]]&gt;1000,"High","Low")</f>
        <v>Low</v>
      </c>
      <c r="N14" s="2" t="str">
        <f>VLOOKUP(ESales_DB[[#This Row],[Customer_ID]],Ecustom_DB[],3,FALSE)</f>
        <v>Jeanette Nichols</v>
      </c>
      <c r="O14" s="2" t="str">
        <f>_xlfn.XLOOKUP(ESales_DB[[#This Row],[Product_ID]],Eproduct_DB[Product_ID],Eproduct_DB[Category])</f>
        <v>Beauty</v>
      </c>
      <c r="P14" s="2" t="str">
        <f>_xlfn.XLOOKUP(ESales_DB[[#This Row],[Product_ID]],Eproduct_DB[Product_ID],Eproduct_DB[Product_Name])</f>
        <v>Organic Sunscreen Lotion</v>
      </c>
      <c r="Q14" s="2" t="str">
        <f>_xlfn.XLOOKUP(ESales_DB[[#This Row],[Store_ID]],Estore_DB[Store_ID],Estore_DB[Region])</f>
        <v>East</v>
      </c>
      <c r="R14" t="str">
        <f>VLOOKUP(ESales_DB[[#This Row],[Customer_ID]],Ecustom_DB[],10,FALSE)</f>
        <v>Platinum</v>
      </c>
      <c r="S14" t="str">
        <f>IF(ESales_DB[[#This Row],[Quantity1]]&gt;3,"Bulk order","Normal order")</f>
        <v>Normal order</v>
      </c>
    </row>
    <row r="15" spans="1:19" x14ac:dyDescent="0.3">
      <c r="A15" t="s">
        <v>2835</v>
      </c>
      <c r="B15" s="4">
        <v>45740</v>
      </c>
      <c r="C15" s="4" t="str">
        <f>TEXT(ESales_DB[[#This Row],[Order_Date]],"mmm")</f>
        <v>Mar</v>
      </c>
      <c r="D15" t="s">
        <v>356</v>
      </c>
      <c r="E15" t="s">
        <v>1562</v>
      </c>
      <c r="F15" t="s">
        <v>1782</v>
      </c>
      <c r="G15">
        <v>4</v>
      </c>
      <c r="H15" s="10">
        <f>IF(ISBLANK(ESales_DB[[#This Row],[Quantity]]),AVERAGEIF(ESales_DB[Product_ID],ESales_DB[[#This Row],[Product_ID]],ESales_DB[Quantity]),ESales_DB[[#This Row],[Quantity]])</f>
        <v>4</v>
      </c>
      <c r="I15" s="2">
        <v>56.37</v>
      </c>
      <c r="J15">
        <v>0.17</v>
      </c>
      <c r="K15" t="s">
        <v>1824</v>
      </c>
      <c r="L15" s="2">
        <v>187.14840000000001</v>
      </c>
      <c r="M15" s="2" t="str">
        <f>IF(ESales_DB[[#This Row],[Total_Amount]]&gt;1000,"High","Low")</f>
        <v>Low</v>
      </c>
      <c r="N15" s="2" t="str">
        <f>VLOOKUP(ESales_DB[[#This Row],[Customer_ID]],Ecustom_DB[],3,FALSE)</f>
        <v>Diane Watson</v>
      </c>
      <c r="O15" s="2" t="str">
        <f>_xlfn.XLOOKUP(ESales_DB[[#This Row],[Product_ID]],Eproduct_DB[Product_ID],Eproduct_DB[Category])</f>
        <v>Electronics</v>
      </c>
      <c r="P15" s="2" t="str">
        <f>_xlfn.XLOOKUP(ESales_DB[[#This Row],[Product_ID]],Eproduct_DB[Product_ID],Eproduct_DB[Product_Name])</f>
        <v>Wireless Bluetooth Earbuds</v>
      </c>
      <c r="Q15" s="2" t="str">
        <f>_xlfn.XLOOKUP(ESales_DB[[#This Row],[Store_ID]],Estore_DB[Store_ID],Estore_DB[Region])</f>
        <v>West</v>
      </c>
      <c r="R15" t="str">
        <f>VLOOKUP(ESales_DB[[#This Row],[Customer_ID]],Ecustom_DB[],10,FALSE)</f>
        <v>Platinum</v>
      </c>
      <c r="S15" t="str">
        <f>IF(ESales_DB[[#This Row],[Quantity1]]&gt;3,"Bulk order","Normal order")</f>
        <v>Bulk order</v>
      </c>
    </row>
    <row r="16" spans="1:19" x14ac:dyDescent="0.3">
      <c r="A16" t="s">
        <v>1927</v>
      </c>
      <c r="B16" s="4">
        <v>45453</v>
      </c>
      <c r="C16" s="4" t="str">
        <f>TEXT(ESales_DB[[#This Row],[Order_Date]],"mmm")</f>
        <v>Jun</v>
      </c>
      <c r="D16" t="s">
        <v>304</v>
      </c>
      <c r="E16" t="s">
        <v>1598</v>
      </c>
      <c r="F16" t="s">
        <v>1797</v>
      </c>
      <c r="G16">
        <v>3</v>
      </c>
      <c r="H16" s="10">
        <f>IF(ISBLANK(ESales_DB[[#This Row],[Quantity]]),AVERAGEIF(ESales_DB[Product_ID],ESales_DB[[#This Row],[Product_ID]],ESales_DB[Quantity]),ESales_DB[[#This Row],[Quantity]])</f>
        <v>3</v>
      </c>
      <c r="I16" s="2">
        <v>359.56</v>
      </c>
      <c r="J16">
        <v>0.17</v>
      </c>
      <c r="K16" t="s">
        <v>1826</v>
      </c>
      <c r="L16" s="2">
        <v>895.30439999999999</v>
      </c>
      <c r="M16" s="2" t="str">
        <f>IF(ESales_DB[[#This Row],[Total_Amount]]&gt;1000,"High","Low")</f>
        <v>Low</v>
      </c>
      <c r="N16" s="2" t="str">
        <f>VLOOKUP(ESales_DB[[#This Row],[Customer_ID]],Ecustom_DB[],3,FALSE)</f>
        <v>Christy Hoffman</v>
      </c>
      <c r="O16" s="2" t="str">
        <f>_xlfn.XLOOKUP(ESales_DB[[#This Row],[Product_ID]],Eproduct_DB[Product_ID],Eproduct_DB[Category])</f>
        <v>Clothing</v>
      </c>
      <c r="P16" s="2" t="str">
        <f>_xlfn.XLOOKUP(ESales_DB[[#This Row],[Product_ID]],Eproduct_DB[Product_ID],Eproduct_DB[Product_Name])</f>
        <v>Women's Scarf Set</v>
      </c>
      <c r="Q16" s="2" t="str">
        <f>_xlfn.XLOOKUP(ESales_DB[[#This Row],[Store_ID]],Estore_DB[Store_ID],Estore_DB[Region])</f>
        <v>East</v>
      </c>
      <c r="R16" t="str">
        <f>VLOOKUP(ESales_DB[[#This Row],[Customer_ID]],Ecustom_DB[],10,FALSE)</f>
        <v>Platinum</v>
      </c>
      <c r="S16" t="str">
        <f>IF(ESales_DB[[#This Row],[Quantity1]]&gt;3,"Bulk order","Normal order")</f>
        <v>Normal order</v>
      </c>
    </row>
    <row r="17" spans="1:19" x14ac:dyDescent="0.3">
      <c r="A17" t="s">
        <v>2836</v>
      </c>
      <c r="B17" s="4">
        <v>45908</v>
      </c>
      <c r="C17" s="4" t="str">
        <f>TEXT(ESales_DB[[#This Row],[Order_Date]],"mmm")</f>
        <v>Sep</v>
      </c>
      <c r="D17" t="s">
        <v>681</v>
      </c>
      <c r="E17" t="s">
        <v>1706</v>
      </c>
      <c r="F17" t="s">
        <v>1786</v>
      </c>
      <c r="G17">
        <v>4</v>
      </c>
      <c r="H17" s="10">
        <f>IF(ISBLANK(ESales_DB[[#This Row],[Quantity]]),AVERAGEIF(ESales_DB[Product_ID],ESales_DB[[#This Row],[Product_ID]],ESales_DB[Quantity]),ESales_DB[[#This Row],[Quantity]])</f>
        <v>4</v>
      </c>
      <c r="I17" s="2">
        <v>202.59</v>
      </c>
      <c r="J17">
        <v>0.06</v>
      </c>
      <c r="K17" t="s">
        <v>1829</v>
      </c>
      <c r="L17" s="2">
        <v>761.73839999999996</v>
      </c>
      <c r="M17" s="2" t="str">
        <f>IF(ESales_DB[[#This Row],[Total_Amount]]&gt;1000,"High","Low")</f>
        <v>Low</v>
      </c>
      <c r="N17" s="2" t="str">
        <f>VLOOKUP(ESales_DB[[#This Row],[Customer_ID]],Ecustom_DB[],3,FALSE)</f>
        <v>Joan Johnson</v>
      </c>
      <c r="O17" s="2" t="str">
        <f>_xlfn.XLOOKUP(ESales_DB[[#This Row],[Product_ID]],Eproduct_DB[Product_ID],Eproduct_DB[Category])</f>
        <v>Home</v>
      </c>
      <c r="P17" s="2" t="str">
        <f>_xlfn.XLOOKUP(ESales_DB[[#This Row],[Product_ID]],Eproduct_DB[Product_ID],Eproduct_DB[Product_Name])</f>
        <v>Decorative Lamp Shade</v>
      </c>
      <c r="Q17" s="2" t="str">
        <f>_xlfn.XLOOKUP(ESales_DB[[#This Row],[Store_ID]],Estore_DB[Store_ID],Estore_DB[Region])</f>
        <v>South</v>
      </c>
      <c r="R17" t="str">
        <f>VLOOKUP(ESales_DB[[#This Row],[Customer_ID]],Ecustom_DB[],10,FALSE)</f>
        <v>Platinum</v>
      </c>
      <c r="S17" t="str">
        <f>IF(ESales_DB[[#This Row],[Quantity1]]&gt;3,"Bulk order","Normal order")</f>
        <v>Bulk order</v>
      </c>
    </row>
    <row r="18" spans="1:19" x14ac:dyDescent="0.3">
      <c r="A18" t="s">
        <v>2837</v>
      </c>
      <c r="B18" s="4">
        <v>45601</v>
      </c>
      <c r="C18" s="4" t="str">
        <f>TEXT(ESales_DB[[#This Row],[Order_Date]],"mmm")</f>
        <v>Nov</v>
      </c>
      <c r="D18" t="s">
        <v>27</v>
      </c>
      <c r="E18" t="s">
        <v>1710</v>
      </c>
      <c r="F18" t="s">
        <v>1773</v>
      </c>
      <c r="G18">
        <v>2</v>
      </c>
      <c r="H18" s="10">
        <f>IF(ISBLANK(ESales_DB[[#This Row],[Quantity]]),AVERAGEIF(ESales_DB[Product_ID],ESales_DB[[#This Row],[Product_ID]],ESales_DB[Quantity]),ESales_DB[[#This Row],[Quantity]])</f>
        <v>2</v>
      </c>
      <c r="I18" s="2">
        <v>358.36</v>
      </c>
      <c r="J18">
        <v>0.05</v>
      </c>
      <c r="K18" t="s">
        <v>1826</v>
      </c>
      <c r="L18" s="2">
        <v>680.88400000000001</v>
      </c>
      <c r="M18" s="2" t="str">
        <f>IF(ESales_DB[[#This Row],[Total_Amount]]&gt;1000,"High","Low")</f>
        <v>Low</v>
      </c>
      <c r="N18" s="2" t="str">
        <f>VLOOKUP(ESales_DB[[#This Row],[Customer_ID]],Ecustom_DB[],3,FALSE)</f>
        <v>Caroline Collins</v>
      </c>
      <c r="O18" s="2" t="str">
        <f>_xlfn.XLOOKUP(ESales_DB[[#This Row],[Product_ID]],Eproduct_DB[Product_ID],Eproduct_DB[Category])</f>
        <v>Sports</v>
      </c>
      <c r="P18" s="2" t="str">
        <f>_xlfn.XLOOKUP(ESales_DB[[#This Row],[Product_ID]],Eproduct_DB[Product_ID],Eproduct_DB[Product_Name])</f>
        <v>Badminton Racket Set</v>
      </c>
      <c r="Q18" s="2" t="str">
        <f>_xlfn.XLOOKUP(ESales_DB[[#This Row],[Store_ID]],Estore_DB[Store_ID],Estore_DB[Region])</f>
        <v>North</v>
      </c>
      <c r="R18" t="str">
        <f>VLOOKUP(ESales_DB[[#This Row],[Customer_ID]],Ecustom_DB[],10,FALSE)</f>
        <v>Silver</v>
      </c>
      <c r="S18" t="str">
        <f>IF(ESales_DB[[#This Row],[Quantity1]]&gt;3,"Bulk order","Normal order")</f>
        <v>Normal order</v>
      </c>
    </row>
    <row r="19" spans="1:19" x14ac:dyDescent="0.3">
      <c r="A19" t="s">
        <v>2838</v>
      </c>
      <c r="B19" s="4">
        <v>45535</v>
      </c>
      <c r="C19" s="4" t="str">
        <f>TEXT(ESales_DB[[#This Row],[Order_Date]],"mmm")</f>
        <v>Aug</v>
      </c>
      <c r="D19" t="s">
        <v>264</v>
      </c>
      <c r="E19" t="s">
        <v>1622</v>
      </c>
      <c r="F19" t="s">
        <v>1810</v>
      </c>
      <c r="G19">
        <v>4</v>
      </c>
      <c r="H19" s="10">
        <f>IF(ISBLANK(ESales_DB[[#This Row],[Quantity]]),AVERAGEIF(ESales_DB[Product_ID],ESales_DB[[#This Row],[Product_ID]],ESales_DB[Quantity]),ESales_DB[[#This Row],[Quantity]])</f>
        <v>4</v>
      </c>
      <c r="I19" s="2">
        <v>85.62</v>
      </c>
      <c r="J19">
        <v>0.28000000000000003</v>
      </c>
      <c r="K19" t="s">
        <v>1829</v>
      </c>
      <c r="L19" s="2">
        <v>246.5856</v>
      </c>
      <c r="M19" s="2" t="str">
        <f>IF(ESales_DB[[#This Row],[Total_Amount]]&gt;1000,"High","Low")</f>
        <v>Low</v>
      </c>
      <c r="N19" s="2" t="str">
        <f>VLOOKUP(ESales_DB[[#This Row],[Customer_ID]],Ecustom_DB[],3,FALSE)</f>
        <v>Tonya Burch</v>
      </c>
      <c r="O19" s="2" t="str">
        <f>_xlfn.XLOOKUP(ESales_DB[[#This Row],[Product_ID]],Eproduct_DB[Product_ID],Eproduct_DB[Category])</f>
        <v>Clothing</v>
      </c>
      <c r="P19" s="2" t="str">
        <f>_xlfn.XLOOKUP(ESales_DB[[#This Row],[Product_ID]],Eproduct_DB[Product_ID],Eproduct_DB[Product_Name])</f>
        <v>Men's Casual Sneakers</v>
      </c>
      <c r="Q19" s="2" t="str">
        <f>_xlfn.XLOOKUP(ESales_DB[[#This Row],[Store_ID]],Estore_DB[Store_ID],Estore_DB[Region])</f>
        <v>East</v>
      </c>
      <c r="R19" t="str">
        <f>VLOOKUP(ESales_DB[[#This Row],[Customer_ID]],Ecustom_DB[],10,FALSE)</f>
        <v>Gold</v>
      </c>
      <c r="S19" t="str">
        <f>IF(ESales_DB[[#This Row],[Quantity1]]&gt;3,"Bulk order","Normal order")</f>
        <v>Bulk order</v>
      </c>
    </row>
    <row r="20" spans="1:19" x14ac:dyDescent="0.3">
      <c r="A20" t="s">
        <v>2839</v>
      </c>
      <c r="B20" s="4">
        <v>45459</v>
      </c>
      <c r="C20" s="4" t="str">
        <f>TEXT(ESales_DB[[#This Row],[Order_Date]],"mmm")</f>
        <v>Jun</v>
      </c>
      <c r="D20" t="s">
        <v>610</v>
      </c>
      <c r="E20" t="s">
        <v>1560</v>
      </c>
      <c r="F20" t="s">
        <v>1807</v>
      </c>
      <c r="G20">
        <v>4</v>
      </c>
      <c r="H20" s="10">
        <f>IF(ISBLANK(ESales_DB[[#This Row],[Quantity]]),AVERAGEIF(ESales_DB[Product_ID],ESales_DB[[#This Row],[Product_ID]],ESales_DB[Quantity]),ESales_DB[[#This Row],[Quantity]])</f>
        <v>4</v>
      </c>
      <c r="I20" s="2">
        <v>929.26</v>
      </c>
      <c r="J20">
        <v>0.23</v>
      </c>
      <c r="K20" t="s">
        <v>1826</v>
      </c>
      <c r="L20" s="2">
        <v>2862.1208000000001</v>
      </c>
      <c r="M20" s="2" t="str">
        <f>IF(ESales_DB[[#This Row],[Total_Amount]]&gt;1000,"High","Low")</f>
        <v>High</v>
      </c>
      <c r="N20" s="2" t="str">
        <f>VLOOKUP(ESales_DB[[#This Row],[Customer_ID]],Ecustom_DB[],3,FALSE)</f>
        <v>Brent Rivas</v>
      </c>
      <c r="O20" s="2" t="str">
        <f>_xlfn.XLOOKUP(ESales_DB[[#This Row],[Product_ID]],Eproduct_DB[Product_ID],Eproduct_DB[Category])</f>
        <v>Home</v>
      </c>
      <c r="P20" s="2" t="str">
        <f>_xlfn.XLOOKUP(ESales_DB[[#This Row],[Product_ID]],Eproduct_DB[Product_ID],Eproduct_DB[Product_Name])</f>
        <v>LED Table Lamp</v>
      </c>
      <c r="Q20" s="2" t="str">
        <f>_xlfn.XLOOKUP(ESales_DB[[#This Row],[Store_ID]],Estore_DB[Store_ID],Estore_DB[Region])</f>
        <v>North</v>
      </c>
      <c r="R20" t="str">
        <f>VLOOKUP(ESales_DB[[#This Row],[Customer_ID]],Ecustom_DB[],10,FALSE)</f>
        <v>Platinum</v>
      </c>
      <c r="S20" t="str">
        <f>IF(ESales_DB[[#This Row],[Quantity1]]&gt;3,"Bulk order","Normal order")</f>
        <v>Bulk order</v>
      </c>
    </row>
    <row r="21" spans="1:19" x14ac:dyDescent="0.3">
      <c r="A21" t="s">
        <v>2840</v>
      </c>
      <c r="B21" s="4">
        <v>45681</v>
      </c>
      <c r="C21" s="4" t="str">
        <f>TEXT(ESales_DB[[#This Row],[Order_Date]],"mmm")</f>
        <v>Jan</v>
      </c>
      <c r="D21" t="s">
        <v>975</v>
      </c>
      <c r="E21" t="s">
        <v>1668</v>
      </c>
      <c r="F21" t="s">
        <v>1797</v>
      </c>
      <c r="G21">
        <v>2</v>
      </c>
      <c r="H21" s="10">
        <f>IF(ISBLANK(ESales_DB[[#This Row],[Quantity]]),AVERAGEIF(ESales_DB[Product_ID],ESales_DB[[#This Row],[Product_ID]],ESales_DB[Quantity]),ESales_DB[[#This Row],[Quantity]])</f>
        <v>2</v>
      </c>
      <c r="I21" s="2">
        <v>92.64</v>
      </c>
      <c r="J21">
        <v>0.14000000000000001</v>
      </c>
      <c r="K21" t="s">
        <v>1829</v>
      </c>
      <c r="L21" s="2">
        <v>159.3408</v>
      </c>
      <c r="M21" s="2" t="str">
        <f>IF(ESales_DB[[#This Row],[Total_Amount]]&gt;1000,"High","Low")</f>
        <v>Low</v>
      </c>
      <c r="N21" s="2" t="str">
        <f>VLOOKUP(ESales_DB[[#This Row],[Customer_ID]],Ecustom_DB[],3,FALSE)</f>
        <v>Stacy Collins</v>
      </c>
      <c r="O21" s="2" t="str">
        <f>_xlfn.XLOOKUP(ESales_DB[[#This Row],[Product_ID]],Eproduct_DB[Product_ID],Eproduct_DB[Category])</f>
        <v>Beauty</v>
      </c>
      <c r="P21" s="2" t="str">
        <f>_xlfn.XLOOKUP(ESales_DB[[#This Row],[Product_ID]],Eproduct_DB[Product_ID],Eproduct_DB[Product_Name])</f>
        <v>Luxury Perfume Spray</v>
      </c>
      <c r="Q21" s="2" t="str">
        <f>_xlfn.XLOOKUP(ESales_DB[[#This Row],[Store_ID]],Estore_DB[Store_ID],Estore_DB[Region])</f>
        <v>East</v>
      </c>
      <c r="R21" t="str">
        <f>VLOOKUP(ESales_DB[[#This Row],[Customer_ID]],Ecustom_DB[],10,FALSE)</f>
        <v>Bronze</v>
      </c>
      <c r="S21" t="str">
        <f>IF(ESales_DB[[#This Row],[Quantity1]]&gt;3,"Bulk order","Normal order")</f>
        <v>Normal order</v>
      </c>
    </row>
    <row r="22" spans="1:19" x14ac:dyDescent="0.3">
      <c r="A22" t="s">
        <v>2841</v>
      </c>
      <c r="B22" s="4">
        <v>45725</v>
      </c>
      <c r="C22" s="4" t="str">
        <f>TEXT(ESales_DB[[#This Row],[Order_Date]],"mmm")</f>
        <v>Mar</v>
      </c>
      <c r="D22" t="s">
        <v>794</v>
      </c>
      <c r="E22" t="s">
        <v>1672</v>
      </c>
      <c r="F22" t="s">
        <v>1769</v>
      </c>
      <c r="G22">
        <v>4</v>
      </c>
      <c r="H22" s="10">
        <f>IF(ISBLANK(ESales_DB[[#This Row],[Quantity]]),AVERAGEIF(ESales_DB[Product_ID],ESales_DB[[#This Row],[Product_ID]],ESales_DB[Quantity]),ESales_DB[[#This Row],[Quantity]])</f>
        <v>4</v>
      </c>
      <c r="I22" s="2">
        <v>139.05000000000001</v>
      </c>
      <c r="J22">
        <v>0.28999999999999998</v>
      </c>
      <c r="K22" t="s">
        <v>1829</v>
      </c>
      <c r="L22" s="2">
        <v>394.90199999999999</v>
      </c>
      <c r="M22" s="2" t="str">
        <f>IF(ESales_DB[[#This Row],[Total_Amount]]&gt;1000,"High","Low")</f>
        <v>Low</v>
      </c>
      <c r="N22" s="2" t="str">
        <f>VLOOKUP(ESales_DB[[#This Row],[Customer_ID]],Ecustom_DB[],3,FALSE)</f>
        <v>Nicholas Webb</v>
      </c>
      <c r="O22" s="2" t="str">
        <f>_xlfn.XLOOKUP(ESales_DB[[#This Row],[Product_ID]],Eproduct_DB[Product_ID],Eproduct_DB[Category])</f>
        <v>Electronics</v>
      </c>
      <c r="P22" s="2" t="str">
        <f>_xlfn.XLOOKUP(ESales_DB[[#This Row],[Product_ID]],Eproduct_DB[Product_ID],Eproduct_DB[Product_Name])</f>
        <v>Laptop Cooling Pad</v>
      </c>
      <c r="Q22" s="2" t="str">
        <f>_xlfn.XLOOKUP(ESales_DB[[#This Row],[Store_ID]],Estore_DB[Store_ID],Estore_DB[Region])</f>
        <v>South</v>
      </c>
      <c r="R22" t="str">
        <f>VLOOKUP(ESales_DB[[#This Row],[Customer_ID]],Ecustom_DB[],10,FALSE)</f>
        <v>Gold</v>
      </c>
      <c r="S22" t="str">
        <f>IF(ESales_DB[[#This Row],[Quantity1]]&gt;3,"Bulk order","Normal order")</f>
        <v>Bulk order</v>
      </c>
    </row>
    <row r="23" spans="1:19" x14ac:dyDescent="0.3">
      <c r="A23" t="s">
        <v>2842</v>
      </c>
      <c r="B23" s="4">
        <v>45461</v>
      </c>
      <c r="C23" s="4" t="str">
        <f>TEXT(ESales_DB[[#This Row],[Order_Date]],"mmm")</f>
        <v>Jun</v>
      </c>
      <c r="D23" t="s">
        <v>475</v>
      </c>
      <c r="E23" t="s">
        <v>1654</v>
      </c>
      <c r="F23" t="s">
        <v>1769</v>
      </c>
      <c r="G23">
        <v>3</v>
      </c>
      <c r="H23" s="10">
        <f>IF(ISBLANK(ESales_DB[[#This Row],[Quantity]]),AVERAGEIF(ESales_DB[Product_ID],ESales_DB[[#This Row],[Product_ID]],ESales_DB[Quantity]),ESales_DB[[#This Row],[Quantity]])</f>
        <v>3</v>
      </c>
      <c r="I23" s="2">
        <v>155.87</v>
      </c>
      <c r="J23">
        <v>0.03</v>
      </c>
      <c r="K23" t="s">
        <v>1829</v>
      </c>
      <c r="L23" s="2">
        <v>453.58170000000001</v>
      </c>
      <c r="M23" s="2" t="str">
        <f>IF(ESales_DB[[#This Row],[Total_Amount]]&gt;1000,"High","Low")</f>
        <v>Low</v>
      </c>
      <c r="N23" s="2" t="str">
        <f>VLOOKUP(ESales_DB[[#This Row],[Customer_ID]],Ecustom_DB[],3,FALSE)</f>
        <v>Patty Francis</v>
      </c>
      <c r="O23" s="2" t="str">
        <f>_xlfn.XLOOKUP(ESales_DB[[#This Row],[Product_ID]],Eproduct_DB[Product_ID],Eproduct_DB[Category])</f>
        <v>Clothing</v>
      </c>
      <c r="P23" s="2" t="str">
        <f>_xlfn.XLOOKUP(ESales_DB[[#This Row],[Product_ID]],Eproduct_DB[Product_ID],Eproduct_DB[Product_Name])</f>
        <v>Men's Track Pants</v>
      </c>
      <c r="Q23" s="2" t="str">
        <f>_xlfn.XLOOKUP(ESales_DB[[#This Row],[Store_ID]],Estore_DB[Store_ID],Estore_DB[Region])</f>
        <v>South</v>
      </c>
      <c r="R23" t="str">
        <f>VLOOKUP(ESales_DB[[#This Row],[Customer_ID]],Ecustom_DB[],10,FALSE)</f>
        <v>Gold</v>
      </c>
      <c r="S23" t="str">
        <f>IF(ESales_DB[[#This Row],[Quantity1]]&gt;3,"Bulk order","Normal order")</f>
        <v>Normal order</v>
      </c>
    </row>
    <row r="24" spans="1:19" x14ac:dyDescent="0.3">
      <c r="A24" t="s">
        <v>2843</v>
      </c>
      <c r="B24" s="4">
        <v>45837</v>
      </c>
      <c r="C24" s="4" t="str">
        <f>TEXT(ESales_DB[[#This Row],[Order_Date]],"mmm")</f>
        <v>Jun</v>
      </c>
      <c r="D24" t="s">
        <v>1368</v>
      </c>
      <c r="E24" t="s">
        <v>1616</v>
      </c>
      <c r="F24" t="s">
        <v>1804</v>
      </c>
      <c r="G24">
        <v>4</v>
      </c>
      <c r="H24" s="10">
        <f>IF(ISBLANK(ESales_DB[[#This Row],[Quantity]]),AVERAGEIF(ESales_DB[Product_ID],ESales_DB[[#This Row],[Product_ID]],ESales_DB[Quantity]),ESales_DB[[#This Row],[Quantity]])</f>
        <v>4</v>
      </c>
      <c r="I24" s="2">
        <v>115.42</v>
      </c>
      <c r="J24">
        <v>0.03</v>
      </c>
      <c r="K24" t="s">
        <v>1829</v>
      </c>
      <c r="L24" s="2">
        <v>447.82960000000003</v>
      </c>
      <c r="M24" s="2" t="str">
        <f>IF(ESales_DB[[#This Row],[Total_Amount]]&gt;1000,"High","Low")</f>
        <v>Low</v>
      </c>
      <c r="N24" s="2" t="str">
        <f>VLOOKUP(ESales_DB[[#This Row],[Customer_ID]],Ecustom_DB[],3,FALSE)</f>
        <v>Kelli Smith</v>
      </c>
      <c r="O24" s="2" t="str">
        <f>_xlfn.XLOOKUP(ESales_DB[[#This Row],[Product_ID]],Eproduct_DB[Product_ID],Eproduct_DB[Category])</f>
        <v>Electronics</v>
      </c>
      <c r="P24" s="2" t="str">
        <f>_xlfn.XLOOKUP(ESales_DB[[#This Row],[Product_ID]],Eproduct_DB[Product_ID],Eproduct_DB[Product_Name])</f>
        <v>Gaming Mechanical Keyboard</v>
      </c>
      <c r="Q24" s="2" t="str">
        <f>_xlfn.XLOOKUP(ESales_DB[[#This Row],[Store_ID]],Estore_DB[Store_ID],Estore_DB[Region])</f>
        <v>West</v>
      </c>
      <c r="R24" t="str">
        <f>VLOOKUP(ESales_DB[[#This Row],[Customer_ID]],Ecustom_DB[],10,FALSE)</f>
        <v>Bronze</v>
      </c>
      <c r="S24" t="str">
        <f>IF(ESales_DB[[#This Row],[Quantity1]]&gt;3,"Bulk order","Normal order")</f>
        <v>Bulk order</v>
      </c>
    </row>
    <row r="25" spans="1:19" x14ac:dyDescent="0.3">
      <c r="A25" t="s">
        <v>2844</v>
      </c>
      <c r="B25" s="4">
        <v>45823</v>
      </c>
      <c r="C25" s="4" t="str">
        <f>TEXT(ESales_DB[[#This Row],[Order_Date]],"mmm")</f>
        <v>Jun</v>
      </c>
      <c r="D25" t="s">
        <v>422</v>
      </c>
      <c r="E25" t="s">
        <v>1652</v>
      </c>
      <c r="F25" t="s">
        <v>1776</v>
      </c>
      <c r="G25">
        <v>3</v>
      </c>
      <c r="H25" s="10">
        <f>IF(ISBLANK(ESales_DB[[#This Row],[Quantity]]),AVERAGEIF(ESales_DB[Product_ID],ESales_DB[[#This Row],[Product_ID]],ESales_DB[Quantity]),ESales_DB[[#This Row],[Quantity]])</f>
        <v>3</v>
      </c>
      <c r="I25" s="2">
        <v>593.62</v>
      </c>
      <c r="J25">
        <v>0.08</v>
      </c>
      <c r="K25" t="s">
        <v>1824</v>
      </c>
      <c r="L25" s="2">
        <v>1638.3912</v>
      </c>
      <c r="M25" s="2" t="str">
        <f>IF(ESales_DB[[#This Row],[Total_Amount]]&gt;1000,"High","Low")</f>
        <v>High</v>
      </c>
      <c r="N25" s="2" t="str">
        <f>VLOOKUP(ESales_DB[[#This Row],[Customer_ID]],Ecustom_DB[],3,FALSE)</f>
        <v>Michael Chang</v>
      </c>
      <c r="O25" s="2" t="str">
        <f>_xlfn.XLOOKUP(ESales_DB[[#This Row],[Product_ID]],Eproduct_DB[Product_ID],Eproduct_DB[Category])</f>
        <v>Sports</v>
      </c>
      <c r="P25" s="2" t="str">
        <f>_xlfn.XLOOKUP(ESales_DB[[#This Row],[Product_ID]],Eproduct_DB[Product_ID],Eproduct_DB[Product_Name])</f>
        <v>Rugby Ball</v>
      </c>
      <c r="Q25" s="2" t="str">
        <f>_xlfn.XLOOKUP(ESales_DB[[#This Row],[Store_ID]],Estore_DB[Store_ID],Estore_DB[Region])</f>
        <v>East</v>
      </c>
      <c r="R25" t="str">
        <f>VLOOKUP(ESales_DB[[#This Row],[Customer_ID]],Ecustom_DB[],10,FALSE)</f>
        <v>Platinum</v>
      </c>
      <c r="S25" t="str">
        <f>IF(ESales_DB[[#This Row],[Quantity1]]&gt;3,"Bulk order","Normal order")</f>
        <v>Normal order</v>
      </c>
    </row>
    <row r="26" spans="1:19" x14ac:dyDescent="0.3">
      <c r="A26" t="s">
        <v>2845</v>
      </c>
      <c r="B26" s="4">
        <v>45733</v>
      </c>
      <c r="C26" s="4" t="str">
        <f>TEXT(ESales_DB[[#This Row],[Order_Date]],"mmm")</f>
        <v>Mar</v>
      </c>
      <c r="D26" t="s">
        <v>1107</v>
      </c>
      <c r="E26" t="s">
        <v>1638</v>
      </c>
      <c r="F26" t="s">
        <v>1769</v>
      </c>
      <c r="G26">
        <v>2</v>
      </c>
      <c r="H26" s="10">
        <f>IF(ISBLANK(ESales_DB[[#This Row],[Quantity]]),AVERAGEIF(ESales_DB[Product_ID],ESales_DB[[#This Row],[Product_ID]],ESales_DB[Quantity]),ESales_DB[[#This Row],[Quantity]])</f>
        <v>2</v>
      </c>
      <c r="I26" s="2">
        <v>825.04</v>
      </c>
      <c r="J26">
        <v>0.2</v>
      </c>
      <c r="K26" t="s">
        <v>1824</v>
      </c>
      <c r="L26" s="2">
        <v>1320.0640000000001</v>
      </c>
      <c r="M26" s="2" t="str">
        <f>IF(ESales_DB[[#This Row],[Total_Amount]]&gt;1000,"High","Low")</f>
        <v>High</v>
      </c>
      <c r="N26" s="2" t="str">
        <f>VLOOKUP(ESales_DB[[#This Row],[Customer_ID]],Ecustom_DB[],3,FALSE)</f>
        <v>Laura Green</v>
      </c>
      <c r="O26" s="2" t="str">
        <f>_xlfn.XLOOKUP(ESales_DB[[#This Row],[Product_ID]],Eproduct_DB[Product_ID],Eproduct_DB[Category])</f>
        <v>Sports</v>
      </c>
      <c r="P26" s="2" t="str">
        <f>_xlfn.XLOOKUP(ESales_DB[[#This Row],[Product_ID]],Eproduct_DB[Product_ID],Eproduct_DB[Product_Name])</f>
        <v>High-Grip Football</v>
      </c>
      <c r="Q26" s="2" t="str">
        <f>_xlfn.XLOOKUP(ESales_DB[[#This Row],[Store_ID]],Estore_DB[Store_ID],Estore_DB[Region])</f>
        <v>South</v>
      </c>
      <c r="R26" t="str">
        <f>VLOOKUP(ESales_DB[[#This Row],[Customer_ID]],Ecustom_DB[],10,FALSE)</f>
        <v>Platinum</v>
      </c>
      <c r="S26" t="str">
        <f>IF(ESales_DB[[#This Row],[Quantity1]]&gt;3,"Bulk order","Normal order")</f>
        <v>Normal order</v>
      </c>
    </row>
    <row r="27" spans="1:19" x14ac:dyDescent="0.3">
      <c r="A27" t="s">
        <v>1928</v>
      </c>
      <c r="B27" s="4">
        <v>45552</v>
      </c>
      <c r="C27" s="4" t="str">
        <f>TEXT(ESales_DB[[#This Row],[Order_Date]],"mmm")</f>
        <v>Sep</v>
      </c>
      <c r="D27" t="s">
        <v>347</v>
      </c>
      <c r="E27" t="s">
        <v>1708</v>
      </c>
      <c r="F27" t="s">
        <v>1794</v>
      </c>
      <c r="G27">
        <v>2</v>
      </c>
      <c r="H27" s="10">
        <f>IF(ISBLANK(ESales_DB[[#This Row],[Quantity]]),AVERAGEIF(ESales_DB[Product_ID],ESales_DB[[#This Row],[Product_ID]],ESales_DB[Quantity]),ESales_DB[[#This Row],[Quantity]])</f>
        <v>2</v>
      </c>
      <c r="I27" s="2">
        <v>471.88</v>
      </c>
      <c r="J27">
        <v>0.24</v>
      </c>
      <c r="K27" t="s">
        <v>1826</v>
      </c>
      <c r="L27" s="2">
        <v>717.25760000000002</v>
      </c>
      <c r="M27" s="2" t="str">
        <f>IF(ESales_DB[[#This Row],[Total_Amount]]&gt;1000,"High","Low")</f>
        <v>Low</v>
      </c>
      <c r="N27" s="2" t="str">
        <f>VLOOKUP(ESales_DB[[#This Row],[Customer_ID]],Ecustom_DB[],3,FALSE)</f>
        <v>David Cobb</v>
      </c>
      <c r="O27" s="2" t="str">
        <f>_xlfn.XLOOKUP(ESales_DB[[#This Row],[Product_ID]],Eproduct_DB[Product_ID],Eproduct_DB[Category])</f>
        <v>Home</v>
      </c>
      <c r="P27" s="2" t="str">
        <f>_xlfn.XLOOKUP(ESales_DB[[#This Row],[Product_ID]],Eproduct_DB[Product_ID],Eproduct_DB[Product_Name])</f>
        <v>Wall-Mounted Spice Rack</v>
      </c>
      <c r="Q27" s="2" t="str">
        <f>_xlfn.XLOOKUP(ESales_DB[[#This Row],[Store_ID]],Estore_DB[Store_ID],Estore_DB[Region])</f>
        <v>North</v>
      </c>
      <c r="R27" t="str">
        <f>VLOOKUP(ESales_DB[[#This Row],[Customer_ID]],Ecustom_DB[],10,FALSE)</f>
        <v>Silver</v>
      </c>
      <c r="S27" t="str">
        <f>IF(ESales_DB[[#This Row],[Quantity1]]&gt;3,"Bulk order","Normal order")</f>
        <v>Normal order</v>
      </c>
    </row>
    <row r="28" spans="1:19" x14ac:dyDescent="0.3">
      <c r="A28" t="s">
        <v>2846</v>
      </c>
      <c r="B28" s="4">
        <v>45322</v>
      </c>
      <c r="C28" s="4" t="str">
        <f>TEXT(ESales_DB[[#This Row],[Order_Date]],"mmm")</f>
        <v>Jan</v>
      </c>
      <c r="D28" t="s">
        <v>1431</v>
      </c>
      <c r="E28" t="s">
        <v>1598</v>
      </c>
      <c r="F28" t="s">
        <v>1797</v>
      </c>
      <c r="G28">
        <v>1</v>
      </c>
      <c r="H28" s="10">
        <f>IF(ISBLANK(ESales_DB[[#This Row],[Quantity]]),AVERAGEIF(ESales_DB[Product_ID],ESales_DB[[#This Row],[Product_ID]],ESales_DB[Quantity]),ESales_DB[[#This Row],[Quantity]])</f>
        <v>1</v>
      </c>
      <c r="I28" s="2">
        <v>963.76</v>
      </c>
      <c r="J28">
        <v>0.14000000000000001</v>
      </c>
      <c r="K28" t="s">
        <v>1826</v>
      </c>
      <c r="L28" s="2">
        <v>828.83359999999993</v>
      </c>
      <c r="M28" s="2" t="str">
        <f>IF(ESales_DB[[#This Row],[Total_Amount]]&gt;1000,"High","Low")</f>
        <v>Low</v>
      </c>
      <c r="N28" s="2" t="str">
        <f>VLOOKUP(ESales_DB[[#This Row],[Customer_ID]],Ecustom_DB[],3,FALSE)</f>
        <v>David Pierce</v>
      </c>
      <c r="O28" s="2" t="str">
        <f>_xlfn.XLOOKUP(ESales_DB[[#This Row],[Product_ID]],Eproduct_DB[Product_ID],Eproduct_DB[Category])</f>
        <v>Clothing</v>
      </c>
      <c r="P28" s="2" t="str">
        <f>_xlfn.XLOOKUP(ESales_DB[[#This Row],[Product_ID]],Eproduct_DB[Product_ID],Eproduct_DB[Product_Name])</f>
        <v>Women's Scarf Set</v>
      </c>
      <c r="Q28" s="2" t="str">
        <f>_xlfn.XLOOKUP(ESales_DB[[#This Row],[Store_ID]],Estore_DB[Store_ID],Estore_DB[Region])</f>
        <v>East</v>
      </c>
      <c r="R28" t="str">
        <f>VLOOKUP(ESales_DB[[#This Row],[Customer_ID]],Ecustom_DB[],10,FALSE)</f>
        <v>Platinum</v>
      </c>
      <c r="S28" t="str">
        <f>IF(ESales_DB[[#This Row],[Quantity1]]&gt;3,"Bulk order","Normal order")</f>
        <v>Normal order</v>
      </c>
    </row>
    <row r="29" spans="1:19" x14ac:dyDescent="0.3">
      <c r="A29" t="s">
        <v>2847</v>
      </c>
      <c r="B29" s="4">
        <v>45415</v>
      </c>
      <c r="C29" s="4" t="str">
        <f>TEXT(ESales_DB[[#This Row],[Order_Date]],"mmm")</f>
        <v>May</v>
      </c>
      <c r="D29" t="s">
        <v>926</v>
      </c>
      <c r="E29" t="s">
        <v>1658</v>
      </c>
      <c r="F29" t="s">
        <v>1776</v>
      </c>
      <c r="G29">
        <v>1</v>
      </c>
      <c r="H29" s="10">
        <f>IF(ISBLANK(ESales_DB[[#This Row],[Quantity]]),AVERAGEIF(ESales_DB[Product_ID],ESales_DB[[#This Row],[Product_ID]],ESales_DB[Quantity]),ESales_DB[[#This Row],[Quantity]])</f>
        <v>1</v>
      </c>
      <c r="I29" s="2">
        <v>238.24</v>
      </c>
      <c r="J29">
        <v>0.12</v>
      </c>
      <c r="K29" t="s">
        <v>1826</v>
      </c>
      <c r="L29" s="2">
        <v>209.65119999999999</v>
      </c>
      <c r="M29" s="2" t="str">
        <f>IF(ESales_DB[[#This Row],[Total_Amount]]&gt;1000,"High","Low")</f>
        <v>Low</v>
      </c>
      <c r="N29" s="2" t="str">
        <f>VLOOKUP(ESales_DB[[#This Row],[Customer_ID]],Ecustom_DB[],3,FALSE)</f>
        <v>Ricardo Jones</v>
      </c>
      <c r="O29" s="2" t="str">
        <f>_xlfn.XLOOKUP(ESales_DB[[#This Row],[Product_ID]],Eproduct_DB[Product_ID],Eproduct_DB[Category])</f>
        <v>Home</v>
      </c>
      <c r="P29" s="2" t="str">
        <f>_xlfn.XLOOKUP(ESales_DB[[#This Row],[Product_ID]],Eproduct_DB[Product_ID],Eproduct_DB[Product_Name])</f>
        <v>Ceramic Plant Pot</v>
      </c>
      <c r="Q29" s="2" t="str">
        <f>_xlfn.XLOOKUP(ESales_DB[[#This Row],[Store_ID]],Estore_DB[Store_ID],Estore_DB[Region])</f>
        <v>East</v>
      </c>
      <c r="R29" t="str">
        <f>VLOOKUP(ESales_DB[[#This Row],[Customer_ID]],Ecustom_DB[],10,FALSE)</f>
        <v>Silver</v>
      </c>
      <c r="S29" t="str">
        <f>IF(ESales_DB[[#This Row],[Quantity1]]&gt;3,"Bulk order","Normal order")</f>
        <v>Normal order</v>
      </c>
    </row>
    <row r="30" spans="1:19" x14ac:dyDescent="0.3">
      <c r="A30" t="s">
        <v>2848</v>
      </c>
      <c r="B30" s="4">
        <v>45644</v>
      </c>
      <c r="C30" s="4" t="str">
        <f>TEXT(ESales_DB[[#This Row],[Order_Date]],"mmm")</f>
        <v>Dec</v>
      </c>
      <c r="D30" t="s">
        <v>1411</v>
      </c>
      <c r="E30" t="s">
        <v>1712</v>
      </c>
      <c r="F30" t="s">
        <v>1804</v>
      </c>
      <c r="G30">
        <v>1</v>
      </c>
      <c r="H30" s="10">
        <f>IF(ISBLANK(ESales_DB[[#This Row],[Quantity]]),AVERAGEIF(ESales_DB[Product_ID],ESales_DB[[#This Row],[Product_ID]],ESales_DB[Quantity]),ESales_DB[[#This Row],[Quantity]])</f>
        <v>1</v>
      </c>
      <c r="I30" s="2">
        <v>756.63</v>
      </c>
      <c r="J30">
        <v>0.04</v>
      </c>
      <c r="K30" t="s">
        <v>1826</v>
      </c>
      <c r="L30" s="2">
        <v>726.36479999999995</v>
      </c>
      <c r="M30" s="2" t="str">
        <f>IF(ESales_DB[[#This Row],[Total_Amount]]&gt;1000,"High","Low")</f>
        <v>Low</v>
      </c>
      <c r="N30" s="2" t="str">
        <f>VLOOKUP(ESales_DB[[#This Row],[Customer_ID]],Ecustom_DB[],3,FALSE)</f>
        <v>Christina Robertson</v>
      </c>
      <c r="O30" s="2" t="str">
        <f>_xlfn.XLOOKUP(ESales_DB[[#This Row],[Product_ID]],Eproduct_DB[Product_ID],Eproduct_DB[Category])</f>
        <v>Sports</v>
      </c>
      <c r="P30" s="2" t="str">
        <f>_xlfn.XLOOKUP(ESales_DB[[#This Row],[Product_ID]],Eproduct_DB[Product_ID],Eproduct_DB[Product_Name])</f>
        <v>Fitness Resistance Bands</v>
      </c>
      <c r="Q30" s="2" t="str">
        <f>_xlfn.XLOOKUP(ESales_DB[[#This Row],[Store_ID]],Estore_DB[Store_ID],Estore_DB[Region])</f>
        <v>West</v>
      </c>
      <c r="R30" t="str">
        <f>VLOOKUP(ESales_DB[[#This Row],[Customer_ID]],Ecustom_DB[],10,FALSE)</f>
        <v>Platinum</v>
      </c>
      <c r="S30" t="str">
        <f>IF(ESales_DB[[#This Row],[Quantity1]]&gt;3,"Bulk order","Normal order")</f>
        <v>Normal order</v>
      </c>
    </row>
    <row r="31" spans="1:19" x14ac:dyDescent="0.3">
      <c r="A31" t="s">
        <v>2849</v>
      </c>
      <c r="B31" s="4">
        <v>45845</v>
      </c>
      <c r="C31" s="4" t="str">
        <f>TEXT(ESales_DB[[#This Row],[Order_Date]],"mmm")</f>
        <v>Jul</v>
      </c>
      <c r="D31" t="s">
        <v>85</v>
      </c>
      <c r="E31" t="s">
        <v>1734</v>
      </c>
      <c r="F31" t="s">
        <v>1779</v>
      </c>
      <c r="G31">
        <v>3</v>
      </c>
      <c r="H31" s="10">
        <f>IF(ISBLANK(ESales_DB[[#This Row],[Quantity]]),AVERAGEIF(ESales_DB[Product_ID],ESales_DB[[#This Row],[Product_ID]],ESales_DB[Quantity]),ESales_DB[[#This Row],[Quantity]])</f>
        <v>3</v>
      </c>
      <c r="I31" s="2">
        <v>159.76</v>
      </c>
      <c r="J31">
        <v>0.22</v>
      </c>
      <c r="K31" t="s">
        <v>1824</v>
      </c>
      <c r="L31" s="2">
        <v>373.83839999999998</v>
      </c>
      <c r="M31" s="2" t="str">
        <f>IF(ESales_DB[[#This Row],[Total_Amount]]&gt;1000,"High","Low")</f>
        <v>Low</v>
      </c>
      <c r="N31" s="2" t="str">
        <f>VLOOKUP(ESales_DB[[#This Row],[Customer_ID]],Ecustom_DB[],3,FALSE)</f>
        <v>Michael Torres</v>
      </c>
      <c r="O31" s="2" t="str">
        <f>_xlfn.XLOOKUP(ESales_DB[[#This Row],[Product_ID]],Eproduct_DB[Product_ID],Eproduct_DB[Category])</f>
        <v>Electronics</v>
      </c>
      <c r="P31" s="2" t="str">
        <f>_xlfn.XLOOKUP(ESales_DB[[#This Row],[Product_ID]],Eproduct_DB[Product_ID],Eproduct_DB[Product_Name])</f>
        <v>USB-C Laptop Charger</v>
      </c>
      <c r="Q31" s="2" t="str">
        <f>_xlfn.XLOOKUP(ESales_DB[[#This Row],[Store_ID]],Estore_DB[Store_ID],Estore_DB[Region])</f>
        <v>South</v>
      </c>
      <c r="R31" t="str">
        <f>VLOOKUP(ESales_DB[[#This Row],[Customer_ID]],Ecustom_DB[],10,FALSE)</f>
        <v>Platinum</v>
      </c>
      <c r="S31" t="str">
        <f>IF(ESales_DB[[#This Row],[Quantity1]]&gt;3,"Bulk order","Normal order")</f>
        <v>Normal order</v>
      </c>
    </row>
    <row r="32" spans="1:19" x14ac:dyDescent="0.3">
      <c r="A32" t="s">
        <v>2850</v>
      </c>
      <c r="B32" s="4">
        <v>45354</v>
      </c>
      <c r="C32" s="4" t="str">
        <f>TEXT(ESales_DB[[#This Row],[Order_Date]],"mmm")</f>
        <v>Mar</v>
      </c>
      <c r="D32" t="s">
        <v>1151</v>
      </c>
      <c r="E32" t="s">
        <v>1738</v>
      </c>
      <c r="F32" t="s">
        <v>1782</v>
      </c>
      <c r="G32">
        <v>1</v>
      </c>
      <c r="H32" s="10">
        <f>IF(ISBLANK(ESales_DB[[#This Row],[Quantity]]),AVERAGEIF(ESales_DB[Product_ID],ESales_DB[[#This Row],[Product_ID]],ESales_DB[Quantity]),ESales_DB[[#This Row],[Quantity]])</f>
        <v>1</v>
      </c>
      <c r="I32" s="2">
        <v>329.94</v>
      </c>
      <c r="J32">
        <v>0.14000000000000001</v>
      </c>
      <c r="K32" t="s">
        <v>1829</v>
      </c>
      <c r="L32" s="2">
        <v>283.7484</v>
      </c>
      <c r="M32" s="2" t="str">
        <f>IF(ESales_DB[[#This Row],[Total_Amount]]&gt;1000,"High","Low")</f>
        <v>Low</v>
      </c>
      <c r="N32" s="2" t="str">
        <f>VLOOKUP(ESales_DB[[#This Row],[Customer_ID]],Ecustom_DB[],3,FALSE)</f>
        <v>Miranda King</v>
      </c>
      <c r="O32" s="2" t="str">
        <f>_xlfn.XLOOKUP(ESales_DB[[#This Row],[Product_ID]],Eproduct_DB[Product_ID],Eproduct_DB[Category])</f>
        <v>Sports</v>
      </c>
      <c r="P32" s="2" t="str">
        <f>_xlfn.XLOOKUP(ESales_DB[[#This Row],[Product_ID]],Eproduct_DB[Product_ID],Eproduct_DB[Product_Name])</f>
        <v>Sports Stopwatch Basic</v>
      </c>
      <c r="Q32" s="2" t="str">
        <f>_xlfn.XLOOKUP(ESales_DB[[#This Row],[Store_ID]],Estore_DB[Store_ID],Estore_DB[Region])</f>
        <v>West</v>
      </c>
      <c r="R32" t="str">
        <f>VLOOKUP(ESales_DB[[#This Row],[Customer_ID]],Ecustom_DB[],10,FALSE)</f>
        <v>Platinum</v>
      </c>
      <c r="S32" t="str">
        <f>IF(ESales_DB[[#This Row],[Quantity1]]&gt;3,"Bulk order","Normal order")</f>
        <v>Normal order</v>
      </c>
    </row>
    <row r="33" spans="1:19" x14ac:dyDescent="0.3">
      <c r="A33" t="s">
        <v>2851</v>
      </c>
      <c r="B33" s="4">
        <v>45720</v>
      </c>
      <c r="C33" s="4" t="str">
        <f>TEXT(ESales_DB[[#This Row],[Order_Date]],"mmm")</f>
        <v>Mar</v>
      </c>
      <c r="D33" t="s">
        <v>224</v>
      </c>
      <c r="E33" t="s">
        <v>1582</v>
      </c>
      <c r="F33" t="s">
        <v>1782</v>
      </c>
      <c r="G33">
        <v>1</v>
      </c>
      <c r="H33" s="10">
        <f>IF(ISBLANK(ESales_DB[[#This Row],[Quantity]]),AVERAGEIF(ESales_DB[Product_ID],ESales_DB[[#This Row],[Product_ID]],ESales_DB[Quantity]),ESales_DB[[#This Row],[Quantity]])</f>
        <v>1</v>
      </c>
      <c r="I33" s="2">
        <v>234.06</v>
      </c>
      <c r="J33">
        <v>0.11</v>
      </c>
      <c r="K33" t="s">
        <v>1826</v>
      </c>
      <c r="L33" s="2">
        <v>208.3134</v>
      </c>
      <c r="M33" s="2" t="str">
        <f>IF(ESales_DB[[#This Row],[Total_Amount]]&gt;1000,"High","Low")</f>
        <v>Low</v>
      </c>
      <c r="N33" s="2" t="str">
        <f>VLOOKUP(ESales_DB[[#This Row],[Customer_ID]],Ecustom_DB[],3,FALSE)</f>
        <v>Dr. David Smith</v>
      </c>
      <c r="O33" s="2" t="str">
        <f>_xlfn.XLOOKUP(ESales_DB[[#This Row],[Product_ID]],Eproduct_DB[Product_ID],Eproduct_DB[Category])</f>
        <v>Sports</v>
      </c>
      <c r="P33" s="2" t="str">
        <f>_xlfn.XLOOKUP(ESales_DB[[#This Row],[Product_ID]],Eproduct_DB[Product_ID],Eproduct_DB[Product_Name])</f>
        <v>Soccer Training Cone Set</v>
      </c>
      <c r="Q33" s="2" t="str">
        <f>_xlfn.XLOOKUP(ESales_DB[[#This Row],[Store_ID]],Estore_DB[Store_ID],Estore_DB[Region])</f>
        <v>West</v>
      </c>
      <c r="R33" t="str">
        <f>VLOOKUP(ESales_DB[[#This Row],[Customer_ID]],Ecustom_DB[],10,FALSE)</f>
        <v>Silver</v>
      </c>
      <c r="S33" t="str">
        <f>IF(ESales_DB[[#This Row],[Quantity1]]&gt;3,"Bulk order","Normal order")</f>
        <v>Normal order</v>
      </c>
    </row>
    <row r="34" spans="1:19" x14ac:dyDescent="0.3">
      <c r="A34" t="s">
        <v>2852</v>
      </c>
      <c r="B34" s="4">
        <v>45278</v>
      </c>
      <c r="C34" s="4" t="str">
        <f>TEXT(ESales_DB[[#This Row],[Order_Date]],"mmm")</f>
        <v>Dec</v>
      </c>
      <c r="D34" t="s">
        <v>999</v>
      </c>
      <c r="E34" t="s">
        <v>1710</v>
      </c>
      <c r="F34" t="s">
        <v>1752</v>
      </c>
      <c r="G34">
        <v>2</v>
      </c>
      <c r="H34" s="10">
        <f>IF(ISBLANK(ESales_DB[[#This Row],[Quantity]]),AVERAGEIF(ESales_DB[Product_ID],ESales_DB[[#This Row],[Product_ID]],ESales_DB[Quantity]),ESales_DB[[#This Row],[Quantity]])</f>
        <v>2</v>
      </c>
      <c r="I34" s="2">
        <v>773.75</v>
      </c>
      <c r="J34">
        <v>0.16</v>
      </c>
      <c r="K34" t="s">
        <v>1826</v>
      </c>
      <c r="L34" s="2">
        <v>1299.9000000000001</v>
      </c>
      <c r="M34" s="2" t="str">
        <f>IF(ESales_DB[[#This Row],[Total_Amount]]&gt;1000,"High","Low")</f>
        <v>High</v>
      </c>
      <c r="N34" s="2" t="str">
        <f>VLOOKUP(ESales_DB[[#This Row],[Customer_ID]],Ecustom_DB[],3,FALSE)</f>
        <v>Tiffany Williams</v>
      </c>
      <c r="O34" s="2" t="str">
        <f>_xlfn.XLOOKUP(ESales_DB[[#This Row],[Product_ID]],Eproduct_DB[Product_ID],Eproduct_DB[Category])</f>
        <v>Sports</v>
      </c>
      <c r="P34" s="2" t="str">
        <f>_xlfn.XLOOKUP(ESales_DB[[#This Row],[Product_ID]],Eproduct_DB[Product_ID],Eproduct_DB[Product_Name])</f>
        <v>Badminton Racket Set</v>
      </c>
      <c r="Q34" s="2" t="str">
        <f>_xlfn.XLOOKUP(ESales_DB[[#This Row],[Store_ID]],Estore_DB[Store_ID],Estore_DB[Region])</f>
        <v>East</v>
      </c>
      <c r="R34" t="str">
        <f>VLOOKUP(ESales_DB[[#This Row],[Customer_ID]],Ecustom_DB[],10,FALSE)</f>
        <v>Gold</v>
      </c>
      <c r="S34" t="str">
        <f>IF(ESales_DB[[#This Row],[Quantity1]]&gt;3,"Bulk order","Normal order")</f>
        <v>Normal order</v>
      </c>
    </row>
    <row r="35" spans="1:19" x14ac:dyDescent="0.3">
      <c r="A35" t="s">
        <v>2853</v>
      </c>
      <c r="B35" s="4">
        <v>45422</v>
      </c>
      <c r="C35" s="4" t="str">
        <f>TEXT(ESales_DB[[#This Row],[Order_Date]],"mmm")</f>
        <v>May</v>
      </c>
      <c r="D35" t="s">
        <v>1352</v>
      </c>
      <c r="E35" t="s">
        <v>1652</v>
      </c>
      <c r="F35" t="s">
        <v>1810</v>
      </c>
      <c r="G35">
        <v>1</v>
      </c>
      <c r="H35" s="10">
        <f>IF(ISBLANK(ESales_DB[[#This Row],[Quantity]]),AVERAGEIF(ESales_DB[Product_ID],ESales_DB[[#This Row],[Product_ID]],ESales_DB[Quantity]),ESales_DB[[#This Row],[Quantity]])</f>
        <v>1</v>
      </c>
      <c r="I35" s="2">
        <v>73.88</v>
      </c>
      <c r="J35">
        <v>0.04</v>
      </c>
      <c r="K35" t="s">
        <v>1824</v>
      </c>
      <c r="L35" s="2">
        <v>70.924799999999991</v>
      </c>
      <c r="M35" s="2" t="str">
        <f>IF(ESales_DB[[#This Row],[Total_Amount]]&gt;1000,"High","Low")</f>
        <v>Low</v>
      </c>
      <c r="N35" s="2" t="str">
        <f>VLOOKUP(ESales_DB[[#This Row],[Customer_ID]],Ecustom_DB[],3,FALSE)</f>
        <v>Sharon Simpson</v>
      </c>
      <c r="O35" s="2" t="str">
        <f>_xlfn.XLOOKUP(ESales_DB[[#This Row],[Product_ID]],Eproduct_DB[Product_ID],Eproduct_DB[Category])</f>
        <v>Sports</v>
      </c>
      <c r="P35" s="2" t="str">
        <f>_xlfn.XLOOKUP(ESales_DB[[#This Row],[Product_ID]],Eproduct_DB[Product_ID],Eproduct_DB[Product_Name])</f>
        <v>Rugby Ball</v>
      </c>
      <c r="Q35" s="2" t="str">
        <f>_xlfn.XLOOKUP(ESales_DB[[#This Row],[Store_ID]],Estore_DB[Store_ID],Estore_DB[Region])</f>
        <v>East</v>
      </c>
      <c r="R35" t="str">
        <f>VLOOKUP(ESales_DB[[#This Row],[Customer_ID]],Ecustom_DB[],10,FALSE)</f>
        <v>Gold</v>
      </c>
      <c r="S35" t="str">
        <f>IF(ESales_DB[[#This Row],[Quantity1]]&gt;3,"Bulk order","Normal order")</f>
        <v>Normal order</v>
      </c>
    </row>
    <row r="36" spans="1:19" x14ac:dyDescent="0.3">
      <c r="A36" t="s">
        <v>2854</v>
      </c>
      <c r="B36" s="4">
        <v>45337</v>
      </c>
      <c r="C36" s="4" t="str">
        <f>TEXT(ESales_DB[[#This Row],[Order_Date]],"mmm")</f>
        <v>Feb</v>
      </c>
      <c r="D36" t="s">
        <v>32</v>
      </c>
      <c r="E36" t="s">
        <v>1720</v>
      </c>
      <c r="F36" t="s">
        <v>1810</v>
      </c>
      <c r="G36">
        <v>1</v>
      </c>
      <c r="H36" s="10">
        <f>IF(ISBLANK(ESales_DB[[#This Row],[Quantity]]),AVERAGEIF(ESales_DB[Product_ID],ESales_DB[[#This Row],[Product_ID]],ESales_DB[Quantity]),ESales_DB[[#This Row],[Quantity]])</f>
        <v>1</v>
      </c>
      <c r="I36" s="2">
        <v>859.3</v>
      </c>
      <c r="J36">
        <v>0.16</v>
      </c>
      <c r="K36" t="s">
        <v>1826</v>
      </c>
      <c r="L36" s="2">
        <v>721.8119999999999</v>
      </c>
      <c r="M36" s="2" t="str">
        <f>IF(ESales_DB[[#This Row],[Total_Amount]]&gt;1000,"High","Low")</f>
        <v>Low</v>
      </c>
      <c r="N36" s="2" t="str">
        <f>VLOOKUP(ESales_DB[[#This Row],[Customer_ID]],Ecustom_DB[],3,FALSE)</f>
        <v>Christine Vaughn</v>
      </c>
      <c r="O36" s="2" t="str">
        <f>_xlfn.XLOOKUP(ESales_DB[[#This Row],[Product_ID]],Eproduct_DB[Product_ID],Eproduct_DB[Category])</f>
        <v>Home</v>
      </c>
      <c r="P36" s="2" t="str">
        <f>_xlfn.XLOOKUP(ESales_DB[[#This Row],[Product_ID]],Eproduct_DB[Product_ID],Eproduct_DB[Product_Name])</f>
        <v>Kitchen Cutting Board</v>
      </c>
      <c r="Q36" s="2" t="str">
        <f>_xlfn.XLOOKUP(ESales_DB[[#This Row],[Store_ID]],Estore_DB[Store_ID],Estore_DB[Region])</f>
        <v>East</v>
      </c>
      <c r="R36" t="str">
        <f>VLOOKUP(ESales_DB[[#This Row],[Customer_ID]],Ecustom_DB[],10,FALSE)</f>
        <v>Bronze</v>
      </c>
      <c r="S36" t="str">
        <f>IF(ESales_DB[[#This Row],[Quantity1]]&gt;3,"Bulk order","Normal order")</f>
        <v>Normal order</v>
      </c>
    </row>
    <row r="37" spans="1:19" x14ac:dyDescent="0.3">
      <c r="A37" t="s">
        <v>2855</v>
      </c>
      <c r="B37" s="4">
        <v>45564</v>
      </c>
      <c r="C37" s="4" t="str">
        <f>TEXT(ESales_DB[[#This Row],[Order_Date]],"mmm")</f>
        <v>Sep</v>
      </c>
      <c r="D37" t="s">
        <v>444</v>
      </c>
      <c r="E37" t="s">
        <v>1710</v>
      </c>
      <c r="F37" t="s">
        <v>1776</v>
      </c>
      <c r="G37">
        <v>4</v>
      </c>
      <c r="H37" s="10">
        <f>IF(ISBLANK(ESales_DB[[#This Row],[Quantity]]),AVERAGEIF(ESales_DB[Product_ID],ESales_DB[[#This Row],[Product_ID]],ESales_DB[Quantity]),ESales_DB[[#This Row],[Quantity]])</f>
        <v>4</v>
      </c>
      <c r="I37" s="2">
        <v>762.43</v>
      </c>
      <c r="J37">
        <v>0.05</v>
      </c>
      <c r="K37" t="s">
        <v>1824</v>
      </c>
      <c r="L37" s="2">
        <v>2897.233999999999</v>
      </c>
      <c r="M37" s="2" t="str">
        <f>IF(ESales_DB[[#This Row],[Total_Amount]]&gt;1000,"High","Low")</f>
        <v>High</v>
      </c>
      <c r="N37" s="2" t="str">
        <f>VLOOKUP(ESales_DB[[#This Row],[Customer_ID]],Ecustom_DB[],3,FALSE)</f>
        <v>Jessica Mitchell</v>
      </c>
      <c r="O37" s="2" t="str">
        <f>_xlfn.XLOOKUP(ESales_DB[[#This Row],[Product_ID]],Eproduct_DB[Product_ID],Eproduct_DB[Category])</f>
        <v>Sports</v>
      </c>
      <c r="P37" s="2" t="str">
        <f>_xlfn.XLOOKUP(ESales_DB[[#This Row],[Product_ID]],Eproduct_DB[Product_ID],Eproduct_DB[Product_Name])</f>
        <v>Badminton Racket Set</v>
      </c>
      <c r="Q37" s="2" t="str">
        <f>_xlfn.XLOOKUP(ESales_DB[[#This Row],[Store_ID]],Estore_DB[Store_ID],Estore_DB[Region])</f>
        <v>East</v>
      </c>
      <c r="R37" t="str">
        <f>VLOOKUP(ESales_DB[[#This Row],[Customer_ID]],Ecustom_DB[],10,FALSE)</f>
        <v>Silver</v>
      </c>
      <c r="S37" t="str">
        <f>IF(ESales_DB[[#This Row],[Quantity1]]&gt;3,"Bulk order","Normal order")</f>
        <v>Bulk order</v>
      </c>
    </row>
    <row r="38" spans="1:19" x14ac:dyDescent="0.3">
      <c r="A38" t="s">
        <v>1929</v>
      </c>
      <c r="B38" s="4">
        <v>45907</v>
      </c>
      <c r="C38" s="4" t="str">
        <f>TEXT(ESales_DB[[#This Row],[Order_Date]],"mmm")</f>
        <v>Sep</v>
      </c>
      <c r="D38" t="s">
        <v>601</v>
      </c>
      <c r="E38" t="s">
        <v>1616</v>
      </c>
      <c r="F38" t="s">
        <v>1769</v>
      </c>
      <c r="G38">
        <v>4</v>
      </c>
      <c r="H38" s="10">
        <f>IF(ISBLANK(ESales_DB[[#This Row],[Quantity]]),AVERAGEIF(ESales_DB[Product_ID],ESales_DB[[#This Row],[Product_ID]],ESales_DB[Quantity]),ESales_DB[[#This Row],[Quantity]])</f>
        <v>4</v>
      </c>
      <c r="I38" s="2">
        <v>925.19</v>
      </c>
      <c r="J38">
        <v>0.19</v>
      </c>
      <c r="K38" t="s">
        <v>1826</v>
      </c>
      <c r="L38" s="2">
        <v>2997.615600000001</v>
      </c>
      <c r="M38" s="2" t="str">
        <f>IF(ESales_DB[[#This Row],[Total_Amount]]&gt;1000,"High","Low")</f>
        <v>High</v>
      </c>
      <c r="N38" s="2" t="str">
        <f>VLOOKUP(ESales_DB[[#This Row],[Customer_ID]],Ecustom_DB[],3,FALSE)</f>
        <v>Melissa Hamilton</v>
      </c>
      <c r="O38" s="2" t="str">
        <f>_xlfn.XLOOKUP(ESales_DB[[#This Row],[Product_ID]],Eproduct_DB[Product_ID],Eproduct_DB[Category])</f>
        <v>Electronics</v>
      </c>
      <c r="P38" s="2" t="str">
        <f>_xlfn.XLOOKUP(ESales_DB[[#This Row],[Product_ID]],Eproduct_DB[Product_ID],Eproduct_DB[Product_Name])</f>
        <v>Gaming Mechanical Keyboard</v>
      </c>
      <c r="Q38" s="2" t="str">
        <f>_xlfn.XLOOKUP(ESales_DB[[#This Row],[Store_ID]],Estore_DB[Store_ID],Estore_DB[Region])</f>
        <v>South</v>
      </c>
      <c r="R38" t="str">
        <f>VLOOKUP(ESales_DB[[#This Row],[Customer_ID]],Ecustom_DB[],10,FALSE)</f>
        <v>Silver</v>
      </c>
      <c r="S38" t="str">
        <f>IF(ESales_DB[[#This Row],[Quantity1]]&gt;3,"Bulk order","Normal order")</f>
        <v>Bulk order</v>
      </c>
    </row>
    <row r="39" spans="1:19" x14ac:dyDescent="0.3">
      <c r="A39" t="s">
        <v>2856</v>
      </c>
      <c r="B39" s="4">
        <v>45424</v>
      </c>
      <c r="C39" s="4" t="str">
        <f>TEXT(ESales_DB[[#This Row],[Order_Date]],"mmm")</f>
        <v>May</v>
      </c>
      <c r="D39" t="s">
        <v>428</v>
      </c>
      <c r="E39" t="s">
        <v>1694</v>
      </c>
      <c r="F39" t="s">
        <v>1752</v>
      </c>
      <c r="G39">
        <v>1</v>
      </c>
      <c r="H39" s="10">
        <f>IF(ISBLANK(ESales_DB[[#This Row],[Quantity]]),AVERAGEIF(ESales_DB[Product_ID],ESales_DB[[#This Row],[Product_ID]],ESales_DB[Quantity]),ESales_DB[[#This Row],[Quantity]])</f>
        <v>1</v>
      </c>
      <c r="I39" s="2">
        <v>328.51</v>
      </c>
      <c r="J39">
        <v>0.2</v>
      </c>
      <c r="K39" t="s">
        <v>1829</v>
      </c>
      <c r="L39" s="2">
        <v>262.80799999999999</v>
      </c>
      <c r="M39" s="2" t="str">
        <f>IF(ESales_DB[[#This Row],[Total_Amount]]&gt;1000,"High","Low")</f>
        <v>Low</v>
      </c>
      <c r="N39" s="2" t="str">
        <f>VLOOKUP(ESales_DB[[#This Row],[Customer_ID]],Ecustom_DB[],3,FALSE)</f>
        <v>Donald Lee</v>
      </c>
      <c r="O39" s="2" t="str">
        <f>_xlfn.XLOOKUP(ESales_DB[[#This Row],[Product_ID]],Eproduct_DB[Product_ID],Eproduct_DB[Category])</f>
        <v>Sports</v>
      </c>
      <c r="P39" s="2" t="str">
        <f>_xlfn.XLOOKUP(ESales_DB[[#This Row],[Product_ID]],Eproduct_DB[Product_ID],Eproduct_DB[Product_Name])</f>
        <v>Shin Guards – Adult</v>
      </c>
      <c r="Q39" s="2" t="str">
        <f>_xlfn.XLOOKUP(ESales_DB[[#This Row],[Store_ID]],Estore_DB[Store_ID],Estore_DB[Region])</f>
        <v>East</v>
      </c>
      <c r="R39" t="str">
        <f>VLOOKUP(ESales_DB[[#This Row],[Customer_ID]],Ecustom_DB[],10,FALSE)</f>
        <v>Bronze</v>
      </c>
      <c r="S39" t="str">
        <f>IF(ESales_DB[[#This Row],[Quantity1]]&gt;3,"Bulk order","Normal order")</f>
        <v>Normal order</v>
      </c>
    </row>
    <row r="40" spans="1:19" x14ac:dyDescent="0.3">
      <c r="A40" t="s">
        <v>2857</v>
      </c>
      <c r="B40" s="4">
        <v>45719</v>
      </c>
      <c r="C40" s="4" t="str">
        <f>TEXT(ESales_DB[[#This Row],[Order_Date]],"mmm")</f>
        <v>Mar</v>
      </c>
      <c r="D40" t="s">
        <v>872</v>
      </c>
      <c r="E40" t="s">
        <v>1636</v>
      </c>
      <c r="F40" t="s">
        <v>1769</v>
      </c>
      <c r="G40">
        <v>1</v>
      </c>
      <c r="H40" s="10">
        <f>IF(ISBLANK(ESales_DB[[#This Row],[Quantity]]),AVERAGEIF(ESales_DB[Product_ID],ESales_DB[[#This Row],[Product_ID]],ESales_DB[Quantity]),ESales_DB[[#This Row],[Quantity]])</f>
        <v>1</v>
      </c>
      <c r="I40" s="2">
        <v>34.51</v>
      </c>
      <c r="J40">
        <v>0.04</v>
      </c>
      <c r="K40" t="s">
        <v>1829</v>
      </c>
      <c r="L40" s="2">
        <v>33.129600000000003</v>
      </c>
      <c r="M40" s="2" t="str">
        <f>IF(ESales_DB[[#This Row],[Total_Amount]]&gt;1000,"High","Low")</f>
        <v>Low</v>
      </c>
      <c r="N40" s="2" t="str">
        <f>VLOOKUP(ESales_DB[[#This Row],[Customer_ID]],Ecustom_DB[],3,FALSE)</f>
        <v>Sarah Lane</v>
      </c>
      <c r="O40" s="2" t="str">
        <f>_xlfn.XLOOKUP(ESales_DB[[#This Row],[Product_ID]],Eproduct_DB[Product_ID],Eproduct_DB[Category])</f>
        <v>Sports</v>
      </c>
      <c r="P40" s="2" t="str">
        <f>_xlfn.XLOOKUP(ESales_DB[[#This Row],[Product_ID]],Eproduct_DB[Product_ID],Eproduct_DB[Product_Name])</f>
        <v>Adjustable Jump Rope</v>
      </c>
      <c r="Q40" s="2" t="str">
        <f>_xlfn.XLOOKUP(ESales_DB[[#This Row],[Store_ID]],Estore_DB[Store_ID],Estore_DB[Region])</f>
        <v>South</v>
      </c>
      <c r="R40" t="str">
        <f>VLOOKUP(ESales_DB[[#This Row],[Customer_ID]],Ecustom_DB[],10,FALSE)</f>
        <v>Silver</v>
      </c>
      <c r="S40" t="str">
        <f>IF(ESales_DB[[#This Row],[Quantity1]]&gt;3,"Bulk order","Normal order")</f>
        <v>Normal order</v>
      </c>
    </row>
    <row r="41" spans="1:19" x14ac:dyDescent="0.3">
      <c r="A41" t="s">
        <v>2858</v>
      </c>
      <c r="B41" s="4">
        <v>45250</v>
      </c>
      <c r="C41" s="4" t="str">
        <f>TEXT(ESales_DB[[#This Row],[Order_Date]],"mmm")</f>
        <v>Nov</v>
      </c>
      <c r="D41" t="s">
        <v>372</v>
      </c>
      <c r="E41" t="s">
        <v>1586</v>
      </c>
      <c r="F41" t="s">
        <v>1792</v>
      </c>
      <c r="G41">
        <v>3</v>
      </c>
      <c r="H41" s="10">
        <f>IF(ISBLANK(ESales_DB[[#This Row],[Quantity]]),AVERAGEIF(ESales_DB[Product_ID],ESales_DB[[#This Row],[Product_ID]],ESales_DB[Quantity]),ESales_DB[[#This Row],[Quantity]])</f>
        <v>3</v>
      </c>
      <c r="I41" s="2">
        <v>663.73</v>
      </c>
      <c r="J41">
        <v>0.06</v>
      </c>
      <c r="K41" t="s">
        <v>1829</v>
      </c>
      <c r="L41" s="2">
        <v>1871.7185999999999</v>
      </c>
      <c r="M41" s="2" t="str">
        <f>IF(ESales_DB[[#This Row],[Total_Amount]]&gt;1000,"High","Low")</f>
        <v>High</v>
      </c>
      <c r="N41" s="2" t="str">
        <f>VLOOKUP(ESales_DB[[#This Row],[Customer_ID]],Ecustom_DB[],3,FALSE)</f>
        <v>Lance Baker</v>
      </c>
      <c r="O41" s="2" t="str">
        <f>_xlfn.XLOOKUP(ESales_DB[[#This Row],[Product_ID]],Eproduct_DB[Product_ID],Eproduct_DB[Category])</f>
        <v>Sports</v>
      </c>
      <c r="P41" s="2" t="str">
        <f>_xlfn.XLOOKUP(ESales_DB[[#This Row],[Product_ID]],Eproduct_DB[Product_ID],Eproduct_DB[Product_Name])</f>
        <v>Knee Support Brace</v>
      </c>
      <c r="Q41" s="2" t="str">
        <f>_xlfn.XLOOKUP(ESales_DB[[#This Row],[Store_ID]],Estore_DB[Store_ID],Estore_DB[Region])</f>
        <v>South</v>
      </c>
      <c r="R41" t="str">
        <f>VLOOKUP(ESales_DB[[#This Row],[Customer_ID]],Ecustom_DB[],10,FALSE)</f>
        <v>Gold</v>
      </c>
      <c r="S41" t="str">
        <f>IF(ESales_DB[[#This Row],[Quantity1]]&gt;3,"Bulk order","Normal order")</f>
        <v>Normal order</v>
      </c>
    </row>
    <row r="42" spans="1:19" x14ac:dyDescent="0.3">
      <c r="A42" t="s">
        <v>2859</v>
      </c>
      <c r="B42" s="4">
        <v>45479</v>
      </c>
      <c r="C42" s="4" t="str">
        <f>TEXT(ESales_DB[[#This Row],[Order_Date]],"mmm")</f>
        <v>Jul</v>
      </c>
      <c r="D42" t="s">
        <v>788</v>
      </c>
      <c r="E42" t="s">
        <v>1614</v>
      </c>
      <c r="F42" t="s">
        <v>1786</v>
      </c>
      <c r="G42">
        <v>1</v>
      </c>
      <c r="H42" s="10">
        <f>IF(ISBLANK(ESales_DB[[#This Row],[Quantity]]),AVERAGEIF(ESales_DB[Product_ID],ESales_DB[[#This Row],[Product_ID]],ESales_DB[Quantity]),ESales_DB[[#This Row],[Quantity]])</f>
        <v>1</v>
      </c>
      <c r="I42" s="2">
        <v>409.41</v>
      </c>
      <c r="J42">
        <v>0.13</v>
      </c>
      <c r="K42" t="s">
        <v>1826</v>
      </c>
      <c r="L42" s="2">
        <v>356.18669999999997</v>
      </c>
      <c r="M42" s="2" t="str">
        <f>IF(ESales_DB[[#This Row],[Total_Amount]]&gt;1000,"High","Low")</f>
        <v>Low</v>
      </c>
      <c r="N42" s="2" t="str">
        <f>VLOOKUP(ESales_DB[[#This Row],[Customer_ID]],Ecustom_DB[],3,FALSE)</f>
        <v>Mary Russell</v>
      </c>
      <c r="O42" s="2" t="str">
        <f>_xlfn.XLOOKUP(ESales_DB[[#This Row],[Product_ID]],Eproduct_DB[Product_ID],Eproduct_DB[Category])</f>
        <v>Home</v>
      </c>
      <c r="P42" s="2" t="str">
        <f>_xlfn.XLOOKUP(ESales_DB[[#This Row],[Product_ID]],Eproduct_DB[Product_ID],Eproduct_DB[Product_Name])</f>
        <v>Modern Wall Clock</v>
      </c>
      <c r="Q42" s="2" t="str">
        <f>_xlfn.XLOOKUP(ESales_DB[[#This Row],[Store_ID]],Estore_DB[Store_ID],Estore_DB[Region])</f>
        <v>South</v>
      </c>
      <c r="R42" t="str">
        <f>VLOOKUP(ESales_DB[[#This Row],[Customer_ID]],Ecustom_DB[],10,FALSE)</f>
        <v>Bronze</v>
      </c>
      <c r="S42" t="str">
        <f>IF(ESales_DB[[#This Row],[Quantity1]]&gt;3,"Bulk order","Normal order")</f>
        <v>Normal order</v>
      </c>
    </row>
    <row r="43" spans="1:19" x14ac:dyDescent="0.3">
      <c r="A43" t="s">
        <v>2860</v>
      </c>
      <c r="B43" s="4">
        <v>45727</v>
      </c>
      <c r="C43" s="4" t="str">
        <f>TEXT(ESales_DB[[#This Row],[Order_Date]],"mmm")</f>
        <v>Mar</v>
      </c>
      <c r="D43" t="s">
        <v>332</v>
      </c>
      <c r="E43" t="s">
        <v>1704</v>
      </c>
      <c r="F43" t="s">
        <v>1766</v>
      </c>
      <c r="G43">
        <v>3</v>
      </c>
      <c r="H43" s="10">
        <f>IF(ISBLANK(ESales_DB[[#This Row],[Quantity]]),AVERAGEIF(ESales_DB[Product_ID],ESales_DB[[#This Row],[Product_ID]],ESales_DB[Quantity]),ESales_DB[[#This Row],[Quantity]])</f>
        <v>3</v>
      </c>
      <c r="I43" s="2">
        <v>461.03</v>
      </c>
      <c r="J43">
        <v>0.11</v>
      </c>
      <c r="K43" t="s">
        <v>1826</v>
      </c>
      <c r="L43" s="2">
        <v>1230.9501</v>
      </c>
      <c r="M43" s="2" t="str">
        <f>IF(ESales_DB[[#This Row],[Total_Amount]]&gt;1000,"High","Low")</f>
        <v>High</v>
      </c>
      <c r="N43" s="2" t="str">
        <f>VLOOKUP(ESales_DB[[#This Row],[Customer_ID]],Ecustom_DB[],3,FALSE)</f>
        <v>Robert Jackson</v>
      </c>
      <c r="O43" s="2" t="str">
        <f>_xlfn.XLOOKUP(ESales_DB[[#This Row],[Product_ID]],Eproduct_DB[Product_ID],Eproduct_DB[Category])</f>
        <v>Home</v>
      </c>
      <c r="P43" s="2" t="str">
        <f>_xlfn.XLOOKUP(ESales_DB[[#This Row],[Product_ID]],Eproduct_DB[Product_ID],Eproduct_DB[Product_Name])</f>
        <v>Essential Oil Diffuser</v>
      </c>
      <c r="Q43" s="2" t="str">
        <f>_xlfn.XLOOKUP(ESales_DB[[#This Row],[Store_ID]],Estore_DB[Store_ID],Estore_DB[Region])</f>
        <v>North</v>
      </c>
      <c r="R43" t="str">
        <f>VLOOKUP(ESales_DB[[#This Row],[Customer_ID]],Ecustom_DB[],10,FALSE)</f>
        <v>Platinum</v>
      </c>
      <c r="S43" t="str">
        <f>IF(ESales_DB[[#This Row],[Quantity1]]&gt;3,"Bulk order","Normal order")</f>
        <v>Normal order</v>
      </c>
    </row>
    <row r="44" spans="1:19" x14ac:dyDescent="0.3">
      <c r="A44" t="s">
        <v>2861</v>
      </c>
      <c r="B44" s="4">
        <v>45394</v>
      </c>
      <c r="C44" s="4" t="str">
        <f>TEXT(ESales_DB[[#This Row],[Order_Date]],"mmm")</f>
        <v>Apr</v>
      </c>
      <c r="D44" t="s">
        <v>1151</v>
      </c>
      <c r="E44" t="s">
        <v>1586</v>
      </c>
      <c r="F44" t="s">
        <v>1799</v>
      </c>
      <c r="G44">
        <v>2</v>
      </c>
      <c r="H44" s="10">
        <f>IF(ISBLANK(ESales_DB[[#This Row],[Quantity]]),AVERAGEIF(ESales_DB[Product_ID],ESales_DB[[#This Row],[Product_ID]],ESales_DB[Quantity]),ESales_DB[[#This Row],[Quantity]])</f>
        <v>2</v>
      </c>
      <c r="I44" s="2">
        <v>760.14</v>
      </c>
      <c r="J44">
        <v>0.02</v>
      </c>
      <c r="K44" t="s">
        <v>1829</v>
      </c>
      <c r="L44" s="2">
        <v>1489.8743999999999</v>
      </c>
      <c r="M44" s="2" t="str">
        <f>IF(ESales_DB[[#This Row],[Total_Amount]]&gt;1000,"High","Low")</f>
        <v>High</v>
      </c>
      <c r="N44" s="2" t="str">
        <f>VLOOKUP(ESales_DB[[#This Row],[Customer_ID]],Ecustom_DB[],3,FALSE)</f>
        <v>Miranda King</v>
      </c>
      <c r="O44" s="2" t="str">
        <f>_xlfn.XLOOKUP(ESales_DB[[#This Row],[Product_ID]],Eproduct_DB[Product_ID],Eproduct_DB[Category])</f>
        <v>Sports</v>
      </c>
      <c r="P44" s="2" t="str">
        <f>_xlfn.XLOOKUP(ESales_DB[[#This Row],[Product_ID]],Eproduct_DB[Product_ID],Eproduct_DB[Product_Name])</f>
        <v>Knee Support Brace</v>
      </c>
      <c r="Q44" s="2" t="str">
        <f>_xlfn.XLOOKUP(ESales_DB[[#This Row],[Store_ID]],Estore_DB[Store_ID],Estore_DB[Region])</f>
        <v>South</v>
      </c>
      <c r="R44" t="str">
        <f>VLOOKUP(ESales_DB[[#This Row],[Customer_ID]],Ecustom_DB[],10,FALSE)</f>
        <v>Platinum</v>
      </c>
      <c r="S44" t="str">
        <f>IF(ESales_DB[[#This Row],[Quantity1]]&gt;3,"Bulk order","Normal order")</f>
        <v>Normal order</v>
      </c>
    </row>
    <row r="45" spans="1:19" x14ac:dyDescent="0.3">
      <c r="A45" t="s">
        <v>2862</v>
      </c>
      <c r="B45" s="4">
        <v>45773</v>
      </c>
      <c r="C45" s="4" t="str">
        <f>TEXT(ESales_DB[[#This Row],[Order_Date]],"mmm")</f>
        <v>Apr</v>
      </c>
      <c r="D45" t="s">
        <v>884</v>
      </c>
      <c r="E45" t="s">
        <v>1594</v>
      </c>
      <c r="F45" t="s">
        <v>1757</v>
      </c>
      <c r="G45">
        <v>3</v>
      </c>
      <c r="H45" s="10">
        <f>IF(ISBLANK(ESales_DB[[#This Row],[Quantity]]),AVERAGEIF(ESales_DB[Product_ID],ESales_DB[[#This Row],[Product_ID]],ESales_DB[Quantity]),ESales_DB[[#This Row],[Quantity]])</f>
        <v>3</v>
      </c>
      <c r="I45" s="2">
        <v>688.76</v>
      </c>
      <c r="J45">
        <v>0.12</v>
      </c>
      <c r="K45" t="s">
        <v>1826</v>
      </c>
      <c r="L45" s="2">
        <v>1818.3263999999999</v>
      </c>
      <c r="M45" s="2" t="str">
        <f>IF(ESales_DB[[#This Row],[Total_Amount]]&gt;1000,"High","Low")</f>
        <v>High</v>
      </c>
      <c r="N45" s="2" t="str">
        <f>VLOOKUP(ESales_DB[[#This Row],[Customer_ID]],Ecustom_DB[],3,FALSE)</f>
        <v>Stephen Fowler</v>
      </c>
      <c r="O45" s="2" t="str">
        <f>_xlfn.XLOOKUP(ESales_DB[[#This Row],[Product_ID]],Eproduct_DB[Product_ID],Eproduct_DB[Category])</f>
        <v>Clothing</v>
      </c>
      <c r="P45" s="2" t="str">
        <f>_xlfn.XLOOKUP(ESales_DB[[#This Row],[Product_ID]],Eproduct_DB[Product_ID],Eproduct_DB[Product_Name])</f>
        <v>Men's Formal Shirt</v>
      </c>
      <c r="Q45" s="2" t="str">
        <f>_xlfn.XLOOKUP(ESales_DB[[#This Row],[Store_ID]],Estore_DB[Store_ID],Estore_DB[Region])</f>
        <v>North</v>
      </c>
      <c r="R45" t="str">
        <f>VLOOKUP(ESales_DB[[#This Row],[Customer_ID]],Ecustom_DB[],10,FALSE)</f>
        <v>Platinum</v>
      </c>
      <c r="S45" t="str">
        <f>IF(ESales_DB[[#This Row],[Quantity1]]&gt;3,"Bulk order","Normal order")</f>
        <v>Normal order</v>
      </c>
    </row>
    <row r="46" spans="1:19" x14ac:dyDescent="0.3">
      <c r="A46" t="s">
        <v>2863</v>
      </c>
      <c r="B46" s="4">
        <v>45779</v>
      </c>
      <c r="C46" s="4" t="str">
        <f>TEXT(ESales_DB[[#This Row],[Order_Date]],"mmm")</f>
        <v>May</v>
      </c>
      <c r="D46" t="s">
        <v>532</v>
      </c>
      <c r="E46" t="s">
        <v>1634</v>
      </c>
      <c r="F46" t="s">
        <v>1786</v>
      </c>
      <c r="G46">
        <v>2</v>
      </c>
      <c r="H46" s="10">
        <f>IF(ISBLANK(ESales_DB[[#This Row],[Quantity]]),AVERAGEIF(ESales_DB[Product_ID],ESales_DB[[#This Row],[Product_ID]],ESales_DB[Quantity]),ESales_DB[[#This Row],[Quantity]])</f>
        <v>2</v>
      </c>
      <c r="I46" s="2">
        <v>257.77999999999997</v>
      </c>
      <c r="J46">
        <v>0.05</v>
      </c>
      <c r="K46" t="s">
        <v>1824</v>
      </c>
      <c r="L46" s="2">
        <v>489.78199999999993</v>
      </c>
      <c r="M46" s="2" t="str">
        <f>IF(ESales_DB[[#This Row],[Total_Amount]]&gt;1000,"High","Low")</f>
        <v>Low</v>
      </c>
      <c r="N46" s="2" t="str">
        <f>VLOOKUP(ESales_DB[[#This Row],[Customer_ID]],Ecustom_DB[],3,FALSE)</f>
        <v>Brian Choi</v>
      </c>
      <c r="O46" s="2" t="str">
        <f>_xlfn.XLOOKUP(ESales_DB[[#This Row],[Product_ID]],Eproduct_DB[Product_ID],Eproduct_DB[Category])</f>
        <v>Electronics</v>
      </c>
      <c r="P46" s="2" t="str">
        <f>_xlfn.XLOOKUP(ESales_DB[[#This Row],[Product_ID]],Eproduct_DB[Product_ID],Eproduct_DB[Product_Name])</f>
        <v>USB External Hard Drive</v>
      </c>
      <c r="Q46" s="2" t="str">
        <f>_xlfn.XLOOKUP(ESales_DB[[#This Row],[Store_ID]],Estore_DB[Store_ID],Estore_DB[Region])</f>
        <v>South</v>
      </c>
      <c r="R46" t="str">
        <f>VLOOKUP(ESales_DB[[#This Row],[Customer_ID]],Ecustom_DB[],10,FALSE)</f>
        <v>Gold</v>
      </c>
      <c r="S46" t="str">
        <f>IF(ESales_DB[[#This Row],[Quantity1]]&gt;3,"Bulk order","Normal order")</f>
        <v>Normal order</v>
      </c>
    </row>
    <row r="47" spans="1:19" x14ac:dyDescent="0.3">
      <c r="A47" t="s">
        <v>2864</v>
      </c>
      <c r="B47" s="4">
        <v>45400</v>
      </c>
      <c r="C47" s="4" t="str">
        <f>TEXT(ESales_DB[[#This Row],[Order_Date]],"mmm")</f>
        <v>Apr</v>
      </c>
      <c r="D47" t="s">
        <v>198</v>
      </c>
      <c r="E47" t="s">
        <v>1654</v>
      </c>
      <c r="F47" t="s">
        <v>1779</v>
      </c>
      <c r="G47">
        <v>2</v>
      </c>
      <c r="H47" s="10">
        <f>IF(ISBLANK(ESales_DB[[#This Row],[Quantity]]),AVERAGEIF(ESales_DB[Product_ID],ESales_DB[[#This Row],[Product_ID]],ESales_DB[Quantity]),ESales_DB[[#This Row],[Quantity]])</f>
        <v>2</v>
      </c>
      <c r="I47" s="2">
        <v>314.29000000000002</v>
      </c>
      <c r="J47">
        <v>0.19</v>
      </c>
      <c r="K47" t="s">
        <v>1829</v>
      </c>
      <c r="L47" s="2">
        <v>509.14980000000008</v>
      </c>
      <c r="M47" s="2" t="str">
        <f>IF(ESales_DB[[#This Row],[Total_Amount]]&gt;1000,"High","Low")</f>
        <v>Low</v>
      </c>
      <c r="N47" s="2" t="str">
        <f>VLOOKUP(ESales_DB[[#This Row],[Customer_ID]],Ecustom_DB[],3,FALSE)</f>
        <v>Debra Liu</v>
      </c>
      <c r="O47" s="2" t="str">
        <f>_xlfn.XLOOKUP(ESales_DB[[#This Row],[Product_ID]],Eproduct_DB[Product_ID],Eproduct_DB[Category])</f>
        <v>Clothing</v>
      </c>
      <c r="P47" s="2" t="str">
        <f>_xlfn.XLOOKUP(ESales_DB[[#This Row],[Product_ID]],Eproduct_DB[Product_ID],Eproduct_DB[Product_Name])</f>
        <v>Men's Track Pants</v>
      </c>
      <c r="Q47" s="2" t="str">
        <f>_xlfn.XLOOKUP(ESales_DB[[#This Row],[Store_ID]],Estore_DB[Store_ID],Estore_DB[Region])</f>
        <v>South</v>
      </c>
      <c r="R47" t="str">
        <f>VLOOKUP(ESales_DB[[#This Row],[Customer_ID]],Ecustom_DB[],10,FALSE)</f>
        <v>Bronze</v>
      </c>
      <c r="S47" t="str">
        <f>IF(ESales_DB[[#This Row],[Quantity1]]&gt;3,"Bulk order","Normal order")</f>
        <v>Normal order</v>
      </c>
    </row>
    <row r="48" spans="1:19" x14ac:dyDescent="0.3">
      <c r="A48" t="s">
        <v>2865</v>
      </c>
      <c r="B48" s="4">
        <v>45520</v>
      </c>
      <c r="C48" s="4" t="str">
        <f>TEXT(ESales_DB[[#This Row],[Order_Date]],"mmm")</f>
        <v>Aug</v>
      </c>
      <c r="D48" t="s">
        <v>520</v>
      </c>
      <c r="E48" t="s">
        <v>1692</v>
      </c>
      <c r="F48" t="s">
        <v>1799</v>
      </c>
      <c r="G48">
        <v>3</v>
      </c>
      <c r="H48" s="10">
        <f>IF(ISBLANK(ESales_DB[[#This Row],[Quantity]]),AVERAGEIF(ESales_DB[Product_ID],ESales_DB[[#This Row],[Product_ID]],ESales_DB[Quantity]),ESales_DB[[#This Row],[Quantity]])</f>
        <v>3</v>
      </c>
      <c r="I48" s="2">
        <v>336.09</v>
      </c>
      <c r="J48">
        <v>0.01</v>
      </c>
      <c r="K48" t="s">
        <v>1826</v>
      </c>
      <c r="L48" s="2">
        <v>998.18729999999994</v>
      </c>
      <c r="M48" s="2" t="str">
        <f>IF(ESales_DB[[#This Row],[Total_Amount]]&gt;1000,"High","Low")</f>
        <v>Low</v>
      </c>
      <c r="N48" s="2" t="str">
        <f>VLOOKUP(ESales_DB[[#This Row],[Customer_ID]],Ecustom_DB[],3,FALSE)</f>
        <v>Curtis Haynes</v>
      </c>
      <c r="O48" s="2" t="str">
        <f>_xlfn.XLOOKUP(ESales_DB[[#This Row],[Product_ID]],Eproduct_DB[Product_ID],Eproduct_DB[Category])</f>
        <v>Sports</v>
      </c>
      <c r="P48" s="2" t="str">
        <f>_xlfn.XLOOKUP(ESales_DB[[#This Row],[Product_ID]],Eproduct_DB[Product_ID],Eproduct_DB[Product_Name])</f>
        <v>Professional Jump Rope</v>
      </c>
      <c r="Q48" s="2" t="str">
        <f>_xlfn.XLOOKUP(ESales_DB[[#This Row],[Store_ID]],Estore_DB[Store_ID],Estore_DB[Region])</f>
        <v>South</v>
      </c>
      <c r="R48" t="str">
        <f>VLOOKUP(ESales_DB[[#This Row],[Customer_ID]],Ecustom_DB[],10,FALSE)</f>
        <v>Gold</v>
      </c>
      <c r="S48" t="str">
        <f>IF(ESales_DB[[#This Row],[Quantity1]]&gt;3,"Bulk order","Normal order")</f>
        <v>Normal order</v>
      </c>
    </row>
    <row r="49" spans="1:19" x14ac:dyDescent="0.3">
      <c r="A49" t="s">
        <v>1930</v>
      </c>
      <c r="B49" s="4">
        <v>45330</v>
      </c>
      <c r="C49" s="4" t="str">
        <f>TEXT(ESales_DB[[#This Row],[Order_Date]],"mmm")</f>
        <v>Feb</v>
      </c>
      <c r="D49" t="s">
        <v>121</v>
      </c>
      <c r="E49" t="s">
        <v>1720</v>
      </c>
      <c r="F49" t="s">
        <v>1792</v>
      </c>
      <c r="G49">
        <v>2</v>
      </c>
      <c r="H49" s="10">
        <f>IF(ISBLANK(ESales_DB[[#This Row],[Quantity]]),AVERAGEIF(ESales_DB[Product_ID],ESales_DB[[#This Row],[Product_ID]],ESales_DB[Quantity]),ESales_DB[[#This Row],[Quantity]])</f>
        <v>2</v>
      </c>
      <c r="I49" s="2">
        <v>879.63</v>
      </c>
      <c r="J49">
        <v>7.0000000000000007E-2</v>
      </c>
      <c r="K49" t="s">
        <v>1829</v>
      </c>
      <c r="L49" s="2">
        <v>1636.1117999999999</v>
      </c>
      <c r="M49" s="2" t="str">
        <f>IF(ESales_DB[[#This Row],[Total_Amount]]&gt;1000,"High","Low")</f>
        <v>High</v>
      </c>
      <c r="N49" s="2" t="str">
        <f>VLOOKUP(ESales_DB[[#This Row],[Customer_ID]],Ecustom_DB[],3,FALSE)</f>
        <v>David Arnold</v>
      </c>
      <c r="O49" s="2" t="str">
        <f>_xlfn.XLOOKUP(ESales_DB[[#This Row],[Product_ID]],Eproduct_DB[Product_ID],Eproduct_DB[Category])</f>
        <v>Home</v>
      </c>
      <c r="P49" s="2" t="str">
        <f>_xlfn.XLOOKUP(ESales_DB[[#This Row],[Product_ID]],Eproduct_DB[Product_ID],Eproduct_DB[Product_Name])</f>
        <v>Kitchen Cutting Board</v>
      </c>
      <c r="Q49" s="2" t="str">
        <f>_xlfn.XLOOKUP(ESales_DB[[#This Row],[Store_ID]],Estore_DB[Store_ID],Estore_DB[Region])</f>
        <v>South</v>
      </c>
      <c r="R49" t="str">
        <f>VLOOKUP(ESales_DB[[#This Row],[Customer_ID]],Ecustom_DB[],10,FALSE)</f>
        <v>Silver</v>
      </c>
      <c r="S49" t="str">
        <f>IF(ESales_DB[[#This Row],[Quantity1]]&gt;3,"Bulk order","Normal order")</f>
        <v>Normal order</v>
      </c>
    </row>
    <row r="50" spans="1:19" x14ac:dyDescent="0.3">
      <c r="A50" t="s">
        <v>2866</v>
      </c>
      <c r="B50" s="4">
        <v>45861</v>
      </c>
      <c r="C50" s="4" t="str">
        <f>TEXT(ESales_DB[[#This Row],[Order_Date]],"mmm")</f>
        <v>Jul</v>
      </c>
      <c r="D50" t="s">
        <v>20</v>
      </c>
      <c r="E50" t="s">
        <v>1698</v>
      </c>
      <c r="F50" t="s">
        <v>1807</v>
      </c>
      <c r="G50">
        <v>3</v>
      </c>
      <c r="H50" s="10">
        <f>IF(ISBLANK(ESales_DB[[#This Row],[Quantity]]),AVERAGEIF(ESales_DB[Product_ID],ESales_DB[[#This Row],[Product_ID]],ESales_DB[Quantity]),ESales_DB[[#This Row],[Quantity]])</f>
        <v>3</v>
      </c>
      <c r="I50" s="2">
        <v>202.07</v>
      </c>
      <c r="J50">
        <v>0.23</v>
      </c>
      <c r="K50" t="s">
        <v>1826</v>
      </c>
      <c r="L50" s="2">
        <v>466.78170000000011</v>
      </c>
      <c r="M50" s="2" t="str">
        <f>IF(ESales_DB[[#This Row],[Total_Amount]]&gt;1000,"High","Low")</f>
        <v>Low</v>
      </c>
      <c r="N50" s="2" t="str">
        <f>VLOOKUP(ESales_DB[[#This Row],[Customer_ID]],Ecustom_DB[],3,FALSE)</f>
        <v>Dr. Benjamin Price</v>
      </c>
      <c r="O50" s="2" t="str">
        <f>_xlfn.XLOOKUP(ESales_DB[[#This Row],[Product_ID]],Eproduct_DB[Product_ID],Eproduct_DB[Category])</f>
        <v>Clothing</v>
      </c>
      <c r="P50" s="2" t="str">
        <f>_xlfn.XLOOKUP(ESales_DB[[#This Row],[Product_ID]],Eproduct_DB[Product_ID],Eproduct_DB[Product_Name])</f>
        <v>Women's Ankle Boots</v>
      </c>
      <c r="Q50" s="2" t="str">
        <f>_xlfn.XLOOKUP(ESales_DB[[#This Row],[Store_ID]],Estore_DB[Store_ID],Estore_DB[Region])</f>
        <v>North</v>
      </c>
      <c r="R50" t="str">
        <f>VLOOKUP(ESales_DB[[#This Row],[Customer_ID]],Ecustom_DB[],10,FALSE)</f>
        <v>Platinum</v>
      </c>
      <c r="S50" t="str">
        <f>IF(ESales_DB[[#This Row],[Quantity1]]&gt;3,"Bulk order","Normal order")</f>
        <v>Normal order</v>
      </c>
    </row>
    <row r="51" spans="1:19" x14ac:dyDescent="0.3">
      <c r="A51" t="s">
        <v>2867</v>
      </c>
      <c r="B51" s="4">
        <v>45781</v>
      </c>
      <c r="C51" s="4" t="str">
        <f>TEXT(ESales_DB[[#This Row],[Order_Date]],"mmm")</f>
        <v>May</v>
      </c>
      <c r="D51" t="s">
        <v>978</v>
      </c>
      <c r="E51" t="s">
        <v>1582</v>
      </c>
      <c r="F51" t="s">
        <v>1782</v>
      </c>
      <c r="G51">
        <v>2</v>
      </c>
      <c r="H51" s="10">
        <f>IF(ISBLANK(ESales_DB[[#This Row],[Quantity]]),AVERAGEIF(ESales_DB[Product_ID],ESales_DB[[#This Row],[Product_ID]],ESales_DB[Quantity]),ESales_DB[[#This Row],[Quantity]])</f>
        <v>2</v>
      </c>
      <c r="I51" s="2">
        <v>485.25</v>
      </c>
      <c r="J51">
        <v>0.28000000000000003</v>
      </c>
      <c r="K51" t="s">
        <v>1824</v>
      </c>
      <c r="L51" s="2">
        <v>698.76</v>
      </c>
      <c r="M51" s="2" t="str">
        <f>IF(ESales_DB[[#This Row],[Total_Amount]]&gt;1000,"High","Low")</f>
        <v>Low</v>
      </c>
      <c r="N51" s="2" t="str">
        <f>VLOOKUP(ESales_DB[[#This Row],[Customer_ID]],Ecustom_DB[],3,FALSE)</f>
        <v>Kara Dodson</v>
      </c>
      <c r="O51" s="2" t="str">
        <f>_xlfn.XLOOKUP(ESales_DB[[#This Row],[Product_ID]],Eproduct_DB[Product_ID],Eproduct_DB[Category])</f>
        <v>Sports</v>
      </c>
      <c r="P51" s="2" t="str">
        <f>_xlfn.XLOOKUP(ESales_DB[[#This Row],[Product_ID]],Eproduct_DB[Product_ID],Eproduct_DB[Product_Name])</f>
        <v>Soccer Training Cone Set</v>
      </c>
      <c r="Q51" s="2" t="str">
        <f>_xlfn.XLOOKUP(ESales_DB[[#This Row],[Store_ID]],Estore_DB[Store_ID],Estore_DB[Region])</f>
        <v>West</v>
      </c>
      <c r="R51" t="str">
        <f>VLOOKUP(ESales_DB[[#This Row],[Customer_ID]],Ecustom_DB[],10,FALSE)</f>
        <v>Silver</v>
      </c>
      <c r="S51" t="str">
        <f>IF(ESales_DB[[#This Row],[Quantity1]]&gt;3,"Bulk order","Normal order")</f>
        <v>Normal order</v>
      </c>
    </row>
    <row r="52" spans="1:19" x14ac:dyDescent="0.3">
      <c r="A52" t="s">
        <v>2868</v>
      </c>
      <c r="B52" s="4">
        <v>45906</v>
      </c>
      <c r="C52" s="4" t="str">
        <f>TEXT(ESales_DB[[#This Row],[Order_Date]],"mmm")</f>
        <v>Sep</v>
      </c>
      <c r="D52" t="s">
        <v>568</v>
      </c>
      <c r="E52" t="s">
        <v>1698</v>
      </c>
      <c r="F52" t="s">
        <v>1789</v>
      </c>
      <c r="G52">
        <v>4</v>
      </c>
      <c r="H52" s="10">
        <f>IF(ISBLANK(ESales_DB[[#This Row],[Quantity]]),AVERAGEIF(ESales_DB[Product_ID],ESales_DB[[#This Row],[Product_ID]],ESales_DB[Quantity]),ESales_DB[[#This Row],[Quantity]])</f>
        <v>4</v>
      </c>
      <c r="I52" s="2">
        <v>552.38</v>
      </c>
      <c r="J52">
        <v>0.1</v>
      </c>
      <c r="K52" t="s">
        <v>1826</v>
      </c>
      <c r="L52" s="2">
        <v>1988.568</v>
      </c>
      <c r="M52" s="2" t="str">
        <f>IF(ESales_DB[[#This Row],[Total_Amount]]&gt;1000,"High","Low")</f>
        <v>High</v>
      </c>
      <c r="N52" s="2" t="str">
        <f>VLOOKUP(ESales_DB[[#This Row],[Customer_ID]],Ecustom_DB[],3,FALSE)</f>
        <v>Amy Wilson</v>
      </c>
      <c r="O52" s="2" t="str">
        <f>_xlfn.XLOOKUP(ESales_DB[[#This Row],[Product_ID]],Eproduct_DB[Product_ID],Eproduct_DB[Category])</f>
        <v>Clothing</v>
      </c>
      <c r="P52" s="2" t="str">
        <f>_xlfn.XLOOKUP(ESales_DB[[#This Row],[Product_ID]],Eproduct_DB[Product_ID],Eproduct_DB[Product_Name])</f>
        <v>Women's Ankle Boots</v>
      </c>
      <c r="Q52" s="2" t="str">
        <f>_xlfn.XLOOKUP(ESales_DB[[#This Row],[Store_ID]],Estore_DB[Store_ID],Estore_DB[Region])</f>
        <v>East</v>
      </c>
      <c r="R52" t="str">
        <f>VLOOKUP(ESales_DB[[#This Row],[Customer_ID]],Ecustom_DB[],10,FALSE)</f>
        <v>Platinum</v>
      </c>
      <c r="S52" t="str">
        <f>IF(ESales_DB[[#This Row],[Quantity1]]&gt;3,"Bulk order","Normal order")</f>
        <v>Bulk order</v>
      </c>
    </row>
    <row r="53" spans="1:19" x14ac:dyDescent="0.3">
      <c r="A53" t="s">
        <v>2869</v>
      </c>
      <c r="B53" s="4">
        <v>45251</v>
      </c>
      <c r="C53" s="4" t="str">
        <f>TEXT(ESales_DB[[#This Row],[Order_Date]],"mmm")</f>
        <v>Nov</v>
      </c>
      <c r="D53" t="s">
        <v>378</v>
      </c>
      <c r="E53" t="s">
        <v>1664</v>
      </c>
      <c r="F53" t="s">
        <v>1807</v>
      </c>
      <c r="G53">
        <v>4</v>
      </c>
      <c r="H53" s="10">
        <f>IF(ISBLANK(ESales_DB[[#This Row],[Quantity]]),AVERAGEIF(ESales_DB[Product_ID],ESales_DB[[#This Row],[Product_ID]],ESales_DB[Quantity]),ESales_DB[[#This Row],[Quantity]])</f>
        <v>4</v>
      </c>
      <c r="I53" s="2">
        <v>377.26</v>
      </c>
      <c r="J53">
        <v>0.22</v>
      </c>
      <c r="K53" t="s">
        <v>1829</v>
      </c>
      <c r="L53" s="2">
        <v>1177.0512000000001</v>
      </c>
      <c r="M53" s="2" t="str">
        <f>IF(ESales_DB[[#This Row],[Total_Amount]]&gt;1000,"High","Low")</f>
        <v>High</v>
      </c>
      <c r="N53" s="2" t="str">
        <f>VLOOKUP(ESales_DB[[#This Row],[Customer_ID]],Ecustom_DB[],3,FALSE)</f>
        <v>Erica Carney</v>
      </c>
      <c r="O53" s="2" t="str">
        <f>_xlfn.XLOOKUP(ESales_DB[[#This Row],[Product_ID]],Eproduct_DB[Product_ID],Eproduct_DB[Category])</f>
        <v>Clothing</v>
      </c>
      <c r="P53" s="2" t="str">
        <f>_xlfn.XLOOKUP(ESales_DB[[#This Row],[Product_ID]],Eproduct_DB[Product_ID],Eproduct_DB[Product_Name])</f>
        <v>Womens Cotton Scarf</v>
      </c>
      <c r="Q53" s="2" t="str">
        <f>_xlfn.XLOOKUP(ESales_DB[[#This Row],[Store_ID]],Estore_DB[Store_ID],Estore_DB[Region])</f>
        <v>North</v>
      </c>
      <c r="R53" t="str">
        <f>VLOOKUP(ESales_DB[[#This Row],[Customer_ID]],Ecustom_DB[],10,FALSE)</f>
        <v>Platinum</v>
      </c>
      <c r="S53" t="str">
        <f>IF(ESales_DB[[#This Row],[Quantity1]]&gt;3,"Bulk order","Normal order")</f>
        <v>Bulk order</v>
      </c>
    </row>
    <row r="54" spans="1:19" x14ac:dyDescent="0.3">
      <c r="A54" t="s">
        <v>2870</v>
      </c>
      <c r="B54" s="4">
        <v>45257</v>
      </c>
      <c r="C54" s="4" t="str">
        <f>TEXT(ESales_DB[[#This Row],[Order_Date]],"mmm")</f>
        <v>Nov</v>
      </c>
      <c r="D54" t="s">
        <v>202</v>
      </c>
      <c r="E54" t="s">
        <v>1642</v>
      </c>
      <c r="F54" t="s">
        <v>1813</v>
      </c>
      <c r="G54">
        <v>4</v>
      </c>
      <c r="H54" s="10">
        <f>IF(ISBLANK(ESales_DB[[#This Row],[Quantity]]),AVERAGEIF(ESales_DB[Product_ID],ESales_DB[[#This Row],[Product_ID]],ESales_DB[Quantity]),ESales_DB[[#This Row],[Quantity]])</f>
        <v>4</v>
      </c>
      <c r="I54" s="2">
        <v>189.07</v>
      </c>
      <c r="J54">
        <v>0.1</v>
      </c>
      <c r="K54" t="s">
        <v>1829</v>
      </c>
      <c r="L54" s="2">
        <v>680.65200000000004</v>
      </c>
      <c r="M54" s="2" t="str">
        <f>IF(ESales_DB[[#This Row],[Total_Amount]]&gt;1000,"High","Low")</f>
        <v>Low</v>
      </c>
      <c r="N54" s="2" t="str">
        <f>VLOOKUP(ESales_DB[[#This Row],[Customer_ID]],Ecustom_DB[],3,FALSE)</f>
        <v>Sharon Brown</v>
      </c>
      <c r="O54" s="2" t="str">
        <f>_xlfn.XLOOKUP(ESales_DB[[#This Row],[Product_ID]],Eproduct_DB[Product_ID],Eproduct_DB[Category])</f>
        <v>Beauty</v>
      </c>
      <c r="P54" s="2" t="str">
        <f>_xlfn.XLOOKUP(ESales_DB[[#This Row],[Product_ID]],Eproduct_DB[Product_ID],Eproduct_DB[Product_Name])</f>
        <v>Makeup Brush Set</v>
      </c>
      <c r="Q54" s="2" t="str">
        <f>_xlfn.XLOOKUP(ESales_DB[[#This Row],[Store_ID]],Estore_DB[Store_ID],Estore_DB[Region])</f>
        <v>East</v>
      </c>
      <c r="R54" t="str">
        <f>VLOOKUP(ESales_DB[[#This Row],[Customer_ID]],Ecustom_DB[],10,FALSE)</f>
        <v>Gold</v>
      </c>
      <c r="S54" t="str">
        <f>IF(ESales_DB[[#This Row],[Quantity1]]&gt;3,"Bulk order","Normal order")</f>
        <v>Bulk order</v>
      </c>
    </row>
    <row r="55" spans="1:19" x14ac:dyDescent="0.3">
      <c r="A55" t="s">
        <v>2871</v>
      </c>
      <c r="B55" s="4">
        <v>45818</v>
      </c>
      <c r="C55" s="4" t="str">
        <f>TEXT(ESales_DB[[#This Row],[Order_Date]],"mmm")</f>
        <v>Jun</v>
      </c>
      <c r="D55" t="s">
        <v>1533</v>
      </c>
      <c r="E55" t="s">
        <v>1608</v>
      </c>
      <c r="F55" t="s">
        <v>1769</v>
      </c>
      <c r="G55">
        <v>3</v>
      </c>
      <c r="H55" s="10">
        <f>IF(ISBLANK(ESales_DB[[#This Row],[Quantity]]),AVERAGEIF(ESales_DB[Product_ID],ESales_DB[[#This Row],[Product_ID]],ESales_DB[Quantity]),ESales_DB[[#This Row],[Quantity]])</f>
        <v>3</v>
      </c>
      <c r="I55" s="2">
        <v>272.27</v>
      </c>
      <c r="J55">
        <v>0.01</v>
      </c>
      <c r="K55" t="s">
        <v>1824</v>
      </c>
      <c r="L55" s="2">
        <v>808.64189999999996</v>
      </c>
      <c r="M55" s="2" t="str">
        <f>IF(ESales_DB[[#This Row],[Total_Amount]]&gt;1000,"High","Low")</f>
        <v>Low</v>
      </c>
      <c r="N55" s="2" t="str">
        <f>VLOOKUP(ESales_DB[[#This Row],[Customer_ID]],Ecustom_DB[],3,FALSE)</f>
        <v>Philip Pennington</v>
      </c>
      <c r="O55" s="2" t="str">
        <f>_xlfn.XLOOKUP(ESales_DB[[#This Row],[Product_ID]],Eproduct_DB[Product_ID],Eproduct_DB[Category])</f>
        <v>Home</v>
      </c>
      <c r="P55" s="2" t="str">
        <f>_xlfn.XLOOKUP(ESales_DB[[#This Row],[Product_ID]],Eproduct_DB[Product_ID],Eproduct_DB[Product_Name])</f>
        <v>Stainless Steel Cutlery Set</v>
      </c>
      <c r="Q55" s="2" t="str">
        <f>_xlfn.XLOOKUP(ESales_DB[[#This Row],[Store_ID]],Estore_DB[Store_ID],Estore_DB[Region])</f>
        <v>South</v>
      </c>
      <c r="R55" t="str">
        <f>VLOOKUP(ESales_DB[[#This Row],[Customer_ID]],Ecustom_DB[],10,FALSE)</f>
        <v>Platinum</v>
      </c>
      <c r="S55" t="str">
        <f>IF(ESales_DB[[#This Row],[Quantity1]]&gt;3,"Bulk order","Normal order")</f>
        <v>Normal order</v>
      </c>
    </row>
    <row r="56" spans="1:19" x14ac:dyDescent="0.3">
      <c r="A56" t="s">
        <v>2872</v>
      </c>
      <c r="B56" s="4">
        <v>45806</v>
      </c>
      <c r="C56" s="4" t="str">
        <f>TEXT(ESales_DB[[#This Row],[Order_Date]],"mmm")</f>
        <v>May</v>
      </c>
      <c r="D56" t="s">
        <v>842</v>
      </c>
      <c r="E56" t="s">
        <v>1732</v>
      </c>
      <c r="F56" t="s">
        <v>1792</v>
      </c>
      <c r="G56">
        <v>1</v>
      </c>
      <c r="H56" s="10">
        <f>IF(ISBLANK(ESales_DB[[#This Row],[Quantity]]),AVERAGEIF(ESales_DB[Product_ID],ESales_DB[[#This Row],[Product_ID]],ESales_DB[Quantity]),ESales_DB[[#This Row],[Quantity]])</f>
        <v>1</v>
      </c>
      <c r="I56" s="2">
        <v>209.39</v>
      </c>
      <c r="J56">
        <v>0.28000000000000003</v>
      </c>
      <c r="K56" t="s">
        <v>1826</v>
      </c>
      <c r="L56" s="2">
        <v>150.76079999999999</v>
      </c>
      <c r="M56" s="2" t="str">
        <f>IF(ESales_DB[[#This Row],[Total_Amount]]&gt;1000,"High","Low")</f>
        <v>Low</v>
      </c>
      <c r="N56" s="2" t="str">
        <f>VLOOKUP(ESales_DB[[#This Row],[Customer_ID]],Ecustom_DB[],3,FALSE)</f>
        <v>Matthew Payne</v>
      </c>
      <c r="O56" s="2" t="str">
        <f>_xlfn.XLOOKUP(ESales_DB[[#This Row],[Product_ID]],Eproduct_DB[Product_ID],Eproduct_DB[Category])</f>
        <v>Home</v>
      </c>
      <c r="P56" s="2" t="str">
        <f>_xlfn.XLOOKUP(ESales_DB[[#This Row],[Product_ID]],Eproduct_DB[Product_ID],Eproduct_DB[Product_Name])</f>
        <v>Microwave Oven</v>
      </c>
      <c r="Q56" s="2" t="str">
        <f>_xlfn.XLOOKUP(ESales_DB[[#This Row],[Store_ID]],Estore_DB[Store_ID],Estore_DB[Region])</f>
        <v>South</v>
      </c>
      <c r="R56" t="str">
        <f>VLOOKUP(ESales_DB[[#This Row],[Customer_ID]],Ecustom_DB[],10,FALSE)</f>
        <v>Gold</v>
      </c>
      <c r="S56" t="str">
        <f>IF(ESales_DB[[#This Row],[Quantity1]]&gt;3,"Bulk order","Normal order")</f>
        <v>Normal order</v>
      </c>
    </row>
    <row r="57" spans="1:19" x14ac:dyDescent="0.3">
      <c r="A57" t="s">
        <v>2873</v>
      </c>
      <c r="B57" s="4">
        <v>45288</v>
      </c>
      <c r="C57" s="4" t="str">
        <f>TEXT(ESales_DB[[#This Row],[Order_Date]],"mmm")</f>
        <v>Dec</v>
      </c>
      <c r="D57" t="s">
        <v>202</v>
      </c>
      <c r="E57" t="s">
        <v>1708</v>
      </c>
      <c r="F57" t="s">
        <v>1786</v>
      </c>
      <c r="G57">
        <v>1</v>
      </c>
      <c r="H57" s="10">
        <f>IF(ISBLANK(ESales_DB[[#This Row],[Quantity]]),AVERAGEIF(ESales_DB[Product_ID],ESales_DB[[#This Row],[Product_ID]],ESales_DB[Quantity]),ESales_DB[[#This Row],[Quantity]])</f>
        <v>1</v>
      </c>
      <c r="I57" s="2">
        <v>813.87</v>
      </c>
      <c r="J57">
        <v>0.23</v>
      </c>
      <c r="K57" t="s">
        <v>1824</v>
      </c>
      <c r="L57" s="2">
        <v>626.67989999999998</v>
      </c>
      <c r="M57" s="2" t="str">
        <f>IF(ESales_DB[[#This Row],[Total_Amount]]&gt;1000,"High","Low")</f>
        <v>Low</v>
      </c>
      <c r="N57" s="2" t="str">
        <f>VLOOKUP(ESales_DB[[#This Row],[Customer_ID]],Ecustom_DB[],3,FALSE)</f>
        <v>Sharon Brown</v>
      </c>
      <c r="O57" s="2" t="str">
        <f>_xlfn.XLOOKUP(ESales_DB[[#This Row],[Product_ID]],Eproduct_DB[Product_ID],Eproduct_DB[Category])</f>
        <v>Home</v>
      </c>
      <c r="P57" s="2" t="str">
        <f>_xlfn.XLOOKUP(ESales_DB[[#This Row],[Product_ID]],Eproduct_DB[Product_ID],Eproduct_DB[Product_Name])</f>
        <v>Wall-Mounted Spice Rack</v>
      </c>
      <c r="Q57" s="2" t="str">
        <f>_xlfn.XLOOKUP(ESales_DB[[#This Row],[Store_ID]],Estore_DB[Store_ID],Estore_DB[Region])</f>
        <v>South</v>
      </c>
      <c r="R57" t="str">
        <f>VLOOKUP(ESales_DB[[#This Row],[Customer_ID]],Ecustom_DB[],10,FALSE)</f>
        <v>Gold</v>
      </c>
      <c r="S57" t="str">
        <f>IF(ESales_DB[[#This Row],[Quantity1]]&gt;3,"Bulk order","Normal order")</f>
        <v>Normal order</v>
      </c>
    </row>
    <row r="58" spans="1:19" x14ac:dyDescent="0.3">
      <c r="A58" t="s">
        <v>2874</v>
      </c>
      <c r="B58" s="4">
        <v>45783</v>
      </c>
      <c r="C58" s="4" t="str">
        <f>TEXT(ESales_DB[[#This Row],[Order_Date]],"mmm")</f>
        <v>May</v>
      </c>
      <c r="D58" t="s">
        <v>821</v>
      </c>
      <c r="E58" t="s">
        <v>1604</v>
      </c>
      <c r="F58" t="s">
        <v>1752</v>
      </c>
      <c r="G58">
        <v>1</v>
      </c>
      <c r="H58" s="10">
        <f>IF(ISBLANK(ESales_DB[[#This Row],[Quantity]]),AVERAGEIF(ESales_DB[Product_ID],ESales_DB[[#This Row],[Product_ID]],ESales_DB[Quantity]),ESales_DB[[#This Row],[Quantity]])</f>
        <v>1</v>
      </c>
      <c r="I58" s="2">
        <v>143.69999999999999</v>
      </c>
      <c r="J58">
        <v>0.19</v>
      </c>
      <c r="K58" t="s">
        <v>1826</v>
      </c>
      <c r="L58" s="2">
        <v>116.39700000000001</v>
      </c>
      <c r="M58" s="2" t="str">
        <f>IF(ESales_DB[[#This Row],[Total_Amount]]&gt;1000,"High","Low")</f>
        <v>Low</v>
      </c>
      <c r="N58" s="2" t="str">
        <f>VLOOKUP(ESales_DB[[#This Row],[Customer_ID]],Ecustom_DB[],3,FALSE)</f>
        <v>Christopher David</v>
      </c>
      <c r="O58" s="2" t="str">
        <f>_xlfn.XLOOKUP(ESales_DB[[#This Row],[Product_ID]],Eproduct_DB[Product_ID],Eproduct_DB[Category])</f>
        <v>Sports</v>
      </c>
      <c r="P58" s="2" t="str">
        <f>_xlfn.XLOOKUP(ESales_DB[[#This Row],[Product_ID]],Eproduct_DB[Product_ID],Eproduct_DB[Product_Name])</f>
        <v>Sports Stopwatch Timer</v>
      </c>
      <c r="Q58" s="2" t="str">
        <f>_xlfn.XLOOKUP(ESales_DB[[#This Row],[Store_ID]],Estore_DB[Store_ID],Estore_DB[Region])</f>
        <v>East</v>
      </c>
      <c r="R58" t="str">
        <f>VLOOKUP(ESales_DB[[#This Row],[Customer_ID]],Ecustom_DB[],10,FALSE)</f>
        <v>Silver</v>
      </c>
      <c r="S58" t="str">
        <f>IF(ESales_DB[[#This Row],[Quantity1]]&gt;3,"Bulk order","Normal order")</f>
        <v>Normal order</v>
      </c>
    </row>
    <row r="59" spans="1:19" x14ac:dyDescent="0.3">
      <c r="A59" t="s">
        <v>2875</v>
      </c>
      <c r="B59" s="4">
        <v>45385</v>
      </c>
      <c r="C59" s="4" t="str">
        <f>TEXT(ESales_DB[[#This Row],[Order_Date]],"mmm")</f>
        <v>Apr</v>
      </c>
      <c r="D59" t="s">
        <v>1449</v>
      </c>
      <c r="E59" t="s">
        <v>1640</v>
      </c>
      <c r="F59" t="s">
        <v>1757</v>
      </c>
      <c r="G59">
        <v>4</v>
      </c>
      <c r="H59" s="10">
        <f>IF(ISBLANK(ESales_DB[[#This Row],[Quantity]]),AVERAGEIF(ESales_DB[Product_ID],ESales_DB[[#This Row],[Product_ID]],ESales_DB[Quantity]),ESales_DB[[#This Row],[Quantity]])</f>
        <v>4</v>
      </c>
      <c r="I59" s="2">
        <v>837.34</v>
      </c>
      <c r="J59">
        <v>0.05</v>
      </c>
      <c r="K59" t="s">
        <v>1826</v>
      </c>
      <c r="L59" s="2">
        <v>3181.8919999999998</v>
      </c>
      <c r="M59" s="2" t="str">
        <f>IF(ESales_DB[[#This Row],[Total_Amount]]&gt;1000,"High","Low")</f>
        <v>High</v>
      </c>
      <c r="N59" s="2" t="str">
        <f>VLOOKUP(ESales_DB[[#This Row],[Customer_ID]],Ecustom_DB[],3,FALSE)</f>
        <v>Manuel Fisher</v>
      </c>
      <c r="O59" s="2" t="str">
        <f>_xlfn.XLOOKUP(ESales_DB[[#This Row],[Product_ID]],Eproduct_DB[Product_ID],Eproduct_DB[Category])</f>
        <v>Clothing</v>
      </c>
      <c r="P59" s="2" t="str">
        <f>_xlfn.XLOOKUP(ESales_DB[[#This Row],[Product_ID]],Eproduct_DB[Product_ID],Eproduct_DB[Product_Name])</f>
        <v>Men's Winter Jacket</v>
      </c>
      <c r="Q59" s="2" t="str">
        <f>_xlfn.XLOOKUP(ESales_DB[[#This Row],[Store_ID]],Estore_DB[Store_ID],Estore_DB[Region])</f>
        <v>North</v>
      </c>
      <c r="R59" t="str">
        <f>VLOOKUP(ESales_DB[[#This Row],[Customer_ID]],Ecustom_DB[],10,FALSE)</f>
        <v>Gold</v>
      </c>
      <c r="S59" t="str">
        <f>IF(ESales_DB[[#This Row],[Quantity1]]&gt;3,"Bulk order","Normal order")</f>
        <v>Bulk order</v>
      </c>
    </row>
    <row r="60" spans="1:19" x14ac:dyDescent="0.3">
      <c r="A60" t="s">
        <v>1931</v>
      </c>
      <c r="B60" s="4">
        <v>45214</v>
      </c>
      <c r="C60" s="4" t="str">
        <f>TEXT(ESales_DB[[#This Row],[Order_Date]],"mmm")</f>
        <v>Oct</v>
      </c>
      <c r="D60" t="s">
        <v>20</v>
      </c>
      <c r="E60" t="s">
        <v>1706</v>
      </c>
      <c r="F60" t="s">
        <v>1807</v>
      </c>
      <c r="G60">
        <v>2</v>
      </c>
      <c r="H60" s="10">
        <f>IF(ISBLANK(ESales_DB[[#This Row],[Quantity]]),AVERAGEIF(ESales_DB[Product_ID],ESales_DB[[#This Row],[Product_ID]],ESales_DB[Quantity]),ESales_DB[[#This Row],[Quantity]])</f>
        <v>2</v>
      </c>
      <c r="I60" s="2">
        <v>418.23</v>
      </c>
      <c r="J60">
        <v>0.28000000000000003</v>
      </c>
      <c r="K60" t="s">
        <v>1824</v>
      </c>
      <c r="L60" s="2">
        <v>602.25120000000004</v>
      </c>
      <c r="M60" s="2" t="str">
        <f>IF(ESales_DB[[#This Row],[Total_Amount]]&gt;1000,"High","Low")</f>
        <v>Low</v>
      </c>
      <c r="N60" s="2" t="str">
        <f>VLOOKUP(ESales_DB[[#This Row],[Customer_ID]],Ecustom_DB[],3,FALSE)</f>
        <v>Dr. Benjamin Price</v>
      </c>
      <c r="O60" s="2" t="str">
        <f>_xlfn.XLOOKUP(ESales_DB[[#This Row],[Product_ID]],Eproduct_DB[Product_ID],Eproduct_DB[Category])</f>
        <v>Home</v>
      </c>
      <c r="P60" s="2" t="str">
        <f>_xlfn.XLOOKUP(ESales_DB[[#This Row],[Product_ID]],Eproduct_DB[Product_ID],Eproduct_DB[Product_Name])</f>
        <v>Decorative Lamp Shade</v>
      </c>
      <c r="Q60" s="2" t="str">
        <f>_xlfn.XLOOKUP(ESales_DB[[#This Row],[Store_ID]],Estore_DB[Store_ID],Estore_DB[Region])</f>
        <v>North</v>
      </c>
      <c r="R60" t="str">
        <f>VLOOKUP(ESales_DB[[#This Row],[Customer_ID]],Ecustom_DB[],10,FALSE)</f>
        <v>Platinum</v>
      </c>
      <c r="S60" t="str">
        <f>IF(ESales_DB[[#This Row],[Quantity1]]&gt;3,"Bulk order","Normal order")</f>
        <v>Normal order</v>
      </c>
    </row>
    <row r="61" spans="1:19" x14ac:dyDescent="0.3">
      <c r="A61" t="s">
        <v>2876</v>
      </c>
      <c r="B61" s="4">
        <v>45878</v>
      </c>
      <c r="C61" s="4" t="str">
        <f>TEXT(ESales_DB[[#This Row],[Order_Date]],"mmm")</f>
        <v>Aug</v>
      </c>
      <c r="D61" t="s">
        <v>417</v>
      </c>
      <c r="E61" t="s">
        <v>1578</v>
      </c>
      <c r="F61" t="s">
        <v>1813</v>
      </c>
      <c r="G61">
        <v>1</v>
      </c>
      <c r="H61" s="10">
        <f>IF(ISBLANK(ESales_DB[[#This Row],[Quantity]]),AVERAGEIF(ESales_DB[Product_ID],ESales_DB[[#This Row],[Product_ID]],ESales_DB[Quantity]),ESales_DB[[#This Row],[Quantity]])</f>
        <v>1</v>
      </c>
      <c r="I61" s="2">
        <v>151.66</v>
      </c>
      <c r="J61">
        <v>0.16</v>
      </c>
      <c r="K61" t="s">
        <v>1829</v>
      </c>
      <c r="L61" s="2">
        <v>127.3944</v>
      </c>
      <c r="M61" s="2" t="str">
        <f>IF(ESales_DB[[#This Row],[Total_Amount]]&gt;1000,"High","Low")</f>
        <v>Low</v>
      </c>
      <c r="N61" s="2" t="str">
        <f>VLOOKUP(ESales_DB[[#This Row],[Customer_ID]],Ecustom_DB[],3,FALSE)</f>
        <v>Jacob Hopkins</v>
      </c>
      <c r="O61" s="2" t="str">
        <f>_xlfn.XLOOKUP(ESales_DB[[#This Row],[Product_ID]],Eproduct_DB[Product_ID],Eproduct_DB[Category])</f>
        <v>Electronics</v>
      </c>
      <c r="P61" s="2" t="str">
        <f>_xlfn.XLOOKUP(ESales_DB[[#This Row],[Product_ID]],Eproduct_DB[Product_ID],Eproduct_DB[Product_Name])</f>
        <v>4K Home Projector</v>
      </c>
      <c r="Q61" s="2" t="str">
        <f>_xlfn.XLOOKUP(ESales_DB[[#This Row],[Store_ID]],Estore_DB[Store_ID],Estore_DB[Region])</f>
        <v>East</v>
      </c>
      <c r="R61" t="str">
        <f>VLOOKUP(ESales_DB[[#This Row],[Customer_ID]],Ecustom_DB[],10,FALSE)</f>
        <v>Platinum</v>
      </c>
      <c r="S61" t="str">
        <f>IF(ESales_DB[[#This Row],[Quantity1]]&gt;3,"Bulk order","Normal order")</f>
        <v>Normal order</v>
      </c>
    </row>
    <row r="62" spans="1:19" x14ac:dyDescent="0.3">
      <c r="A62" t="s">
        <v>2877</v>
      </c>
      <c r="B62" s="4">
        <v>45720</v>
      </c>
      <c r="C62" s="4" t="str">
        <f>TEXT(ESales_DB[[#This Row],[Order_Date]],"mmm")</f>
        <v>Mar</v>
      </c>
      <c r="D62" t="s">
        <v>1533</v>
      </c>
      <c r="E62" t="s">
        <v>1636</v>
      </c>
      <c r="F62" t="s">
        <v>1782</v>
      </c>
      <c r="G62">
        <v>3</v>
      </c>
      <c r="H62" s="10">
        <f>IF(ISBLANK(ESales_DB[[#This Row],[Quantity]]),AVERAGEIF(ESales_DB[Product_ID],ESales_DB[[#This Row],[Product_ID]],ESales_DB[Quantity]),ESales_DB[[#This Row],[Quantity]])</f>
        <v>3</v>
      </c>
      <c r="I62" s="2">
        <v>961.4</v>
      </c>
      <c r="J62">
        <v>0.02</v>
      </c>
      <c r="K62" t="s">
        <v>1826</v>
      </c>
      <c r="L62" s="2">
        <v>2826.5160000000001</v>
      </c>
      <c r="M62" s="2" t="str">
        <f>IF(ESales_DB[[#This Row],[Total_Amount]]&gt;1000,"High","Low")</f>
        <v>High</v>
      </c>
      <c r="N62" s="2" t="str">
        <f>VLOOKUP(ESales_DB[[#This Row],[Customer_ID]],Ecustom_DB[],3,FALSE)</f>
        <v>Philip Pennington</v>
      </c>
      <c r="O62" s="2" t="str">
        <f>_xlfn.XLOOKUP(ESales_DB[[#This Row],[Product_ID]],Eproduct_DB[Product_ID],Eproduct_DB[Category])</f>
        <v>Sports</v>
      </c>
      <c r="P62" s="2" t="str">
        <f>_xlfn.XLOOKUP(ESales_DB[[#This Row],[Product_ID]],Eproduct_DB[Product_ID],Eproduct_DB[Product_Name])</f>
        <v>Adjustable Jump Rope</v>
      </c>
      <c r="Q62" s="2" t="str">
        <f>_xlfn.XLOOKUP(ESales_DB[[#This Row],[Store_ID]],Estore_DB[Store_ID],Estore_DB[Region])</f>
        <v>West</v>
      </c>
      <c r="R62" t="str">
        <f>VLOOKUP(ESales_DB[[#This Row],[Customer_ID]],Ecustom_DB[],10,FALSE)</f>
        <v>Platinum</v>
      </c>
      <c r="S62" t="str">
        <f>IF(ESales_DB[[#This Row],[Quantity1]]&gt;3,"Bulk order","Normal order")</f>
        <v>Normal order</v>
      </c>
    </row>
    <row r="63" spans="1:19" x14ac:dyDescent="0.3">
      <c r="A63" t="s">
        <v>2878</v>
      </c>
      <c r="B63" s="4">
        <v>45503</v>
      </c>
      <c r="C63" s="4" t="str">
        <f>TEXT(ESales_DB[[#This Row],[Order_Date]],"mmm")</f>
        <v>Jul</v>
      </c>
      <c r="D63" t="s">
        <v>1157</v>
      </c>
      <c r="E63" t="s">
        <v>1696</v>
      </c>
      <c r="F63" t="s">
        <v>1810</v>
      </c>
      <c r="G63">
        <v>4</v>
      </c>
      <c r="H63" s="10">
        <f>IF(ISBLANK(ESales_DB[[#This Row],[Quantity]]),AVERAGEIF(ESales_DB[Product_ID],ESales_DB[[#This Row],[Product_ID]],ESales_DB[Quantity]),ESales_DB[[#This Row],[Quantity]])</f>
        <v>4</v>
      </c>
      <c r="I63" s="2">
        <v>475.98</v>
      </c>
      <c r="J63">
        <v>0.19</v>
      </c>
      <c r="K63" t="s">
        <v>1826</v>
      </c>
      <c r="L63" s="2">
        <v>1542.1751999999999</v>
      </c>
      <c r="M63" s="2" t="str">
        <f>IF(ESales_DB[[#This Row],[Total_Amount]]&gt;1000,"High","Low")</f>
        <v>High</v>
      </c>
      <c r="N63" s="2" t="str">
        <f>VLOOKUP(ESales_DB[[#This Row],[Customer_ID]],Ecustom_DB[],3,FALSE)</f>
        <v>James Holloway Jr.</v>
      </c>
      <c r="O63" s="2" t="str">
        <f>_xlfn.XLOOKUP(ESales_DB[[#This Row],[Product_ID]],Eproduct_DB[Product_ID],Eproduct_DB[Category])</f>
        <v>Electronics</v>
      </c>
      <c r="P63" s="2" t="str">
        <f>_xlfn.XLOOKUP(ESales_DB[[#This Row],[Product_ID]],Eproduct_DB[Product_ID],Eproduct_DB[Product_Name])</f>
        <v>Bluetooth Car Audio System</v>
      </c>
      <c r="Q63" s="2" t="str">
        <f>_xlfn.XLOOKUP(ESales_DB[[#This Row],[Store_ID]],Estore_DB[Store_ID],Estore_DB[Region])</f>
        <v>East</v>
      </c>
      <c r="R63" t="str">
        <f>VLOOKUP(ESales_DB[[#This Row],[Customer_ID]],Ecustom_DB[],10,FALSE)</f>
        <v>Silver</v>
      </c>
      <c r="S63" t="str">
        <f>IF(ESales_DB[[#This Row],[Quantity1]]&gt;3,"Bulk order","Normal order")</f>
        <v>Bulk order</v>
      </c>
    </row>
    <row r="64" spans="1:19" x14ac:dyDescent="0.3">
      <c r="A64" t="s">
        <v>2879</v>
      </c>
      <c r="B64" s="4">
        <v>45551</v>
      </c>
      <c r="C64" s="4" t="str">
        <f>TEXT(ESales_DB[[#This Row],[Order_Date]],"mmm")</f>
        <v>Sep</v>
      </c>
      <c r="D64" t="s">
        <v>1187</v>
      </c>
      <c r="E64" t="s">
        <v>1624</v>
      </c>
      <c r="F64" t="s">
        <v>1801</v>
      </c>
      <c r="G64">
        <v>4</v>
      </c>
      <c r="H64" s="10">
        <f>IF(ISBLANK(ESales_DB[[#This Row],[Quantity]]),AVERAGEIF(ESales_DB[Product_ID],ESales_DB[[#This Row],[Product_ID]],ESales_DB[Quantity]),ESales_DB[[#This Row],[Quantity]])</f>
        <v>4</v>
      </c>
      <c r="I64" s="2">
        <v>132.88999999999999</v>
      </c>
      <c r="J64">
        <v>0.12</v>
      </c>
      <c r="K64" t="s">
        <v>1824</v>
      </c>
      <c r="L64" s="2">
        <v>467.77280000000002</v>
      </c>
      <c r="M64" s="2" t="str">
        <f>IF(ESales_DB[[#This Row],[Total_Amount]]&gt;1000,"High","Low")</f>
        <v>Low</v>
      </c>
      <c r="N64" s="2" t="str">
        <f>VLOOKUP(ESales_DB[[#This Row],[Customer_ID]],Ecustom_DB[],3,FALSE)</f>
        <v>Shelley Ponce</v>
      </c>
      <c r="O64" s="2" t="str">
        <f>_xlfn.XLOOKUP(ESales_DB[[#This Row],[Product_ID]],Eproduct_DB[Product_ID],Eproduct_DB[Category])</f>
        <v>Sports</v>
      </c>
      <c r="P64" s="2" t="str">
        <f>_xlfn.XLOOKUP(ESales_DB[[#This Row],[Product_ID]],Eproduct_DB[Product_ID],Eproduct_DB[Product_Name])</f>
        <v>Sports Water Hydration Pack</v>
      </c>
      <c r="Q64" s="2" t="str">
        <f>_xlfn.XLOOKUP(ESales_DB[[#This Row],[Store_ID]],Estore_DB[Store_ID],Estore_DB[Region])</f>
        <v>North</v>
      </c>
      <c r="R64" t="str">
        <f>VLOOKUP(ESales_DB[[#This Row],[Customer_ID]],Ecustom_DB[],10,FALSE)</f>
        <v>Gold</v>
      </c>
      <c r="S64" t="str">
        <f>IF(ESales_DB[[#This Row],[Quantity1]]&gt;3,"Bulk order","Normal order")</f>
        <v>Bulk order</v>
      </c>
    </row>
    <row r="65" spans="1:19" x14ac:dyDescent="0.3">
      <c r="A65" t="s">
        <v>2880</v>
      </c>
      <c r="B65" s="4">
        <v>45850</v>
      </c>
      <c r="C65" s="4" t="str">
        <f>TEXT(ESales_DB[[#This Row],[Order_Date]],"mmm")</f>
        <v>Jul</v>
      </c>
      <c r="D65" t="s">
        <v>1355</v>
      </c>
      <c r="E65" t="s">
        <v>1618</v>
      </c>
      <c r="F65" t="s">
        <v>1794</v>
      </c>
      <c r="G65">
        <v>3</v>
      </c>
      <c r="H65" s="10">
        <f>IF(ISBLANK(ESales_DB[[#This Row],[Quantity]]),AVERAGEIF(ESales_DB[Product_ID],ESales_DB[[#This Row],[Product_ID]],ESales_DB[Quantity]),ESales_DB[[#This Row],[Quantity]])</f>
        <v>3</v>
      </c>
      <c r="I65" s="2">
        <v>471.31</v>
      </c>
      <c r="J65">
        <v>0</v>
      </c>
      <c r="K65" t="s">
        <v>1826</v>
      </c>
      <c r="L65" s="2">
        <v>1413.93</v>
      </c>
      <c r="M65" s="2" t="str">
        <f>IF(ESales_DB[[#This Row],[Total_Amount]]&gt;1000,"High","Low")</f>
        <v>High</v>
      </c>
      <c r="N65" s="2" t="str">
        <f>VLOOKUP(ESales_DB[[#This Row],[Customer_ID]],Ecustom_DB[],3,FALSE)</f>
        <v>Melinda Rivera</v>
      </c>
      <c r="O65" s="2" t="str">
        <f>_xlfn.XLOOKUP(ESales_DB[[#This Row],[Product_ID]],Eproduct_DB[Product_ID],Eproduct_DB[Category])</f>
        <v>Home</v>
      </c>
      <c r="P65" s="2" t="str">
        <f>_xlfn.XLOOKUP(ESales_DB[[#This Row],[Product_ID]],Eproduct_DB[Product_ID],Eproduct_DB[Product_Name])</f>
        <v>Bedroom Table Lamp</v>
      </c>
      <c r="Q65" s="2" t="str">
        <f>_xlfn.XLOOKUP(ESales_DB[[#This Row],[Store_ID]],Estore_DB[Store_ID],Estore_DB[Region])</f>
        <v>North</v>
      </c>
      <c r="R65" t="str">
        <f>VLOOKUP(ESales_DB[[#This Row],[Customer_ID]],Ecustom_DB[],10,FALSE)</f>
        <v>Platinum</v>
      </c>
      <c r="S65" t="str">
        <f>IF(ESales_DB[[#This Row],[Quantity1]]&gt;3,"Bulk order","Normal order")</f>
        <v>Normal order</v>
      </c>
    </row>
    <row r="66" spans="1:19" x14ac:dyDescent="0.3">
      <c r="A66" t="s">
        <v>2881</v>
      </c>
      <c r="B66" s="4">
        <v>45441</v>
      </c>
      <c r="C66" s="4" t="str">
        <f>TEXT(ESales_DB[[#This Row],[Order_Date]],"mmm")</f>
        <v>May</v>
      </c>
      <c r="D66" t="s">
        <v>1431</v>
      </c>
      <c r="E66" t="s">
        <v>1700</v>
      </c>
      <c r="F66" t="s">
        <v>1799</v>
      </c>
      <c r="G66">
        <v>2</v>
      </c>
      <c r="H66" s="10">
        <f>IF(ISBLANK(ESales_DB[[#This Row],[Quantity]]),AVERAGEIF(ESales_DB[Product_ID],ESales_DB[[#This Row],[Product_ID]],ESales_DB[Quantity]),ESales_DB[[#This Row],[Quantity]])</f>
        <v>2</v>
      </c>
      <c r="I66" s="2">
        <v>720.32</v>
      </c>
      <c r="J66">
        <v>0.26</v>
      </c>
      <c r="K66" t="s">
        <v>1824</v>
      </c>
      <c r="L66" s="2">
        <v>1066.0735999999999</v>
      </c>
      <c r="M66" s="2" t="str">
        <f>IF(ESales_DB[[#This Row],[Total_Amount]]&gt;1000,"High","Low")</f>
        <v>High</v>
      </c>
      <c r="N66" s="2" t="str">
        <f>VLOOKUP(ESales_DB[[#This Row],[Customer_ID]],Ecustom_DB[],3,FALSE)</f>
        <v>David Pierce</v>
      </c>
      <c r="O66" s="2" t="str">
        <f>_xlfn.XLOOKUP(ESales_DB[[#This Row],[Product_ID]],Eproduct_DB[Product_ID],Eproduct_DB[Category])</f>
        <v>Electronics</v>
      </c>
      <c r="P66" s="2" t="str">
        <f>_xlfn.XLOOKUP(ESales_DB[[#This Row],[Product_ID]],Eproduct_DB[Product_ID],Eproduct_DB[Product_Name])</f>
        <v>Wireless Mouse</v>
      </c>
      <c r="Q66" s="2" t="str">
        <f>_xlfn.XLOOKUP(ESales_DB[[#This Row],[Store_ID]],Estore_DB[Store_ID],Estore_DB[Region])</f>
        <v>South</v>
      </c>
      <c r="R66" t="str">
        <f>VLOOKUP(ESales_DB[[#This Row],[Customer_ID]],Ecustom_DB[],10,FALSE)</f>
        <v>Platinum</v>
      </c>
      <c r="S66" t="str">
        <f>IF(ESales_DB[[#This Row],[Quantity1]]&gt;3,"Bulk order","Normal order")</f>
        <v>Normal order</v>
      </c>
    </row>
    <row r="67" spans="1:19" x14ac:dyDescent="0.3">
      <c r="A67" t="s">
        <v>2882</v>
      </c>
      <c r="B67" s="4">
        <v>45431</v>
      </c>
      <c r="C67" s="4" t="str">
        <f>TEXT(ESales_DB[[#This Row],[Order_Date]],"mmm")</f>
        <v>May</v>
      </c>
      <c r="D67" t="s">
        <v>275</v>
      </c>
      <c r="E67" t="s">
        <v>1680</v>
      </c>
      <c r="F67" t="s">
        <v>1810</v>
      </c>
      <c r="G67">
        <v>4</v>
      </c>
      <c r="H67" s="10">
        <f>IF(ISBLANK(ESales_DB[[#This Row],[Quantity]]),AVERAGEIF(ESales_DB[Product_ID],ESales_DB[[#This Row],[Product_ID]],ESales_DB[Quantity]),ESales_DB[[#This Row],[Quantity]])</f>
        <v>4</v>
      </c>
      <c r="I67" s="2">
        <v>99.92</v>
      </c>
      <c r="J67">
        <v>0.11</v>
      </c>
      <c r="K67" t="s">
        <v>1829</v>
      </c>
      <c r="L67" s="2">
        <v>355.71519999999998</v>
      </c>
      <c r="M67" s="2" t="str">
        <f>IF(ESales_DB[[#This Row],[Total_Amount]]&gt;1000,"High","Low")</f>
        <v>Low</v>
      </c>
      <c r="N67" s="2" t="str">
        <f>VLOOKUP(ESales_DB[[#This Row],[Customer_ID]],Ecustom_DB[],3,FALSE)</f>
        <v>Rhonda Morales</v>
      </c>
      <c r="O67" s="2" t="str">
        <f>_xlfn.XLOOKUP(ESales_DB[[#This Row],[Product_ID]],Eproduct_DB[Product_ID],Eproduct_DB[Category])</f>
        <v>Beauty</v>
      </c>
      <c r="P67" s="2" t="str">
        <f>_xlfn.XLOOKUP(ESales_DB[[#This Row],[Product_ID]],Eproduct_DB[Product_ID],Eproduct_DB[Product_Name])</f>
        <v>Women's Hair Dryer Brush</v>
      </c>
      <c r="Q67" s="2" t="str">
        <f>_xlfn.XLOOKUP(ESales_DB[[#This Row],[Store_ID]],Estore_DB[Store_ID],Estore_DB[Region])</f>
        <v>East</v>
      </c>
      <c r="R67" t="str">
        <f>VLOOKUP(ESales_DB[[#This Row],[Customer_ID]],Ecustom_DB[],10,FALSE)</f>
        <v>Gold</v>
      </c>
      <c r="S67" t="str">
        <f>IF(ESales_DB[[#This Row],[Quantity1]]&gt;3,"Bulk order","Normal order")</f>
        <v>Bulk order</v>
      </c>
    </row>
    <row r="68" spans="1:19" x14ac:dyDescent="0.3">
      <c r="A68" t="s">
        <v>2883</v>
      </c>
      <c r="B68" s="4">
        <v>45873</v>
      </c>
      <c r="C68" s="4" t="str">
        <f>TEXT(ESales_DB[[#This Row],[Order_Date]],"mmm")</f>
        <v>Aug</v>
      </c>
      <c r="D68" t="s">
        <v>247</v>
      </c>
      <c r="E68" t="s">
        <v>1568</v>
      </c>
      <c r="F68" t="s">
        <v>1766</v>
      </c>
      <c r="G68">
        <v>3</v>
      </c>
      <c r="H68" s="10">
        <f>IF(ISBLANK(ESales_DB[[#This Row],[Quantity]]),AVERAGEIF(ESales_DB[Product_ID],ESales_DB[[#This Row],[Product_ID]],ESales_DB[Quantity]),ESales_DB[[#This Row],[Quantity]])</f>
        <v>3</v>
      </c>
      <c r="I68" s="2">
        <v>900.63</v>
      </c>
      <c r="J68">
        <v>0.11</v>
      </c>
      <c r="K68" t="s">
        <v>1829</v>
      </c>
      <c r="L68" s="2">
        <v>2404.6821</v>
      </c>
      <c r="M68" s="2" t="str">
        <f>IF(ESales_DB[[#This Row],[Total_Amount]]&gt;1000,"High","Low")</f>
        <v>High</v>
      </c>
      <c r="N68" s="2" t="str">
        <f>VLOOKUP(ESales_DB[[#This Row],[Customer_ID]],Ecustom_DB[],3,FALSE)</f>
        <v>Amber Mcclain</v>
      </c>
      <c r="O68" s="2" t="str">
        <f>_xlfn.XLOOKUP(ESales_DB[[#This Row],[Product_ID]],Eproduct_DB[Product_ID],Eproduct_DB[Category])</f>
        <v>Home</v>
      </c>
      <c r="P68" s="2" t="str">
        <f>_xlfn.XLOOKUP(ESales_DB[[#This Row],[Product_ID]],Eproduct_DB[Product_ID],Eproduct_DB[Product_Name])</f>
        <v>Ceramic Kitchen Bowl Set</v>
      </c>
      <c r="Q68" s="2" t="str">
        <f>_xlfn.XLOOKUP(ESales_DB[[#This Row],[Store_ID]],Estore_DB[Store_ID],Estore_DB[Region])</f>
        <v>North</v>
      </c>
      <c r="R68" t="str">
        <f>VLOOKUP(ESales_DB[[#This Row],[Customer_ID]],Ecustom_DB[],10,FALSE)</f>
        <v>Silver</v>
      </c>
      <c r="S68" t="str">
        <f>IF(ESales_DB[[#This Row],[Quantity1]]&gt;3,"Bulk order","Normal order")</f>
        <v>Normal order</v>
      </c>
    </row>
    <row r="69" spans="1:19" x14ac:dyDescent="0.3">
      <c r="A69" t="s">
        <v>2884</v>
      </c>
      <c r="B69" s="4">
        <v>45629</v>
      </c>
      <c r="C69" s="4" t="str">
        <f>TEXT(ESales_DB[[#This Row],[Order_Date]],"mmm")</f>
        <v>Dec</v>
      </c>
      <c r="D69" t="s">
        <v>1368</v>
      </c>
      <c r="E69" t="s">
        <v>1640</v>
      </c>
      <c r="F69" t="s">
        <v>1782</v>
      </c>
      <c r="G69">
        <v>1</v>
      </c>
      <c r="H69" s="10">
        <f>IF(ISBLANK(ESales_DB[[#This Row],[Quantity]]),AVERAGEIF(ESales_DB[Product_ID],ESales_DB[[#This Row],[Product_ID]],ESales_DB[Quantity]),ESales_DB[[#This Row],[Quantity]])</f>
        <v>1</v>
      </c>
      <c r="I69" s="2">
        <v>681.72</v>
      </c>
      <c r="J69">
        <v>0.11</v>
      </c>
      <c r="K69" t="s">
        <v>1826</v>
      </c>
      <c r="L69" s="2">
        <v>606.73080000000004</v>
      </c>
      <c r="M69" s="2" t="str">
        <f>IF(ESales_DB[[#This Row],[Total_Amount]]&gt;1000,"High","Low")</f>
        <v>Low</v>
      </c>
      <c r="N69" s="2" t="str">
        <f>VLOOKUP(ESales_DB[[#This Row],[Customer_ID]],Ecustom_DB[],3,FALSE)</f>
        <v>Kelli Smith</v>
      </c>
      <c r="O69" s="2" t="str">
        <f>_xlfn.XLOOKUP(ESales_DB[[#This Row],[Product_ID]],Eproduct_DB[Product_ID],Eproduct_DB[Category])</f>
        <v>Clothing</v>
      </c>
      <c r="P69" s="2" t="str">
        <f>_xlfn.XLOOKUP(ESales_DB[[#This Row],[Product_ID]],Eproduct_DB[Product_ID],Eproduct_DB[Product_Name])</f>
        <v>Men's Winter Jacket</v>
      </c>
      <c r="Q69" s="2" t="str">
        <f>_xlfn.XLOOKUP(ESales_DB[[#This Row],[Store_ID]],Estore_DB[Store_ID],Estore_DB[Region])</f>
        <v>West</v>
      </c>
      <c r="R69" t="str">
        <f>VLOOKUP(ESales_DB[[#This Row],[Customer_ID]],Ecustom_DB[],10,FALSE)</f>
        <v>Bronze</v>
      </c>
      <c r="S69" t="str">
        <f>IF(ESales_DB[[#This Row],[Quantity1]]&gt;3,"Bulk order","Normal order")</f>
        <v>Normal order</v>
      </c>
    </row>
    <row r="70" spans="1:19" x14ac:dyDescent="0.3">
      <c r="A70" t="s">
        <v>2885</v>
      </c>
      <c r="B70" s="4">
        <v>45222</v>
      </c>
      <c r="C70" s="4" t="str">
        <f>TEXT(ESales_DB[[#This Row],[Order_Date]],"mmm")</f>
        <v>Oct</v>
      </c>
      <c r="D70" t="s">
        <v>48</v>
      </c>
      <c r="E70" t="s">
        <v>1704</v>
      </c>
      <c r="F70" t="s">
        <v>1797</v>
      </c>
      <c r="G70">
        <v>2</v>
      </c>
      <c r="H70" s="10">
        <f>IF(ISBLANK(ESales_DB[[#This Row],[Quantity]]),AVERAGEIF(ESales_DB[Product_ID],ESales_DB[[#This Row],[Product_ID]],ESales_DB[Quantity]),ESales_DB[[#This Row],[Quantity]])</f>
        <v>2</v>
      </c>
      <c r="I70" s="2">
        <v>838.22</v>
      </c>
      <c r="J70">
        <v>0.3</v>
      </c>
      <c r="K70" t="s">
        <v>1824</v>
      </c>
      <c r="L70" s="2">
        <v>1173.508</v>
      </c>
      <c r="M70" s="2" t="str">
        <f>IF(ESales_DB[[#This Row],[Total_Amount]]&gt;1000,"High","Low")</f>
        <v>High</v>
      </c>
      <c r="N70" s="2" t="str">
        <f>VLOOKUP(ESales_DB[[#This Row],[Customer_ID]],Ecustom_DB[],3,FALSE)</f>
        <v>Ms. Maria Leach</v>
      </c>
      <c r="O70" s="2" t="str">
        <f>_xlfn.XLOOKUP(ESales_DB[[#This Row],[Product_ID]],Eproduct_DB[Product_ID],Eproduct_DB[Category])</f>
        <v>Home</v>
      </c>
      <c r="P70" s="2" t="str">
        <f>_xlfn.XLOOKUP(ESales_DB[[#This Row],[Product_ID]],Eproduct_DB[Product_ID],Eproduct_DB[Product_Name])</f>
        <v>Essential Oil Diffuser</v>
      </c>
      <c r="Q70" s="2" t="str">
        <f>_xlfn.XLOOKUP(ESales_DB[[#This Row],[Store_ID]],Estore_DB[Store_ID],Estore_DB[Region])</f>
        <v>East</v>
      </c>
      <c r="R70" t="str">
        <f>VLOOKUP(ESales_DB[[#This Row],[Customer_ID]],Ecustom_DB[],10,FALSE)</f>
        <v>Platinum</v>
      </c>
      <c r="S70" t="str">
        <f>IF(ESales_DB[[#This Row],[Quantity1]]&gt;3,"Bulk order","Normal order")</f>
        <v>Normal order</v>
      </c>
    </row>
    <row r="71" spans="1:19" x14ac:dyDescent="0.3">
      <c r="A71" t="s">
        <v>1932</v>
      </c>
      <c r="B71" s="4">
        <v>45891</v>
      </c>
      <c r="C71" s="4" t="str">
        <f>TEXT(ESales_DB[[#This Row],[Order_Date]],"mmm")</f>
        <v>Aug</v>
      </c>
      <c r="D71" t="s">
        <v>857</v>
      </c>
      <c r="E71" t="s">
        <v>1586</v>
      </c>
      <c r="F71" t="s">
        <v>1810</v>
      </c>
      <c r="G71">
        <v>3</v>
      </c>
      <c r="H71" s="10">
        <f>IF(ISBLANK(ESales_DB[[#This Row],[Quantity]]),AVERAGEIF(ESales_DB[Product_ID],ESales_DB[[#This Row],[Product_ID]],ESales_DB[Quantity]),ESales_DB[[#This Row],[Quantity]])</f>
        <v>3</v>
      </c>
      <c r="I71" s="2">
        <v>551.72</v>
      </c>
      <c r="J71">
        <v>0.03</v>
      </c>
      <c r="K71" t="s">
        <v>1829</v>
      </c>
      <c r="L71" s="2">
        <v>1605.5052000000001</v>
      </c>
      <c r="M71" s="2" t="str">
        <f>IF(ESales_DB[[#This Row],[Total_Amount]]&gt;1000,"High","Low")</f>
        <v>High</v>
      </c>
      <c r="N71" s="2" t="str">
        <f>VLOOKUP(ESales_DB[[#This Row],[Customer_ID]],Ecustom_DB[],3,FALSE)</f>
        <v>Tyrone Olson</v>
      </c>
      <c r="O71" s="2" t="str">
        <f>_xlfn.XLOOKUP(ESales_DB[[#This Row],[Product_ID]],Eproduct_DB[Product_ID],Eproduct_DB[Category])</f>
        <v>Sports</v>
      </c>
      <c r="P71" s="2" t="str">
        <f>_xlfn.XLOOKUP(ESales_DB[[#This Row],[Product_ID]],Eproduct_DB[Product_ID],Eproduct_DB[Product_Name])</f>
        <v>Knee Support Brace</v>
      </c>
      <c r="Q71" s="2" t="str">
        <f>_xlfn.XLOOKUP(ESales_DB[[#This Row],[Store_ID]],Estore_DB[Store_ID],Estore_DB[Region])</f>
        <v>East</v>
      </c>
      <c r="R71" t="str">
        <f>VLOOKUP(ESales_DB[[#This Row],[Customer_ID]],Ecustom_DB[],10,FALSE)</f>
        <v>Silver</v>
      </c>
      <c r="S71" t="str">
        <f>IF(ESales_DB[[#This Row],[Quantity1]]&gt;3,"Bulk order","Normal order")</f>
        <v>Normal order</v>
      </c>
    </row>
    <row r="72" spans="1:19" x14ac:dyDescent="0.3">
      <c r="A72" t="s">
        <v>2886</v>
      </c>
      <c r="B72" s="4">
        <v>45797</v>
      </c>
      <c r="C72" s="4" t="str">
        <f>TEXT(ESales_DB[[#This Row],[Order_Date]],"mmm")</f>
        <v>May</v>
      </c>
      <c r="D72" t="s">
        <v>637</v>
      </c>
      <c r="E72" t="s">
        <v>1722</v>
      </c>
      <c r="F72" t="s">
        <v>1794</v>
      </c>
      <c r="G72">
        <v>2</v>
      </c>
      <c r="H72" s="10">
        <f>IF(ISBLANK(ESales_DB[[#This Row],[Quantity]]),AVERAGEIF(ESales_DB[Product_ID],ESales_DB[[#This Row],[Product_ID]],ESales_DB[Quantity]),ESales_DB[[#This Row],[Quantity]])</f>
        <v>2</v>
      </c>
      <c r="I72" s="2">
        <v>816.22</v>
      </c>
      <c r="J72">
        <v>0.27</v>
      </c>
      <c r="K72" t="s">
        <v>1824</v>
      </c>
      <c r="L72" s="2">
        <v>1191.6812</v>
      </c>
      <c r="M72" s="2" t="str">
        <f>IF(ESales_DB[[#This Row],[Total_Amount]]&gt;1000,"High","Low")</f>
        <v>High</v>
      </c>
      <c r="N72" s="2" t="str">
        <f>VLOOKUP(ESales_DB[[#This Row],[Customer_ID]],Ecustom_DB[],3,FALSE)</f>
        <v>Ashley Ferguson</v>
      </c>
      <c r="O72" s="2" t="str">
        <f>_xlfn.XLOOKUP(ESales_DB[[#This Row],[Product_ID]],Eproduct_DB[Product_ID],Eproduct_DB[Category])</f>
        <v>Home</v>
      </c>
      <c r="P72" s="2" t="str">
        <f>_xlfn.XLOOKUP(ESales_DB[[#This Row],[Product_ID]],Eproduct_DB[Product_ID],Eproduct_DB[Product_Name])</f>
        <v>LED Bedside Lamp</v>
      </c>
      <c r="Q72" s="2" t="str">
        <f>_xlfn.XLOOKUP(ESales_DB[[#This Row],[Store_ID]],Estore_DB[Store_ID],Estore_DB[Region])</f>
        <v>North</v>
      </c>
      <c r="R72" t="str">
        <f>VLOOKUP(ESales_DB[[#This Row],[Customer_ID]],Ecustom_DB[],10,FALSE)</f>
        <v>Gold</v>
      </c>
      <c r="S72" t="str">
        <f>IF(ESales_DB[[#This Row],[Quantity1]]&gt;3,"Bulk order","Normal order")</f>
        <v>Normal order</v>
      </c>
    </row>
    <row r="73" spans="1:19" x14ac:dyDescent="0.3">
      <c r="A73" t="s">
        <v>2887</v>
      </c>
      <c r="B73" s="4">
        <v>45554</v>
      </c>
      <c r="C73" s="4" t="str">
        <f>TEXT(ESales_DB[[#This Row],[Order_Date]],"mmm")</f>
        <v>Sep</v>
      </c>
      <c r="D73" t="s">
        <v>1187</v>
      </c>
      <c r="E73" t="s">
        <v>1670</v>
      </c>
      <c r="F73" t="s">
        <v>1779</v>
      </c>
      <c r="G73">
        <v>2</v>
      </c>
      <c r="H73" s="10">
        <f>IF(ISBLANK(ESales_DB[[#This Row],[Quantity]]),AVERAGEIF(ESales_DB[Product_ID],ESales_DB[[#This Row],[Product_ID]],ESales_DB[Quantity]),ESales_DB[[#This Row],[Quantity]])</f>
        <v>2</v>
      </c>
      <c r="I73" s="2">
        <v>654.12</v>
      </c>
      <c r="J73">
        <v>0.27</v>
      </c>
      <c r="K73" t="s">
        <v>1826</v>
      </c>
      <c r="L73" s="2">
        <v>955.01519999999994</v>
      </c>
      <c r="M73" s="2" t="str">
        <f>IF(ESales_DB[[#This Row],[Total_Amount]]&gt;1000,"High","Low")</f>
        <v>Low</v>
      </c>
      <c r="N73" s="2" t="str">
        <f>VLOOKUP(ESales_DB[[#This Row],[Customer_ID]],Ecustom_DB[],3,FALSE)</f>
        <v>Shelley Ponce</v>
      </c>
      <c r="O73" s="2" t="str">
        <f>_xlfn.XLOOKUP(ESales_DB[[#This Row],[Product_ID]],Eproduct_DB[Product_ID],Eproduct_DB[Category])</f>
        <v>Sports</v>
      </c>
      <c r="P73" s="2" t="str">
        <f>_xlfn.XLOOKUP(ESales_DB[[#This Row],[Product_ID]],Eproduct_DB[Product_ID],Eproduct_DB[Product_Name])</f>
        <v>Tennis Ball 3-Pack</v>
      </c>
      <c r="Q73" s="2" t="str">
        <f>_xlfn.XLOOKUP(ESales_DB[[#This Row],[Store_ID]],Estore_DB[Store_ID],Estore_DB[Region])</f>
        <v>South</v>
      </c>
      <c r="R73" t="str">
        <f>VLOOKUP(ESales_DB[[#This Row],[Customer_ID]],Ecustom_DB[],10,FALSE)</f>
        <v>Gold</v>
      </c>
      <c r="S73" t="str">
        <f>IF(ESales_DB[[#This Row],[Quantity1]]&gt;3,"Bulk order","Normal order")</f>
        <v>Normal order</v>
      </c>
    </row>
    <row r="74" spans="1:19" x14ac:dyDescent="0.3">
      <c r="A74" t="s">
        <v>2888</v>
      </c>
      <c r="B74" s="4">
        <v>45385</v>
      </c>
      <c r="C74" s="4" t="str">
        <f>TEXT(ESales_DB[[#This Row],[Order_Date]],"mmm")</f>
        <v>Apr</v>
      </c>
      <c r="D74" t="s">
        <v>372</v>
      </c>
      <c r="E74" t="s">
        <v>1694</v>
      </c>
      <c r="F74" t="s">
        <v>1797</v>
      </c>
      <c r="G74">
        <v>4</v>
      </c>
      <c r="H74" s="10">
        <f>IF(ISBLANK(ESales_DB[[#This Row],[Quantity]]),AVERAGEIF(ESales_DB[Product_ID],ESales_DB[[#This Row],[Product_ID]],ESales_DB[Quantity]),ESales_DB[[#This Row],[Quantity]])</f>
        <v>4</v>
      </c>
      <c r="I74" s="2">
        <v>528.22</v>
      </c>
      <c r="J74">
        <v>0.2</v>
      </c>
      <c r="K74" t="s">
        <v>1826</v>
      </c>
      <c r="L74" s="2">
        <v>1690.3040000000001</v>
      </c>
      <c r="M74" s="2" t="str">
        <f>IF(ESales_DB[[#This Row],[Total_Amount]]&gt;1000,"High","Low")</f>
        <v>High</v>
      </c>
      <c r="N74" s="2" t="str">
        <f>VLOOKUP(ESales_DB[[#This Row],[Customer_ID]],Ecustom_DB[],3,FALSE)</f>
        <v>Lance Baker</v>
      </c>
      <c r="O74" s="2" t="str">
        <f>_xlfn.XLOOKUP(ESales_DB[[#This Row],[Product_ID]],Eproduct_DB[Product_ID],Eproduct_DB[Category])</f>
        <v>Sports</v>
      </c>
      <c r="P74" s="2" t="str">
        <f>_xlfn.XLOOKUP(ESales_DB[[#This Row],[Product_ID]],Eproduct_DB[Product_ID],Eproduct_DB[Product_Name])</f>
        <v>Shin Guards – Adult</v>
      </c>
      <c r="Q74" s="2" t="str">
        <f>_xlfn.XLOOKUP(ESales_DB[[#This Row],[Store_ID]],Estore_DB[Store_ID],Estore_DB[Region])</f>
        <v>East</v>
      </c>
      <c r="R74" t="str">
        <f>VLOOKUP(ESales_DB[[#This Row],[Customer_ID]],Ecustom_DB[],10,FALSE)</f>
        <v>Gold</v>
      </c>
      <c r="S74" t="str">
        <f>IF(ESales_DB[[#This Row],[Quantity1]]&gt;3,"Bulk order","Normal order")</f>
        <v>Bulk order</v>
      </c>
    </row>
    <row r="75" spans="1:19" x14ac:dyDescent="0.3">
      <c r="A75" t="s">
        <v>2889</v>
      </c>
      <c r="B75" s="4">
        <v>45704</v>
      </c>
      <c r="C75" s="4" t="str">
        <f>TEXT(ESales_DB[[#This Row],[Order_Date]],"mmm")</f>
        <v>Feb</v>
      </c>
      <c r="D75" t="s">
        <v>716</v>
      </c>
      <c r="E75" t="s">
        <v>1616</v>
      </c>
      <c r="F75" t="s">
        <v>1779</v>
      </c>
      <c r="G75">
        <v>4</v>
      </c>
      <c r="H75" s="10">
        <f>IF(ISBLANK(ESales_DB[[#This Row],[Quantity]]),AVERAGEIF(ESales_DB[Product_ID],ESales_DB[[#This Row],[Product_ID]],ESales_DB[Quantity]),ESales_DB[[#This Row],[Quantity]])</f>
        <v>4</v>
      </c>
      <c r="I75" s="2">
        <v>36.72</v>
      </c>
      <c r="J75">
        <v>7.0000000000000007E-2</v>
      </c>
      <c r="K75" t="s">
        <v>1829</v>
      </c>
      <c r="L75" s="2">
        <v>136.5984</v>
      </c>
      <c r="M75" s="2" t="str">
        <f>IF(ESales_DB[[#This Row],[Total_Amount]]&gt;1000,"High","Low")</f>
        <v>Low</v>
      </c>
      <c r="N75" s="2" t="str">
        <f>VLOOKUP(ESales_DB[[#This Row],[Customer_ID]],Ecustom_DB[],3,FALSE)</f>
        <v>Lisa Young</v>
      </c>
      <c r="O75" s="2" t="str">
        <f>_xlfn.XLOOKUP(ESales_DB[[#This Row],[Product_ID]],Eproduct_DB[Product_ID],Eproduct_DB[Category])</f>
        <v>Electronics</v>
      </c>
      <c r="P75" s="2" t="str">
        <f>_xlfn.XLOOKUP(ESales_DB[[#This Row],[Product_ID]],Eproduct_DB[Product_ID],Eproduct_DB[Product_Name])</f>
        <v>Gaming Mechanical Keyboard</v>
      </c>
      <c r="Q75" s="2" t="str">
        <f>_xlfn.XLOOKUP(ESales_DB[[#This Row],[Store_ID]],Estore_DB[Store_ID],Estore_DB[Region])</f>
        <v>South</v>
      </c>
      <c r="R75" t="str">
        <f>VLOOKUP(ESales_DB[[#This Row],[Customer_ID]],Ecustom_DB[],10,FALSE)</f>
        <v>Platinum</v>
      </c>
      <c r="S75" t="str">
        <f>IF(ESales_DB[[#This Row],[Quantity1]]&gt;3,"Bulk order","Normal order")</f>
        <v>Bulk order</v>
      </c>
    </row>
    <row r="76" spans="1:19" x14ac:dyDescent="0.3">
      <c r="A76" t="s">
        <v>2890</v>
      </c>
      <c r="B76" s="4">
        <v>45545</v>
      </c>
      <c r="C76" s="4" t="str">
        <f>TEXT(ESales_DB[[#This Row],[Order_Date]],"mmm")</f>
        <v>Sep</v>
      </c>
      <c r="D76" t="s">
        <v>1157</v>
      </c>
      <c r="E76" t="s">
        <v>1704</v>
      </c>
      <c r="F76" t="s">
        <v>1813</v>
      </c>
      <c r="G76">
        <v>2</v>
      </c>
      <c r="H76" s="10">
        <f>IF(ISBLANK(ESales_DB[[#This Row],[Quantity]]),AVERAGEIF(ESales_DB[Product_ID],ESales_DB[[#This Row],[Product_ID]],ESales_DB[Quantity]),ESales_DB[[#This Row],[Quantity]])</f>
        <v>2</v>
      </c>
      <c r="I76" s="2">
        <v>705.97</v>
      </c>
      <c r="J76">
        <v>0.1</v>
      </c>
      <c r="K76" t="s">
        <v>1826</v>
      </c>
      <c r="L76" s="2">
        <v>1270.7460000000001</v>
      </c>
      <c r="M76" s="2" t="str">
        <f>IF(ESales_DB[[#This Row],[Total_Amount]]&gt;1000,"High","Low")</f>
        <v>High</v>
      </c>
      <c r="N76" s="2" t="str">
        <f>VLOOKUP(ESales_DB[[#This Row],[Customer_ID]],Ecustom_DB[],3,FALSE)</f>
        <v>James Holloway Jr.</v>
      </c>
      <c r="O76" s="2" t="str">
        <f>_xlfn.XLOOKUP(ESales_DB[[#This Row],[Product_ID]],Eproduct_DB[Product_ID],Eproduct_DB[Category])</f>
        <v>Home</v>
      </c>
      <c r="P76" s="2" t="str">
        <f>_xlfn.XLOOKUP(ESales_DB[[#This Row],[Product_ID]],Eproduct_DB[Product_ID],Eproduct_DB[Product_Name])</f>
        <v>Essential Oil Diffuser</v>
      </c>
      <c r="Q76" s="2" t="str">
        <f>_xlfn.XLOOKUP(ESales_DB[[#This Row],[Store_ID]],Estore_DB[Store_ID],Estore_DB[Region])</f>
        <v>East</v>
      </c>
      <c r="R76" t="str">
        <f>VLOOKUP(ESales_DB[[#This Row],[Customer_ID]],Ecustom_DB[],10,FALSE)</f>
        <v>Silver</v>
      </c>
      <c r="S76" t="str">
        <f>IF(ESales_DB[[#This Row],[Quantity1]]&gt;3,"Bulk order","Normal order")</f>
        <v>Normal order</v>
      </c>
    </row>
    <row r="77" spans="1:19" x14ac:dyDescent="0.3">
      <c r="A77" t="s">
        <v>2891</v>
      </c>
      <c r="B77" s="4">
        <v>45736</v>
      </c>
      <c r="C77" s="4" t="str">
        <f>TEXT(ESales_DB[[#This Row],[Order_Date]],"mmm")</f>
        <v>Mar</v>
      </c>
      <c r="D77" t="s">
        <v>100</v>
      </c>
      <c r="E77" t="s">
        <v>1628</v>
      </c>
      <c r="F77" t="s">
        <v>1757</v>
      </c>
      <c r="G77">
        <v>2</v>
      </c>
      <c r="H77" s="10">
        <f>IF(ISBLANK(ESales_DB[[#This Row],[Quantity]]),AVERAGEIF(ESales_DB[Product_ID],ESales_DB[[#This Row],[Product_ID]],ESales_DB[Quantity]),ESales_DB[[#This Row],[Quantity]])</f>
        <v>2</v>
      </c>
      <c r="I77" s="2">
        <v>994.29</v>
      </c>
      <c r="J77">
        <v>0.01</v>
      </c>
      <c r="K77" t="s">
        <v>1826</v>
      </c>
      <c r="L77" s="2">
        <v>1968.6941999999999</v>
      </c>
      <c r="M77" s="2" t="str">
        <f>IF(ESales_DB[[#This Row],[Total_Amount]]&gt;1000,"High","Low")</f>
        <v>High</v>
      </c>
      <c r="N77" s="2" t="str">
        <f>VLOOKUP(ESales_DB[[#This Row],[Customer_ID]],Ecustom_DB[],3,FALSE)</f>
        <v>Jonathan Steele</v>
      </c>
      <c r="O77" s="2" t="str">
        <f>_xlfn.XLOOKUP(ESales_DB[[#This Row],[Product_ID]],Eproduct_DB[Product_ID],Eproduct_DB[Category])</f>
        <v>Electronics</v>
      </c>
      <c r="P77" s="2" t="str">
        <f>_xlfn.XLOOKUP(ESales_DB[[#This Row],[Product_ID]],Eproduct_DB[Product_ID],Eproduct_DB[Product_Name])</f>
        <v>Noise-Canceling Headphones</v>
      </c>
      <c r="Q77" s="2" t="str">
        <f>_xlfn.XLOOKUP(ESales_DB[[#This Row],[Store_ID]],Estore_DB[Store_ID],Estore_DB[Region])</f>
        <v>North</v>
      </c>
      <c r="R77" t="str">
        <f>VLOOKUP(ESales_DB[[#This Row],[Customer_ID]],Ecustom_DB[],10,FALSE)</f>
        <v>Silver</v>
      </c>
      <c r="S77" t="str">
        <f>IF(ESales_DB[[#This Row],[Quantity1]]&gt;3,"Bulk order","Normal order")</f>
        <v>Normal order</v>
      </c>
    </row>
    <row r="78" spans="1:19" x14ac:dyDescent="0.3">
      <c r="A78" t="s">
        <v>2892</v>
      </c>
      <c r="B78" s="4">
        <v>45608</v>
      </c>
      <c r="C78" s="4" t="str">
        <f>TEXT(ESales_DB[[#This Row],[Order_Date]],"mmm")</f>
        <v>Nov</v>
      </c>
      <c r="D78" t="s">
        <v>1307</v>
      </c>
      <c r="E78" t="s">
        <v>1732</v>
      </c>
      <c r="F78" t="s">
        <v>1810</v>
      </c>
      <c r="G78">
        <v>1</v>
      </c>
      <c r="H78" s="10">
        <f>IF(ISBLANK(ESales_DB[[#This Row],[Quantity]]),AVERAGEIF(ESales_DB[Product_ID],ESales_DB[[#This Row],[Product_ID]],ESales_DB[Quantity]),ESales_DB[[#This Row],[Quantity]])</f>
        <v>1</v>
      </c>
      <c r="I78" s="2">
        <v>909.04</v>
      </c>
      <c r="J78">
        <v>0.11</v>
      </c>
      <c r="K78" t="s">
        <v>1824</v>
      </c>
      <c r="L78" s="2">
        <v>809.04560000000004</v>
      </c>
      <c r="M78" s="2" t="str">
        <f>IF(ESales_DB[[#This Row],[Total_Amount]]&gt;1000,"High","Low")</f>
        <v>Low</v>
      </c>
      <c r="N78" s="2" t="str">
        <f>VLOOKUP(ESales_DB[[#This Row],[Customer_ID]],Ecustom_DB[],3,FALSE)</f>
        <v>Holly Robinson</v>
      </c>
      <c r="O78" s="2" t="str">
        <f>_xlfn.XLOOKUP(ESales_DB[[#This Row],[Product_ID]],Eproduct_DB[Product_ID],Eproduct_DB[Category])</f>
        <v>Home</v>
      </c>
      <c r="P78" s="2" t="str">
        <f>_xlfn.XLOOKUP(ESales_DB[[#This Row],[Product_ID]],Eproduct_DB[Product_ID],Eproduct_DB[Product_Name])</f>
        <v>Microwave Oven</v>
      </c>
      <c r="Q78" s="2" t="str">
        <f>_xlfn.XLOOKUP(ESales_DB[[#This Row],[Store_ID]],Estore_DB[Store_ID],Estore_DB[Region])</f>
        <v>East</v>
      </c>
      <c r="R78" t="str">
        <f>VLOOKUP(ESales_DB[[#This Row],[Customer_ID]],Ecustom_DB[],10,FALSE)</f>
        <v>Platinum</v>
      </c>
      <c r="S78" t="str">
        <f>IF(ESales_DB[[#This Row],[Quantity1]]&gt;3,"Bulk order","Normal order")</f>
        <v>Normal order</v>
      </c>
    </row>
    <row r="79" spans="1:19" x14ac:dyDescent="0.3">
      <c r="A79" t="s">
        <v>2893</v>
      </c>
      <c r="B79" s="4">
        <v>45334</v>
      </c>
      <c r="C79" s="4" t="str">
        <f>TEXT(ESales_DB[[#This Row],[Order_Date]],"mmm")</f>
        <v>Feb</v>
      </c>
      <c r="D79" t="s">
        <v>1095</v>
      </c>
      <c r="E79" t="s">
        <v>1616</v>
      </c>
      <c r="F79" t="s">
        <v>1792</v>
      </c>
      <c r="G79">
        <v>1</v>
      </c>
      <c r="H79" s="10">
        <f>IF(ISBLANK(ESales_DB[[#This Row],[Quantity]]),AVERAGEIF(ESales_DB[Product_ID],ESales_DB[[#This Row],[Product_ID]],ESales_DB[Quantity]),ESales_DB[[#This Row],[Quantity]])</f>
        <v>1</v>
      </c>
      <c r="I79" s="2">
        <v>164.73</v>
      </c>
      <c r="J79">
        <v>0.12</v>
      </c>
      <c r="K79" t="s">
        <v>1826</v>
      </c>
      <c r="L79" s="2">
        <v>144.9624</v>
      </c>
      <c r="M79" s="2" t="str">
        <f>IF(ESales_DB[[#This Row],[Total_Amount]]&gt;1000,"High","Low")</f>
        <v>Low</v>
      </c>
      <c r="N79" s="2" t="str">
        <f>VLOOKUP(ESales_DB[[#This Row],[Customer_ID]],Ecustom_DB[],3,FALSE)</f>
        <v>Heather Valenzuela</v>
      </c>
      <c r="O79" s="2" t="str">
        <f>_xlfn.XLOOKUP(ESales_DB[[#This Row],[Product_ID]],Eproduct_DB[Product_ID],Eproduct_DB[Category])</f>
        <v>Electronics</v>
      </c>
      <c r="P79" s="2" t="str">
        <f>_xlfn.XLOOKUP(ESales_DB[[#This Row],[Product_ID]],Eproduct_DB[Product_ID],Eproduct_DB[Product_Name])</f>
        <v>Gaming Mechanical Keyboard</v>
      </c>
      <c r="Q79" s="2" t="str">
        <f>_xlfn.XLOOKUP(ESales_DB[[#This Row],[Store_ID]],Estore_DB[Store_ID],Estore_DB[Region])</f>
        <v>South</v>
      </c>
      <c r="R79" t="str">
        <f>VLOOKUP(ESales_DB[[#This Row],[Customer_ID]],Ecustom_DB[],10,FALSE)</f>
        <v>Bronze</v>
      </c>
      <c r="S79" t="str">
        <f>IF(ESales_DB[[#This Row],[Quantity1]]&gt;3,"Bulk order","Normal order")</f>
        <v>Normal order</v>
      </c>
    </row>
    <row r="80" spans="1:19" x14ac:dyDescent="0.3">
      <c r="A80" t="s">
        <v>2894</v>
      </c>
      <c r="B80" s="4">
        <v>45690</v>
      </c>
      <c r="C80" s="4" t="str">
        <f>TEXT(ESales_DB[[#This Row],[Order_Date]],"mmm")</f>
        <v>Feb</v>
      </c>
      <c r="D80" t="s">
        <v>230</v>
      </c>
      <c r="E80" t="s">
        <v>1622</v>
      </c>
      <c r="F80" t="s">
        <v>1779</v>
      </c>
      <c r="G80">
        <v>2</v>
      </c>
      <c r="H80" s="10">
        <f>IF(ISBLANK(ESales_DB[[#This Row],[Quantity]]),AVERAGEIF(ESales_DB[Product_ID],ESales_DB[[#This Row],[Product_ID]],ESales_DB[Quantity]),ESales_DB[[#This Row],[Quantity]])</f>
        <v>2</v>
      </c>
      <c r="I80" s="2">
        <v>606.35</v>
      </c>
      <c r="J80">
        <v>0.16</v>
      </c>
      <c r="K80" t="s">
        <v>1829</v>
      </c>
      <c r="L80" s="2">
        <v>1018.668</v>
      </c>
      <c r="M80" s="2" t="str">
        <f>IF(ESales_DB[[#This Row],[Total_Amount]]&gt;1000,"High","Low")</f>
        <v>High</v>
      </c>
      <c r="N80" s="2" t="str">
        <f>VLOOKUP(ESales_DB[[#This Row],[Customer_ID]],Ecustom_DB[],3,FALSE)</f>
        <v>James Bean</v>
      </c>
      <c r="O80" s="2" t="str">
        <f>_xlfn.XLOOKUP(ESales_DB[[#This Row],[Product_ID]],Eproduct_DB[Product_ID],Eproduct_DB[Category])</f>
        <v>Clothing</v>
      </c>
      <c r="P80" s="2" t="str">
        <f>_xlfn.XLOOKUP(ESales_DB[[#This Row],[Product_ID]],Eproduct_DB[Product_ID],Eproduct_DB[Product_Name])</f>
        <v>Men's Casual Sneakers</v>
      </c>
      <c r="Q80" s="2" t="str">
        <f>_xlfn.XLOOKUP(ESales_DB[[#This Row],[Store_ID]],Estore_DB[Store_ID],Estore_DB[Region])</f>
        <v>South</v>
      </c>
      <c r="R80" t="str">
        <f>VLOOKUP(ESales_DB[[#This Row],[Customer_ID]],Ecustom_DB[],10,FALSE)</f>
        <v>Bronze</v>
      </c>
      <c r="S80" t="str">
        <f>IF(ESales_DB[[#This Row],[Quantity1]]&gt;3,"Bulk order","Normal order")</f>
        <v>Normal order</v>
      </c>
    </row>
    <row r="81" spans="1:19" x14ac:dyDescent="0.3">
      <c r="A81" t="s">
        <v>2895</v>
      </c>
      <c r="B81" s="4">
        <v>45481</v>
      </c>
      <c r="C81" s="4" t="str">
        <f>TEXT(ESales_DB[[#This Row],[Order_Date]],"mmm")</f>
        <v>Jul</v>
      </c>
      <c r="D81" t="s">
        <v>544</v>
      </c>
      <c r="E81" t="s">
        <v>1744</v>
      </c>
      <c r="F81" t="s">
        <v>1769</v>
      </c>
      <c r="G81">
        <v>3</v>
      </c>
      <c r="H81" s="10">
        <f>IF(ISBLANK(ESales_DB[[#This Row],[Quantity]]),AVERAGEIF(ESales_DB[Product_ID],ESales_DB[[#This Row],[Product_ID]],ESales_DB[Quantity]),ESales_DB[[#This Row],[Quantity]])</f>
        <v>3</v>
      </c>
      <c r="I81" s="2">
        <v>904.19</v>
      </c>
      <c r="J81">
        <v>0.09</v>
      </c>
      <c r="K81" t="s">
        <v>1824</v>
      </c>
      <c r="L81" s="2">
        <v>2468.4387000000002</v>
      </c>
      <c r="M81" s="2" t="str">
        <f>IF(ESales_DB[[#This Row],[Total_Amount]]&gt;1000,"High","Low")</f>
        <v>High</v>
      </c>
      <c r="N81" s="2" t="str">
        <f>VLOOKUP(ESales_DB[[#This Row],[Customer_ID]],Ecustom_DB[],3,FALSE)</f>
        <v>Joseph Jones</v>
      </c>
      <c r="O81" s="2" t="str">
        <f>_xlfn.XLOOKUP(ESales_DB[[#This Row],[Product_ID]],Eproduct_DB[Product_ID],Eproduct_DB[Category])</f>
        <v>Electronics</v>
      </c>
      <c r="P81" s="2" t="str">
        <f>_xlfn.XLOOKUP(ESales_DB[[#This Row],[Product_ID]],Eproduct_DB[Product_ID],Eproduct_DB[Product_Name])</f>
        <v>Portable Bluetooth Speaker</v>
      </c>
      <c r="Q81" s="2" t="str">
        <f>_xlfn.XLOOKUP(ESales_DB[[#This Row],[Store_ID]],Estore_DB[Store_ID],Estore_DB[Region])</f>
        <v>South</v>
      </c>
      <c r="R81" t="str">
        <f>VLOOKUP(ESales_DB[[#This Row],[Customer_ID]],Ecustom_DB[],10,FALSE)</f>
        <v>Bronze</v>
      </c>
      <c r="S81" t="str">
        <f>IF(ESales_DB[[#This Row],[Quantity1]]&gt;3,"Bulk order","Normal order")</f>
        <v>Normal order</v>
      </c>
    </row>
    <row r="82" spans="1:19" x14ac:dyDescent="0.3">
      <c r="A82" t="s">
        <v>1933</v>
      </c>
      <c r="B82" s="4">
        <v>45323</v>
      </c>
      <c r="C82" s="4" t="str">
        <f>TEXT(ESales_DB[[#This Row],[Order_Date]],"mmm")</f>
        <v>Feb</v>
      </c>
      <c r="D82" t="s">
        <v>1062</v>
      </c>
      <c r="E82" t="s">
        <v>1720</v>
      </c>
      <c r="F82" t="s">
        <v>1779</v>
      </c>
      <c r="G82">
        <v>4</v>
      </c>
      <c r="H82" s="10">
        <f>IF(ISBLANK(ESales_DB[[#This Row],[Quantity]]),AVERAGEIF(ESales_DB[Product_ID],ESales_DB[[#This Row],[Product_ID]],ESales_DB[Quantity]),ESales_DB[[#This Row],[Quantity]])</f>
        <v>4</v>
      </c>
      <c r="I82" s="2">
        <v>525.61</v>
      </c>
      <c r="J82">
        <v>0.02</v>
      </c>
      <c r="K82" t="s">
        <v>1826</v>
      </c>
      <c r="L82" s="2">
        <v>2060.3912</v>
      </c>
      <c r="M82" s="2" t="str">
        <f>IF(ESales_DB[[#This Row],[Total_Amount]]&gt;1000,"High","Low")</f>
        <v>High</v>
      </c>
      <c r="N82" s="2" t="str">
        <f>VLOOKUP(ESales_DB[[#This Row],[Customer_ID]],Ecustom_DB[],3,FALSE)</f>
        <v>Jasmine Snyder</v>
      </c>
      <c r="O82" s="2" t="str">
        <f>_xlfn.XLOOKUP(ESales_DB[[#This Row],[Product_ID]],Eproduct_DB[Product_ID],Eproduct_DB[Category])</f>
        <v>Home</v>
      </c>
      <c r="P82" s="2" t="str">
        <f>_xlfn.XLOOKUP(ESales_DB[[#This Row],[Product_ID]],Eproduct_DB[Product_ID],Eproduct_DB[Product_Name])</f>
        <v>Kitchen Cutting Board</v>
      </c>
      <c r="Q82" s="2" t="str">
        <f>_xlfn.XLOOKUP(ESales_DB[[#This Row],[Store_ID]],Estore_DB[Store_ID],Estore_DB[Region])</f>
        <v>South</v>
      </c>
      <c r="R82" t="str">
        <f>VLOOKUP(ESales_DB[[#This Row],[Customer_ID]],Ecustom_DB[],10,FALSE)</f>
        <v>Silver</v>
      </c>
      <c r="S82" t="str">
        <f>IF(ESales_DB[[#This Row],[Quantity1]]&gt;3,"Bulk order","Normal order")</f>
        <v>Bulk order</v>
      </c>
    </row>
    <row r="83" spans="1:19" x14ac:dyDescent="0.3">
      <c r="A83" t="s">
        <v>2896</v>
      </c>
      <c r="B83" s="4">
        <v>45576</v>
      </c>
      <c r="C83" s="4" t="str">
        <f>TEXT(ESales_DB[[#This Row],[Order_Date]],"mmm")</f>
        <v>Oct</v>
      </c>
      <c r="D83" t="s">
        <v>508</v>
      </c>
      <c r="E83" t="s">
        <v>1648</v>
      </c>
      <c r="F83" t="s">
        <v>1761</v>
      </c>
      <c r="G83">
        <v>4</v>
      </c>
      <c r="H83" s="10">
        <f>IF(ISBLANK(ESales_DB[[#This Row],[Quantity]]),AVERAGEIF(ESales_DB[Product_ID],ESales_DB[[#This Row],[Product_ID]],ESales_DB[Quantity]),ESales_DB[[#This Row],[Quantity]])</f>
        <v>4</v>
      </c>
      <c r="I83" s="2">
        <v>694.61</v>
      </c>
      <c r="J83">
        <v>0.18</v>
      </c>
      <c r="K83" t="s">
        <v>1829</v>
      </c>
      <c r="L83" s="2">
        <v>2278.3208</v>
      </c>
      <c r="M83" s="2" t="str">
        <f>IF(ESales_DB[[#This Row],[Total_Amount]]&gt;1000,"High","Low")</f>
        <v>High</v>
      </c>
      <c r="N83" s="2" t="str">
        <f>VLOOKUP(ESales_DB[[#This Row],[Customer_ID]],Ecustom_DB[],3,FALSE)</f>
        <v>Michael Davies</v>
      </c>
      <c r="O83" s="2" t="str">
        <f>_xlfn.XLOOKUP(ESales_DB[[#This Row],[Product_ID]],Eproduct_DB[Product_ID],Eproduct_DB[Category])</f>
        <v>Sports</v>
      </c>
      <c r="P83" s="2" t="str">
        <f>_xlfn.XLOOKUP(ESales_DB[[#This Row],[Product_ID]],Eproduct_DB[Product_ID],Eproduct_DB[Product_Name])</f>
        <v>Boxing Hand Wraps</v>
      </c>
      <c r="Q83" s="2" t="str">
        <f>_xlfn.XLOOKUP(ESales_DB[[#This Row],[Store_ID]],Estore_DB[Store_ID],Estore_DB[Region])</f>
        <v>South</v>
      </c>
      <c r="R83" t="str">
        <f>VLOOKUP(ESales_DB[[#This Row],[Customer_ID]],Ecustom_DB[],10,FALSE)</f>
        <v>Gold</v>
      </c>
      <c r="S83" t="str">
        <f>IF(ESales_DB[[#This Row],[Quantity1]]&gt;3,"Bulk order","Normal order")</f>
        <v>Bulk order</v>
      </c>
    </row>
    <row r="84" spans="1:19" x14ac:dyDescent="0.3">
      <c r="A84" t="s">
        <v>2897</v>
      </c>
      <c r="B84" s="4">
        <v>45215</v>
      </c>
      <c r="C84" s="4" t="str">
        <f>TEXT(ESales_DB[[#This Row],[Order_Date]],"mmm")</f>
        <v>Oct</v>
      </c>
      <c r="D84" t="s">
        <v>727</v>
      </c>
      <c r="E84" t="s">
        <v>1726</v>
      </c>
      <c r="F84" t="s">
        <v>1761</v>
      </c>
      <c r="G84">
        <v>4</v>
      </c>
      <c r="H84" s="10">
        <f>IF(ISBLANK(ESales_DB[[#This Row],[Quantity]]),AVERAGEIF(ESales_DB[Product_ID],ESales_DB[[#This Row],[Product_ID]],ESales_DB[Quantity]),ESales_DB[[#This Row],[Quantity]])</f>
        <v>4</v>
      </c>
      <c r="I84" s="2">
        <v>753.83</v>
      </c>
      <c r="J84">
        <v>0.24</v>
      </c>
      <c r="K84" t="s">
        <v>1824</v>
      </c>
      <c r="L84" s="2">
        <v>2291.6432</v>
      </c>
      <c r="M84" s="2" t="str">
        <f>IF(ESales_DB[[#This Row],[Total_Amount]]&gt;1000,"High","Low")</f>
        <v>High</v>
      </c>
      <c r="N84" s="2" t="str">
        <f>VLOOKUP(ESales_DB[[#This Row],[Customer_ID]],Ecustom_DB[],3,FALSE)</f>
        <v>Elizabeth Stanley</v>
      </c>
      <c r="O84" s="2" t="str">
        <f>_xlfn.XLOOKUP(ESales_DB[[#This Row],[Product_ID]],Eproduct_DB[Product_ID],Eproduct_DB[Category])</f>
        <v>Beauty</v>
      </c>
      <c r="P84" s="2" t="str">
        <f>_xlfn.XLOOKUP(ESales_DB[[#This Row],[Product_ID]],Eproduct_DB[Product_ID],Eproduct_DB[Product_Name])</f>
        <v>Face Foundation Kit</v>
      </c>
      <c r="Q84" s="2" t="str">
        <f>_xlfn.XLOOKUP(ESales_DB[[#This Row],[Store_ID]],Estore_DB[Store_ID],Estore_DB[Region])</f>
        <v>South</v>
      </c>
      <c r="R84" t="str">
        <f>VLOOKUP(ESales_DB[[#This Row],[Customer_ID]],Ecustom_DB[],10,FALSE)</f>
        <v>Platinum</v>
      </c>
      <c r="S84" t="str">
        <f>IF(ESales_DB[[#This Row],[Quantity1]]&gt;3,"Bulk order","Normal order")</f>
        <v>Bulk order</v>
      </c>
    </row>
    <row r="85" spans="1:19" x14ac:dyDescent="0.3">
      <c r="A85" t="s">
        <v>2898</v>
      </c>
      <c r="B85" s="4">
        <v>45653</v>
      </c>
      <c r="C85" s="4" t="str">
        <f>TEXT(ESales_DB[[#This Row],[Order_Date]],"mmm")</f>
        <v>Dec</v>
      </c>
      <c r="D85" t="s">
        <v>646</v>
      </c>
      <c r="E85" t="s">
        <v>1590</v>
      </c>
      <c r="F85" t="s">
        <v>1782</v>
      </c>
      <c r="G85">
        <v>1</v>
      </c>
      <c r="H85" s="10">
        <f>IF(ISBLANK(ESales_DB[[#This Row],[Quantity]]),AVERAGEIF(ESales_DB[Product_ID],ESales_DB[[#This Row],[Product_ID]],ESales_DB[Quantity]),ESales_DB[[#This Row],[Quantity]])</f>
        <v>1</v>
      </c>
      <c r="I85" s="2">
        <v>66.22</v>
      </c>
      <c r="J85">
        <v>0.02</v>
      </c>
      <c r="K85" t="s">
        <v>1824</v>
      </c>
      <c r="L85" s="2">
        <v>64.895600000000002</v>
      </c>
      <c r="M85" s="2" t="str">
        <f>IF(ESales_DB[[#This Row],[Total_Amount]]&gt;1000,"High","Low")</f>
        <v>Low</v>
      </c>
      <c r="N85" s="2" t="str">
        <f>VLOOKUP(ESales_DB[[#This Row],[Customer_ID]],Ecustom_DB[],3,FALSE)</f>
        <v>Andrea Jacobs</v>
      </c>
      <c r="O85" s="2" t="str">
        <f>_xlfn.XLOOKUP(ESales_DB[[#This Row],[Product_ID]],Eproduct_DB[Product_ID],Eproduct_DB[Category])</f>
        <v>Home</v>
      </c>
      <c r="P85" s="2" t="str">
        <f>_xlfn.XLOOKUP(ESales_DB[[#This Row],[Product_ID]],Eproduct_DB[Product_ID],Eproduct_DB[Product_Name])</f>
        <v>Multi-Purpose Storage Box</v>
      </c>
      <c r="Q85" s="2" t="str">
        <f>_xlfn.XLOOKUP(ESales_DB[[#This Row],[Store_ID]],Estore_DB[Store_ID],Estore_DB[Region])</f>
        <v>West</v>
      </c>
      <c r="R85" t="str">
        <f>VLOOKUP(ESales_DB[[#This Row],[Customer_ID]],Ecustom_DB[],10,FALSE)</f>
        <v>Platinum</v>
      </c>
      <c r="S85" t="str">
        <f>IF(ESales_DB[[#This Row],[Quantity1]]&gt;3,"Bulk order","Normal order")</f>
        <v>Normal order</v>
      </c>
    </row>
    <row r="86" spans="1:19" x14ac:dyDescent="0.3">
      <c r="A86" t="s">
        <v>2899</v>
      </c>
      <c r="B86" s="4">
        <v>45241</v>
      </c>
      <c r="C86" s="4" t="str">
        <f>TEXT(ESales_DB[[#This Row],[Order_Date]],"mmm")</f>
        <v>Nov</v>
      </c>
      <c r="D86" t="s">
        <v>1059</v>
      </c>
      <c r="E86" t="s">
        <v>1676</v>
      </c>
      <c r="F86" t="s">
        <v>1799</v>
      </c>
      <c r="G86">
        <v>2</v>
      </c>
      <c r="H86" s="10">
        <f>IF(ISBLANK(ESales_DB[[#This Row],[Quantity]]),AVERAGEIF(ESales_DB[Product_ID],ESales_DB[[#This Row],[Product_ID]],ESales_DB[Quantity]),ESales_DB[[#This Row],[Quantity]])</f>
        <v>2</v>
      </c>
      <c r="I86" s="2">
        <v>891.8</v>
      </c>
      <c r="J86">
        <v>0.28999999999999998</v>
      </c>
      <c r="K86" t="s">
        <v>1829</v>
      </c>
      <c r="L86" s="2">
        <v>1266.356</v>
      </c>
      <c r="M86" s="2" t="str">
        <f>IF(ESales_DB[[#This Row],[Total_Amount]]&gt;1000,"High","Low")</f>
        <v>High</v>
      </c>
      <c r="N86" s="2" t="str">
        <f>VLOOKUP(ESales_DB[[#This Row],[Customer_ID]],Ecustom_DB[],3,FALSE)</f>
        <v>Carol Lewis</v>
      </c>
      <c r="O86" s="2" t="str">
        <f>_xlfn.XLOOKUP(ESales_DB[[#This Row],[Product_ID]],Eproduct_DB[Product_ID],Eproduct_DB[Category])</f>
        <v>Beauty</v>
      </c>
      <c r="P86" s="2" t="str">
        <f>_xlfn.XLOOKUP(ESales_DB[[#This Row],[Product_ID]],Eproduct_DB[Product_ID],Eproduct_DB[Product_Name])</f>
        <v>Matte Lipstick Set</v>
      </c>
      <c r="Q86" s="2" t="str">
        <f>_xlfn.XLOOKUP(ESales_DB[[#This Row],[Store_ID]],Estore_DB[Store_ID],Estore_DB[Region])</f>
        <v>South</v>
      </c>
      <c r="R86" t="str">
        <f>VLOOKUP(ESales_DB[[#This Row],[Customer_ID]],Ecustom_DB[],10,FALSE)</f>
        <v>Bronze</v>
      </c>
      <c r="S86" t="str">
        <f>IF(ESales_DB[[#This Row],[Quantity1]]&gt;3,"Bulk order","Normal order")</f>
        <v>Normal order</v>
      </c>
    </row>
    <row r="87" spans="1:19" x14ac:dyDescent="0.3">
      <c r="A87" t="s">
        <v>2900</v>
      </c>
      <c r="B87" s="4">
        <v>45428</v>
      </c>
      <c r="C87" s="4" t="str">
        <f>TEXT(ESales_DB[[#This Row],[Order_Date]],"mmm")</f>
        <v>May</v>
      </c>
      <c r="D87" t="s">
        <v>1136</v>
      </c>
      <c r="E87" t="s">
        <v>1698</v>
      </c>
      <c r="F87" t="s">
        <v>1786</v>
      </c>
      <c r="G87">
        <v>4</v>
      </c>
      <c r="H87" s="10">
        <f>IF(ISBLANK(ESales_DB[[#This Row],[Quantity]]),AVERAGEIF(ESales_DB[Product_ID],ESales_DB[[#This Row],[Product_ID]],ESales_DB[Quantity]),ESales_DB[[#This Row],[Quantity]])</f>
        <v>4</v>
      </c>
      <c r="I87" s="2">
        <v>255.48</v>
      </c>
      <c r="J87">
        <v>0.03</v>
      </c>
      <c r="K87" t="s">
        <v>1829</v>
      </c>
      <c r="L87" s="2">
        <v>991.26239999999996</v>
      </c>
      <c r="M87" s="2" t="str">
        <f>IF(ESales_DB[[#This Row],[Total_Amount]]&gt;1000,"High","Low")</f>
        <v>Low</v>
      </c>
      <c r="N87" s="2" t="str">
        <f>VLOOKUP(ESales_DB[[#This Row],[Customer_ID]],Ecustom_DB[],3,FALSE)</f>
        <v>Elizabeth Smith</v>
      </c>
      <c r="O87" s="2" t="str">
        <f>_xlfn.XLOOKUP(ESales_DB[[#This Row],[Product_ID]],Eproduct_DB[Product_ID],Eproduct_DB[Category])</f>
        <v>Clothing</v>
      </c>
      <c r="P87" s="2" t="str">
        <f>_xlfn.XLOOKUP(ESales_DB[[#This Row],[Product_ID]],Eproduct_DB[Product_ID],Eproduct_DB[Product_Name])</f>
        <v>Women's Ankle Boots</v>
      </c>
      <c r="Q87" s="2" t="str">
        <f>_xlfn.XLOOKUP(ESales_DB[[#This Row],[Store_ID]],Estore_DB[Store_ID],Estore_DB[Region])</f>
        <v>South</v>
      </c>
      <c r="R87" t="str">
        <f>VLOOKUP(ESales_DB[[#This Row],[Customer_ID]],Ecustom_DB[],10,FALSE)</f>
        <v>Bronze</v>
      </c>
      <c r="S87" t="str">
        <f>IF(ESales_DB[[#This Row],[Quantity1]]&gt;3,"Bulk order","Normal order")</f>
        <v>Bulk order</v>
      </c>
    </row>
    <row r="88" spans="1:19" x14ac:dyDescent="0.3">
      <c r="A88" t="s">
        <v>2901</v>
      </c>
      <c r="B88" s="4">
        <v>45593</v>
      </c>
      <c r="C88" s="4" t="str">
        <f>TEXT(ESales_DB[[#This Row],[Order_Date]],"mmm")</f>
        <v>Oct</v>
      </c>
      <c r="D88" t="s">
        <v>951</v>
      </c>
      <c r="E88" t="s">
        <v>1716</v>
      </c>
      <c r="F88" t="s">
        <v>1807</v>
      </c>
      <c r="G88">
        <v>4</v>
      </c>
      <c r="H88" s="10">
        <f>IF(ISBLANK(ESales_DB[[#This Row],[Quantity]]),AVERAGEIF(ESales_DB[Product_ID],ESales_DB[[#This Row],[Product_ID]],ESales_DB[Quantity]),ESales_DB[[#This Row],[Quantity]])</f>
        <v>4</v>
      </c>
      <c r="I88" s="2">
        <v>604.87</v>
      </c>
      <c r="J88">
        <v>0.28000000000000003</v>
      </c>
      <c r="K88" t="s">
        <v>1826</v>
      </c>
      <c r="L88" s="2">
        <v>1742.0255999999999</v>
      </c>
      <c r="M88" s="2" t="str">
        <f>IF(ESales_DB[[#This Row],[Total_Amount]]&gt;1000,"High","Low")</f>
        <v>High</v>
      </c>
      <c r="N88" s="2" t="str">
        <f>VLOOKUP(ESales_DB[[#This Row],[Customer_ID]],Ecustom_DB[],3,FALSE)</f>
        <v>Ryan Kane</v>
      </c>
      <c r="O88" s="2" t="str">
        <f>_xlfn.XLOOKUP(ESales_DB[[#This Row],[Product_ID]],Eproduct_DB[Product_ID],Eproduct_DB[Category])</f>
        <v>Home</v>
      </c>
      <c r="P88" s="2" t="str">
        <f>_xlfn.XLOOKUP(ESales_DB[[#This Row],[Product_ID]],Eproduct_DB[Product_ID],Eproduct_DB[Product_Name])</f>
        <v>Wooden Bookshelf</v>
      </c>
      <c r="Q88" s="2" t="str">
        <f>_xlfn.XLOOKUP(ESales_DB[[#This Row],[Store_ID]],Estore_DB[Store_ID],Estore_DB[Region])</f>
        <v>North</v>
      </c>
      <c r="R88" t="str">
        <f>VLOOKUP(ESales_DB[[#This Row],[Customer_ID]],Ecustom_DB[],10,FALSE)</f>
        <v>Gold</v>
      </c>
      <c r="S88" t="str">
        <f>IF(ESales_DB[[#This Row],[Quantity1]]&gt;3,"Bulk order","Normal order")</f>
        <v>Bulk order</v>
      </c>
    </row>
    <row r="89" spans="1:19" x14ac:dyDescent="0.3">
      <c r="A89" t="s">
        <v>2902</v>
      </c>
      <c r="B89" s="4">
        <v>45370</v>
      </c>
      <c r="C89" s="4" t="str">
        <f>TEXT(ESales_DB[[#This Row],[Order_Date]],"mmm")</f>
        <v>Mar</v>
      </c>
      <c r="D89" t="s">
        <v>175</v>
      </c>
      <c r="E89" t="s">
        <v>1614</v>
      </c>
      <c r="F89" t="s">
        <v>1807</v>
      </c>
      <c r="G89">
        <v>3</v>
      </c>
      <c r="H89" s="10">
        <f>IF(ISBLANK(ESales_DB[[#This Row],[Quantity]]),AVERAGEIF(ESales_DB[Product_ID],ESales_DB[[#This Row],[Product_ID]],ESales_DB[Quantity]),ESales_DB[[#This Row],[Quantity]])</f>
        <v>3</v>
      </c>
      <c r="I89" s="2">
        <v>623.82000000000005</v>
      </c>
      <c r="J89">
        <v>0.13</v>
      </c>
      <c r="K89" t="s">
        <v>1829</v>
      </c>
      <c r="L89" s="2">
        <v>1628.1702</v>
      </c>
      <c r="M89" s="2" t="str">
        <f>IF(ESales_DB[[#This Row],[Total_Amount]]&gt;1000,"High","Low")</f>
        <v>High</v>
      </c>
      <c r="N89" s="2" t="str">
        <f>VLOOKUP(ESales_DB[[#This Row],[Customer_ID]],Ecustom_DB[],3,FALSE)</f>
        <v>Jordan Jackson Dds</v>
      </c>
      <c r="O89" s="2" t="str">
        <f>_xlfn.XLOOKUP(ESales_DB[[#This Row],[Product_ID]],Eproduct_DB[Product_ID],Eproduct_DB[Category])</f>
        <v>Home</v>
      </c>
      <c r="P89" s="2" t="str">
        <f>_xlfn.XLOOKUP(ESales_DB[[#This Row],[Product_ID]],Eproduct_DB[Product_ID],Eproduct_DB[Product_Name])</f>
        <v>Modern Wall Clock</v>
      </c>
      <c r="Q89" s="2" t="str">
        <f>_xlfn.XLOOKUP(ESales_DB[[#This Row],[Store_ID]],Estore_DB[Store_ID],Estore_DB[Region])</f>
        <v>North</v>
      </c>
      <c r="R89" t="str">
        <f>VLOOKUP(ESales_DB[[#This Row],[Customer_ID]],Ecustom_DB[],10,FALSE)</f>
        <v>Gold</v>
      </c>
      <c r="S89" t="str">
        <f>IF(ESales_DB[[#This Row],[Quantity1]]&gt;3,"Bulk order","Normal order")</f>
        <v>Normal order</v>
      </c>
    </row>
    <row r="90" spans="1:19" x14ac:dyDescent="0.3">
      <c r="A90" t="s">
        <v>2903</v>
      </c>
      <c r="B90" s="4">
        <v>45882</v>
      </c>
      <c r="C90" s="4" t="str">
        <f>TEXT(ESales_DB[[#This Row],[Order_Date]],"mmm")</f>
        <v>Aug</v>
      </c>
      <c r="D90" t="s">
        <v>470</v>
      </c>
      <c r="E90" t="s">
        <v>1690</v>
      </c>
      <c r="F90" t="s">
        <v>1804</v>
      </c>
      <c r="G90">
        <v>3</v>
      </c>
      <c r="H90" s="10">
        <f>IF(ISBLANK(ESales_DB[[#This Row],[Quantity]]),AVERAGEIF(ESales_DB[Product_ID],ESales_DB[[#This Row],[Product_ID]],ESales_DB[Quantity]),ESales_DB[[#This Row],[Quantity]])</f>
        <v>3</v>
      </c>
      <c r="I90" s="2">
        <v>575.24</v>
      </c>
      <c r="J90">
        <v>0.12</v>
      </c>
      <c r="K90" t="s">
        <v>1829</v>
      </c>
      <c r="L90" s="2">
        <v>1518.6335999999999</v>
      </c>
      <c r="M90" s="2" t="str">
        <f>IF(ESales_DB[[#This Row],[Total_Amount]]&gt;1000,"High","Low")</f>
        <v>High</v>
      </c>
      <c r="N90" s="2" t="str">
        <f>VLOOKUP(ESales_DB[[#This Row],[Customer_ID]],Ecustom_DB[],3,FALSE)</f>
        <v>Sean Roth</v>
      </c>
      <c r="O90" s="2" t="str">
        <f>_xlfn.XLOOKUP(ESales_DB[[#This Row],[Product_ID]],Eproduct_DB[Product_ID],Eproduct_DB[Category])</f>
        <v>Beauty</v>
      </c>
      <c r="P90" s="2" t="str">
        <f>_xlfn.XLOOKUP(ESales_DB[[#This Row],[Product_ID]],Eproduct_DB[Product_ID],Eproduct_DB[Product_Name])</f>
        <v>Hair Repair Oil Treatment</v>
      </c>
      <c r="Q90" s="2" t="str">
        <f>_xlfn.XLOOKUP(ESales_DB[[#This Row],[Store_ID]],Estore_DB[Store_ID],Estore_DB[Region])</f>
        <v>West</v>
      </c>
      <c r="R90" t="str">
        <f>VLOOKUP(ESales_DB[[#This Row],[Customer_ID]],Ecustom_DB[],10,FALSE)</f>
        <v>Gold</v>
      </c>
      <c r="S90" t="str">
        <f>IF(ESales_DB[[#This Row],[Quantity1]]&gt;3,"Bulk order","Normal order")</f>
        <v>Normal order</v>
      </c>
    </row>
    <row r="91" spans="1:19" x14ac:dyDescent="0.3">
      <c r="A91" t="s">
        <v>2904</v>
      </c>
      <c r="B91" s="4">
        <v>45878</v>
      </c>
      <c r="C91" s="4" t="str">
        <f>TEXT(ESales_DB[[#This Row],[Order_Date]],"mmm")</f>
        <v>Aug</v>
      </c>
      <c r="D91" t="s">
        <v>1286</v>
      </c>
      <c r="E91" t="s">
        <v>1553</v>
      </c>
      <c r="F91" t="s">
        <v>1792</v>
      </c>
      <c r="G91">
        <v>1</v>
      </c>
      <c r="H91" s="10">
        <f>IF(ISBLANK(ESales_DB[[#This Row],[Quantity]]),AVERAGEIF(ESales_DB[Product_ID],ESales_DB[[#This Row],[Product_ID]],ESales_DB[Quantity]),ESales_DB[[#This Row],[Quantity]])</f>
        <v>1</v>
      </c>
      <c r="I91" s="2">
        <v>769.4</v>
      </c>
      <c r="J91">
        <v>0.16</v>
      </c>
      <c r="K91" t="s">
        <v>1824</v>
      </c>
      <c r="L91" s="2">
        <v>646.29599999999994</v>
      </c>
      <c r="M91" s="2" t="str">
        <f>IF(ESales_DB[[#This Row],[Total_Amount]]&gt;1000,"High","Low")</f>
        <v>Low</v>
      </c>
      <c r="N91" s="2" t="str">
        <f>VLOOKUP(ESales_DB[[#This Row],[Customer_ID]],Ecustom_DB[],3,FALSE)</f>
        <v>Melissa Valentine</v>
      </c>
      <c r="O91" s="2" t="str">
        <f>_xlfn.XLOOKUP(ESales_DB[[#This Row],[Product_ID]],Eproduct_DB[Product_ID],Eproduct_DB[Category])</f>
        <v>Clothing</v>
      </c>
      <c r="P91" s="2" t="str">
        <f>_xlfn.XLOOKUP(ESales_DB[[#This Row],[Product_ID]],Eproduct_DB[Product_ID],Eproduct_DB[Product_Name])</f>
        <v>Women's Yoga Pants</v>
      </c>
      <c r="Q91" s="2" t="str">
        <f>_xlfn.XLOOKUP(ESales_DB[[#This Row],[Store_ID]],Estore_DB[Store_ID],Estore_DB[Region])</f>
        <v>South</v>
      </c>
      <c r="R91" t="str">
        <f>VLOOKUP(ESales_DB[[#This Row],[Customer_ID]],Ecustom_DB[],10,FALSE)</f>
        <v>Gold</v>
      </c>
      <c r="S91" t="str">
        <f>IF(ESales_DB[[#This Row],[Quantity1]]&gt;3,"Bulk order","Normal order")</f>
        <v>Normal order</v>
      </c>
    </row>
    <row r="92" spans="1:19" x14ac:dyDescent="0.3">
      <c r="A92" t="s">
        <v>2905</v>
      </c>
      <c r="B92" s="4">
        <v>45420</v>
      </c>
      <c r="C92" s="4" t="str">
        <f>TEXT(ESales_DB[[#This Row],[Order_Date]],"mmm")</f>
        <v>May</v>
      </c>
      <c r="D92" t="s">
        <v>1035</v>
      </c>
      <c r="E92" t="s">
        <v>1553</v>
      </c>
      <c r="F92" t="s">
        <v>1807</v>
      </c>
      <c r="G92">
        <v>1</v>
      </c>
      <c r="H92" s="10">
        <f>IF(ISBLANK(ESales_DB[[#This Row],[Quantity]]),AVERAGEIF(ESales_DB[Product_ID],ESales_DB[[#This Row],[Product_ID]],ESales_DB[Quantity]),ESales_DB[[#This Row],[Quantity]])</f>
        <v>1</v>
      </c>
      <c r="I92" s="2">
        <v>227.28</v>
      </c>
      <c r="J92">
        <v>0.13</v>
      </c>
      <c r="K92" t="s">
        <v>1829</v>
      </c>
      <c r="L92" s="2">
        <v>197.7336</v>
      </c>
      <c r="M92" s="2" t="str">
        <f>IF(ESales_DB[[#This Row],[Total_Amount]]&gt;1000,"High","Low")</f>
        <v>Low</v>
      </c>
      <c r="N92" s="2" t="str">
        <f>VLOOKUP(ESales_DB[[#This Row],[Customer_ID]],Ecustom_DB[],3,FALSE)</f>
        <v>Victor Mcintosh</v>
      </c>
      <c r="O92" s="2" t="str">
        <f>_xlfn.XLOOKUP(ESales_DB[[#This Row],[Product_ID]],Eproduct_DB[Product_ID],Eproduct_DB[Category])</f>
        <v>Clothing</v>
      </c>
      <c r="P92" s="2" t="str">
        <f>_xlfn.XLOOKUP(ESales_DB[[#This Row],[Product_ID]],Eproduct_DB[Product_ID],Eproduct_DB[Product_Name])</f>
        <v>Women's Yoga Pants</v>
      </c>
      <c r="Q92" s="2" t="str">
        <f>_xlfn.XLOOKUP(ESales_DB[[#This Row],[Store_ID]],Estore_DB[Store_ID],Estore_DB[Region])</f>
        <v>North</v>
      </c>
      <c r="R92" t="str">
        <f>VLOOKUP(ESales_DB[[#This Row],[Customer_ID]],Ecustom_DB[],10,FALSE)</f>
        <v>Bronze</v>
      </c>
      <c r="S92" t="str">
        <f>IF(ESales_DB[[#This Row],[Quantity1]]&gt;3,"Bulk order","Normal order")</f>
        <v>Normal order</v>
      </c>
    </row>
    <row r="93" spans="1:19" x14ac:dyDescent="0.3">
      <c r="A93" t="s">
        <v>1934</v>
      </c>
      <c r="B93" s="4">
        <v>45785</v>
      </c>
      <c r="C93" s="4" t="str">
        <f>TEXT(ESales_DB[[#This Row],[Order_Date]],"mmm")</f>
        <v>May</v>
      </c>
      <c r="D93" t="s">
        <v>160</v>
      </c>
      <c r="E93" t="s">
        <v>1592</v>
      </c>
      <c r="F93" t="s">
        <v>1797</v>
      </c>
      <c r="G93">
        <v>3</v>
      </c>
      <c r="H93" s="10">
        <f>IF(ISBLANK(ESales_DB[[#This Row],[Quantity]]),AVERAGEIF(ESales_DB[Product_ID],ESales_DB[[#This Row],[Product_ID]],ESales_DB[Quantity]),ESales_DB[[#This Row],[Quantity]])</f>
        <v>3</v>
      </c>
      <c r="I93" s="2">
        <v>815.3</v>
      </c>
      <c r="J93">
        <v>0.03</v>
      </c>
      <c r="K93" t="s">
        <v>1824</v>
      </c>
      <c r="L93" s="2">
        <v>2372.5230000000001</v>
      </c>
      <c r="M93" s="2" t="str">
        <f>IF(ESales_DB[[#This Row],[Total_Amount]]&gt;1000,"High","Low")</f>
        <v>High</v>
      </c>
      <c r="N93" s="2" t="str">
        <f>VLOOKUP(ESales_DB[[#This Row],[Customer_ID]],Ecustom_DB[],3,FALSE)</f>
        <v>James Gibbs</v>
      </c>
      <c r="O93" s="2" t="str">
        <f>_xlfn.XLOOKUP(ESales_DB[[#This Row],[Product_ID]],Eproduct_DB[Product_ID],Eproduct_DB[Category])</f>
        <v>Sports</v>
      </c>
      <c r="P93" s="2" t="str">
        <f>_xlfn.XLOOKUP(ESales_DB[[#This Row],[Product_ID]],Eproduct_DB[Product_ID],Eproduct_DB[Product_Name])</f>
        <v>Carbon Fiber Tennis Racket</v>
      </c>
      <c r="Q93" s="2" t="str">
        <f>_xlfn.XLOOKUP(ESales_DB[[#This Row],[Store_ID]],Estore_DB[Store_ID],Estore_DB[Region])</f>
        <v>East</v>
      </c>
      <c r="R93" t="str">
        <f>VLOOKUP(ESales_DB[[#This Row],[Customer_ID]],Ecustom_DB[],10,FALSE)</f>
        <v>Platinum</v>
      </c>
      <c r="S93" t="str">
        <f>IF(ESales_DB[[#This Row],[Quantity1]]&gt;3,"Bulk order","Normal order")</f>
        <v>Normal order</v>
      </c>
    </row>
    <row r="94" spans="1:19" x14ac:dyDescent="0.3">
      <c r="A94" t="s">
        <v>2906</v>
      </c>
      <c r="B94" s="4">
        <v>45361</v>
      </c>
      <c r="C94" s="4" t="str">
        <f>TEXT(ESales_DB[[#This Row],[Order_Date]],"mmm")</f>
        <v>Mar</v>
      </c>
      <c r="D94" t="s">
        <v>195</v>
      </c>
      <c r="E94" t="s">
        <v>1549</v>
      </c>
      <c r="F94" t="s">
        <v>1807</v>
      </c>
      <c r="G94">
        <v>4</v>
      </c>
      <c r="H94" s="10">
        <f>IF(ISBLANK(ESales_DB[[#This Row],[Quantity]]),AVERAGEIF(ESales_DB[Product_ID],ESales_DB[[#This Row],[Product_ID]],ESales_DB[Quantity]),ESales_DB[[#This Row],[Quantity]])</f>
        <v>4</v>
      </c>
      <c r="I94" s="2">
        <v>127.58</v>
      </c>
      <c r="J94">
        <v>0.15</v>
      </c>
      <c r="K94" t="s">
        <v>1824</v>
      </c>
      <c r="L94" s="2">
        <v>433.77199999999999</v>
      </c>
      <c r="M94" s="2" t="str">
        <f>IF(ESales_DB[[#This Row],[Total_Amount]]&gt;1000,"High","Low")</f>
        <v>Low</v>
      </c>
      <c r="N94" s="2" t="str">
        <f>VLOOKUP(ESales_DB[[#This Row],[Customer_ID]],Ecustom_DB[],3,FALSE)</f>
        <v>Sarah Rodgers</v>
      </c>
      <c r="O94" s="2" t="str">
        <f>_xlfn.XLOOKUP(ESales_DB[[#This Row],[Product_ID]],Eproduct_DB[Product_ID],Eproduct_DB[Category])</f>
        <v>Clothing</v>
      </c>
      <c r="P94" s="2" t="str">
        <f>_xlfn.XLOOKUP(ESales_DB[[#This Row],[Product_ID]],Eproduct_DB[Product_ID],Eproduct_DB[Product_Name])</f>
        <v>Women's Casual Hoodie</v>
      </c>
      <c r="Q94" s="2" t="str">
        <f>_xlfn.XLOOKUP(ESales_DB[[#This Row],[Store_ID]],Estore_DB[Store_ID],Estore_DB[Region])</f>
        <v>North</v>
      </c>
      <c r="R94" t="str">
        <f>VLOOKUP(ESales_DB[[#This Row],[Customer_ID]],Ecustom_DB[],10,FALSE)</f>
        <v>Gold</v>
      </c>
      <c r="S94" t="str">
        <f>IF(ESales_DB[[#This Row],[Quantity1]]&gt;3,"Bulk order","Normal order")</f>
        <v>Bulk order</v>
      </c>
    </row>
    <row r="95" spans="1:19" x14ac:dyDescent="0.3">
      <c r="A95" t="s">
        <v>2907</v>
      </c>
      <c r="B95" s="4">
        <v>45702</v>
      </c>
      <c r="C95" s="4" t="str">
        <f>TEXT(ESales_DB[[#This Row],[Order_Date]],"mmm")</f>
        <v>Feb</v>
      </c>
      <c r="D95" t="s">
        <v>1298</v>
      </c>
      <c r="E95" t="s">
        <v>1636</v>
      </c>
      <c r="F95" t="s">
        <v>1766</v>
      </c>
      <c r="G95">
        <v>1</v>
      </c>
      <c r="H95" s="10">
        <f>IF(ISBLANK(ESales_DB[[#This Row],[Quantity]]),AVERAGEIF(ESales_DB[Product_ID],ESales_DB[[#This Row],[Product_ID]],ESales_DB[Quantity]),ESales_DB[[#This Row],[Quantity]])</f>
        <v>1</v>
      </c>
      <c r="I95" s="2">
        <v>793.21</v>
      </c>
      <c r="J95">
        <v>0.09</v>
      </c>
      <c r="K95" t="s">
        <v>1824</v>
      </c>
      <c r="L95" s="2">
        <v>721.8211</v>
      </c>
      <c r="M95" s="2" t="str">
        <f>IF(ESales_DB[[#This Row],[Total_Amount]]&gt;1000,"High","Low")</f>
        <v>Low</v>
      </c>
      <c r="N95" s="2" t="str">
        <f>VLOOKUP(ESales_DB[[#This Row],[Customer_ID]],Ecustom_DB[],3,FALSE)</f>
        <v>Luke Parks</v>
      </c>
      <c r="O95" s="2" t="str">
        <f>_xlfn.XLOOKUP(ESales_DB[[#This Row],[Product_ID]],Eproduct_DB[Product_ID],Eproduct_DB[Category])</f>
        <v>Sports</v>
      </c>
      <c r="P95" s="2" t="str">
        <f>_xlfn.XLOOKUP(ESales_DB[[#This Row],[Product_ID]],Eproduct_DB[Product_ID],Eproduct_DB[Product_Name])</f>
        <v>Adjustable Jump Rope</v>
      </c>
      <c r="Q95" s="2" t="str">
        <f>_xlfn.XLOOKUP(ESales_DB[[#This Row],[Store_ID]],Estore_DB[Store_ID],Estore_DB[Region])</f>
        <v>North</v>
      </c>
      <c r="R95" t="str">
        <f>VLOOKUP(ESales_DB[[#This Row],[Customer_ID]],Ecustom_DB[],10,FALSE)</f>
        <v>Silver</v>
      </c>
      <c r="S95" t="str">
        <f>IF(ESales_DB[[#This Row],[Quantity1]]&gt;3,"Bulk order","Normal order")</f>
        <v>Normal order</v>
      </c>
    </row>
    <row r="96" spans="1:19" x14ac:dyDescent="0.3">
      <c r="A96" t="s">
        <v>2908</v>
      </c>
      <c r="B96" s="4">
        <v>45871</v>
      </c>
      <c r="C96" s="4" t="str">
        <f>TEXT(ESales_DB[[#This Row],[Order_Date]],"mmm")</f>
        <v>Aug</v>
      </c>
      <c r="D96" t="s">
        <v>951</v>
      </c>
      <c r="E96" t="s">
        <v>1714</v>
      </c>
      <c r="F96" t="s">
        <v>1794</v>
      </c>
      <c r="G96">
        <v>3</v>
      </c>
      <c r="H96" s="10">
        <f>IF(ISBLANK(ESales_DB[[#This Row],[Quantity]]),AVERAGEIF(ESales_DB[Product_ID],ESales_DB[[#This Row],[Product_ID]],ESales_DB[Quantity]),ESales_DB[[#This Row],[Quantity]])</f>
        <v>3</v>
      </c>
      <c r="I96" s="2">
        <v>435.61</v>
      </c>
      <c r="J96">
        <v>0.03</v>
      </c>
      <c r="K96" t="s">
        <v>1826</v>
      </c>
      <c r="L96" s="2">
        <v>1267.6251</v>
      </c>
      <c r="M96" s="2" t="str">
        <f>IF(ESales_DB[[#This Row],[Total_Amount]]&gt;1000,"High","Low")</f>
        <v>High</v>
      </c>
      <c r="N96" s="2" t="str">
        <f>VLOOKUP(ESales_DB[[#This Row],[Customer_ID]],Ecustom_DB[],3,FALSE)</f>
        <v>Ryan Kane</v>
      </c>
      <c r="O96" s="2" t="str">
        <f>_xlfn.XLOOKUP(ESales_DB[[#This Row],[Product_ID]],Eproduct_DB[Product_ID],Eproduct_DB[Category])</f>
        <v>Beauty</v>
      </c>
      <c r="P96" s="2" t="str">
        <f>_xlfn.XLOOKUP(ESales_DB[[#This Row],[Product_ID]],Eproduct_DB[Product_ID],Eproduct_DB[Product_Name])</f>
        <v>Hydrating Face Cleanser</v>
      </c>
      <c r="Q96" s="2" t="str">
        <f>_xlfn.XLOOKUP(ESales_DB[[#This Row],[Store_ID]],Estore_DB[Store_ID],Estore_DB[Region])</f>
        <v>North</v>
      </c>
      <c r="R96" t="str">
        <f>VLOOKUP(ESales_DB[[#This Row],[Customer_ID]],Ecustom_DB[],10,FALSE)</f>
        <v>Gold</v>
      </c>
      <c r="S96" t="str">
        <f>IF(ESales_DB[[#This Row],[Quantity1]]&gt;3,"Bulk order","Normal order")</f>
        <v>Normal order</v>
      </c>
    </row>
    <row r="97" spans="1:19" x14ac:dyDescent="0.3">
      <c r="A97" t="s">
        <v>2909</v>
      </c>
      <c r="B97" s="4">
        <v>45531</v>
      </c>
      <c r="C97" s="4" t="str">
        <f>TEXT(ESales_DB[[#This Row],[Order_Date]],"mmm")</f>
        <v>Aug</v>
      </c>
      <c r="D97" t="s">
        <v>1202</v>
      </c>
      <c r="E97" t="s">
        <v>1606</v>
      </c>
      <c r="F97" t="s">
        <v>1804</v>
      </c>
      <c r="G97">
        <v>1</v>
      </c>
      <c r="H97" s="10">
        <f>IF(ISBLANK(ESales_DB[[#This Row],[Quantity]]),AVERAGEIF(ESales_DB[Product_ID],ESales_DB[[#This Row],[Product_ID]],ESales_DB[Quantity]),ESales_DB[[#This Row],[Quantity]])</f>
        <v>1</v>
      </c>
      <c r="I97" s="2">
        <v>850.06</v>
      </c>
      <c r="J97">
        <v>0.28999999999999998</v>
      </c>
      <c r="K97" t="s">
        <v>1826</v>
      </c>
      <c r="L97" s="2">
        <v>603.54259999999988</v>
      </c>
      <c r="M97" s="2" t="str">
        <f>IF(ESales_DB[[#This Row],[Total_Amount]]&gt;1000,"High","Low")</f>
        <v>Low</v>
      </c>
      <c r="N97" s="2" t="str">
        <f>VLOOKUP(ESales_DB[[#This Row],[Customer_ID]],Ecustom_DB[],3,FALSE)</f>
        <v>Tammy Brennan</v>
      </c>
      <c r="O97" s="2" t="str">
        <f>_xlfn.XLOOKUP(ESales_DB[[#This Row],[Product_ID]],Eproduct_DB[Product_ID],Eproduct_DB[Category])</f>
        <v>Home</v>
      </c>
      <c r="P97" s="2" t="str">
        <f>_xlfn.XLOOKUP(ESales_DB[[#This Row],[Product_ID]],Eproduct_DB[Product_ID],Eproduct_DB[Product_Name])</f>
        <v>Fabric Sofa Throw Blanket</v>
      </c>
      <c r="Q97" s="2" t="str">
        <f>_xlfn.XLOOKUP(ESales_DB[[#This Row],[Store_ID]],Estore_DB[Store_ID],Estore_DB[Region])</f>
        <v>West</v>
      </c>
      <c r="R97" t="str">
        <f>VLOOKUP(ESales_DB[[#This Row],[Customer_ID]],Ecustom_DB[],10,FALSE)</f>
        <v>Gold</v>
      </c>
      <c r="S97" t="str">
        <f>IF(ESales_DB[[#This Row],[Quantity1]]&gt;3,"Bulk order","Normal order")</f>
        <v>Normal order</v>
      </c>
    </row>
    <row r="98" spans="1:19" x14ac:dyDescent="0.3">
      <c r="A98" t="s">
        <v>2910</v>
      </c>
      <c r="B98" s="4">
        <v>45330</v>
      </c>
      <c r="C98" s="4" t="str">
        <f>TEXT(ESales_DB[[#This Row],[Order_Date]],"mmm")</f>
        <v>Feb</v>
      </c>
      <c r="D98" t="s">
        <v>1089</v>
      </c>
      <c r="E98" t="s">
        <v>1580</v>
      </c>
      <c r="F98" t="s">
        <v>1804</v>
      </c>
      <c r="G98">
        <v>2</v>
      </c>
      <c r="H98" s="10">
        <f>IF(ISBLANK(ESales_DB[[#This Row],[Quantity]]),AVERAGEIF(ESales_DB[Product_ID],ESales_DB[[#This Row],[Product_ID]],ESales_DB[Quantity]),ESales_DB[[#This Row],[Quantity]])</f>
        <v>2</v>
      </c>
      <c r="I98" s="2">
        <v>753.92</v>
      </c>
      <c r="J98">
        <v>0.17</v>
      </c>
      <c r="K98" t="s">
        <v>1826</v>
      </c>
      <c r="L98" s="2">
        <v>1251.5072</v>
      </c>
      <c r="M98" s="2" t="str">
        <f>IF(ESales_DB[[#This Row],[Total_Amount]]&gt;1000,"High","Low")</f>
        <v>High</v>
      </c>
      <c r="N98" s="2" t="str">
        <f>VLOOKUP(ESales_DB[[#This Row],[Customer_ID]],Ecustom_DB[],3,FALSE)</f>
        <v>Justin Mason Dds</v>
      </c>
      <c r="O98" s="2" t="str">
        <f>_xlfn.XLOOKUP(ESales_DB[[#This Row],[Product_ID]],Eproduct_DB[Product_ID],Eproduct_DB[Category])</f>
        <v>Beauty</v>
      </c>
      <c r="P98" s="2" t="str">
        <f>_xlfn.XLOOKUP(ESales_DB[[#This Row],[Product_ID]],Eproduct_DB[Product_ID],Eproduct_DB[Product_Name])</f>
        <v>Beard Grooming Kit</v>
      </c>
      <c r="Q98" s="2" t="str">
        <f>_xlfn.XLOOKUP(ESales_DB[[#This Row],[Store_ID]],Estore_DB[Store_ID],Estore_DB[Region])</f>
        <v>West</v>
      </c>
      <c r="R98" t="str">
        <f>VLOOKUP(ESales_DB[[#This Row],[Customer_ID]],Ecustom_DB[],10,FALSE)</f>
        <v>Gold</v>
      </c>
      <c r="S98" t="str">
        <f>IF(ESales_DB[[#This Row],[Quantity1]]&gt;3,"Bulk order","Normal order")</f>
        <v>Normal order</v>
      </c>
    </row>
    <row r="99" spans="1:19" x14ac:dyDescent="0.3">
      <c r="A99" t="s">
        <v>2911</v>
      </c>
      <c r="B99" s="4">
        <v>45311</v>
      </c>
      <c r="C99" s="4" t="str">
        <f>TEXT(ESales_DB[[#This Row],[Order_Date]],"mmm")</f>
        <v>Jan</v>
      </c>
      <c r="D99" t="s">
        <v>1501</v>
      </c>
      <c r="E99" t="s">
        <v>1553</v>
      </c>
      <c r="F99" t="s">
        <v>1797</v>
      </c>
      <c r="G99">
        <v>3</v>
      </c>
      <c r="H99" s="10">
        <f>IF(ISBLANK(ESales_DB[[#This Row],[Quantity]]),AVERAGEIF(ESales_DB[Product_ID],ESales_DB[[#This Row],[Product_ID]],ESales_DB[Quantity]),ESales_DB[[#This Row],[Quantity]])</f>
        <v>3</v>
      </c>
      <c r="I99" s="2">
        <v>408.99</v>
      </c>
      <c r="J99">
        <v>0.27</v>
      </c>
      <c r="K99" t="s">
        <v>1826</v>
      </c>
      <c r="L99" s="2">
        <v>895.68809999999996</v>
      </c>
      <c r="M99" s="2" t="str">
        <f>IF(ESales_DB[[#This Row],[Total_Amount]]&gt;1000,"High","Low")</f>
        <v>Low</v>
      </c>
      <c r="N99" s="2" t="str">
        <f>VLOOKUP(ESales_DB[[#This Row],[Customer_ID]],Ecustom_DB[],3,FALSE)</f>
        <v>Zachary Andrade</v>
      </c>
      <c r="O99" s="2" t="str">
        <f>_xlfn.XLOOKUP(ESales_DB[[#This Row],[Product_ID]],Eproduct_DB[Product_ID],Eproduct_DB[Category])</f>
        <v>Clothing</v>
      </c>
      <c r="P99" s="2" t="str">
        <f>_xlfn.XLOOKUP(ESales_DB[[#This Row],[Product_ID]],Eproduct_DB[Product_ID],Eproduct_DB[Product_Name])</f>
        <v>Women's Yoga Pants</v>
      </c>
      <c r="Q99" s="2" t="str">
        <f>_xlfn.XLOOKUP(ESales_DB[[#This Row],[Store_ID]],Estore_DB[Store_ID],Estore_DB[Region])</f>
        <v>East</v>
      </c>
      <c r="R99" t="str">
        <f>VLOOKUP(ESales_DB[[#This Row],[Customer_ID]],Ecustom_DB[],10,FALSE)</f>
        <v>Platinum</v>
      </c>
      <c r="S99" t="str">
        <f>IF(ESales_DB[[#This Row],[Quantity1]]&gt;3,"Bulk order","Normal order")</f>
        <v>Normal order</v>
      </c>
    </row>
    <row r="100" spans="1:19" x14ac:dyDescent="0.3">
      <c r="A100" t="s">
        <v>2912</v>
      </c>
      <c r="B100" s="4">
        <v>45567</v>
      </c>
      <c r="C100" s="4" t="str">
        <f>TEXT(ESales_DB[[#This Row],[Order_Date]],"mmm")</f>
        <v>Oct</v>
      </c>
      <c r="D100" t="s">
        <v>905</v>
      </c>
      <c r="E100" t="s">
        <v>1662</v>
      </c>
      <c r="F100" t="s">
        <v>1773</v>
      </c>
      <c r="G100">
        <v>3</v>
      </c>
      <c r="H100" s="10">
        <f>IF(ISBLANK(ESales_DB[[#This Row],[Quantity]]),AVERAGEIF(ESales_DB[Product_ID],ESales_DB[[#This Row],[Product_ID]],ESales_DB[Quantity]),ESales_DB[[#This Row],[Quantity]])</f>
        <v>3</v>
      </c>
      <c r="I100" s="2">
        <v>404.5</v>
      </c>
      <c r="J100">
        <v>0.22</v>
      </c>
      <c r="K100" t="s">
        <v>1826</v>
      </c>
      <c r="L100" s="2">
        <v>946.53000000000009</v>
      </c>
      <c r="M100" s="2" t="str">
        <f>IF(ESales_DB[[#This Row],[Total_Amount]]&gt;1000,"High","Low")</f>
        <v>Low</v>
      </c>
      <c r="N100" s="2" t="str">
        <f>VLOOKUP(ESales_DB[[#This Row],[Customer_ID]],Ecustom_DB[],3,FALSE)</f>
        <v>Donna Guerra</v>
      </c>
      <c r="O100" s="2" t="str">
        <f>_xlfn.XLOOKUP(ESales_DB[[#This Row],[Product_ID]],Eproduct_DB[Product_ID],Eproduct_DB[Category])</f>
        <v>Sports</v>
      </c>
      <c r="P100" s="2" t="str">
        <f>_xlfn.XLOOKUP(ESales_DB[[#This Row],[Product_ID]],Eproduct_DB[Product_ID],Eproduct_DB[Product_Name])</f>
        <v>Foam Roller</v>
      </c>
      <c r="Q100" s="2" t="str">
        <f>_xlfn.XLOOKUP(ESales_DB[[#This Row],[Store_ID]],Estore_DB[Store_ID],Estore_DB[Region])</f>
        <v>North</v>
      </c>
      <c r="R100" t="str">
        <f>VLOOKUP(ESales_DB[[#This Row],[Customer_ID]],Ecustom_DB[],10,FALSE)</f>
        <v>Silver</v>
      </c>
      <c r="S100" t="str">
        <f>IF(ESales_DB[[#This Row],[Quantity1]]&gt;3,"Bulk order","Normal order")</f>
        <v>Normal order</v>
      </c>
    </row>
    <row r="101" spans="1:19" x14ac:dyDescent="0.3">
      <c r="A101" t="s">
        <v>2913</v>
      </c>
      <c r="B101" s="4">
        <v>45239</v>
      </c>
      <c r="C101" s="4" t="str">
        <f>TEXT(ESales_DB[[#This Row],[Order_Date]],"mmm")</f>
        <v>Nov</v>
      </c>
      <c r="D101" t="s">
        <v>1187</v>
      </c>
      <c r="E101" t="s">
        <v>1626</v>
      </c>
      <c r="F101" t="s">
        <v>1766</v>
      </c>
      <c r="G101">
        <v>3</v>
      </c>
      <c r="H101" s="10">
        <f>IF(ISBLANK(ESales_DB[[#This Row],[Quantity]]),AVERAGEIF(ESales_DB[Product_ID],ESales_DB[[#This Row],[Product_ID]],ESales_DB[Quantity]),ESales_DB[[#This Row],[Quantity]])</f>
        <v>3</v>
      </c>
      <c r="I101" s="2">
        <v>717.81</v>
      </c>
      <c r="J101">
        <v>0.17</v>
      </c>
      <c r="K101" t="s">
        <v>1829</v>
      </c>
      <c r="L101" s="2">
        <v>1787.3469</v>
      </c>
      <c r="M101" s="2" t="str">
        <f>IF(ESales_DB[[#This Row],[Total_Amount]]&gt;1000,"High","Low")</f>
        <v>High</v>
      </c>
      <c r="N101" s="2" t="str">
        <f>VLOOKUP(ESales_DB[[#This Row],[Customer_ID]],Ecustom_DB[],3,FALSE)</f>
        <v>Shelley Ponce</v>
      </c>
      <c r="O101" s="2" t="str">
        <f>_xlfn.XLOOKUP(ESales_DB[[#This Row],[Product_ID]],Eproduct_DB[Product_ID],Eproduct_DB[Category])</f>
        <v>Electronics</v>
      </c>
      <c r="P101" s="2" t="str">
        <f>_xlfn.XLOOKUP(ESales_DB[[#This Row],[Product_ID]],Eproduct_DB[Product_ID],Eproduct_DB[Product_Name])</f>
        <v>Portable Power Bank</v>
      </c>
      <c r="Q101" s="2" t="str">
        <f>_xlfn.XLOOKUP(ESales_DB[[#This Row],[Store_ID]],Estore_DB[Store_ID],Estore_DB[Region])</f>
        <v>North</v>
      </c>
      <c r="R101" t="str">
        <f>VLOOKUP(ESales_DB[[#This Row],[Customer_ID]],Ecustom_DB[],10,FALSE)</f>
        <v>Gold</v>
      </c>
      <c r="S101" t="str">
        <f>IF(ESales_DB[[#This Row],[Quantity1]]&gt;3,"Bulk order","Normal order")</f>
        <v>Normal order</v>
      </c>
    </row>
    <row r="102" spans="1:19" x14ac:dyDescent="0.3">
      <c r="A102" t="s">
        <v>2914</v>
      </c>
      <c r="B102" s="4">
        <v>45284</v>
      </c>
      <c r="C102" s="4" t="str">
        <f>TEXT(ESales_DB[[#This Row],[Order_Date]],"mmm")</f>
        <v>Dec</v>
      </c>
      <c r="D102" t="s">
        <v>803</v>
      </c>
      <c r="E102" t="s">
        <v>1716</v>
      </c>
      <c r="F102" t="s">
        <v>1757</v>
      </c>
      <c r="G102">
        <v>3</v>
      </c>
      <c r="H102" s="10">
        <f>IF(ISBLANK(ESales_DB[[#This Row],[Quantity]]),AVERAGEIF(ESales_DB[Product_ID],ESales_DB[[#This Row],[Product_ID]],ESales_DB[Quantity]),ESales_DB[[#This Row],[Quantity]])</f>
        <v>3</v>
      </c>
      <c r="I102" s="2">
        <v>204.77</v>
      </c>
      <c r="J102">
        <v>0.14000000000000001</v>
      </c>
      <c r="K102" t="s">
        <v>1824</v>
      </c>
      <c r="L102" s="2">
        <v>528.3066</v>
      </c>
      <c r="M102" s="2" t="str">
        <f>IF(ESales_DB[[#This Row],[Total_Amount]]&gt;1000,"High","Low")</f>
        <v>Low</v>
      </c>
      <c r="N102" s="2" t="str">
        <f>VLOOKUP(ESales_DB[[#This Row],[Customer_ID]],Ecustom_DB[],3,FALSE)</f>
        <v>Tyler Garner</v>
      </c>
      <c r="O102" s="2" t="str">
        <f>_xlfn.XLOOKUP(ESales_DB[[#This Row],[Product_ID]],Eproduct_DB[Product_ID],Eproduct_DB[Category])</f>
        <v>Home</v>
      </c>
      <c r="P102" s="2" t="str">
        <f>_xlfn.XLOOKUP(ESales_DB[[#This Row],[Product_ID]],Eproduct_DB[Product_ID],Eproduct_DB[Product_Name])</f>
        <v>Wooden Bookshelf</v>
      </c>
      <c r="Q102" s="2" t="str">
        <f>_xlfn.XLOOKUP(ESales_DB[[#This Row],[Store_ID]],Estore_DB[Store_ID],Estore_DB[Region])</f>
        <v>North</v>
      </c>
      <c r="R102" t="str">
        <f>VLOOKUP(ESales_DB[[#This Row],[Customer_ID]],Ecustom_DB[],10,FALSE)</f>
        <v>Silver</v>
      </c>
      <c r="S102" t="str">
        <f>IF(ESales_DB[[#This Row],[Quantity1]]&gt;3,"Bulk order","Normal order")</f>
        <v>Normal order</v>
      </c>
    </row>
    <row r="103" spans="1:19" x14ac:dyDescent="0.3">
      <c r="A103" t="s">
        <v>2915</v>
      </c>
      <c r="B103" s="4">
        <v>45686</v>
      </c>
      <c r="C103" s="4" t="str">
        <f>TEXT(ESales_DB[[#This Row],[Order_Date]],"mmm")</f>
        <v>Jan</v>
      </c>
      <c r="D103" t="s">
        <v>153</v>
      </c>
      <c r="E103" t="s">
        <v>1644</v>
      </c>
      <c r="F103" t="s">
        <v>1810</v>
      </c>
      <c r="G103">
        <v>4</v>
      </c>
      <c r="H103" s="10">
        <f>IF(ISBLANK(ESales_DB[[#This Row],[Quantity]]),AVERAGEIF(ESales_DB[Product_ID],ESales_DB[[#This Row],[Product_ID]],ESales_DB[Quantity]),ESales_DB[[#This Row],[Quantity]])</f>
        <v>4</v>
      </c>
      <c r="I103" s="2">
        <v>106.23</v>
      </c>
      <c r="J103">
        <v>0.28000000000000003</v>
      </c>
      <c r="K103" t="s">
        <v>1829</v>
      </c>
      <c r="L103" s="2">
        <v>305.94240000000002</v>
      </c>
      <c r="M103" s="2" t="str">
        <f>IF(ESales_DB[[#This Row],[Total_Amount]]&gt;1000,"High","Low")</f>
        <v>Low</v>
      </c>
      <c r="N103" s="2" t="str">
        <f>VLOOKUP(ESales_DB[[#This Row],[Customer_ID]],Ecustom_DB[],3,FALSE)</f>
        <v>Tonya Reynolds</v>
      </c>
      <c r="O103" s="2" t="str">
        <f>_xlfn.XLOOKUP(ESales_DB[[#This Row],[Product_ID]],Eproduct_DB[Product_ID],Eproduct_DB[Category])</f>
        <v>Electronics</v>
      </c>
      <c r="P103" s="2" t="str">
        <f>_xlfn.XLOOKUP(ESales_DB[[#This Row],[Product_ID]],Eproduct_DB[Product_ID],Eproduct_DB[Product_Name])</f>
        <v>Car Dashboard Phone Holder</v>
      </c>
      <c r="Q103" s="2" t="str">
        <f>_xlfn.XLOOKUP(ESales_DB[[#This Row],[Store_ID]],Estore_DB[Store_ID],Estore_DB[Region])</f>
        <v>East</v>
      </c>
      <c r="R103" t="str">
        <f>VLOOKUP(ESales_DB[[#This Row],[Customer_ID]],Ecustom_DB[],10,FALSE)</f>
        <v>Gold</v>
      </c>
      <c r="S103" t="str">
        <f>IF(ESales_DB[[#This Row],[Quantity1]]&gt;3,"Bulk order","Normal order")</f>
        <v>Bulk order</v>
      </c>
    </row>
    <row r="104" spans="1:19" x14ac:dyDescent="0.3">
      <c r="A104" t="s">
        <v>1935</v>
      </c>
      <c r="B104" s="4">
        <v>45738</v>
      </c>
      <c r="C104" s="4" t="str">
        <f>TEXT(ESales_DB[[#This Row],[Order_Date]],"mmm")</f>
        <v>Mar</v>
      </c>
      <c r="D104" t="s">
        <v>696</v>
      </c>
      <c r="E104" t="s">
        <v>1730</v>
      </c>
      <c r="F104" t="s">
        <v>1752</v>
      </c>
      <c r="G104">
        <v>3</v>
      </c>
      <c r="H104" s="10">
        <f>IF(ISBLANK(ESales_DB[[#This Row],[Quantity]]),AVERAGEIF(ESales_DB[Product_ID],ESales_DB[[#This Row],[Product_ID]],ESales_DB[Quantity]),ESales_DB[[#This Row],[Quantity]])</f>
        <v>3</v>
      </c>
      <c r="I104" s="2">
        <v>376.46</v>
      </c>
      <c r="J104">
        <v>0.09</v>
      </c>
      <c r="K104" t="s">
        <v>1829</v>
      </c>
      <c r="L104" s="2">
        <v>1027.7357999999999</v>
      </c>
      <c r="M104" s="2" t="str">
        <f>IF(ESales_DB[[#This Row],[Total_Amount]]&gt;1000,"High","Low")</f>
        <v>High</v>
      </c>
      <c r="N104" s="2" t="str">
        <f>VLOOKUP(ESales_DB[[#This Row],[Customer_ID]],Ecustom_DB[],3,FALSE)</f>
        <v>Eric Todd</v>
      </c>
      <c r="O104" s="2" t="str">
        <f>_xlfn.XLOOKUP(ESales_DB[[#This Row],[Product_ID]],Eproduct_DB[Product_ID],Eproduct_DB[Category])</f>
        <v>Clothing</v>
      </c>
      <c r="P104" s="2" t="str">
        <f>_xlfn.XLOOKUP(ESales_DB[[#This Row],[Product_ID]],Eproduct_DB[Product_ID],Eproduct_DB[Product_Name])</f>
        <v>Women's High Heels</v>
      </c>
      <c r="Q104" s="2" t="str">
        <f>_xlfn.XLOOKUP(ESales_DB[[#This Row],[Store_ID]],Estore_DB[Store_ID],Estore_DB[Region])</f>
        <v>East</v>
      </c>
      <c r="R104" t="str">
        <f>VLOOKUP(ESales_DB[[#This Row],[Customer_ID]],Ecustom_DB[],10,FALSE)</f>
        <v>Gold</v>
      </c>
      <c r="S104" t="str">
        <f>IF(ESales_DB[[#This Row],[Quantity1]]&gt;3,"Bulk order","Normal order")</f>
        <v>Normal order</v>
      </c>
    </row>
    <row r="105" spans="1:19" x14ac:dyDescent="0.3">
      <c r="A105" t="s">
        <v>2916</v>
      </c>
      <c r="B105" s="4">
        <v>45824</v>
      </c>
      <c r="C105" s="4" t="str">
        <f>TEXT(ESales_DB[[#This Row],[Order_Date]],"mmm")</f>
        <v>Jun</v>
      </c>
      <c r="D105" t="s">
        <v>1023</v>
      </c>
      <c r="E105" t="s">
        <v>1680</v>
      </c>
      <c r="F105" t="s">
        <v>1773</v>
      </c>
      <c r="G105">
        <v>2</v>
      </c>
      <c r="H105" s="10">
        <f>IF(ISBLANK(ESales_DB[[#This Row],[Quantity]]),AVERAGEIF(ESales_DB[Product_ID],ESales_DB[[#This Row],[Product_ID]],ESales_DB[Quantity]),ESales_DB[[#This Row],[Quantity]])</f>
        <v>2</v>
      </c>
      <c r="I105" s="2">
        <v>769.48</v>
      </c>
      <c r="J105">
        <v>0.11</v>
      </c>
      <c r="K105" t="s">
        <v>1826</v>
      </c>
      <c r="L105" s="2">
        <v>1369.6744000000001</v>
      </c>
      <c r="M105" s="2" t="str">
        <f>IF(ESales_DB[[#This Row],[Total_Amount]]&gt;1000,"High","Low")</f>
        <v>High</v>
      </c>
      <c r="N105" s="2" t="str">
        <f>VLOOKUP(ESales_DB[[#This Row],[Customer_ID]],Ecustom_DB[],3,FALSE)</f>
        <v>Andrew Smith</v>
      </c>
      <c r="O105" s="2" t="str">
        <f>_xlfn.XLOOKUP(ESales_DB[[#This Row],[Product_ID]],Eproduct_DB[Product_ID],Eproduct_DB[Category])</f>
        <v>Beauty</v>
      </c>
      <c r="P105" s="2" t="str">
        <f>_xlfn.XLOOKUP(ESales_DB[[#This Row],[Product_ID]],Eproduct_DB[Product_ID],Eproduct_DB[Product_Name])</f>
        <v>Women's Hair Dryer Brush</v>
      </c>
      <c r="Q105" s="2" t="str">
        <f>_xlfn.XLOOKUP(ESales_DB[[#This Row],[Store_ID]],Estore_DB[Store_ID],Estore_DB[Region])</f>
        <v>North</v>
      </c>
      <c r="R105" t="str">
        <f>VLOOKUP(ESales_DB[[#This Row],[Customer_ID]],Ecustom_DB[],10,FALSE)</f>
        <v>Bronze</v>
      </c>
      <c r="S105" t="str">
        <f>IF(ESales_DB[[#This Row],[Quantity1]]&gt;3,"Bulk order","Normal order")</f>
        <v>Normal order</v>
      </c>
    </row>
    <row r="106" spans="1:19" x14ac:dyDescent="0.3">
      <c r="A106" t="s">
        <v>2917</v>
      </c>
      <c r="B106" s="4">
        <v>45867</v>
      </c>
      <c r="C106" s="4" t="str">
        <f>TEXT(ESales_DB[[#This Row],[Order_Date]],"mmm")</f>
        <v>Jul</v>
      </c>
      <c r="D106" t="s">
        <v>815</v>
      </c>
      <c r="E106" t="s">
        <v>1662</v>
      </c>
      <c r="F106" t="s">
        <v>1797</v>
      </c>
      <c r="G106">
        <v>2</v>
      </c>
      <c r="H106" s="10">
        <f>IF(ISBLANK(ESales_DB[[#This Row],[Quantity]]),AVERAGEIF(ESales_DB[Product_ID],ESales_DB[[#This Row],[Product_ID]],ESales_DB[Quantity]),ESales_DB[[#This Row],[Quantity]])</f>
        <v>2</v>
      </c>
      <c r="I106" s="2">
        <v>714.21</v>
      </c>
      <c r="J106">
        <v>0.14000000000000001</v>
      </c>
      <c r="K106" t="s">
        <v>1824</v>
      </c>
      <c r="L106" s="2">
        <v>1228.4412</v>
      </c>
      <c r="M106" s="2" t="str">
        <f>IF(ESales_DB[[#This Row],[Total_Amount]]&gt;1000,"High","Low")</f>
        <v>High</v>
      </c>
      <c r="N106" s="2" t="str">
        <f>VLOOKUP(ESales_DB[[#This Row],[Customer_ID]],Ecustom_DB[],3,FALSE)</f>
        <v>Damon Perez</v>
      </c>
      <c r="O106" s="2" t="str">
        <f>_xlfn.XLOOKUP(ESales_DB[[#This Row],[Product_ID]],Eproduct_DB[Product_ID],Eproduct_DB[Category])</f>
        <v>Sports</v>
      </c>
      <c r="P106" s="2" t="str">
        <f>_xlfn.XLOOKUP(ESales_DB[[#This Row],[Product_ID]],Eproduct_DB[Product_ID],Eproduct_DB[Product_Name])</f>
        <v>Foam Roller</v>
      </c>
      <c r="Q106" s="2" t="str">
        <f>_xlfn.XLOOKUP(ESales_DB[[#This Row],[Store_ID]],Estore_DB[Store_ID],Estore_DB[Region])</f>
        <v>East</v>
      </c>
      <c r="R106" t="str">
        <f>VLOOKUP(ESales_DB[[#This Row],[Customer_ID]],Ecustom_DB[],10,FALSE)</f>
        <v>Gold</v>
      </c>
      <c r="S106" t="str">
        <f>IF(ESales_DB[[#This Row],[Quantity1]]&gt;3,"Bulk order","Normal order")</f>
        <v>Normal order</v>
      </c>
    </row>
    <row r="107" spans="1:19" x14ac:dyDescent="0.3">
      <c r="A107" t="s">
        <v>2918</v>
      </c>
      <c r="B107" s="4">
        <v>45578</v>
      </c>
      <c r="C107" s="4" t="str">
        <f>TEXT(ESales_DB[[#This Row],[Order_Date]],"mmm")</f>
        <v>Oct</v>
      </c>
      <c r="D107" t="s">
        <v>863</v>
      </c>
      <c r="E107" t="s">
        <v>1570</v>
      </c>
      <c r="F107" t="s">
        <v>1801</v>
      </c>
      <c r="G107">
        <v>4</v>
      </c>
      <c r="H107" s="10">
        <f>IF(ISBLANK(ESales_DB[[#This Row],[Quantity]]),AVERAGEIF(ESales_DB[Product_ID],ESales_DB[[#This Row],[Product_ID]],ESales_DB[Quantity]),ESales_DB[[#This Row],[Quantity]])</f>
        <v>4</v>
      </c>
      <c r="I107" s="2">
        <v>632.24</v>
      </c>
      <c r="J107">
        <v>0.25</v>
      </c>
      <c r="K107" t="s">
        <v>1826</v>
      </c>
      <c r="L107" s="2">
        <v>1896.72</v>
      </c>
      <c r="M107" s="2" t="str">
        <f>IF(ESales_DB[[#This Row],[Total_Amount]]&gt;1000,"High","Low")</f>
        <v>High</v>
      </c>
      <c r="N107" s="2" t="str">
        <f>VLOOKUP(ESales_DB[[#This Row],[Customer_ID]],Ecustom_DB[],3,FALSE)</f>
        <v>Daisy Johnson Dds</v>
      </c>
      <c r="O107" s="2" t="str">
        <f>_xlfn.XLOOKUP(ESales_DB[[#This Row],[Product_ID]],Eproduct_DB[Product_ID],Eproduct_DB[Category])</f>
        <v>Electronics</v>
      </c>
      <c r="P107" s="2" t="str">
        <f>_xlfn.XLOOKUP(ESales_DB[[#This Row],[Product_ID]],Eproduct_DB[Product_ID],Eproduct_DB[Product_Name])</f>
        <v>HD Smart TV Stick</v>
      </c>
      <c r="Q107" s="2" t="str">
        <f>_xlfn.XLOOKUP(ESales_DB[[#This Row],[Store_ID]],Estore_DB[Store_ID],Estore_DB[Region])</f>
        <v>North</v>
      </c>
      <c r="R107" t="str">
        <f>VLOOKUP(ESales_DB[[#This Row],[Customer_ID]],Ecustom_DB[],10,FALSE)</f>
        <v>Platinum</v>
      </c>
      <c r="S107" t="str">
        <f>IF(ESales_DB[[#This Row],[Quantity1]]&gt;3,"Bulk order","Normal order")</f>
        <v>Bulk order</v>
      </c>
    </row>
    <row r="108" spans="1:19" x14ac:dyDescent="0.3">
      <c r="A108" t="s">
        <v>2919</v>
      </c>
      <c r="B108" s="4">
        <v>45575</v>
      </c>
      <c r="C108" s="4" t="str">
        <f>TEXT(ESales_DB[[#This Row],[Order_Date]],"mmm")</f>
        <v>Oct</v>
      </c>
      <c r="D108" t="s">
        <v>538</v>
      </c>
      <c r="E108" t="s">
        <v>1704</v>
      </c>
      <c r="F108" t="s">
        <v>1766</v>
      </c>
      <c r="G108">
        <v>2</v>
      </c>
      <c r="H108" s="10">
        <f>IF(ISBLANK(ESales_DB[[#This Row],[Quantity]]),AVERAGEIF(ESales_DB[Product_ID],ESales_DB[[#This Row],[Product_ID]],ESales_DB[Quantity]),ESales_DB[[#This Row],[Quantity]])</f>
        <v>2</v>
      </c>
      <c r="I108" s="2">
        <v>845.27</v>
      </c>
      <c r="J108">
        <v>0.18</v>
      </c>
      <c r="K108" t="s">
        <v>1826</v>
      </c>
      <c r="L108" s="2">
        <v>1386.2428</v>
      </c>
      <c r="M108" s="2" t="str">
        <f>IF(ESales_DB[[#This Row],[Total_Amount]]&gt;1000,"High","Low")</f>
        <v>High</v>
      </c>
      <c r="N108" s="2" t="str">
        <f>VLOOKUP(ESales_DB[[#This Row],[Customer_ID]],Ecustom_DB[],3,FALSE)</f>
        <v>Cynthia Morris</v>
      </c>
      <c r="O108" s="2" t="str">
        <f>_xlfn.XLOOKUP(ESales_DB[[#This Row],[Product_ID]],Eproduct_DB[Product_ID],Eproduct_DB[Category])</f>
        <v>Home</v>
      </c>
      <c r="P108" s="2" t="str">
        <f>_xlfn.XLOOKUP(ESales_DB[[#This Row],[Product_ID]],Eproduct_DB[Product_ID],Eproduct_DB[Product_Name])</f>
        <v>Essential Oil Diffuser</v>
      </c>
      <c r="Q108" s="2" t="str">
        <f>_xlfn.XLOOKUP(ESales_DB[[#This Row],[Store_ID]],Estore_DB[Store_ID],Estore_DB[Region])</f>
        <v>North</v>
      </c>
      <c r="R108" t="str">
        <f>VLOOKUP(ESales_DB[[#This Row],[Customer_ID]],Ecustom_DB[],10,FALSE)</f>
        <v>Silver</v>
      </c>
      <c r="S108" t="str">
        <f>IF(ESales_DB[[#This Row],[Quantity1]]&gt;3,"Bulk order","Normal order")</f>
        <v>Normal order</v>
      </c>
    </row>
    <row r="109" spans="1:19" x14ac:dyDescent="0.3">
      <c r="A109" t="s">
        <v>2920</v>
      </c>
      <c r="B109" s="4">
        <v>45816</v>
      </c>
      <c r="C109" s="4" t="str">
        <f>TEXT(ESales_DB[[#This Row],[Order_Date]],"mmm")</f>
        <v>Jun</v>
      </c>
      <c r="D109" t="s">
        <v>1527</v>
      </c>
      <c r="E109" t="s">
        <v>1722</v>
      </c>
      <c r="F109" t="s">
        <v>1797</v>
      </c>
      <c r="G109">
        <v>1</v>
      </c>
      <c r="H109" s="10">
        <f>IF(ISBLANK(ESales_DB[[#This Row],[Quantity]]),AVERAGEIF(ESales_DB[Product_ID],ESales_DB[[#This Row],[Product_ID]],ESales_DB[Quantity]),ESales_DB[[#This Row],[Quantity]])</f>
        <v>1</v>
      </c>
      <c r="I109" s="2">
        <v>575.94000000000005</v>
      </c>
      <c r="J109">
        <v>0.17</v>
      </c>
      <c r="K109" t="s">
        <v>1824</v>
      </c>
      <c r="L109" s="2">
        <v>478.03019999999998</v>
      </c>
      <c r="M109" s="2" t="str">
        <f>IF(ESales_DB[[#This Row],[Total_Amount]]&gt;1000,"High","Low")</f>
        <v>Low</v>
      </c>
      <c r="N109" s="2" t="str">
        <f>VLOOKUP(ESales_DB[[#This Row],[Customer_ID]],Ecustom_DB[],3,FALSE)</f>
        <v>Sarah Marsh</v>
      </c>
      <c r="O109" s="2" t="str">
        <f>_xlfn.XLOOKUP(ESales_DB[[#This Row],[Product_ID]],Eproduct_DB[Product_ID],Eproduct_DB[Category])</f>
        <v>Home</v>
      </c>
      <c r="P109" s="2" t="str">
        <f>_xlfn.XLOOKUP(ESales_DB[[#This Row],[Product_ID]],Eproduct_DB[Product_ID],Eproduct_DB[Product_Name])</f>
        <v>LED Bedside Lamp</v>
      </c>
      <c r="Q109" s="2" t="str">
        <f>_xlfn.XLOOKUP(ESales_DB[[#This Row],[Store_ID]],Estore_DB[Store_ID],Estore_DB[Region])</f>
        <v>East</v>
      </c>
      <c r="R109" t="str">
        <f>VLOOKUP(ESales_DB[[#This Row],[Customer_ID]],Ecustom_DB[],10,FALSE)</f>
        <v>Gold</v>
      </c>
      <c r="S109" t="str">
        <f>IF(ESales_DB[[#This Row],[Quantity1]]&gt;3,"Bulk order","Normal order")</f>
        <v>Normal order</v>
      </c>
    </row>
    <row r="110" spans="1:19" x14ac:dyDescent="0.3">
      <c r="A110" t="s">
        <v>2921</v>
      </c>
      <c r="B110" s="4">
        <v>45620</v>
      </c>
      <c r="C110" s="4" t="str">
        <f>TEXT(ESales_DB[[#This Row],[Order_Date]],"mmm")</f>
        <v>Nov</v>
      </c>
      <c r="D110" t="s">
        <v>803</v>
      </c>
      <c r="E110" t="s">
        <v>1716</v>
      </c>
      <c r="F110" t="s">
        <v>1801</v>
      </c>
      <c r="G110">
        <v>1</v>
      </c>
      <c r="H110" s="10">
        <f>IF(ISBLANK(ESales_DB[[#This Row],[Quantity]]),AVERAGEIF(ESales_DB[Product_ID],ESales_DB[[#This Row],[Product_ID]],ESales_DB[Quantity]),ESales_DB[[#This Row],[Quantity]])</f>
        <v>1</v>
      </c>
      <c r="I110" s="2">
        <v>907.97</v>
      </c>
      <c r="J110">
        <v>0.26</v>
      </c>
      <c r="K110" t="s">
        <v>1829</v>
      </c>
      <c r="L110" s="2">
        <v>671.89779999999996</v>
      </c>
      <c r="M110" s="2" t="str">
        <f>IF(ESales_DB[[#This Row],[Total_Amount]]&gt;1000,"High","Low")</f>
        <v>Low</v>
      </c>
      <c r="N110" s="2" t="str">
        <f>VLOOKUP(ESales_DB[[#This Row],[Customer_ID]],Ecustom_DB[],3,FALSE)</f>
        <v>Tyler Garner</v>
      </c>
      <c r="O110" s="2" t="str">
        <f>_xlfn.XLOOKUP(ESales_DB[[#This Row],[Product_ID]],Eproduct_DB[Product_ID],Eproduct_DB[Category])</f>
        <v>Home</v>
      </c>
      <c r="P110" s="2" t="str">
        <f>_xlfn.XLOOKUP(ESales_DB[[#This Row],[Product_ID]],Eproduct_DB[Product_ID],Eproduct_DB[Product_Name])</f>
        <v>Wooden Bookshelf</v>
      </c>
      <c r="Q110" s="2" t="str">
        <f>_xlfn.XLOOKUP(ESales_DB[[#This Row],[Store_ID]],Estore_DB[Store_ID],Estore_DB[Region])</f>
        <v>North</v>
      </c>
      <c r="R110" t="str">
        <f>VLOOKUP(ESales_DB[[#This Row],[Customer_ID]],Ecustom_DB[],10,FALSE)</f>
        <v>Silver</v>
      </c>
      <c r="S110" t="str">
        <f>IF(ESales_DB[[#This Row],[Quantity1]]&gt;3,"Bulk order","Normal order")</f>
        <v>Normal order</v>
      </c>
    </row>
    <row r="111" spans="1:19" x14ac:dyDescent="0.3">
      <c r="A111" t="s">
        <v>2922</v>
      </c>
      <c r="B111" s="4">
        <v>45695</v>
      </c>
      <c r="C111" s="4" t="str">
        <f>TEXT(ESales_DB[[#This Row],[Order_Date]],"mmm")</f>
        <v>Feb</v>
      </c>
      <c r="D111" t="s">
        <v>849</v>
      </c>
      <c r="E111" t="s">
        <v>1588</v>
      </c>
      <c r="F111" t="s">
        <v>1794</v>
      </c>
      <c r="G111">
        <v>1</v>
      </c>
      <c r="H111" s="10">
        <f>IF(ISBLANK(ESales_DB[[#This Row],[Quantity]]),AVERAGEIF(ESales_DB[Product_ID],ESales_DB[[#This Row],[Product_ID]],ESales_DB[Quantity]),ESales_DB[[#This Row],[Quantity]])</f>
        <v>1</v>
      </c>
      <c r="I111" s="2">
        <v>99.35</v>
      </c>
      <c r="J111">
        <v>0.08</v>
      </c>
      <c r="K111" t="s">
        <v>1829</v>
      </c>
      <c r="L111" s="2">
        <v>91.402000000000001</v>
      </c>
      <c r="M111" s="2" t="str">
        <f>IF(ESales_DB[[#This Row],[Total_Amount]]&gt;1000,"High","Low")</f>
        <v>Low</v>
      </c>
      <c r="N111" s="2" t="str">
        <f>VLOOKUP(ESales_DB[[#This Row],[Customer_ID]],Ecustom_DB[],3,FALSE)</f>
        <v>Cynthia Payne</v>
      </c>
      <c r="O111" s="2" t="str">
        <f>_xlfn.XLOOKUP(ESales_DB[[#This Row],[Product_ID]],Eproduct_DB[Product_ID],Eproduct_DB[Category])</f>
        <v>Sports</v>
      </c>
      <c r="P111" s="2" t="str">
        <f>_xlfn.XLOOKUP(ESales_DB[[#This Row],[Product_ID]],Eproduct_DB[Product_ID],Eproduct_DB[Product_Name])</f>
        <v>Outdoor Sports Water Bottle</v>
      </c>
      <c r="Q111" s="2" t="str">
        <f>_xlfn.XLOOKUP(ESales_DB[[#This Row],[Store_ID]],Estore_DB[Store_ID],Estore_DB[Region])</f>
        <v>North</v>
      </c>
      <c r="R111" t="str">
        <f>VLOOKUP(ESales_DB[[#This Row],[Customer_ID]],Ecustom_DB[],10,FALSE)</f>
        <v>Bronze</v>
      </c>
      <c r="S111" t="str">
        <f>IF(ESales_DB[[#This Row],[Quantity1]]&gt;3,"Bulk order","Normal order")</f>
        <v>Normal order</v>
      </c>
    </row>
    <row r="112" spans="1:19" x14ac:dyDescent="0.3">
      <c r="A112" t="s">
        <v>2923</v>
      </c>
      <c r="B112" s="4">
        <v>45596</v>
      </c>
      <c r="C112" s="4" t="str">
        <f>TEXT(ESales_DB[[#This Row],[Order_Date]],"mmm")</f>
        <v>Oct</v>
      </c>
      <c r="D112" t="s">
        <v>261</v>
      </c>
      <c r="E112" t="s">
        <v>1543</v>
      </c>
      <c r="F112" t="s">
        <v>1766</v>
      </c>
      <c r="G112">
        <v>2</v>
      </c>
      <c r="H112" s="10">
        <f>IF(ISBLANK(ESales_DB[[#This Row],[Quantity]]),AVERAGEIF(ESales_DB[Product_ID],ESales_DB[[#This Row],[Product_ID]],ESales_DB[Quantity]),ESales_DB[[#This Row],[Quantity]])</f>
        <v>2</v>
      </c>
      <c r="I112" s="2">
        <v>374.42</v>
      </c>
      <c r="J112">
        <v>0.21</v>
      </c>
      <c r="K112" t="s">
        <v>1829</v>
      </c>
      <c r="L112" s="2">
        <v>591.58360000000005</v>
      </c>
      <c r="M112" s="2" t="str">
        <f>IF(ESales_DB[[#This Row],[Total_Amount]]&gt;1000,"High","Low")</f>
        <v>Low</v>
      </c>
      <c r="N112" s="2" t="str">
        <f>VLOOKUP(ESales_DB[[#This Row],[Customer_ID]],Ecustom_DB[],3,FALSE)</f>
        <v>Andrea Perez</v>
      </c>
      <c r="O112" s="2" t="str">
        <f>_xlfn.XLOOKUP(ESales_DB[[#This Row],[Product_ID]],Eproduct_DB[Product_ID],Eproduct_DB[Category])</f>
        <v>Electronics</v>
      </c>
      <c r="P112" s="2" t="str">
        <f>_xlfn.XLOOKUP(ESales_DB[[#This Row],[Product_ID]],Eproduct_DB[Product_ID],Eproduct_DB[Product_Name])</f>
        <v>Brother Laser Printer</v>
      </c>
      <c r="Q112" s="2" t="str">
        <f>_xlfn.XLOOKUP(ESales_DB[[#This Row],[Store_ID]],Estore_DB[Store_ID],Estore_DB[Region])</f>
        <v>North</v>
      </c>
      <c r="R112" t="str">
        <f>VLOOKUP(ESales_DB[[#This Row],[Customer_ID]],Ecustom_DB[],10,FALSE)</f>
        <v>Gold</v>
      </c>
      <c r="S112" t="str">
        <f>IF(ESales_DB[[#This Row],[Quantity1]]&gt;3,"Bulk order","Normal order")</f>
        <v>Normal order</v>
      </c>
    </row>
    <row r="113" spans="1:19" x14ac:dyDescent="0.3">
      <c r="A113" t="s">
        <v>2924</v>
      </c>
      <c r="B113" s="4">
        <v>45869</v>
      </c>
      <c r="C113" s="4" t="str">
        <f>TEXT(ESales_DB[[#This Row],[Order_Date]],"mmm")</f>
        <v>Jul</v>
      </c>
      <c r="D113" t="s">
        <v>1481</v>
      </c>
      <c r="E113" t="s">
        <v>1578</v>
      </c>
      <c r="F113" t="s">
        <v>1801</v>
      </c>
      <c r="G113">
        <v>3</v>
      </c>
      <c r="H113" s="10">
        <f>IF(ISBLANK(ESales_DB[[#This Row],[Quantity]]),AVERAGEIF(ESales_DB[Product_ID],ESales_DB[[#This Row],[Product_ID]],ESales_DB[Quantity]),ESales_DB[[#This Row],[Quantity]])</f>
        <v>3</v>
      </c>
      <c r="I113" s="2">
        <v>248.43</v>
      </c>
      <c r="J113">
        <v>0.24</v>
      </c>
      <c r="K113" t="s">
        <v>1829</v>
      </c>
      <c r="L113" s="2">
        <v>566.42039999999997</v>
      </c>
      <c r="M113" s="2" t="str">
        <f>IF(ESales_DB[[#This Row],[Total_Amount]]&gt;1000,"High","Low")</f>
        <v>Low</v>
      </c>
      <c r="N113" s="2" t="str">
        <f>VLOOKUP(ESales_DB[[#This Row],[Customer_ID]],Ecustom_DB[],3,FALSE)</f>
        <v>Bryan Tran</v>
      </c>
      <c r="O113" s="2" t="str">
        <f>_xlfn.XLOOKUP(ESales_DB[[#This Row],[Product_ID]],Eproduct_DB[Product_ID],Eproduct_DB[Category])</f>
        <v>Electronics</v>
      </c>
      <c r="P113" s="2" t="str">
        <f>_xlfn.XLOOKUP(ESales_DB[[#This Row],[Product_ID]],Eproduct_DB[Product_ID],Eproduct_DB[Product_Name])</f>
        <v>4K Home Projector</v>
      </c>
      <c r="Q113" s="2" t="str">
        <f>_xlfn.XLOOKUP(ESales_DB[[#This Row],[Store_ID]],Estore_DB[Store_ID],Estore_DB[Region])</f>
        <v>North</v>
      </c>
      <c r="R113" t="str">
        <f>VLOOKUP(ESales_DB[[#This Row],[Customer_ID]],Ecustom_DB[],10,FALSE)</f>
        <v>Gold</v>
      </c>
      <c r="S113" t="str">
        <f>IF(ESales_DB[[#This Row],[Quantity1]]&gt;3,"Bulk order","Normal order")</f>
        <v>Normal order</v>
      </c>
    </row>
    <row r="114" spans="1:19" x14ac:dyDescent="0.3">
      <c r="A114" t="s">
        <v>2925</v>
      </c>
      <c r="B114" s="4">
        <v>45631</v>
      </c>
      <c r="C114" s="4" t="str">
        <f>TEXT(ESales_DB[[#This Row],[Order_Date]],"mmm")</f>
        <v>Dec</v>
      </c>
      <c r="D114" t="s">
        <v>1443</v>
      </c>
      <c r="E114" t="s">
        <v>1718</v>
      </c>
      <c r="F114" t="s">
        <v>1757</v>
      </c>
      <c r="G114">
        <v>1</v>
      </c>
      <c r="H114" s="10">
        <f>IF(ISBLANK(ESales_DB[[#This Row],[Quantity]]),AVERAGEIF(ESales_DB[Product_ID],ESales_DB[[#This Row],[Product_ID]],ESales_DB[Quantity]),ESales_DB[[#This Row],[Quantity]])</f>
        <v>1</v>
      </c>
      <c r="I114" s="2">
        <v>784.46</v>
      </c>
      <c r="J114">
        <v>0.14000000000000001</v>
      </c>
      <c r="K114" t="s">
        <v>1829</v>
      </c>
      <c r="L114" s="2">
        <v>674.63560000000007</v>
      </c>
      <c r="M114" s="2" t="str">
        <f>IF(ESales_DB[[#This Row],[Total_Amount]]&gt;1000,"High","Low")</f>
        <v>Low</v>
      </c>
      <c r="N114" s="2" t="str">
        <f>VLOOKUP(ESales_DB[[#This Row],[Customer_ID]],Ecustom_DB[],3,FALSE)</f>
        <v>Gregory Curtis</v>
      </c>
      <c r="O114" s="2" t="str">
        <f>_xlfn.XLOOKUP(ESales_DB[[#This Row],[Product_ID]],Eproduct_DB[Product_ID],Eproduct_DB[Category])</f>
        <v>Clothing</v>
      </c>
      <c r="P114" s="2" t="str">
        <f>_xlfn.XLOOKUP(ESales_DB[[#This Row],[Product_ID]],Eproduct_DB[Product_ID],Eproduct_DB[Product_Name])</f>
        <v>Women's Beanie Hat</v>
      </c>
      <c r="Q114" s="2" t="str">
        <f>_xlfn.XLOOKUP(ESales_DB[[#This Row],[Store_ID]],Estore_DB[Store_ID],Estore_DB[Region])</f>
        <v>North</v>
      </c>
      <c r="R114" t="str">
        <f>VLOOKUP(ESales_DB[[#This Row],[Customer_ID]],Ecustom_DB[],10,FALSE)</f>
        <v>Bronze</v>
      </c>
      <c r="S114" t="str">
        <f>IF(ESales_DB[[#This Row],[Quantity1]]&gt;3,"Bulk order","Normal order")</f>
        <v>Normal order</v>
      </c>
    </row>
    <row r="115" spans="1:19" x14ac:dyDescent="0.3">
      <c r="A115" t="s">
        <v>1837</v>
      </c>
      <c r="B115" s="4">
        <v>45801</v>
      </c>
      <c r="C115" s="4" t="str">
        <f>TEXT(ESales_DB[[#This Row],[Order_Date]],"mmm")</f>
        <v>May</v>
      </c>
      <c r="D115" t="s">
        <v>1008</v>
      </c>
      <c r="E115" t="s">
        <v>1626</v>
      </c>
      <c r="F115" t="s">
        <v>1757</v>
      </c>
      <c r="G115">
        <v>4</v>
      </c>
      <c r="H115" s="10">
        <f>IF(ISBLANK(ESales_DB[[#This Row],[Quantity]]),AVERAGEIF(ESales_DB[Product_ID],ESales_DB[[#This Row],[Product_ID]],ESales_DB[Quantity]),ESales_DB[[#This Row],[Quantity]])</f>
        <v>4</v>
      </c>
      <c r="I115" s="2">
        <v>286.92</v>
      </c>
      <c r="J115">
        <v>0.17</v>
      </c>
      <c r="K115" t="s">
        <v>1824</v>
      </c>
      <c r="L115" s="2">
        <v>952.57439999999997</v>
      </c>
      <c r="M115" s="2" t="str">
        <f>IF(ESales_DB[[#This Row],[Total_Amount]]&gt;1000,"High","Low")</f>
        <v>Low</v>
      </c>
      <c r="N115" s="2" t="str">
        <f>VLOOKUP(ESales_DB[[#This Row],[Customer_ID]],Ecustom_DB[],3,FALSE)</f>
        <v>Jessica Gonzalez</v>
      </c>
      <c r="O115" s="2" t="str">
        <f>_xlfn.XLOOKUP(ESales_DB[[#This Row],[Product_ID]],Eproduct_DB[Product_ID],Eproduct_DB[Category])</f>
        <v>Electronics</v>
      </c>
      <c r="P115" s="2" t="str">
        <f>_xlfn.XLOOKUP(ESales_DB[[#This Row],[Product_ID]],Eproduct_DB[Product_ID],Eproduct_DB[Product_Name])</f>
        <v>Portable Power Bank</v>
      </c>
      <c r="Q115" s="2" t="str">
        <f>_xlfn.XLOOKUP(ESales_DB[[#This Row],[Store_ID]],Estore_DB[Store_ID],Estore_DB[Region])</f>
        <v>North</v>
      </c>
      <c r="R115" t="str">
        <f>VLOOKUP(ESales_DB[[#This Row],[Customer_ID]],Ecustom_DB[],10,FALSE)</f>
        <v>Bronze</v>
      </c>
      <c r="S115" t="str">
        <f>IF(ESales_DB[[#This Row],[Quantity1]]&gt;3,"Bulk order","Normal order")</f>
        <v>Bulk order</v>
      </c>
    </row>
    <row r="116" spans="1:19" x14ac:dyDescent="0.3">
      <c r="A116" t="s">
        <v>1936</v>
      </c>
      <c r="B116" s="4">
        <v>45851</v>
      </c>
      <c r="C116" s="4" t="str">
        <f>TEXT(ESales_DB[[#This Row],[Order_Date]],"mmm")</f>
        <v>Jul</v>
      </c>
      <c r="D116" t="s">
        <v>40</v>
      </c>
      <c r="E116" t="s">
        <v>1632</v>
      </c>
      <c r="F116" t="s">
        <v>1782</v>
      </c>
      <c r="G116">
        <v>4</v>
      </c>
      <c r="H116" s="10">
        <f>IF(ISBLANK(ESales_DB[[#This Row],[Quantity]]),AVERAGEIF(ESales_DB[Product_ID],ESales_DB[[#This Row],[Product_ID]],ESales_DB[Quantity]),ESales_DB[[#This Row],[Quantity]])</f>
        <v>4</v>
      </c>
      <c r="I116" s="2">
        <v>239.83</v>
      </c>
      <c r="J116">
        <v>0.08</v>
      </c>
      <c r="K116" t="s">
        <v>1824</v>
      </c>
      <c r="L116" s="2">
        <v>882.57440000000008</v>
      </c>
      <c r="M116" s="2" t="str">
        <f>IF(ESales_DB[[#This Row],[Total_Amount]]&gt;1000,"High","Low")</f>
        <v>Low</v>
      </c>
      <c r="N116" s="2" t="str">
        <f>VLOOKUP(ESales_DB[[#This Row],[Customer_ID]],Ecustom_DB[],3,FALSE)</f>
        <v>Daniel Boyd</v>
      </c>
      <c r="O116" s="2" t="str">
        <f>_xlfn.XLOOKUP(ESales_DB[[#This Row],[Product_ID]],Eproduct_DB[Product_ID],Eproduct_DB[Category])</f>
        <v>Electronics</v>
      </c>
      <c r="P116" s="2" t="str">
        <f>_xlfn.XLOOKUP(ESales_DB[[#This Row],[Product_ID]],Eproduct_DB[Product_ID],Eproduct_DB[Product_Name])</f>
        <v>Smart Home WiFi Camera</v>
      </c>
      <c r="Q116" s="2" t="str">
        <f>_xlfn.XLOOKUP(ESales_DB[[#This Row],[Store_ID]],Estore_DB[Store_ID],Estore_DB[Region])</f>
        <v>West</v>
      </c>
      <c r="R116" t="str">
        <f>VLOOKUP(ESales_DB[[#This Row],[Customer_ID]],Ecustom_DB[],10,FALSE)</f>
        <v>Bronze</v>
      </c>
      <c r="S116" t="str">
        <f>IF(ESales_DB[[#This Row],[Quantity1]]&gt;3,"Bulk order","Normal order")</f>
        <v>Bulk order</v>
      </c>
    </row>
    <row r="117" spans="1:19" x14ac:dyDescent="0.3">
      <c r="A117" t="s">
        <v>2926</v>
      </c>
      <c r="B117" s="4">
        <v>45379</v>
      </c>
      <c r="C117" s="4" t="str">
        <f>TEXT(ESales_DB[[#This Row],[Order_Date]],"mmm")</f>
        <v>Mar</v>
      </c>
      <c r="D117" t="s">
        <v>827</v>
      </c>
      <c r="E117" t="s">
        <v>1652</v>
      </c>
      <c r="F117" t="s">
        <v>1789</v>
      </c>
      <c r="G117">
        <v>3</v>
      </c>
      <c r="H117" s="10">
        <f>IF(ISBLANK(ESales_DB[[#This Row],[Quantity]]),AVERAGEIF(ESales_DB[Product_ID],ESales_DB[[#This Row],[Product_ID]],ESales_DB[Quantity]),ESales_DB[[#This Row],[Quantity]])</f>
        <v>3</v>
      </c>
      <c r="I117" s="2">
        <v>70.88</v>
      </c>
      <c r="J117">
        <v>0.27</v>
      </c>
      <c r="K117" t="s">
        <v>1829</v>
      </c>
      <c r="L117" s="2">
        <v>155.22720000000001</v>
      </c>
      <c r="M117" s="2" t="str">
        <f>IF(ESales_DB[[#This Row],[Total_Amount]]&gt;1000,"High","Low")</f>
        <v>Low</v>
      </c>
      <c r="N117" s="2" t="str">
        <f>VLOOKUP(ESales_DB[[#This Row],[Customer_ID]],Ecustom_DB[],3,FALSE)</f>
        <v>Beth Allen</v>
      </c>
      <c r="O117" s="2" t="str">
        <f>_xlfn.XLOOKUP(ESales_DB[[#This Row],[Product_ID]],Eproduct_DB[Product_ID],Eproduct_DB[Category])</f>
        <v>Sports</v>
      </c>
      <c r="P117" s="2" t="str">
        <f>_xlfn.XLOOKUP(ESales_DB[[#This Row],[Product_ID]],Eproduct_DB[Product_ID],Eproduct_DB[Product_Name])</f>
        <v>Rugby Ball</v>
      </c>
      <c r="Q117" s="2" t="str">
        <f>_xlfn.XLOOKUP(ESales_DB[[#This Row],[Store_ID]],Estore_DB[Store_ID],Estore_DB[Region])</f>
        <v>East</v>
      </c>
      <c r="R117" t="str">
        <f>VLOOKUP(ESales_DB[[#This Row],[Customer_ID]],Ecustom_DB[],10,FALSE)</f>
        <v>Silver</v>
      </c>
      <c r="S117" t="str">
        <f>IF(ESales_DB[[#This Row],[Quantity1]]&gt;3,"Bulk order","Normal order")</f>
        <v>Normal order</v>
      </c>
    </row>
    <row r="118" spans="1:19" x14ac:dyDescent="0.3">
      <c r="A118" t="s">
        <v>2927</v>
      </c>
      <c r="B118" s="4">
        <v>45641</v>
      </c>
      <c r="C118" s="4" t="str">
        <f>TEXT(ESales_DB[[#This Row],[Order_Date]],"mmm")</f>
        <v>Dec</v>
      </c>
      <c r="D118" t="s">
        <v>387</v>
      </c>
      <c r="E118" t="s">
        <v>1562</v>
      </c>
      <c r="F118" t="s">
        <v>1757</v>
      </c>
      <c r="G118">
        <v>3</v>
      </c>
      <c r="H118" s="10">
        <f>IF(ISBLANK(ESales_DB[[#This Row],[Quantity]]),AVERAGEIF(ESales_DB[Product_ID],ESales_DB[[#This Row],[Product_ID]],ESales_DB[Quantity]),ESales_DB[[#This Row],[Quantity]])</f>
        <v>3</v>
      </c>
      <c r="I118" s="2">
        <v>324.29000000000002</v>
      </c>
      <c r="J118">
        <v>0.16</v>
      </c>
      <c r="K118" t="s">
        <v>1829</v>
      </c>
      <c r="L118" s="2">
        <v>817.21080000000006</v>
      </c>
      <c r="M118" s="2" t="str">
        <f>IF(ESales_DB[[#This Row],[Total_Amount]]&gt;1000,"High","Low")</f>
        <v>Low</v>
      </c>
      <c r="N118" s="2" t="str">
        <f>VLOOKUP(ESales_DB[[#This Row],[Customer_ID]],Ecustom_DB[],3,FALSE)</f>
        <v>Ashley Griffin</v>
      </c>
      <c r="O118" s="2" t="str">
        <f>_xlfn.XLOOKUP(ESales_DB[[#This Row],[Product_ID]],Eproduct_DB[Product_ID],Eproduct_DB[Category])</f>
        <v>Electronics</v>
      </c>
      <c r="P118" s="2" t="str">
        <f>_xlfn.XLOOKUP(ESales_DB[[#This Row],[Product_ID]],Eproduct_DB[Product_ID],Eproduct_DB[Product_Name])</f>
        <v>Wireless Bluetooth Earbuds</v>
      </c>
      <c r="Q118" s="2" t="str">
        <f>_xlfn.XLOOKUP(ESales_DB[[#This Row],[Store_ID]],Estore_DB[Store_ID],Estore_DB[Region])</f>
        <v>North</v>
      </c>
      <c r="R118" t="str">
        <f>VLOOKUP(ESales_DB[[#This Row],[Customer_ID]],Ecustom_DB[],10,FALSE)</f>
        <v>Gold</v>
      </c>
      <c r="S118" t="str">
        <f>IF(ESales_DB[[#This Row],[Quantity1]]&gt;3,"Bulk order","Normal order")</f>
        <v>Normal order</v>
      </c>
    </row>
    <row r="119" spans="1:19" x14ac:dyDescent="0.3">
      <c r="A119" t="s">
        <v>2928</v>
      </c>
      <c r="B119" s="4">
        <v>45842</v>
      </c>
      <c r="C119" s="4" t="str">
        <f>TEXT(ESales_DB[[#This Row],[Order_Date]],"mmm")</f>
        <v>Jul</v>
      </c>
      <c r="D119" t="s">
        <v>478</v>
      </c>
      <c r="E119" t="s">
        <v>1578</v>
      </c>
      <c r="F119" t="s">
        <v>1766</v>
      </c>
      <c r="G119">
        <v>4</v>
      </c>
      <c r="H119" s="10">
        <f>IF(ISBLANK(ESales_DB[[#This Row],[Quantity]]),AVERAGEIF(ESales_DB[Product_ID],ESales_DB[[#This Row],[Product_ID]],ESales_DB[Quantity]),ESales_DB[[#This Row],[Quantity]])</f>
        <v>4</v>
      </c>
      <c r="I119" s="2">
        <v>243.92</v>
      </c>
      <c r="J119">
        <v>0.02</v>
      </c>
      <c r="K119" t="s">
        <v>1826</v>
      </c>
      <c r="L119" s="2">
        <v>956.16639999999995</v>
      </c>
      <c r="M119" s="2" t="str">
        <f>IF(ESales_DB[[#This Row],[Total_Amount]]&gt;1000,"High","Low")</f>
        <v>Low</v>
      </c>
      <c r="N119" s="2" t="str">
        <f>VLOOKUP(ESales_DB[[#This Row],[Customer_ID]],Ecustom_DB[],3,FALSE)</f>
        <v>Cristian Wright</v>
      </c>
      <c r="O119" s="2" t="str">
        <f>_xlfn.XLOOKUP(ESales_DB[[#This Row],[Product_ID]],Eproduct_DB[Product_ID],Eproduct_DB[Category])</f>
        <v>Electronics</v>
      </c>
      <c r="P119" s="2" t="str">
        <f>_xlfn.XLOOKUP(ESales_DB[[#This Row],[Product_ID]],Eproduct_DB[Product_ID],Eproduct_DB[Product_Name])</f>
        <v>4K Home Projector</v>
      </c>
      <c r="Q119" s="2" t="str">
        <f>_xlfn.XLOOKUP(ESales_DB[[#This Row],[Store_ID]],Estore_DB[Store_ID],Estore_DB[Region])</f>
        <v>North</v>
      </c>
      <c r="R119" t="str">
        <f>VLOOKUP(ESales_DB[[#This Row],[Customer_ID]],Ecustom_DB[],10,FALSE)</f>
        <v>Bronze</v>
      </c>
      <c r="S119" t="str">
        <f>IF(ESales_DB[[#This Row],[Quantity1]]&gt;3,"Bulk order","Normal order")</f>
        <v>Bulk order</v>
      </c>
    </row>
    <row r="120" spans="1:19" x14ac:dyDescent="0.3">
      <c r="A120" t="s">
        <v>2929</v>
      </c>
      <c r="B120" s="4">
        <v>45257</v>
      </c>
      <c r="C120" s="4" t="str">
        <f>TEXT(ESales_DB[[#This Row],[Order_Date]],"mmm")</f>
        <v>Nov</v>
      </c>
      <c r="D120" t="s">
        <v>1172</v>
      </c>
      <c r="E120" t="s">
        <v>1604</v>
      </c>
      <c r="F120" t="s">
        <v>1797</v>
      </c>
      <c r="G120">
        <v>1</v>
      </c>
      <c r="H120" s="10">
        <f>IF(ISBLANK(ESales_DB[[#This Row],[Quantity]]),AVERAGEIF(ESales_DB[Product_ID],ESales_DB[[#This Row],[Product_ID]],ESales_DB[Quantity]),ESales_DB[[#This Row],[Quantity]])</f>
        <v>1</v>
      </c>
      <c r="I120" s="2">
        <v>664.35</v>
      </c>
      <c r="J120">
        <v>0</v>
      </c>
      <c r="K120" t="s">
        <v>1824</v>
      </c>
      <c r="L120" s="2">
        <v>664.35</v>
      </c>
      <c r="M120" s="2" t="str">
        <f>IF(ESales_DB[[#This Row],[Total_Amount]]&gt;1000,"High","Low")</f>
        <v>Low</v>
      </c>
      <c r="N120" s="2" t="str">
        <f>VLOOKUP(ESales_DB[[#This Row],[Customer_ID]],Ecustom_DB[],3,FALSE)</f>
        <v>Joshua Bell</v>
      </c>
      <c r="O120" s="2" t="str">
        <f>_xlfn.XLOOKUP(ESales_DB[[#This Row],[Product_ID]],Eproduct_DB[Product_ID],Eproduct_DB[Category])</f>
        <v>Sports</v>
      </c>
      <c r="P120" s="2" t="str">
        <f>_xlfn.XLOOKUP(ESales_DB[[#This Row],[Product_ID]],Eproduct_DB[Product_ID],Eproduct_DB[Product_Name])</f>
        <v>Sports Stopwatch Timer</v>
      </c>
      <c r="Q120" s="2" t="str">
        <f>_xlfn.XLOOKUP(ESales_DB[[#This Row],[Store_ID]],Estore_DB[Store_ID],Estore_DB[Region])</f>
        <v>East</v>
      </c>
      <c r="R120" t="str">
        <f>VLOOKUP(ESales_DB[[#This Row],[Customer_ID]],Ecustom_DB[],10,FALSE)</f>
        <v>Platinum</v>
      </c>
      <c r="S120" t="str">
        <f>IF(ESales_DB[[#This Row],[Quantity1]]&gt;3,"Bulk order","Normal order")</f>
        <v>Normal order</v>
      </c>
    </row>
    <row r="121" spans="1:19" x14ac:dyDescent="0.3">
      <c r="A121" t="s">
        <v>2930</v>
      </c>
      <c r="B121" s="4">
        <v>45468</v>
      </c>
      <c r="C121" s="4" t="str">
        <f>TEXT(ESales_DB[[#This Row],[Order_Date]],"mmm")</f>
        <v>Jun</v>
      </c>
      <c r="D121" t="s">
        <v>1199</v>
      </c>
      <c r="E121" t="s">
        <v>1590</v>
      </c>
      <c r="F121" t="s">
        <v>1789</v>
      </c>
      <c r="G121">
        <v>2</v>
      </c>
      <c r="H121" s="10">
        <f>IF(ISBLANK(ESales_DB[[#This Row],[Quantity]]),AVERAGEIF(ESales_DB[Product_ID],ESales_DB[[#This Row],[Product_ID]],ESales_DB[Quantity]),ESales_DB[[#This Row],[Quantity]])</f>
        <v>2</v>
      </c>
      <c r="I121" s="2">
        <v>218.07</v>
      </c>
      <c r="J121">
        <v>0.19</v>
      </c>
      <c r="K121" t="s">
        <v>1826</v>
      </c>
      <c r="L121" s="2">
        <v>353.27339999999998</v>
      </c>
      <c r="M121" s="2" t="str">
        <f>IF(ESales_DB[[#This Row],[Total_Amount]]&gt;1000,"High","Low")</f>
        <v>Low</v>
      </c>
      <c r="N121" s="2" t="str">
        <f>VLOOKUP(ESales_DB[[#This Row],[Customer_ID]],Ecustom_DB[],3,FALSE)</f>
        <v>Andrew Mason</v>
      </c>
      <c r="O121" s="2" t="str">
        <f>_xlfn.XLOOKUP(ESales_DB[[#This Row],[Product_ID]],Eproduct_DB[Product_ID],Eproduct_DB[Category])</f>
        <v>Home</v>
      </c>
      <c r="P121" s="2" t="str">
        <f>_xlfn.XLOOKUP(ESales_DB[[#This Row],[Product_ID]],Eproduct_DB[Product_ID],Eproduct_DB[Product_Name])</f>
        <v>Multi-Purpose Storage Box</v>
      </c>
      <c r="Q121" s="2" t="str">
        <f>_xlfn.XLOOKUP(ESales_DB[[#This Row],[Store_ID]],Estore_DB[Store_ID],Estore_DB[Region])</f>
        <v>East</v>
      </c>
      <c r="R121" t="str">
        <f>VLOOKUP(ESales_DB[[#This Row],[Customer_ID]],Ecustom_DB[],10,FALSE)</f>
        <v>Bronze</v>
      </c>
      <c r="S121" t="str">
        <f>IF(ESales_DB[[#This Row],[Quantity1]]&gt;3,"Bulk order","Normal order")</f>
        <v>Normal order</v>
      </c>
    </row>
    <row r="122" spans="1:19" x14ac:dyDescent="0.3">
      <c r="A122" t="s">
        <v>2931</v>
      </c>
      <c r="B122" s="4">
        <v>45228</v>
      </c>
      <c r="C122" s="4" t="str">
        <f>TEXT(ESales_DB[[#This Row],[Order_Date]],"mmm")</f>
        <v>Oct</v>
      </c>
      <c r="D122" t="s">
        <v>1196</v>
      </c>
      <c r="E122" t="s">
        <v>1578</v>
      </c>
      <c r="F122" t="s">
        <v>1766</v>
      </c>
      <c r="G122">
        <v>4</v>
      </c>
      <c r="H122" s="10">
        <f>IF(ISBLANK(ESales_DB[[#This Row],[Quantity]]),AVERAGEIF(ESales_DB[Product_ID],ESales_DB[[#This Row],[Product_ID]],ESales_DB[Quantity]),ESales_DB[[#This Row],[Quantity]])</f>
        <v>4</v>
      </c>
      <c r="I122" s="2">
        <v>921.83</v>
      </c>
      <c r="J122">
        <v>0.27</v>
      </c>
      <c r="K122" t="s">
        <v>1824</v>
      </c>
      <c r="L122" s="2">
        <v>2691.7435999999998</v>
      </c>
      <c r="M122" s="2" t="str">
        <f>IF(ESales_DB[[#This Row],[Total_Amount]]&gt;1000,"High","Low")</f>
        <v>High</v>
      </c>
      <c r="N122" s="2" t="str">
        <f>VLOOKUP(ESales_DB[[#This Row],[Customer_ID]],Ecustom_DB[],3,FALSE)</f>
        <v>Kristine Higgins</v>
      </c>
      <c r="O122" s="2" t="str">
        <f>_xlfn.XLOOKUP(ESales_DB[[#This Row],[Product_ID]],Eproduct_DB[Product_ID],Eproduct_DB[Category])</f>
        <v>Electronics</v>
      </c>
      <c r="P122" s="2" t="str">
        <f>_xlfn.XLOOKUP(ESales_DB[[#This Row],[Product_ID]],Eproduct_DB[Product_ID],Eproduct_DB[Product_Name])</f>
        <v>4K Home Projector</v>
      </c>
      <c r="Q122" s="2" t="str">
        <f>_xlfn.XLOOKUP(ESales_DB[[#This Row],[Store_ID]],Estore_DB[Store_ID],Estore_DB[Region])</f>
        <v>North</v>
      </c>
      <c r="R122" t="str">
        <f>VLOOKUP(ESales_DB[[#This Row],[Customer_ID]],Ecustom_DB[],10,FALSE)</f>
        <v>Silver</v>
      </c>
      <c r="S122" t="str">
        <f>IF(ESales_DB[[#This Row],[Quantity1]]&gt;3,"Bulk order","Normal order")</f>
        <v>Bulk order</v>
      </c>
    </row>
    <row r="123" spans="1:19" x14ac:dyDescent="0.3">
      <c r="A123" t="s">
        <v>2932</v>
      </c>
      <c r="B123" s="4">
        <v>45661</v>
      </c>
      <c r="C123" s="4" t="str">
        <f>TEXT(ESales_DB[[#This Row],[Order_Date]],"mmm")</f>
        <v>Jan</v>
      </c>
      <c r="D123" t="s">
        <v>559</v>
      </c>
      <c r="E123" t="s">
        <v>1648</v>
      </c>
      <c r="F123" t="s">
        <v>1757</v>
      </c>
      <c r="G123">
        <v>3</v>
      </c>
      <c r="H123" s="10">
        <f>IF(ISBLANK(ESales_DB[[#This Row],[Quantity]]),AVERAGEIF(ESales_DB[Product_ID],ESales_DB[[#This Row],[Product_ID]],ESales_DB[Quantity]),ESales_DB[[#This Row],[Quantity]])</f>
        <v>3</v>
      </c>
      <c r="I123" s="2">
        <v>326.2</v>
      </c>
      <c r="J123">
        <v>0.22</v>
      </c>
      <c r="K123" t="s">
        <v>1829</v>
      </c>
      <c r="L123" s="2">
        <v>763.30799999999999</v>
      </c>
      <c r="M123" s="2" t="str">
        <f>IF(ESales_DB[[#This Row],[Total_Amount]]&gt;1000,"High","Low")</f>
        <v>Low</v>
      </c>
      <c r="N123" s="2" t="str">
        <f>VLOOKUP(ESales_DB[[#This Row],[Customer_ID]],Ecustom_DB[],3,FALSE)</f>
        <v>Daniel Contreras</v>
      </c>
      <c r="O123" s="2" t="str">
        <f>_xlfn.XLOOKUP(ESales_DB[[#This Row],[Product_ID]],Eproduct_DB[Product_ID],Eproduct_DB[Category])</f>
        <v>Sports</v>
      </c>
      <c r="P123" s="2" t="str">
        <f>_xlfn.XLOOKUP(ESales_DB[[#This Row],[Product_ID]],Eproduct_DB[Product_ID],Eproduct_DB[Product_Name])</f>
        <v>Boxing Hand Wraps</v>
      </c>
      <c r="Q123" s="2" t="str">
        <f>_xlfn.XLOOKUP(ESales_DB[[#This Row],[Store_ID]],Estore_DB[Store_ID],Estore_DB[Region])</f>
        <v>North</v>
      </c>
      <c r="R123" t="str">
        <f>VLOOKUP(ESales_DB[[#This Row],[Customer_ID]],Ecustom_DB[],10,FALSE)</f>
        <v>Platinum</v>
      </c>
      <c r="S123" t="str">
        <f>IF(ESales_DB[[#This Row],[Quantity1]]&gt;3,"Bulk order","Normal order")</f>
        <v>Normal order</v>
      </c>
    </row>
    <row r="124" spans="1:19" x14ac:dyDescent="0.3">
      <c r="A124" t="s">
        <v>2933</v>
      </c>
      <c r="B124" s="4">
        <v>45701</v>
      </c>
      <c r="C124" s="4" t="str">
        <f>TEXT(ESales_DB[[#This Row],[Order_Date]],"mmm")</f>
        <v>Feb</v>
      </c>
      <c r="D124" t="s">
        <v>1414</v>
      </c>
      <c r="E124" t="s">
        <v>1582</v>
      </c>
      <c r="F124" t="s">
        <v>1813</v>
      </c>
      <c r="G124">
        <v>1</v>
      </c>
      <c r="H124" s="10">
        <f>IF(ISBLANK(ESales_DB[[#This Row],[Quantity]]),AVERAGEIF(ESales_DB[Product_ID],ESales_DB[[#This Row],[Product_ID]],ESales_DB[Quantity]),ESales_DB[[#This Row],[Quantity]])</f>
        <v>1</v>
      </c>
      <c r="I124" s="2">
        <v>244.25</v>
      </c>
      <c r="J124">
        <v>0.09</v>
      </c>
      <c r="K124" t="s">
        <v>1826</v>
      </c>
      <c r="L124" s="2">
        <v>222.26750000000001</v>
      </c>
      <c r="M124" s="2" t="str">
        <f>IF(ESales_DB[[#This Row],[Total_Amount]]&gt;1000,"High","Low")</f>
        <v>Low</v>
      </c>
      <c r="N124" s="2" t="str">
        <f>VLOOKUP(ESales_DB[[#This Row],[Customer_ID]],Ecustom_DB[],3,FALSE)</f>
        <v>Kelly Garrett</v>
      </c>
      <c r="O124" s="2" t="str">
        <f>_xlfn.XLOOKUP(ESales_DB[[#This Row],[Product_ID]],Eproduct_DB[Product_ID],Eproduct_DB[Category])</f>
        <v>Sports</v>
      </c>
      <c r="P124" s="2" t="str">
        <f>_xlfn.XLOOKUP(ESales_DB[[#This Row],[Product_ID]],Eproduct_DB[Product_ID],Eproduct_DB[Product_Name])</f>
        <v>Soccer Training Cone Set</v>
      </c>
      <c r="Q124" s="2" t="str">
        <f>_xlfn.XLOOKUP(ESales_DB[[#This Row],[Store_ID]],Estore_DB[Store_ID],Estore_DB[Region])</f>
        <v>East</v>
      </c>
      <c r="R124" t="str">
        <f>VLOOKUP(ESales_DB[[#This Row],[Customer_ID]],Ecustom_DB[],10,FALSE)</f>
        <v>Silver</v>
      </c>
      <c r="S124" t="str">
        <f>IF(ESales_DB[[#This Row],[Quantity1]]&gt;3,"Bulk order","Normal order")</f>
        <v>Normal order</v>
      </c>
    </row>
    <row r="125" spans="1:19" x14ac:dyDescent="0.3">
      <c r="A125" t="s">
        <v>2934</v>
      </c>
      <c r="B125" s="4">
        <v>45448</v>
      </c>
      <c r="C125" s="4" t="str">
        <f>TEXT(ESales_DB[[#This Row],[Order_Date]],"mmm")</f>
        <v>Jun</v>
      </c>
      <c r="D125" t="s">
        <v>1154</v>
      </c>
      <c r="E125" t="s">
        <v>1670</v>
      </c>
      <c r="F125" t="s">
        <v>1789</v>
      </c>
      <c r="G125">
        <v>3</v>
      </c>
      <c r="H125" s="10">
        <f>IF(ISBLANK(ESales_DB[[#This Row],[Quantity]]),AVERAGEIF(ESales_DB[Product_ID],ESales_DB[[#This Row],[Product_ID]],ESales_DB[Quantity]),ESales_DB[[#This Row],[Quantity]])</f>
        <v>3</v>
      </c>
      <c r="I125" s="2">
        <v>808.87</v>
      </c>
      <c r="J125">
        <v>0.12</v>
      </c>
      <c r="K125" t="s">
        <v>1829</v>
      </c>
      <c r="L125" s="2">
        <v>2135.4168</v>
      </c>
      <c r="M125" s="2" t="str">
        <f>IF(ESales_DB[[#This Row],[Total_Amount]]&gt;1000,"High","Low")</f>
        <v>High</v>
      </c>
      <c r="N125" s="2" t="str">
        <f>VLOOKUP(ESales_DB[[#This Row],[Customer_ID]],Ecustom_DB[],3,FALSE)</f>
        <v>Gregory Allen</v>
      </c>
      <c r="O125" s="2" t="str">
        <f>_xlfn.XLOOKUP(ESales_DB[[#This Row],[Product_ID]],Eproduct_DB[Product_ID],Eproduct_DB[Category])</f>
        <v>Sports</v>
      </c>
      <c r="P125" s="2" t="str">
        <f>_xlfn.XLOOKUP(ESales_DB[[#This Row],[Product_ID]],Eproduct_DB[Product_ID],Eproduct_DB[Product_Name])</f>
        <v>Tennis Ball 3-Pack</v>
      </c>
      <c r="Q125" s="2" t="str">
        <f>_xlfn.XLOOKUP(ESales_DB[[#This Row],[Store_ID]],Estore_DB[Store_ID],Estore_DB[Region])</f>
        <v>East</v>
      </c>
      <c r="R125" t="str">
        <f>VLOOKUP(ESales_DB[[#This Row],[Customer_ID]],Ecustom_DB[],10,FALSE)</f>
        <v>Platinum</v>
      </c>
      <c r="S125" t="str">
        <f>IF(ESales_DB[[#This Row],[Quantity1]]&gt;3,"Bulk order","Normal order")</f>
        <v>Normal order</v>
      </c>
    </row>
    <row r="126" spans="1:19" x14ac:dyDescent="0.3">
      <c r="A126" t="s">
        <v>2935</v>
      </c>
      <c r="B126" s="4">
        <v>45387</v>
      </c>
      <c r="C126" s="4" t="str">
        <f>TEXT(ESales_DB[[#This Row],[Order_Date]],"mmm")</f>
        <v>Apr</v>
      </c>
      <c r="D126" t="s">
        <v>1062</v>
      </c>
      <c r="E126" t="s">
        <v>1610</v>
      </c>
      <c r="F126" t="s">
        <v>1761</v>
      </c>
      <c r="G126">
        <v>3</v>
      </c>
      <c r="H126" s="10">
        <f>IF(ISBLANK(ESales_DB[[#This Row],[Quantity]]),AVERAGEIF(ESales_DB[Product_ID],ESales_DB[[#This Row],[Product_ID]],ESales_DB[Quantity]),ESales_DB[[#This Row],[Quantity]])</f>
        <v>3</v>
      </c>
      <c r="I126" s="2">
        <v>826.15</v>
      </c>
      <c r="J126">
        <v>0</v>
      </c>
      <c r="K126" t="s">
        <v>1826</v>
      </c>
      <c r="L126" s="2">
        <v>2478.4499999999998</v>
      </c>
      <c r="M126" s="2" t="str">
        <f>IF(ESales_DB[[#This Row],[Total_Amount]]&gt;1000,"High","Low")</f>
        <v>High</v>
      </c>
      <c r="N126" s="2" t="str">
        <f>VLOOKUP(ESales_DB[[#This Row],[Customer_ID]],Ecustom_DB[],3,FALSE)</f>
        <v>Jasmine Snyder</v>
      </c>
      <c r="O126" s="2" t="str">
        <f>_xlfn.XLOOKUP(ESales_DB[[#This Row],[Product_ID]],Eproduct_DB[Product_ID],Eproduct_DB[Category])</f>
        <v>Sports</v>
      </c>
      <c r="P126" s="2" t="str">
        <f>_xlfn.XLOOKUP(ESales_DB[[#This Row],[Product_ID]],Eproduct_DB[Product_ID],Eproduct_DB[Product_Name])</f>
        <v>Basketball</v>
      </c>
      <c r="Q126" s="2" t="str">
        <f>_xlfn.XLOOKUP(ESales_DB[[#This Row],[Store_ID]],Estore_DB[Store_ID],Estore_DB[Region])</f>
        <v>South</v>
      </c>
      <c r="R126" t="str">
        <f>VLOOKUP(ESales_DB[[#This Row],[Customer_ID]],Ecustom_DB[],10,FALSE)</f>
        <v>Silver</v>
      </c>
      <c r="S126" t="str">
        <f>IF(ESales_DB[[#This Row],[Quantity1]]&gt;3,"Bulk order","Normal order")</f>
        <v>Normal order</v>
      </c>
    </row>
    <row r="127" spans="1:19" x14ac:dyDescent="0.3">
      <c r="A127" t="s">
        <v>1937</v>
      </c>
      <c r="B127" s="4">
        <v>45798</v>
      </c>
      <c r="C127" s="4" t="str">
        <f>TEXT(ESales_DB[[#This Row],[Order_Date]],"mmm")</f>
        <v>May</v>
      </c>
      <c r="D127" t="s">
        <v>414</v>
      </c>
      <c r="E127" t="s">
        <v>1728</v>
      </c>
      <c r="F127" t="s">
        <v>1766</v>
      </c>
      <c r="G127">
        <v>2</v>
      </c>
      <c r="H127" s="10">
        <f>IF(ISBLANK(ESales_DB[[#This Row],[Quantity]]),AVERAGEIF(ESales_DB[Product_ID],ESales_DB[[#This Row],[Product_ID]],ESales_DB[Quantity]),ESales_DB[[#This Row],[Quantity]])</f>
        <v>2</v>
      </c>
      <c r="I127" s="2">
        <v>845.71</v>
      </c>
      <c r="J127">
        <v>0.01</v>
      </c>
      <c r="K127" t="s">
        <v>1826</v>
      </c>
      <c r="L127" s="2">
        <v>1674.5057999999999</v>
      </c>
      <c r="M127" s="2" t="str">
        <f>IF(ESales_DB[[#This Row],[Total_Amount]]&gt;1000,"High","Low")</f>
        <v>High</v>
      </c>
      <c r="N127" s="2" t="str">
        <f>VLOOKUP(ESales_DB[[#This Row],[Customer_ID]],Ecustom_DB[],3,FALSE)</f>
        <v>Michael Jones</v>
      </c>
      <c r="O127" s="2" t="str">
        <f>_xlfn.XLOOKUP(ESales_DB[[#This Row],[Product_ID]],Eproduct_DB[Product_ID],Eproduct_DB[Category])</f>
        <v>Electronics</v>
      </c>
      <c r="P127" s="2" t="str">
        <f>_xlfn.XLOOKUP(ESales_DB[[#This Row],[Product_ID]],Eproduct_DB[Product_ID],Eproduct_DB[Product_Name])</f>
        <v>Gaming Mouse Pad XL</v>
      </c>
      <c r="Q127" s="2" t="str">
        <f>_xlfn.XLOOKUP(ESales_DB[[#This Row],[Store_ID]],Estore_DB[Store_ID],Estore_DB[Region])</f>
        <v>North</v>
      </c>
      <c r="R127" t="str">
        <f>VLOOKUP(ESales_DB[[#This Row],[Customer_ID]],Ecustom_DB[],10,FALSE)</f>
        <v>Bronze</v>
      </c>
      <c r="S127" t="str">
        <f>IF(ESales_DB[[#This Row],[Quantity1]]&gt;3,"Bulk order","Normal order")</f>
        <v>Normal order</v>
      </c>
    </row>
    <row r="128" spans="1:19" x14ac:dyDescent="0.3">
      <c r="A128" t="s">
        <v>2936</v>
      </c>
      <c r="B128" s="4">
        <v>45652</v>
      </c>
      <c r="C128" s="4" t="str">
        <f>TEXT(ESales_DB[[#This Row],[Order_Date]],"mmm")</f>
        <v>Dec</v>
      </c>
      <c r="D128" t="s">
        <v>616</v>
      </c>
      <c r="E128" t="s">
        <v>1596</v>
      </c>
      <c r="F128" t="s">
        <v>1813</v>
      </c>
      <c r="G128">
        <v>3</v>
      </c>
      <c r="H128" s="10">
        <f>IF(ISBLANK(ESales_DB[[#This Row],[Quantity]]),AVERAGEIF(ESales_DB[Product_ID],ESales_DB[[#This Row],[Product_ID]],ESales_DB[Quantity]),ESales_DB[[#This Row],[Quantity]])</f>
        <v>3</v>
      </c>
      <c r="I128" s="2">
        <v>631.20000000000005</v>
      </c>
      <c r="J128">
        <v>0.24</v>
      </c>
      <c r="K128" t="s">
        <v>1824</v>
      </c>
      <c r="L128" s="2">
        <v>1439.136</v>
      </c>
      <c r="M128" s="2" t="str">
        <f>IF(ESales_DB[[#This Row],[Total_Amount]]&gt;1000,"High","Low")</f>
        <v>High</v>
      </c>
      <c r="N128" s="2" t="str">
        <f>VLOOKUP(ESales_DB[[#This Row],[Customer_ID]],Ecustom_DB[],3,FALSE)</f>
        <v>Dr. Suzanne Bullock</v>
      </c>
      <c r="O128" s="2" t="str">
        <f>_xlfn.XLOOKUP(ESales_DB[[#This Row],[Product_ID]],Eproduct_DB[Product_ID],Eproduct_DB[Category])</f>
        <v>Sports</v>
      </c>
      <c r="P128" s="2" t="str">
        <f>_xlfn.XLOOKUP(ESales_DB[[#This Row],[Product_ID]],Eproduct_DB[Product_ID],Eproduct_DB[Product_Name])</f>
        <v>Foldable Camping Chair</v>
      </c>
      <c r="Q128" s="2" t="str">
        <f>_xlfn.XLOOKUP(ESales_DB[[#This Row],[Store_ID]],Estore_DB[Store_ID],Estore_DB[Region])</f>
        <v>East</v>
      </c>
      <c r="R128" t="str">
        <f>VLOOKUP(ESales_DB[[#This Row],[Customer_ID]],Ecustom_DB[],10,FALSE)</f>
        <v>Platinum</v>
      </c>
      <c r="S128" t="str">
        <f>IF(ESales_DB[[#This Row],[Quantity1]]&gt;3,"Bulk order","Normal order")</f>
        <v>Normal order</v>
      </c>
    </row>
    <row r="129" spans="1:19" x14ac:dyDescent="0.3">
      <c r="A129" t="s">
        <v>2937</v>
      </c>
      <c r="B129" s="4">
        <v>45316</v>
      </c>
      <c r="C129" s="4" t="str">
        <f>TEXT(ESales_DB[[#This Row],[Order_Date]],"mmm")</f>
        <v>Jan</v>
      </c>
      <c r="D129" t="s">
        <v>872</v>
      </c>
      <c r="E129" t="s">
        <v>1664</v>
      </c>
      <c r="F129" t="s">
        <v>1789</v>
      </c>
      <c r="G129">
        <v>1</v>
      </c>
      <c r="H129" s="10">
        <f>IF(ISBLANK(ESales_DB[[#This Row],[Quantity]]),AVERAGEIF(ESales_DB[Product_ID],ESales_DB[[#This Row],[Product_ID]],ESales_DB[Quantity]),ESales_DB[[#This Row],[Quantity]])</f>
        <v>1</v>
      </c>
      <c r="I129" s="2">
        <v>937.01</v>
      </c>
      <c r="J129">
        <v>7.0000000000000007E-2</v>
      </c>
      <c r="K129" t="s">
        <v>1824</v>
      </c>
      <c r="L129" s="2">
        <v>871.41929999999991</v>
      </c>
      <c r="M129" s="2" t="str">
        <f>IF(ESales_DB[[#This Row],[Total_Amount]]&gt;1000,"High","Low")</f>
        <v>Low</v>
      </c>
      <c r="N129" s="2" t="str">
        <f>VLOOKUP(ESales_DB[[#This Row],[Customer_ID]],Ecustom_DB[],3,FALSE)</f>
        <v>Sarah Lane</v>
      </c>
      <c r="O129" s="2" t="str">
        <f>_xlfn.XLOOKUP(ESales_DB[[#This Row],[Product_ID]],Eproduct_DB[Product_ID],Eproduct_DB[Category])</f>
        <v>Clothing</v>
      </c>
      <c r="P129" s="2" t="str">
        <f>_xlfn.XLOOKUP(ESales_DB[[#This Row],[Product_ID]],Eproduct_DB[Product_ID],Eproduct_DB[Product_Name])</f>
        <v>Womens Cotton Scarf</v>
      </c>
      <c r="Q129" s="2" t="str">
        <f>_xlfn.XLOOKUP(ESales_DB[[#This Row],[Store_ID]],Estore_DB[Store_ID],Estore_DB[Region])</f>
        <v>East</v>
      </c>
      <c r="R129" t="str">
        <f>VLOOKUP(ESales_DB[[#This Row],[Customer_ID]],Ecustom_DB[],10,FALSE)</f>
        <v>Silver</v>
      </c>
      <c r="S129" t="str">
        <f>IF(ESales_DB[[#This Row],[Quantity1]]&gt;3,"Bulk order","Normal order")</f>
        <v>Normal order</v>
      </c>
    </row>
    <row r="130" spans="1:19" x14ac:dyDescent="0.3">
      <c r="A130" t="s">
        <v>2938</v>
      </c>
      <c r="B130" s="4">
        <v>45316</v>
      </c>
      <c r="C130" s="4" t="str">
        <f>TEXT(ESales_DB[[#This Row],[Order_Date]],"mmm")</f>
        <v>Jan</v>
      </c>
      <c r="D130" t="s">
        <v>508</v>
      </c>
      <c r="E130" t="s">
        <v>1694</v>
      </c>
      <c r="F130" t="s">
        <v>1773</v>
      </c>
      <c r="G130">
        <v>2</v>
      </c>
      <c r="H130" s="10">
        <f>IF(ISBLANK(ESales_DB[[#This Row],[Quantity]]),AVERAGEIF(ESales_DB[Product_ID],ESales_DB[[#This Row],[Product_ID]],ESales_DB[Quantity]),ESales_DB[[#This Row],[Quantity]])</f>
        <v>2</v>
      </c>
      <c r="I130" s="2">
        <v>644</v>
      </c>
      <c r="J130">
        <v>0.04</v>
      </c>
      <c r="K130" t="s">
        <v>1826</v>
      </c>
      <c r="L130" s="2">
        <v>1236.48</v>
      </c>
      <c r="M130" s="2" t="str">
        <f>IF(ESales_DB[[#This Row],[Total_Amount]]&gt;1000,"High","Low")</f>
        <v>High</v>
      </c>
      <c r="N130" s="2" t="str">
        <f>VLOOKUP(ESales_DB[[#This Row],[Customer_ID]],Ecustom_DB[],3,FALSE)</f>
        <v>Michael Davies</v>
      </c>
      <c r="O130" s="2" t="str">
        <f>_xlfn.XLOOKUP(ESales_DB[[#This Row],[Product_ID]],Eproduct_DB[Product_ID],Eproduct_DB[Category])</f>
        <v>Sports</v>
      </c>
      <c r="P130" s="2" t="str">
        <f>_xlfn.XLOOKUP(ESales_DB[[#This Row],[Product_ID]],Eproduct_DB[Product_ID],Eproduct_DB[Product_Name])</f>
        <v>Shin Guards – Adult</v>
      </c>
      <c r="Q130" s="2" t="str">
        <f>_xlfn.XLOOKUP(ESales_DB[[#This Row],[Store_ID]],Estore_DB[Store_ID],Estore_DB[Region])</f>
        <v>North</v>
      </c>
      <c r="R130" t="str">
        <f>VLOOKUP(ESales_DB[[#This Row],[Customer_ID]],Ecustom_DB[],10,FALSE)</f>
        <v>Gold</v>
      </c>
      <c r="S130" t="str">
        <f>IF(ESales_DB[[#This Row],[Quantity1]]&gt;3,"Bulk order","Normal order")</f>
        <v>Normal order</v>
      </c>
    </row>
    <row r="131" spans="1:19" x14ac:dyDescent="0.3">
      <c r="A131" t="s">
        <v>2939</v>
      </c>
      <c r="B131" s="4">
        <v>45888</v>
      </c>
      <c r="C131" s="4" t="str">
        <f>TEXT(ESales_DB[[#This Row],[Order_Date]],"mmm")</f>
        <v>Aug</v>
      </c>
      <c r="D131" t="s">
        <v>338</v>
      </c>
      <c r="E131" t="s">
        <v>1730</v>
      </c>
      <c r="F131" t="s">
        <v>1773</v>
      </c>
      <c r="G131">
        <v>3</v>
      </c>
      <c r="H131" s="10">
        <f>IF(ISBLANK(ESales_DB[[#This Row],[Quantity]]),AVERAGEIF(ESales_DB[Product_ID],ESales_DB[[#This Row],[Product_ID]],ESales_DB[Quantity]),ESales_DB[[#This Row],[Quantity]])</f>
        <v>3</v>
      </c>
      <c r="I131" s="2">
        <v>629.58000000000004</v>
      </c>
      <c r="J131">
        <v>0.05</v>
      </c>
      <c r="K131" t="s">
        <v>1824</v>
      </c>
      <c r="L131" s="2">
        <v>1794.3030000000001</v>
      </c>
      <c r="M131" s="2" t="str">
        <f>IF(ESales_DB[[#This Row],[Total_Amount]]&gt;1000,"High","Low")</f>
        <v>High</v>
      </c>
      <c r="N131" s="2" t="str">
        <f>VLOOKUP(ESales_DB[[#This Row],[Customer_ID]],Ecustom_DB[],3,FALSE)</f>
        <v>David Patterson</v>
      </c>
      <c r="O131" s="2" t="str">
        <f>_xlfn.XLOOKUP(ESales_DB[[#This Row],[Product_ID]],Eproduct_DB[Product_ID],Eproduct_DB[Category])</f>
        <v>Clothing</v>
      </c>
      <c r="P131" s="2" t="str">
        <f>_xlfn.XLOOKUP(ESales_DB[[#This Row],[Product_ID]],Eproduct_DB[Product_ID],Eproduct_DB[Product_Name])</f>
        <v>Women's High Heels</v>
      </c>
      <c r="Q131" s="2" t="str">
        <f>_xlfn.XLOOKUP(ESales_DB[[#This Row],[Store_ID]],Estore_DB[Store_ID],Estore_DB[Region])</f>
        <v>North</v>
      </c>
      <c r="R131" t="str">
        <f>VLOOKUP(ESales_DB[[#This Row],[Customer_ID]],Ecustom_DB[],10,FALSE)</f>
        <v>Gold</v>
      </c>
      <c r="S131" t="str">
        <f>IF(ESales_DB[[#This Row],[Quantity1]]&gt;3,"Bulk order","Normal order")</f>
        <v>Normal order</v>
      </c>
    </row>
    <row r="132" spans="1:19" x14ac:dyDescent="0.3">
      <c r="A132" t="s">
        <v>2940</v>
      </c>
      <c r="B132" s="4">
        <v>45791</v>
      </c>
      <c r="C132" s="4" t="str">
        <f>TEXT(ESales_DB[[#This Row],[Order_Date]],"mmm")</f>
        <v>May</v>
      </c>
      <c r="D132" t="s">
        <v>1437</v>
      </c>
      <c r="E132" t="s">
        <v>1722</v>
      </c>
      <c r="F132" t="s">
        <v>1761</v>
      </c>
      <c r="G132">
        <v>2</v>
      </c>
      <c r="H132" s="10">
        <f>IF(ISBLANK(ESales_DB[[#This Row],[Quantity]]),AVERAGEIF(ESales_DB[Product_ID],ESales_DB[[#This Row],[Product_ID]],ESales_DB[Quantity]),ESales_DB[[#This Row],[Quantity]])</f>
        <v>2</v>
      </c>
      <c r="I132" s="2">
        <v>121.52</v>
      </c>
      <c r="J132">
        <v>0.18</v>
      </c>
      <c r="K132" t="s">
        <v>1829</v>
      </c>
      <c r="L132" s="2">
        <v>199.2928</v>
      </c>
      <c r="M132" s="2" t="str">
        <f>IF(ESales_DB[[#This Row],[Total_Amount]]&gt;1000,"High","Low")</f>
        <v>Low</v>
      </c>
      <c r="N132" s="2" t="str">
        <f>VLOOKUP(ESales_DB[[#This Row],[Customer_ID]],Ecustom_DB[],3,FALSE)</f>
        <v>Cynthia Parrish</v>
      </c>
      <c r="O132" s="2" t="str">
        <f>_xlfn.XLOOKUP(ESales_DB[[#This Row],[Product_ID]],Eproduct_DB[Product_ID],Eproduct_DB[Category])</f>
        <v>Home</v>
      </c>
      <c r="P132" s="2" t="str">
        <f>_xlfn.XLOOKUP(ESales_DB[[#This Row],[Product_ID]],Eproduct_DB[Product_ID],Eproduct_DB[Product_Name])</f>
        <v>LED Bedside Lamp</v>
      </c>
      <c r="Q132" s="2" t="str">
        <f>_xlfn.XLOOKUP(ESales_DB[[#This Row],[Store_ID]],Estore_DB[Store_ID],Estore_DB[Region])</f>
        <v>South</v>
      </c>
      <c r="R132" t="str">
        <f>VLOOKUP(ESales_DB[[#This Row],[Customer_ID]],Ecustom_DB[],10,FALSE)</f>
        <v>Silver</v>
      </c>
      <c r="S132" t="str">
        <f>IF(ESales_DB[[#This Row],[Quantity1]]&gt;3,"Bulk order","Normal order")</f>
        <v>Normal order</v>
      </c>
    </row>
    <row r="133" spans="1:19" x14ac:dyDescent="0.3">
      <c r="A133" t="s">
        <v>2941</v>
      </c>
      <c r="B133" s="4">
        <v>45420</v>
      </c>
      <c r="C133" s="4" t="str">
        <f>TEXT(ESales_DB[[#This Row],[Order_Date]],"mmm")</f>
        <v>May</v>
      </c>
      <c r="D133" t="s">
        <v>1249</v>
      </c>
      <c r="E133" t="s">
        <v>1678</v>
      </c>
      <c r="F133" t="s">
        <v>1813</v>
      </c>
      <c r="G133">
        <v>2</v>
      </c>
      <c r="H133" s="10">
        <f>IF(ISBLANK(ESales_DB[[#This Row],[Quantity]]),AVERAGEIF(ESales_DB[Product_ID],ESales_DB[[#This Row],[Product_ID]],ESales_DB[Quantity]),ESales_DB[[#This Row],[Quantity]])</f>
        <v>2</v>
      </c>
      <c r="I133" s="2">
        <v>549.83000000000004</v>
      </c>
      <c r="J133">
        <v>7.0000000000000007E-2</v>
      </c>
      <c r="K133" t="s">
        <v>1826</v>
      </c>
      <c r="L133" s="2">
        <v>1022.6838</v>
      </c>
      <c r="M133" s="2" t="str">
        <f>IF(ESales_DB[[#This Row],[Total_Amount]]&gt;1000,"High","Low")</f>
        <v>High</v>
      </c>
      <c r="N133" s="2" t="str">
        <f>VLOOKUP(ESales_DB[[#This Row],[Customer_ID]],Ecustom_DB[],3,FALSE)</f>
        <v>Terry Moses</v>
      </c>
      <c r="O133" s="2" t="str">
        <f>_xlfn.XLOOKUP(ESales_DB[[#This Row],[Product_ID]],Eproduct_DB[Product_ID],Eproduct_DB[Category])</f>
        <v>Sports</v>
      </c>
      <c r="P133" s="2" t="str">
        <f>_xlfn.XLOOKUP(ESales_DB[[#This Row],[Product_ID]],Eproduct_DB[Product_ID],Eproduct_DB[Product_Name])</f>
        <v>Adjustable Dumbbells 20kg</v>
      </c>
      <c r="Q133" s="2" t="str">
        <f>_xlfn.XLOOKUP(ESales_DB[[#This Row],[Store_ID]],Estore_DB[Store_ID],Estore_DB[Region])</f>
        <v>East</v>
      </c>
      <c r="R133" t="str">
        <f>VLOOKUP(ESales_DB[[#This Row],[Customer_ID]],Ecustom_DB[],10,FALSE)</f>
        <v>Platinum</v>
      </c>
      <c r="S133" t="str">
        <f>IF(ESales_DB[[#This Row],[Quantity1]]&gt;3,"Bulk order","Normal order")</f>
        <v>Normal order</v>
      </c>
    </row>
    <row r="134" spans="1:19" x14ac:dyDescent="0.3">
      <c r="A134" t="s">
        <v>2942</v>
      </c>
      <c r="B134" s="4">
        <v>45219</v>
      </c>
      <c r="C134" s="4" t="str">
        <f>TEXT(ESales_DB[[#This Row],[Order_Date]],"mmm")</f>
        <v>Oct</v>
      </c>
      <c r="D134" t="s">
        <v>475</v>
      </c>
      <c r="E134" t="s">
        <v>1574</v>
      </c>
      <c r="F134" t="s">
        <v>1782</v>
      </c>
      <c r="G134">
        <v>3</v>
      </c>
      <c r="H134" s="10">
        <f>IF(ISBLANK(ESales_DB[[#This Row],[Quantity]]),AVERAGEIF(ESales_DB[Product_ID],ESales_DB[[#This Row],[Product_ID]],ESales_DB[Quantity]),ESales_DB[[#This Row],[Quantity]])</f>
        <v>3</v>
      </c>
      <c r="I134" s="2">
        <v>278.38</v>
      </c>
      <c r="J134">
        <v>0.03</v>
      </c>
      <c r="K134" t="s">
        <v>1824</v>
      </c>
      <c r="L134" s="2">
        <v>810.08579999999995</v>
      </c>
      <c r="M134" s="2" t="str">
        <f>IF(ESales_DB[[#This Row],[Total_Amount]]&gt;1000,"High","Low")</f>
        <v>Low</v>
      </c>
      <c r="N134" s="2" t="str">
        <f>VLOOKUP(ESales_DB[[#This Row],[Customer_ID]],Ecustom_DB[],3,FALSE)</f>
        <v>Patty Francis</v>
      </c>
      <c r="O134" s="2" t="str">
        <f>_xlfn.XLOOKUP(ESales_DB[[#This Row],[Product_ID]],Eproduct_DB[Product_ID],Eproduct_DB[Category])</f>
        <v>Electronics</v>
      </c>
      <c r="P134" s="2" t="str">
        <f>_xlfn.XLOOKUP(ESales_DB[[#This Row],[Product_ID]],Eproduct_DB[Product_ID],Eproduct_DB[Product_Name])</f>
        <v>USB-C Fast Charger</v>
      </c>
      <c r="Q134" s="2" t="str">
        <f>_xlfn.XLOOKUP(ESales_DB[[#This Row],[Store_ID]],Estore_DB[Store_ID],Estore_DB[Region])</f>
        <v>West</v>
      </c>
      <c r="R134" t="str">
        <f>VLOOKUP(ESales_DB[[#This Row],[Customer_ID]],Ecustom_DB[],10,FALSE)</f>
        <v>Gold</v>
      </c>
      <c r="S134" t="str">
        <f>IF(ESales_DB[[#This Row],[Quantity1]]&gt;3,"Bulk order","Normal order")</f>
        <v>Normal order</v>
      </c>
    </row>
    <row r="135" spans="1:19" x14ac:dyDescent="0.3">
      <c r="A135" t="s">
        <v>2943</v>
      </c>
      <c r="B135" s="4">
        <v>45510</v>
      </c>
      <c r="C135" s="4" t="str">
        <f>TEXT(ESales_DB[[#This Row],[Order_Date]],"mmm")</f>
        <v>Aug</v>
      </c>
      <c r="D135" t="s">
        <v>1355</v>
      </c>
      <c r="E135" t="s">
        <v>1740</v>
      </c>
      <c r="F135" t="s">
        <v>1766</v>
      </c>
      <c r="G135">
        <v>4</v>
      </c>
      <c r="H135" s="10">
        <f>IF(ISBLANK(ESales_DB[[#This Row],[Quantity]]),AVERAGEIF(ESales_DB[Product_ID],ESales_DB[[#This Row],[Product_ID]],ESales_DB[Quantity]),ESales_DB[[#This Row],[Quantity]])</f>
        <v>4</v>
      </c>
      <c r="I135" s="2">
        <v>723.66</v>
      </c>
      <c r="J135">
        <v>0.03</v>
      </c>
      <c r="K135" t="s">
        <v>1826</v>
      </c>
      <c r="L135" s="2">
        <v>2807.8008</v>
      </c>
      <c r="M135" s="2" t="str">
        <f>IF(ESales_DB[[#This Row],[Total_Amount]]&gt;1000,"High","Low")</f>
        <v>High</v>
      </c>
      <c r="N135" s="2" t="str">
        <f>VLOOKUP(ESales_DB[[#This Row],[Customer_ID]],Ecustom_DB[],3,FALSE)</f>
        <v>Melinda Rivera</v>
      </c>
      <c r="O135" s="2" t="str">
        <f>_xlfn.XLOOKUP(ESales_DB[[#This Row],[Product_ID]],Eproduct_DB[Product_ID],Eproduct_DB[Category])</f>
        <v>Clothing</v>
      </c>
      <c r="P135" s="2" t="str">
        <f>_xlfn.XLOOKUP(ESales_DB[[#This Row],[Product_ID]],Eproduct_DB[Product_ID],Eproduct_DB[Product_Name])</f>
        <v>Women's Formal Blazer</v>
      </c>
      <c r="Q135" s="2" t="str">
        <f>_xlfn.XLOOKUP(ESales_DB[[#This Row],[Store_ID]],Estore_DB[Store_ID],Estore_DB[Region])</f>
        <v>North</v>
      </c>
      <c r="R135" t="str">
        <f>VLOOKUP(ESales_DB[[#This Row],[Customer_ID]],Ecustom_DB[],10,FALSE)</f>
        <v>Platinum</v>
      </c>
      <c r="S135" t="str">
        <f>IF(ESales_DB[[#This Row],[Quantity1]]&gt;3,"Bulk order","Normal order")</f>
        <v>Bulk order</v>
      </c>
    </row>
    <row r="136" spans="1:19" x14ac:dyDescent="0.3">
      <c r="A136" t="s">
        <v>2944</v>
      </c>
      <c r="B136" s="4">
        <v>45687</v>
      </c>
      <c r="C136" s="4" t="str">
        <f>TEXT(ESales_DB[[#This Row],[Order_Date]],"mmm")</f>
        <v>Jan</v>
      </c>
      <c r="D136" t="s">
        <v>669</v>
      </c>
      <c r="E136" t="s">
        <v>1692</v>
      </c>
      <c r="F136" t="s">
        <v>1786</v>
      </c>
      <c r="G136">
        <v>1</v>
      </c>
      <c r="H136" s="10">
        <f>IF(ISBLANK(ESales_DB[[#This Row],[Quantity]]),AVERAGEIF(ESales_DB[Product_ID],ESales_DB[[#This Row],[Product_ID]],ESales_DB[Quantity]),ESales_DB[[#This Row],[Quantity]])</f>
        <v>1</v>
      </c>
      <c r="I136" s="2">
        <v>724.74</v>
      </c>
      <c r="J136">
        <v>0.15</v>
      </c>
      <c r="K136" t="s">
        <v>1826</v>
      </c>
      <c r="L136" s="2">
        <v>616.029</v>
      </c>
      <c r="M136" s="2" t="str">
        <f>IF(ESales_DB[[#This Row],[Total_Amount]]&gt;1000,"High","Low")</f>
        <v>Low</v>
      </c>
      <c r="N136" s="2" t="str">
        <f>VLOOKUP(ESales_DB[[#This Row],[Customer_ID]],Ecustom_DB[],3,FALSE)</f>
        <v>Michelle Carpenter</v>
      </c>
      <c r="O136" s="2" t="str">
        <f>_xlfn.XLOOKUP(ESales_DB[[#This Row],[Product_ID]],Eproduct_DB[Product_ID],Eproduct_DB[Category])</f>
        <v>Sports</v>
      </c>
      <c r="P136" s="2" t="str">
        <f>_xlfn.XLOOKUP(ESales_DB[[#This Row],[Product_ID]],Eproduct_DB[Product_ID],Eproduct_DB[Product_Name])</f>
        <v>Professional Jump Rope</v>
      </c>
      <c r="Q136" s="2" t="str">
        <f>_xlfn.XLOOKUP(ESales_DB[[#This Row],[Store_ID]],Estore_DB[Store_ID],Estore_DB[Region])</f>
        <v>South</v>
      </c>
      <c r="R136" t="str">
        <f>VLOOKUP(ESales_DB[[#This Row],[Customer_ID]],Ecustom_DB[],10,FALSE)</f>
        <v>Gold</v>
      </c>
      <c r="S136" t="str">
        <f>IF(ESales_DB[[#This Row],[Quantity1]]&gt;3,"Bulk order","Normal order")</f>
        <v>Normal order</v>
      </c>
    </row>
    <row r="137" spans="1:19" x14ac:dyDescent="0.3">
      <c r="A137" t="s">
        <v>2945</v>
      </c>
      <c r="B137" s="4">
        <v>45271</v>
      </c>
      <c r="C137" s="4" t="str">
        <f>TEXT(ESales_DB[[#This Row],[Order_Date]],"mmm")</f>
        <v>Dec</v>
      </c>
      <c r="D137" t="s">
        <v>1405</v>
      </c>
      <c r="E137" t="s">
        <v>1590</v>
      </c>
      <c r="F137" t="s">
        <v>1769</v>
      </c>
      <c r="G137">
        <v>2</v>
      </c>
      <c r="H137" s="10">
        <f>IF(ISBLANK(ESales_DB[[#This Row],[Quantity]]),AVERAGEIF(ESales_DB[Product_ID],ESales_DB[[#This Row],[Product_ID]],ESales_DB[Quantity]),ESales_DB[[#This Row],[Quantity]])</f>
        <v>2</v>
      </c>
      <c r="I137" s="2">
        <v>961.84</v>
      </c>
      <c r="J137">
        <v>0.25</v>
      </c>
      <c r="K137" t="s">
        <v>1826</v>
      </c>
      <c r="L137" s="2">
        <v>1442.76</v>
      </c>
      <c r="M137" s="2" t="str">
        <f>IF(ESales_DB[[#This Row],[Total_Amount]]&gt;1000,"High","Low")</f>
        <v>High</v>
      </c>
      <c r="N137" s="2" t="str">
        <f>VLOOKUP(ESales_DB[[#This Row],[Customer_ID]],Ecustom_DB[],3,FALSE)</f>
        <v>Tyler Weber</v>
      </c>
      <c r="O137" s="2" t="str">
        <f>_xlfn.XLOOKUP(ESales_DB[[#This Row],[Product_ID]],Eproduct_DB[Product_ID],Eproduct_DB[Category])</f>
        <v>Home</v>
      </c>
      <c r="P137" s="2" t="str">
        <f>_xlfn.XLOOKUP(ESales_DB[[#This Row],[Product_ID]],Eproduct_DB[Product_ID],Eproduct_DB[Product_Name])</f>
        <v>Multi-Purpose Storage Box</v>
      </c>
      <c r="Q137" s="2" t="str">
        <f>_xlfn.XLOOKUP(ESales_DB[[#This Row],[Store_ID]],Estore_DB[Store_ID],Estore_DB[Region])</f>
        <v>South</v>
      </c>
      <c r="R137" t="str">
        <f>VLOOKUP(ESales_DB[[#This Row],[Customer_ID]],Ecustom_DB[],10,FALSE)</f>
        <v>Gold</v>
      </c>
      <c r="S137" t="str">
        <f>IF(ESales_DB[[#This Row],[Quantity1]]&gt;3,"Bulk order","Normal order")</f>
        <v>Normal order</v>
      </c>
    </row>
    <row r="138" spans="1:19" x14ac:dyDescent="0.3">
      <c r="A138" t="s">
        <v>1938</v>
      </c>
      <c r="B138" s="4">
        <v>45705</v>
      </c>
      <c r="C138" s="4" t="str">
        <f>TEXT(ESales_DB[[#This Row],[Order_Date]],"mmm")</f>
        <v>Feb</v>
      </c>
      <c r="D138" t="s">
        <v>314</v>
      </c>
      <c r="E138" t="s">
        <v>1700</v>
      </c>
      <c r="F138" t="s">
        <v>1797</v>
      </c>
      <c r="G138">
        <v>3</v>
      </c>
      <c r="H138" s="10">
        <f>IF(ISBLANK(ESales_DB[[#This Row],[Quantity]]),AVERAGEIF(ESales_DB[Product_ID],ESales_DB[[#This Row],[Product_ID]],ESales_DB[Quantity]),ESales_DB[[#This Row],[Quantity]])</f>
        <v>3</v>
      </c>
      <c r="I138" s="2">
        <v>948.69</v>
      </c>
      <c r="J138">
        <v>0.28999999999999998</v>
      </c>
      <c r="K138" t="s">
        <v>1824</v>
      </c>
      <c r="L138" s="2">
        <v>2020.7097000000001</v>
      </c>
      <c r="M138" s="2" t="str">
        <f>IF(ESales_DB[[#This Row],[Total_Amount]]&gt;1000,"High","Low")</f>
        <v>High</v>
      </c>
      <c r="N138" s="2" t="str">
        <f>VLOOKUP(ESales_DB[[#This Row],[Customer_ID]],Ecustom_DB[],3,FALSE)</f>
        <v>Melissa Duffy Md</v>
      </c>
      <c r="O138" s="2" t="str">
        <f>_xlfn.XLOOKUP(ESales_DB[[#This Row],[Product_ID]],Eproduct_DB[Product_ID],Eproduct_DB[Category])</f>
        <v>Electronics</v>
      </c>
      <c r="P138" s="2" t="str">
        <f>_xlfn.XLOOKUP(ESales_DB[[#This Row],[Product_ID]],Eproduct_DB[Product_ID],Eproduct_DB[Product_Name])</f>
        <v>Wireless Mouse</v>
      </c>
      <c r="Q138" s="2" t="str">
        <f>_xlfn.XLOOKUP(ESales_DB[[#This Row],[Store_ID]],Estore_DB[Store_ID],Estore_DB[Region])</f>
        <v>East</v>
      </c>
      <c r="R138" t="str">
        <f>VLOOKUP(ESales_DB[[#This Row],[Customer_ID]],Ecustom_DB[],10,FALSE)</f>
        <v>Bronze</v>
      </c>
      <c r="S138" t="str">
        <f>IF(ESales_DB[[#This Row],[Quantity1]]&gt;3,"Bulk order","Normal order")</f>
        <v>Normal order</v>
      </c>
    </row>
    <row r="139" spans="1:19" x14ac:dyDescent="0.3">
      <c r="A139" t="s">
        <v>2946</v>
      </c>
      <c r="B139" s="4">
        <v>45446</v>
      </c>
      <c r="C139" s="4" t="str">
        <f>TEXT(ESales_DB[[#This Row],[Order_Date]],"mmm")</f>
        <v>Jun</v>
      </c>
      <c r="D139" t="s">
        <v>89</v>
      </c>
      <c r="E139" t="s">
        <v>1622</v>
      </c>
      <c r="F139" t="s">
        <v>1804</v>
      </c>
      <c r="G139">
        <v>4</v>
      </c>
      <c r="H139" s="10">
        <f>IF(ISBLANK(ESales_DB[[#This Row],[Quantity]]),AVERAGEIF(ESales_DB[Product_ID],ESales_DB[[#This Row],[Product_ID]],ESales_DB[Quantity]),ESales_DB[[#This Row],[Quantity]])</f>
        <v>4</v>
      </c>
      <c r="I139" s="2">
        <v>21.12</v>
      </c>
      <c r="J139">
        <v>0.18</v>
      </c>
      <c r="K139" t="s">
        <v>1829</v>
      </c>
      <c r="L139" s="2">
        <v>69.273600000000002</v>
      </c>
      <c r="M139" s="2" t="str">
        <f>IF(ESales_DB[[#This Row],[Total_Amount]]&gt;1000,"High","Low")</f>
        <v>Low</v>
      </c>
      <c r="N139" s="2" t="str">
        <f>VLOOKUP(ESales_DB[[#This Row],[Customer_ID]],Ecustom_DB[],3,FALSE)</f>
        <v>Bridget Allen</v>
      </c>
      <c r="O139" s="2" t="str">
        <f>_xlfn.XLOOKUP(ESales_DB[[#This Row],[Product_ID]],Eproduct_DB[Product_ID],Eproduct_DB[Category])</f>
        <v>Clothing</v>
      </c>
      <c r="P139" s="2" t="str">
        <f>_xlfn.XLOOKUP(ESales_DB[[#This Row],[Product_ID]],Eproduct_DB[Product_ID],Eproduct_DB[Product_Name])</f>
        <v>Men's Casual Sneakers</v>
      </c>
      <c r="Q139" s="2" t="str">
        <f>_xlfn.XLOOKUP(ESales_DB[[#This Row],[Store_ID]],Estore_DB[Store_ID],Estore_DB[Region])</f>
        <v>West</v>
      </c>
      <c r="R139" t="str">
        <f>VLOOKUP(ESales_DB[[#This Row],[Customer_ID]],Ecustom_DB[],10,FALSE)</f>
        <v>Silver</v>
      </c>
      <c r="S139" t="str">
        <f>IF(ESales_DB[[#This Row],[Quantity1]]&gt;3,"Bulk order","Normal order")</f>
        <v>Bulk order</v>
      </c>
    </row>
    <row r="140" spans="1:19" x14ac:dyDescent="0.3">
      <c r="A140" t="s">
        <v>2947</v>
      </c>
      <c r="B140" s="4">
        <v>45579</v>
      </c>
      <c r="C140" s="4" t="str">
        <f>TEXT(ESales_DB[[#This Row],[Order_Date]],"mmm")</f>
        <v>Oct</v>
      </c>
      <c r="D140" t="s">
        <v>1005</v>
      </c>
      <c r="E140" t="s">
        <v>1543</v>
      </c>
      <c r="F140" t="s">
        <v>1769</v>
      </c>
      <c r="G140">
        <v>3</v>
      </c>
      <c r="H140" s="10">
        <f>IF(ISBLANK(ESales_DB[[#This Row],[Quantity]]),AVERAGEIF(ESales_DB[Product_ID],ESales_DB[[#This Row],[Product_ID]],ESales_DB[Quantity]),ESales_DB[[#This Row],[Quantity]])</f>
        <v>3</v>
      </c>
      <c r="I140" s="2">
        <v>819.93</v>
      </c>
      <c r="J140">
        <v>0.08</v>
      </c>
      <c r="K140" t="s">
        <v>1826</v>
      </c>
      <c r="L140" s="2">
        <v>2263.0068000000001</v>
      </c>
      <c r="M140" s="2" t="str">
        <f>IF(ESales_DB[[#This Row],[Total_Amount]]&gt;1000,"High","Low")</f>
        <v>High</v>
      </c>
      <c r="N140" s="2" t="str">
        <f>VLOOKUP(ESales_DB[[#This Row],[Customer_ID]],Ecustom_DB[],3,FALSE)</f>
        <v>Casey Simpson</v>
      </c>
      <c r="O140" s="2" t="str">
        <f>_xlfn.XLOOKUP(ESales_DB[[#This Row],[Product_ID]],Eproduct_DB[Product_ID],Eproduct_DB[Category])</f>
        <v>Electronics</v>
      </c>
      <c r="P140" s="2" t="str">
        <f>_xlfn.XLOOKUP(ESales_DB[[#This Row],[Product_ID]],Eproduct_DB[Product_ID],Eproduct_DB[Product_Name])</f>
        <v>Brother Laser Printer</v>
      </c>
      <c r="Q140" s="2" t="str">
        <f>_xlfn.XLOOKUP(ESales_DB[[#This Row],[Store_ID]],Estore_DB[Store_ID],Estore_DB[Region])</f>
        <v>South</v>
      </c>
      <c r="R140" t="str">
        <f>VLOOKUP(ESales_DB[[#This Row],[Customer_ID]],Ecustom_DB[],10,FALSE)</f>
        <v>Platinum</v>
      </c>
      <c r="S140" t="str">
        <f>IF(ESales_DB[[#This Row],[Quantity1]]&gt;3,"Bulk order","Normal order")</f>
        <v>Normal order</v>
      </c>
    </row>
    <row r="141" spans="1:19" x14ac:dyDescent="0.3">
      <c r="A141" t="s">
        <v>2948</v>
      </c>
      <c r="B141" s="4">
        <v>45725</v>
      </c>
      <c r="C141" s="4" t="str">
        <f>TEXT(ESales_DB[[#This Row],[Order_Date]],"mmm")</f>
        <v>Mar</v>
      </c>
      <c r="D141" t="s">
        <v>932</v>
      </c>
      <c r="E141" t="s">
        <v>1632</v>
      </c>
      <c r="F141" t="s">
        <v>1752</v>
      </c>
      <c r="G141">
        <v>2</v>
      </c>
      <c r="H141" s="10">
        <f>IF(ISBLANK(ESales_DB[[#This Row],[Quantity]]),AVERAGEIF(ESales_DB[Product_ID],ESales_DB[[#This Row],[Product_ID]],ESales_DB[Quantity]),ESales_DB[[#This Row],[Quantity]])</f>
        <v>2</v>
      </c>
      <c r="I141" s="2">
        <v>700.95</v>
      </c>
      <c r="J141">
        <v>0.18</v>
      </c>
      <c r="K141" t="s">
        <v>1824</v>
      </c>
      <c r="L141" s="2">
        <v>1149.558</v>
      </c>
      <c r="M141" s="2" t="str">
        <f>IF(ESales_DB[[#This Row],[Total_Amount]]&gt;1000,"High","Low")</f>
        <v>High</v>
      </c>
      <c r="N141" s="2" t="str">
        <f>VLOOKUP(ESales_DB[[#This Row],[Customer_ID]],Ecustom_DB[],3,FALSE)</f>
        <v>Lisa Chandler</v>
      </c>
      <c r="O141" s="2" t="str">
        <f>_xlfn.XLOOKUP(ESales_DB[[#This Row],[Product_ID]],Eproduct_DB[Product_ID],Eproduct_DB[Category])</f>
        <v>Electronics</v>
      </c>
      <c r="P141" s="2" t="str">
        <f>_xlfn.XLOOKUP(ESales_DB[[#This Row],[Product_ID]],Eproduct_DB[Product_ID],Eproduct_DB[Product_Name])</f>
        <v>Smart Home WiFi Camera</v>
      </c>
      <c r="Q141" s="2" t="str">
        <f>_xlfn.XLOOKUP(ESales_DB[[#This Row],[Store_ID]],Estore_DB[Store_ID],Estore_DB[Region])</f>
        <v>East</v>
      </c>
      <c r="R141" t="str">
        <f>VLOOKUP(ESales_DB[[#This Row],[Customer_ID]],Ecustom_DB[],10,FALSE)</f>
        <v>Platinum</v>
      </c>
      <c r="S141" t="str">
        <f>IF(ESales_DB[[#This Row],[Quantity1]]&gt;3,"Bulk order","Normal order")</f>
        <v>Normal order</v>
      </c>
    </row>
    <row r="142" spans="1:19" x14ac:dyDescent="0.3">
      <c r="A142" t="s">
        <v>2949</v>
      </c>
      <c r="B142" s="4">
        <v>45910</v>
      </c>
      <c r="C142" s="4" t="str">
        <f>TEXT(ESales_DB[[#This Row],[Order_Date]],"mmm")</f>
        <v>Sep</v>
      </c>
      <c r="D142" t="s">
        <v>478</v>
      </c>
      <c r="E142" t="s">
        <v>1582</v>
      </c>
      <c r="F142" t="s">
        <v>1799</v>
      </c>
      <c r="G142">
        <v>2</v>
      </c>
      <c r="H142" s="10">
        <f>IF(ISBLANK(ESales_DB[[#This Row],[Quantity]]),AVERAGEIF(ESales_DB[Product_ID],ESales_DB[[#This Row],[Product_ID]],ESales_DB[Quantity]),ESales_DB[[#This Row],[Quantity]])</f>
        <v>2</v>
      </c>
      <c r="I142" s="2">
        <v>456.38</v>
      </c>
      <c r="J142">
        <v>0.12</v>
      </c>
      <c r="K142" t="s">
        <v>1824</v>
      </c>
      <c r="L142" s="2">
        <v>803.22879999999998</v>
      </c>
      <c r="M142" s="2" t="str">
        <f>IF(ESales_DB[[#This Row],[Total_Amount]]&gt;1000,"High","Low")</f>
        <v>Low</v>
      </c>
      <c r="N142" s="2" t="str">
        <f>VLOOKUP(ESales_DB[[#This Row],[Customer_ID]],Ecustom_DB[],3,FALSE)</f>
        <v>Cristian Wright</v>
      </c>
      <c r="O142" s="2" t="str">
        <f>_xlfn.XLOOKUP(ESales_DB[[#This Row],[Product_ID]],Eproduct_DB[Product_ID],Eproduct_DB[Category])</f>
        <v>Sports</v>
      </c>
      <c r="P142" s="2" t="str">
        <f>_xlfn.XLOOKUP(ESales_DB[[#This Row],[Product_ID]],Eproduct_DB[Product_ID],Eproduct_DB[Product_Name])</f>
        <v>Soccer Training Cone Set</v>
      </c>
      <c r="Q142" s="2" t="str">
        <f>_xlfn.XLOOKUP(ESales_DB[[#This Row],[Store_ID]],Estore_DB[Store_ID],Estore_DB[Region])</f>
        <v>South</v>
      </c>
      <c r="R142" t="str">
        <f>VLOOKUP(ESales_DB[[#This Row],[Customer_ID]],Ecustom_DB[],10,FALSE)</f>
        <v>Bronze</v>
      </c>
      <c r="S142" t="str">
        <f>IF(ESales_DB[[#This Row],[Quantity1]]&gt;3,"Bulk order","Normal order")</f>
        <v>Normal order</v>
      </c>
    </row>
    <row r="143" spans="1:19" x14ac:dyDescent="0.3">
      <c r="A143" t="s">
        <v>2950</v>
      </c>
      <c r="B143" s="4">
        <v>45447</v>
      </c>
      <c r="C143" s="4" t="str">
        <f>TEXT(ESales_DB[[#This Row],[Order_Date]],"mmm")</f>
        <v>Jun</v>
      </c>
      <c r="D143" t="s">
        <v>1130</v>
      </c>
      <c r="E143" t="s">
        <v>1700</v>
      </c>
      <c r="F143" t="s">
        <v>1799</v>
      </c>
      <c r="G143">
        <v>3</v>
      </c>
      <c r="H143" s="10">
        <f>IF(ISBLANK(ESales_DB[[#This Row],[Quantity]]),AVERAGEIF(ESales_DB[Product_ID],ESales_DB[[#This Row],[Product_ID]],ESales_DB[Quantity]),ESales_DB[[#This Row],[Quantity]])</f>
        <v>3</v>
      </c>
      <c r="I143" s="2">
        <v>291.05</v>
      </c>
      <c r="J143">
        <v>0.3</v>
      </c>
      <c r="K143" t="s">
        <v>1824</v>
      </c>
      <c r="L143" s="2">
        <v>611.20500000000004</v>
      </c>
      <c r="M143" s="2" t="str">
        <f>IF(ESales_DB[[#This Row],[Total_Amount]]&gt;1000,"High","Low")</f>
        <v>Low</v>
      </c>
      <c r="N143" s="2" t="str">
        <f>VLOOKUP(ESales_DB[[#This Row],[Customer_ID]],Ecustom_DB[],3,FALSE)</f>
        <v>Natalie Johnson</v>
      </c>
      <c r="O143" s="2" t="str">
        <f>_xlfn.XLOOKUP(ESales_DB[[#This Row],[Product_ID]],Eproduct_DB[Product_ID],Eproduct_DB[Category])</f>
        <v>Electronics</v>
      </c>
      <c r="P143" s="2" t="str">
        <f>_xlfn.XLOOKUP(ESales_DB[[#This Row],[Product_ID]],Eproduct_DB[Product_ID],Eproduct_DB[Product_Name])</f>
        <v>Wireless Mouse</v>
      </c>
      <c r="Q143" s="2" t="str">
        <f>_xlfn.XLOOKUP(ESales_DB[[#This Row],[Store_ID]],Estore_DB[Store_ID],Estore_DB[Region])</f>
        <v>South</v>
      </c>
      <c r="R143" t="str">
        <f>VLOOKUP(ESales_DB[[#This Row],[Customer_ID]],Ecustom_DB[],10,FALSE)</f>
        <v>Platinum</v>
      </c>
      <c r="S143" t="str">
        <f>IF(ESales_DB[[#This Row],[Quantity1]]&gt;3,"Bulk order","Normal order")</f>
        <v>Normal order</v>
      </c>
    </row>
    <row r="144" spans="1:19" x14ac:dyDescent="0.3">
      <c r="A144" t="s">
        <v>2951</v>
      </c>
      <c r="B144" s="4">
        <v>45307</v>
      </c>
      <c r="C144" s="4" t="str">
        <f>TEXT(ESales_DB[[#This Row],[Order_Date]],"mmm")</f>
        <v>Jan</v>
      </c>
      <c r="D144" t="s">
        <v>749</v>
      </c>
      <c r="E144" t="s">
        <v>1738</v>
      </c>
      <c r="F144" t="s">
        <v>1801</v>
      </c>
      <c r="G144">
        <v>2</v>
      </c>
      <c r="H144" s="10">
        <f>IF(ISBLANK(ESales_DB[[#This Row],[Quantity]]),AVERAGEIF(ESales_DB[Product_ID],ESales_DB[[#This Row],[Product_ID]],ESales_DB[Quantity]),ESales_DB[[#This Row],[Quantity]])</f>
        <v>2</v>
      </c>
      <c r="I144" s="2">
        <v>463.52</v>
      </c>
      <c r="J144">
        <v>0.27</v>
      </c>
      <c r="K144" t="s">
        <v>1826</v>
      </c>
      <c r="L144" s="2">
        <v>676.73919999999998</v>
      </c>
      <c r="M144" s="2" t="str">
        <f>IF(ESales_DB[[#This Row],[Total_Amount]]&gt;1000,"High","Low")</f>
        <v>Low</v>
      </c>
      <c r="N144" s="2" t="str">
        <f>VLOOKUP(ESales_DB[[#This Row],[Customer_ID]],Ecustom_DB[],3,FALSE)</f>
        <v>Michelle Gonzalez</v>
      </c>
      <c r="O144" s="2" t="str">
        <f>_xlfn.XLOOKUP(ESales_DB[[#This Row],[Product_ID]],Eproduct_DB[Product_ID],Eproduct_DB[Category])</f>
        <v>Sports</v>
      </c>
      <c r="P144" s="2" t="str">
        <f>_xlfn.XLOOKUP(ESales_DB[[#This Row],[Product_ID]],Eproduct_DB[Product_ID],Eproduct_DB[Product_Name])</f>
        <v>Sports Stopwatch Basic</v>
      </c>
      <c r="Q144" s="2" t="str">
        <f>_xlfn.XLOOKUP(ESales_DB[[#This Row],[Store_ID]],Estore_DB[Store_ID],Estore_DB[Region])</f>
        <v>North</v>
      </c>
      <c r="R144" t="str">
        <f>VLOOKUP(ESales_DB[[#This Row],[Customer_ID]],Ecustom_DB[],10,FALSE)</f>
        <v>Silver</v>
      </c>
      <c r="S144" t="str">
        <f>IF(ESales_DB[[#This Row],[Quantity1]]&gt;3,"Bulk order","Normal order")</f>
        <v>Normal order</v>
      </c>
    </row>
    <row r="145" spans="1:19" x14ac:dyDescent="0.3">
      <c r="A145" t="s">
        <v>2952</v>
      </c>
      <c r="B145" s="4">
        <v>45653</v>
      </c>
      <c r="C145" s="4" t="str">
        <f>TEXT(ESales_DB[[#This Row],[Order_Date]],"mmm")</f>
        <v>Dec</v>
      </c>
      <c r="D145" t="s">
        <v>1184</v>
      </c>
      <c r="E145" t="s">
        <v>1543</v>
      </c>
      <c r="F145" t="s">
        <v>1807</v>
      </c>
      <c r="G145">
        <v>3</v>
      </c>
      <c r="H145" s="10">
        <f>IF(ISBLANK(ESales_DB[[#This Row],[Quantity]]),AVERAGEIF(ESales_DB[Product_ID],ESales_DB[[#This Row],[Product_ID]],ESales_DB[Quantity]),ESales_DB[[#This Row],[Quantity]])</f>
        <v>3</v>
      </c>
      <c r="I145" s="2">
        <v>241.64</v>
      </c>
      <c r="J145">
        <v>0.28999999999999998</v>
      </c>
      <c r="K145" t="s">
        <v>1826</v>
      </c>
      <c r="L145" s="2">
        <v>514.69319999999993</v>
      </c>
      <c r="M145" s="2" t="str">
        <f>IF(ESales_DB[[#This Row],[Total_Amount]]&gt;1000,"High","Low")</f>
        <v>Low</v>
      </c>
      <c r="N145" s="2" t="str">
        <f>VLOOKUP(ESales_DB[[#This Row],[Customer_ID]],Ecustom_DB[],3,FALSE)</f>
        <v>Tanya Lopez</v>
      </c>
      <c r="O145" s="2" t="str">
        <f>_xlfn.XLOOKUP(ESales_DB[[#This Row],[Product_ID]],Eproduct_DB[Product_ID],Eproduct_DB[Category])</f>
        <v>Electronics</v>
      </c>
      <c r="P145" s="2" t="str">
        <f>_xlfn.XLOOKUP(ESales_DB[[#This Row],[Product_ID]],Eproduct_DB[Product_ID],Eproduct_DB[Product_Name])</f>
        <v>Brother Laser Printer</v>
      </c>
      <c r="Q145" s="2" t="str">
        <f>_xlfn.XLOOKUP(ESales_DB[[#This Row],[Store_ID]],Estore_DB[Store_ID],Estore_DB[Region])</f>
        <v>North</v>
      </c>
      <c r="R145" t="str">
        <f>VLOOKUP(ESales_DB[[#This Row],[Customer_ID]],Ecustom_DB[],10,FALSE)</f>
        <v>Gold</v>
      </c>
      <c r="S145" t="str">
        <f>IF(ESales_DB[[#This Row],[Quantity1]]&gt;3,"Bulk order","Normal order")</f>
        <v>Normal order</v>
      </c>
    </row>
    <row r="146" spans="1:19" x14ac:dyDescent="0.3">
      <c r="A146" t="s">
        <v>2953</v>
      </c>
      <c r="B146" s="4">
        <v>45817</v>
      </c>
      <c r="C146" s="4" t="str">
        <f>TEXT(ESales_DB[[#This Row],[Order_Date]],"mmm")</f>
        <v>Jun</v>
      </c>
      <c r="D146" t="s">
        <v>1487</v>
      </c>
      <c r="E146" t="s">
        <v>1608</v>
      </c>
      <c r="F146" t="s">
        <v>1789</v>
      </c>
      <c r="G146">
        <v>2</v>
      </c>
      <c r="H146" s="10">
        <f>IF(ISBLANK(ESales_DB[[#This Row],[Quantity]]),AVERAGEIF(ESales_DB[Product_ID],ESales_DB[[#This Row],[Product_ID]],ESales_DB[Quantity]),ESales_DB[[#This Row],[Quantity]])</f>
        <v>2</v>
      </c>
      <c r="I146" s="2">
        <v>47.86</v>
      </c>
      <c r="J146">
        <v>0.03</v>
      </c>
      <c r="K146" t="s">
        <v>1826</v>
      </c>
      <c r="L146" s="2">
        <v>92.848399999999998</v>
      </c>
      <c r="M146" s="2" t="str">
        <f>IF(ESales_DB[[#This Row],[Total_Amount]]&gt;1000,"High","Low")</f>
        <v>Low</v>
      </c>
      <c r="N146" s="2" t="str">
        <f>VLOOKUP(ESales_DB[[#This Row],[Customer_ID]],Ecustom_DB[],3,FALSE)</f>
        <v>Sarah Smith</v>
      </c>
      <c r="O146" s="2" t="str">
        <f>_xlfn.XLOOKUP(ESales_DB[[#This Row],[Product_ID]],Eproduct_DB[Product_ID],Eproduct_DB[Category])</f>
        <v>Home</v>
      </c>
      <c r="P146" s="2" t="str">
        <f>_xlfn.XLOOKUP(ESales_DB[[#This Row],[Product_ID]],Eproduct_DB[Product_ID],Eproduct_DB[Product_Name])</f>
        <v>Stainless Steel Cutlery Set</v>
      </c>
      <c r="Q146" s="2" t="str">
        <f>_xlfn.XLOOKUP(ESales_DB[[#This Row],[Store_ID]],Estore_DB[Store_ID],Estore_DB[Region])</f>
        <v>East</v>
      </c>
      <c r="R146" t="str">
        <f>VLOOKUP(ESales_DB[[#This Row],[Customer_ID]],Ecustom_DB[],10,FALSE)</f>
        <v>Gold</v>
      </c>
      <c r="S146" t="str">
        <f>IF(ESales_DB[[#This Row],[Quantity1]]&gt;3,"Bulk order","Normal order")</f>
        <v>Normal order</v>
      </c>
    </row>
    <row r="147" spans="1:19" x14ac:dyDescent="0.3">
      <c r="A147" t="s">
        <v>2954</v>
      </c>
      <c r="B147" s="4">
        <v>45509</v>
      </c>
      <c r="C147" s="4" t="str">
        <f>TEXT(ESales_DB[[#This Row],[Order_Date]],"mmm")</f>
        <v>Aug</v>
      </c>
      <c r="D147" t="s">
        <v>1080</v>
      </c>
      <c r="E147" t="s">
        <v>1732</v>
      </c>
      <c r="F147" t="s">
        <v>1766</v>
      </c>
      <c r="G147">
        <v>1</v>
      </c>
      <c r="H147" s="10">
        <f>IF(ISBLANK(ESales_DB[[#This Row],[Quantity]]),AVERAGEIF(ESales_DB[Product_ID],ESales_DB[[#This Row],[Product_ID]],ESales_DB[Quantity]),ESales_DB[[#This Row],[Quantity]])</f>
        <v>1</v>
      </c>
      <c r="I147" s="2">
        <v>805.07</v>
      </c>
      <c r="J147">
        <v>0.06</v>
      </c>
      <c r="K147" t="s">
        <v>1829</v>
      </c>
      <c r="L147" s="2">
        <v>756.76580000000001</v>
      </c>
      <c r="M147" s="2" t="str">
        <f>IF(ESales_DB[[#This Row],[Total_Amount]]&gt;1000,"High","Low")</f>
        <v>Low</v>
      </c>
      <c r="N147" s="2" t="str">
        <f>VLOOKUP(ESales_DB[[#This Row],[Customer_ID]],Ecustom_DB[],3,FALSE)</f>
        <v>Evelyn Brown</v>
      </c>
      <c r="O147" s="2" t="str">
        <f>_xlfn.XLOOKUP(ESales_DB[[#This Row],[Product_ID]],Eproduct_DB[Product_ID],Eproduct_DB[Category])</f>
        <v>Home</v>
      </c>
      <c r="P147" s="2" t="str">
        <f>_xlfn.XLOOKUP(ESales_DB[[#This Row],[Product_ID]],Eproduct_DB[Product_ID],Eproduct_DB[Product_Name])</f>
        <v>Microwave Oven</v>
      </c>
      <c r="Q147" s="2" t="str">
        <f>_xlfn.XLOOKUP(ESales_DB[[#This Row],[Store_ID]],Estore_DB[Store_ID],Estore_DB[Region])</f>
        <v>North</v>
      </c>
      <c r="R147" t="str">
        <f>VLOOKUP(ESales_DB[[#This Row],[Customer_ID]],Ecustom_DB[],10,FALSE)</f>
        <v>Gold</v>
      </c>
      <c r="S147" t="str">
        <f>IF(ESales_DB[[#This Row],[Quantity1]]&gt;3,"Bulk order","Normal order")</f>
        <v>Normal order</v>
      </c>
    </row>
    <row r="148" spans="1:19" x14ac:dyDescent="0.3">
      <c r="A148" t="s">
        <v>2955</v>
      </c>
      <c r="B148" s="4">
        <v>45753</v>
      </c>
      <c r="C148" s="4" t="str">
        <f>TEXT(ESales_DB[[#This Row],[Order_Date]],"mmm")</f>
        <v>Apr</v>
      </c>
      <c r="D148" t="s">
        <v>1166</v>
      </c>
      <c r="E148" t="s">
        <v>1616</v>
      </c>
      <c r="F148" t="s">
        <v>1757</v>
      </c>
      <c r="G148">
        <v>3</v>
      </c>
      <c r="H148" s="10">
        <f>IF(ISBLANK(ESales_DB[[#This Row],[Quantity]]),AVERAGEIF(ESales_DB[Product_ID],ESales_DB[[#This Row],[Product_ID]],ESales_DB[Quantity]),ESales_DB[[#This Row],[Quantity]])</f>
        <v>3</v>
      </c>
      <c r="I148" s="2">
        <v>848.48</v>
      </c>
      <c r="J148">
        <v>0</v>
      </c>
      <c r="K148" t="s">
        <v>1829</v>
      </c>
      <c r="L148" s="2">
        <v>2545.44</v>
      </c>
      <c r="M148" s="2" t="str">
        <f>IF(ESales_DB[[#This Row],[Total_Amount]]&gt;1000,"High","Low")</f>
        <v>High</v>
      </c>
      <c r="N148" s="2" t="str">
        <f>VLOOKUP(ESales_DB[[#This Row],[Customer_ID]],Ecustom_DB[],3,FALSE)</f>
        <v>James Orozco</v>
      </c>
      <c r="O148" s="2" t="str">
        <f>_xlfn.XLOOKUP(ESales_DB[[#This Row],[Product_ID]],Eproduct_DB[Product_ID],Eproduct_DB[Category])</f>
        <v>Electronics</v>
      </c>
      <c r="P148" s="2" t="str">
        <f>_xlfn.XLOOKUP(ESales_DB[[#This Row],[Product_ID]],Eproduct_DB[Product_ID],Eproduct_DB[Product_Name])</f>
        <v>Gaming Mechanical Keyboard</v>
      </c>
      <c r="Q148" s="2" t="str">
        <f>_xlfn.XLOOKUP(ESales_DB[[#This Row],[Store_ID]],Estore_DB[Store_ID],Estore_DB[Region])</f>
        <v>North</v>
      </c>
      <c r="R148" t="str">
        <f>VLOOKUP(ESales_DB[[#This Row],[Customer_ID]],Ecustom_DB[],10,FALSE)</f>
        <v>Gold</v>
      </c>
      <c r="S148" t="str">
        <f>IF(ESales_DB[[#This Row],[Quantity1]]&gt;3,"Bulk order","Normal order")</f>
        <v>Normal order</v>
      </c>
    </row>
    <row r="149" spans="1:19" x14ac:dyDescent="0.3">
      <c r="A149" t="s">
        <v>1939</v>
      </c>
      <c r="B149" s="4">
        <v>45413</v>
      </c>
      <c r="C149" s="4" t="str">
        <f>TEXT(ESales_DB[[#This Row],[Order_Date]],"mmm")</f>
        <v>May</v>
      </c>
      <c r="D149" t="s">
        <v>1440</v>
      </c>
      <c r="E149" t="s">
        <v>1602</v>
      </c>
      <c r="F149" t="s">
        <v>1789</v>
      </c>
      <c r="G149">
        <v>1</v>
      </c>
      <c r="H149" s="10">
        <f>IF(ISBLANK(ESales_DB[[#This Row],[Quantity]]),AVERAGEIF(ESales_DB[Product_ID],ESales_DB[[#This Row],[Product_ID]],ESales_DB[Quantity]),ESales_DB[[#This Row],[Quantity]])</f>
        <v>1</v>
      </c>
      <c r="I149" s="2">
        <v>281.97000000000003</v>
      </c>
      <c r="J149">
        <v>0.2</v>
      </c>
      <c r="K149" t="s">
        <v>1826</v>
      </c>
      <c r="L149" s="2">
        <v>225.57599999999999</v>
      </c>
      <c r="M149" s="2" t="str">
        <f>IF(ESales_DB[[#This Row],[Total_Amount]]&gt;1000,"High","Low")</f>
        <v>Low</v>
      </c>
      <c r="N149" s="2" t="str">
        <f>VLOOKUP(ESales_DB[[#This Row],[Customer_ID]],Ecustom_DB[],3,FALSE)</f>
        <v>Michael Foley</v>
      </c>
      <c r="O149" s="2" t="str">
        <f>_xlfn.XLOOKUP(ESales_DB[[#This Row],[Product_ID]],Eproduct_DB[Product_ID],Eproduct_DB[Category])</f>
        <v>Home</v>
      </c>
      <c r="P149" s="2" t="str">
        <f>_xlfn.XLOOKUP(ESales_DB[[#This Row],[Product_ID]],Eproduct_DB[Product_ID],Eproduct_DB[Product_Name])</f>
        <v>Decorative Floor Vase</v>
      </c>
      <c r="Q149" s="2" t="str">
        <f>_xlfn.XLOOKUP(ESales_DB[[#This Row],[Store_ID]],Estore_DB[Store_ID],Estore_DB[Region])</f>
        <v>East</v>
      </c>
      <c r="R149" t="str">
        <f>VLOOKUP(ESales_DB[[#This Row],[Customer_ID]],Ecustom_DB[],10,FALSE)</f>
        <v>Gold</v>
      </c>
      <c r="S149" t="str">
        <f>IF(ESales_DB[[#This Row],[Quantity1]]&gt;3,"Bulk order","Normal order")</f>
        <v>Normal order</v>
      </c>
    </row>
    <row r="150" spans="1:19" x14ac:dyDescent="0.3">
      <c r="A150" t="s">
        <v>2956</v>
      </c>
      <c r="B150" s="4">
        <v>45512</v>
      </c>
      <c r="C150" s="4" t="str">
        <f>TEXT(ESales_DB[[#This Row],[Order_Date]],"mmm")</f>
        <v>Aug</v>
      </c>
      <c r="D150" t="s">
        <v>782</v>
      </c>
      <c r="E150" t="s">
        <v>1654</v>
      </c>
      <c r="F150" t="s">
        <v>1782</v>
      </c>
      <c r="G150">
        <v>2</v>
      </c>
      <c r="H150" s="10">
        <f>IF(ISBLANK(ESales_DB[[#This Row],[Quantity]]),AVERAGEIF(ESales_DB[Product_ID],ESales_DB[[#This Row],[Product_ID]],ESales_DB[Quantity]),ESales_DB[[#This Row],[Quantity]])</f>
        <v>2</v>
      </c>
      <c r="I150" s="2">
        <v>568.95000000000005</v>
      </c>
      <c r="J150">
        <v>0.22</v>
      </c>
      <c r="K150" t="s">
        <v>1824</v>
      </c>
      <c r="L150" s="2">
        <v>887.56200000000013</v>
      </c>
      <c r="M150" s="2" t="str">
        <f>IF(ESales_DB[[#This Row],[Total_Amount]]&gt;1000,"High","Low")</f>
        <v>Low</v>
      </c>
      <c r="N150" s="2" t="str">
        <f>VLOOKUP(ESales_DB[[#This Row],[Customer_ID]],Ecustom_DB[],3,FALSE)</f>
        <v>Nancy Page</v>
      </c>
      <c r="O150" s="2" t="str">
        <f>_xlfn.XLOOKUP(ESales_DB[[#This Row],[Product_ID]],Eproduct_DB[Product_ID],Eproduct_DB[Category])</f>
        <v>Clothing</v>
      </c>
      <c r="P150" s="2" t="str">
        <f>_xlfn.XLOOKUP(ESales_DB[[#This Row],[Product_ID]],Eproduct_DB[Product_ID],Eproduct_DB[Product_Name])</f>
        <v>Men's Track Pants</v>
      </c>
      <c r="Q150" s="2" t="str">
        <f>_xlfn.XLOOKUP(ESales_DB[[#This Row],[Store_ID]],Estore_DB[Store_ID],Estore_DB[Region])</f>
        <v>West</v>
      </c>
      <c r="R150" t="str">
        <f>VLOOKUP(ESales_DB[[#This Row],[Customer_ID]],Ecustom_DB[],10,FALSE)</f>
        <v>Bronze</v>
      </c>
      <c r="S150" t="str">
        <f>IF(ESales_DB[[#This Row],[Quantity1]]&gt;3,"Bulk order","Normal order")</f>
        <v>Normal order</v>
      </c>
    </row>
    <row r="151" spans="1:19" x14ac:dyDescent="0.3">
      <c r="A151" t="s">
        <v>2957</v>
      </c>
      <c r="B151" s="4">
        <v>45764</v>
      </c>
      <c r="C151" s="4" t="str">
        <f>TEXT(ESales_DB[[#This Row],[Order_Date]],"mmm")</f>
        <v>Apr</v>
      </c>
      <c r="D151" t="s">
        <v>541</v>
      </c>
      <c r="E151" t="s">
        <v>1654</v>
      </c>
      <c r="F151" t="s">
        <v>1792</v>
      </c>
      <c r="G151">
        <v>3</v>
      </c>
      <c r="H151" s="10">
        <f>IF(ISBLANK(ESales_DB[[#This Row],[Quantity]]),AVERAGEIF(ESales_DB[Product_ID],ESales_DB[[#This Row],[Product_ID]],ESales_DB[Quantity]),ESales_DB[[#This Row],[Quantity]])</f>
        <v>3</v>
      </c>
      <c r="I151" s="2">
        <v>269.83999999999997</v>
      </c>
      <c r="J151">
        <v>0.05</v>
      </c>
      <c r="K151" t="s">
        <v>1826</v>
      </c>
      <c r="L151" s="2">
        <v>769.04399999999998</v>
      </c>
      <c r="M151" s="2" t="str">
        <f>IF(ESales_DB[[#This Row],[Total_Amount]]&gt;1000,"High","Low")</f>
        <v>Low</v>
      </c>
      <c r="N151" s="2" t="str">
        <f>VLOOKUP(ESales_DB[[#This Row],[Customer_ID]],Ecustom_DB[],3,FALSE)</f>
        <v>Mariah Brown</v>
      </c>
      <c r="O151" s="2" t="str">
        <f>_xlfn.XLOOKUP(ESales_DB[[#This Row],[Product_ID]],Eproduct_DB[Product_ID],Eproduct_DB[Category])</f>
        <v>Clothing</v>
      </c>
      <c r="P151" s="2" t="str">
        <f>_xlfn.XLOOKUP(ESales_DB[[#This Row],[Product_ID]],Eproduct_DB[Product_ID],Eproduct_DB[Product_Name])</f>
        <v>Men's Track Pants</v>
      </c>
      <c r="Q151" s="2" t="str">
        <f>_xlfn.XLOOKUP(ESales_DB[[#This Row],[Store_ID]],Estore_DB[Store_ID],Estore_DB[Region])</f>
        <v>South</v>
      </c>
      <c r="R151" t="str">
        <f>VLOOKUP(ESales_DB[[#This Row],[Customer_ID]],Ecustom_DB[],10,FALSE)</f>
        <v>Silver</v>
      </c>
      <c r="S151" t="str">
        <f>IF(ESales_DB[[#This Row],[Quantity1]]&gt;3,"Bulk order","Normal order")</f>
        <v>Normal order</v>
      </c>
    </row>
    <row r="152" spans="1:19" x14ac:dyDescent="0.3">
      <c r="A152" t="s">
        <v>2958</v>
      </c>
      <c r="B152" s="4">
        <v>45746</v>
      </c>
      <c r="C152" s="4" t="str">
        <f>TEXT(ESales_DB[[#This Row],[Order_Date]],"mmm")</f>
        <v>Mar</v>
      </c>
      <c r="D152" t="s">
        <v>975</v>
      </c>
      <c r="E152" t="s">
        <v>1672</v>
      </c>
      <c r="F152" t="s">
        <v>1797</v>
      </c>
      <c r="G152">
        <v>4</v>
      </c>
      <c r="H152" s="10">
        <f>IF(ISBLANK(ESales_DB[[#This Row],[Quantity]]),AVERAGEIF(ESales_DB[Product_ID],ESales_DB[[#This Row],[Product_ID]],ESales_DB[Quantity]),ESales_DB[[#This Row],[Quantity]])</f>
        <v>4</v>
      </c>
      <c r="I152" s="2">
        <v>267.36</v>
      </c>
      <c r="J152">
        <v>0.27</v>
      </c>
      <c r="K152" t="s">
        <v>1826</v>
      </c>
      <c r="L152" s="2">
        <v>780.69119999999998</v>
      </c>
      <c r="M152" s="2" t="str">
        <f>IF(ESales_DB[[#This Row],[Total_Amount]]&gt;1000,"High","Low")</f>
        <v>Low</v>
      </c>
      <c r="N152" s="2" t="str">
        <f>VLOOKUP(ESales_DB[[#This Row],[Customer_ID]],Ecustom_DB[],3,FALSE)</f>
        <v>Stacy Collins</v>
      </c>
      <c r="O152" s="2" t="str">
        <f>_xlfn.XLOOKUP(ESales_DB[[#This Row],[Product_ID]],Eproduct_DB[Product_ID],Eproduct_DB[Category])</f>
        <v>Electronics</v>
      </c>
      <c r="P152" s="2" t="str">
        <f>_xlfn.XLOOKUP(ESales_DB[[#This Row],[Product_ID]],Eproduct_DB[Product_ID],Eproduct_DB[Product_Name])</f>
        <v>Laptop Cooling Pad</v>
      </c>
      <c r="Q152" s="2" t="str">
        <f>_xlfn.XLOOKUP(ESales_DB[[#This Row],[Store_ID]],Estore_DB[Store_ID],Estore_DB[Region])</f>
        <v>East</v>
      </c>
      <c r="R152" t="str">
        <f>VLOOKUP(ESales_DB[[#This Row],[Customer_ID]],Ecustom_DB[],10,FALSE)</f>
        <v>Bronze</v>
      </c>
      <c r="S152" t="str">
        <f>IF(ESales_DB[[#This Row],[Quantity1]]&gt;3,"Bulk order","Normal order")</f>
        <v>Bulk order</v>
      </c>
    </row>
    <row r="153" spans="1:19" x14ac:dyDescent="0.3">
      <c r="A153" t="s">
        <v>2959</v>
      </c>
      <c r="B153" s="4">
        <v>45647</v>
      </c>
      <c r="C153" s="4" t="str">
        <f>TEXT(ESales_DB[[#This Row],[Order_Date]],"mmm")</f>
        <v>Dec</v>
      </c>
      <c r="D153" t="s">
        <v>399</v>
      </c>
      <c r="E153" t="s">
        <v>1622</v>
      </c>
      <c r="F153" t="s">
        <v>1757</v>
      </c>
      <c r="G153">
        <v>1</v>
      </c>
      <c r="H153" s="10">
        <f>IF(ISBLANK(ESales_DB[[#This Row],[Quantity]]),AVERAGEIF(ESales_DB[Product_ID],ESales_DB[[#This Row],[Product_ID]],ESales_DB[Quantity]),ESales_DB[[#This Row],[Quantity]])</f>
        <v>1</v>
      </c>
      <c r="I153" s="2">
        <v>438.41</v>
      </c>
      <c r="J153">
        <v>0.09</v>
      </c>
      <c r="K153" t="s">
        <v>1824</v>
      </c>
      <c r="L153" s="2">
        <v>398.95310000000012</v>
      </c>
      <c r="M153" s="2" t="str">
        <f>IF(ESales_DB[[#This Row],[Total_Amount]]&gt;1000,"High","Low")</f>
        <v>Low</v>
      </c>
      <c r="N153" s="2" t="str">
        <f>VLOOKUP(ESales_DB[[#This Row],[Customer_ID]],Ecustom_DB[],3,FALSE)</f>
        <v>Ryan Hernandez</v>
      </c>
      <c r="O153" s="2" t="str">
        <f>_xlfn.XLOOKUP(ESales_DB[[#This Row],[Product_ID]],Eproduct_DB[Product_ID],Eproduct_DB[Category])</f>
        <v>Clothing</v>
      </c>
      <c r="P153" s="2" t="str">
        <f>_xlfn.XLOOKUP(ESales_DB[[#This Row],[Product_ID]],Eproduct_DB[Product_ID],Eproduct_DB[Product_Name])</f>
        <v>Men's Casual Sneakers</v>
      </c>
      <c r="Q153" s="2" t="str">
        <f>_xlfn.XLOOKUP(ESales_DB[[#This Row],[Store_ID]],Estore_DB[Store_ID],Estore_DB[Region])</f>
        <v>North</v>
      </c>
      <c r="R153" t="str">
        <f>VLOOKUP(ESales_DB[[#This Row],[Customer_ID]],Ecustom_DB[],10,FALSE)</f>
        <v>Bronze</v>
      </c>
      <c r="S153" t="str">
        <f>IF(ESales_DB[[#This Row],[Quantity1]]&gt;3,"Bulk order","Normal order")</f>
        <v>Normal order</v>
      </c>
    </row>
    <row r="154" spans="1:19" x14ac:dyDescent="0.3">
      <c r="A154" t="s">
        <v>2960</v>
      </c>
      <c r="B154" s="4">
        <v>45443</v>
      </c>
      <c r="C154" s="4" t="str">
        <f>TEXT(ESales_DB[[#This Row],[Order_Date]],"mmm")</f>
        <v>May</v>
      </c>
      <c r="D154" t="s">
        <v>547</v>
      </c>
      <c r="E154" t="s">
        <v>1650</v>
      </c>
      <c r="F154" t="s">
        <v>1810</v>
      </c>
      <c r="G154">
        <v>2</v>
      </c>
      <c r="H154" s="10">
        <f>IF(ISBLANK(ESales_DB[[#This Row],[Quantity]]),AVERAGEIF(ESales_DB[Product_ID],ESales_DB[[#This Row],[Product_ID]],ESales_DB[Quantity]),ESales_DB[[#This Row],[Quantity]])</f>
        <v>2</v>
      </c>
      <c r="I154" s="2">
        <v>86.72</v>
      </c>
      <c r="J154">
        <v>0.28000000000000003</v>
      </c>
      <c r="K154" t="s">
        <v>1829</v>
      </c>
      <c r="L154" s="2">
        <v>124.8768</v>
      </c>
      <c r="M154" s="2" t="str">
        <f>IF(ESales_DB[[#This Row],[Total_Amount]]&gt;1000,"High","Low")</f>
        <v>Low</v>
      </c>
      <c r="N154" s="2" t="str">
        <f>VLOOKUP(ESales_DB[[#This Row],[Customer_ID]],Ecustom_DB[],3,FALSE)</f>
        <v>Daniel Rivas</v>
      </c>
      <c r="O154" s="2" t="str">
        <f>_xlfn.XLOOKUP(ESales_DB[[#This Row],[Product_ID]],Eproduct_DB[Product_ID],Eproduct_DB[Category])</f>
        <v>Electronics</v>
      </c>
      <c r="P154" s="2" t="str">
        <f>_xlfn.XLOOKUP(ESales_DB[[#This Row],[Product_ID]],Eproduct_DB[Product_ID],Eproduct_DB[Product_Name])</f>
        <v>HDMI Cable – 2m</v>
      </c>
      <c r="Q154" s="2" t="str">
        <f>_xlfn.XLOOKUP(ESales_DB[[#This Row],[Store_ID]],Estore_DB[Store_ID],Estore_DB[Region])</f>
        <v>East</v>
      </c>
      <c r="R154" t="str">
        <f>VLOOKUP(ESales_DB[[#This Row],[Customer_ID]],Ecustom_DB[],10,FALSE)</f>
        <v>Silver</v>
      </c>
      <c r="S154" t="str">
        <f>IF(ESales_DB[[#This Row],[Quantity1]]&gt;3,"Bulk order","Normal order")</f>
        <v>Normal order</v>
      </c>
    </row>
    <row r="155" spans="1:19" x14ac:dyDescent="0.3">
      <c r="A155" t="s">
        <v>2961</v>
      </c>
      <c r="B155" s="4">
        <v>45722</v>
      </c>
      <c r="C155" s="4" t="str">
        <f>TEXT(ESales_DB[[#This Row],[Order_Date]],"mmm")</f>
        <v>Mar</v>
      </c>
      <c r="D155" t="s">
        <v>1319</v>
      </c>
      <c r="E155" t="s">
        <v>1726</v>
      </c>
      <c r="F155" t="s">
        <v>1776</v>
      </c>
      <c r="G155">
        <v>4</v>
      </c>
      <c r="H155" s="10">
        <f>IF(ISBLANK(ESales_DB[[#This Row],[Quantity]]),AVERAGEIF(ESales_DB[Product_ID],ESales_DB[[#This Row],[Product_ID]],ESales_DB[Quantity]),ESales_DB[[#This Row],[Quantity]])</f>
        <v>4</v>
      </c>
      <c r="I155" s="2">
        <v>630.21</v>
      </c>
      <c r="J155">
        <v>0.14000000000000001</v>
      </c>
      <c r="K155" t="s">
        <v>1829</v>
      </c>
      <c r="L155" s="2">
        <v>2167.9223999999999</v>
      </c>
      <c r="M155" s="2" t="str">
        <f>IF(ESales_DB[[#This Row],[Total_Amount]]&gt;1000,"High","Low")</f>
        <v>High</v>
      </c>
      <c r="N155" s="2" t="str">
        <f>VLOOKUP(ESales_DB[[#This Row],[Customer_ID]],Ecustom_DB[],3,FALSE)</f>
        <v>Bryce Hawkins</v>
      </c>
      <c r="O155" s="2" t="str">
        <f>_xlfn.XLOOKUP(ESales_DB[[#This Row],[Product_ID]],Eproduct_DB[Product_ID],Eproduct_DB[Category])</f>
        <v>Beauty</v>
      </c>
      <c r="P155" s="2" t="str">
        <f>_xlfn.XLOOKUP(ESales_DB[[#This Row],[Product_ID]],Eproduct_DB[Product_ID],Eproduct_DB[Product_Name])</f>
        <v>Face Foundation Kit</v>
      </c>
      <c r="Q155" s="2" t="str">
        <f>_xlfn.XLOOKUP(ESales_DB[[#This Row],[Store_ID]],Estore_DB[Store_ID],Estore_DB[Region])</f>
        <v>East</v>
      </c>
      <c r="R155" t="str">
        <f>VLOOKUP(ESales_DB[[#This Row],[Customer_ID]],Ecustom_DB[],10,FALSE)</f>
        <v>Bronze</v>
      </c>
      <c r="S155" t="str">
        <f>IF(ESales_DB[[#This Row],[Quantity1]]&gt;3,"Bulk order","Normal order")</f>
        <v>Bulk order</v>
      </c>
    </row>
    <row r="156" spans="1:19" x14ac:dyDescent="0.3">
      <c r="A156" t="s">
        <v>2962</v>
      </c>
      <c r="B156" s="4">
        <v>45575</v>
      </c>
      <c r="C156" s="4" t="str">
        <f>TEXT(ESales_DB[[#This Row],[Order_Date]],"mmm")</f>
        <v>Oct</v>
      </c>
      <c r="D156" t="s">
        <v>1124</v>
      </c>
      <c r="E156" t="s">
        <v>1666</v>
      </c>
      <c r="F156" t="s">
        <v>1776</v>
      </c>
      <c r="G156">
        <v>3</v>
      </c>
      <c r="H156" s="10">
        <f>IF(ISBLANK(ESales_DB[[#This Row],[Quantity]]),AVERAGEIF(ESales_DB[Product_ID],ESales_DB[[#This Row],[Product_ID]],ESales_DB[Quantity]),ESales_DB[[#This Row],[Quantity]])</f>
        <v>3</v>
      </c>
      <c r="I156" s="2">
        <v>180.84</v>
      </c>
      <c r="J156">
        <v>0.03</v>
      </c>
      <c r="K156" t="s">
        <v>1826</v>
      </c>
      <c r="L156" s="2">
        <v>526.24439999999993</v>
      </c>
      <c r="M156" s="2" t="str">
        <f>IF(ESales_DB[[#This Row],[Total_Amount]]&gt;1000,"High","Low")</f>
        <v>Low</v>
      </c>
      <c r="N156" s="2" t="str">
        <f>VLOOKUP(ESales_DB[[#This Row],[Customer_ID]],Ecustom_DB[],3,FALSE)</f>
        <v>Melanie Lam</v>
      </c>
      <c r="O156" s="2" t="str">
        <f>_xlfn.XLOOKUP(ESales_DB[[#This Row],[Product_ID]],Eproduct_DB[Product_ID],Eproduct_DB[Category])</f>
        <v>Beauty</v>
      </c>
      <c r="P156" s="2" t="str">
        <f>_xlfn.XLOOKUP(ESales_DB[[#This Row],[Product_ID]],Eproduct_DB[Product_ID],Eproduct_DB[Product_Name])</f>
        <v>Men's Hair Styling Gel</v>
      </c>
      <c r="Q156" s="2" t="str">
        <f>_xlfn.XLOOKUP(ESales_DB[[#This Row],[Store_ID]],Estore_DB[Store_ID],Estore_DB[Region])</f>
        <v>East</v>
      </c>
      <c r="R156" t="str">
        <f>VLOOKUP(ESales_DB[[#This Row],[Customer_ID]],Ecustom_DB[],10,FALSE)</f>
        <v>Silver</v>
      </c>
      <c r="S156" t="str">
        <f>IF(ESales_DB[[#This Row],[Quantity1]]&gt;3,"Bulk order","Normal order")</f>
        <v>Normal order</v>
      </c>
    </row>
    <row r="157" spans="1:19" x14ac:dyDescent="0.3">
      <c r="A157" t="s">
        <v>2963</v>
      </c>
      <c r="B157" s="4">
        <v>45441</v>
      </c>
      <c r="C157" s="4" t="str">
        <f>TEXT(ESales_DB[[#This Row],[Order_Date]],"mmm")</f>
        <v>May</v>
      </c>
      <c r="D157" t="s">
        <v>27</v>
      </c>
      <c r="E157" t="s">
        <v>1676</v>
      </c>
      <c r="F157" t="s">
        <v>1804</v>
      </c>
      <c r="G157">
        <v>1</v>
      </c>
      <c r="H157" s="10">
        <f>IF(ISBLANK(ESales_DB[[#This Row],[Quantity]]),AVERAGEIF(ESales_DB[Product_ID],ESales_DB[[#This Row],[Product_ID]],ESales_DB[Quantity]),ESales_DB[[#This Row],[Quantity]])</f>
        <v>1</v>
      </c>
      <c r="I157" s="2">
        <v>453.41</v>
      </c>
      <c r="J157">
        <v>0.04</v>
      </c>
      <c r="K157" t="s">
        <v>1829</v>
      </c>
      <c r="L157" s="2">
        <v>435.27359999999999</v>
      </c>
      <c r="M157" s="2" t="str">
        <f>IF(ESales_DB[[#This Row],[Total_Amount]]&gt;1000,"High","Low")</f>
        <v>Low</v>
      </c>
      <c r="N157" s="2" t="str">
        <f>VLOOKUP(ESales_DB[[#This Row],[Customer_ID]],Ecustom_DB[],3,FALSE)</f>
        <v>Caroline Collins</v>
      </c>
      <c r="O157" s="2" t="str">
        <f>_xlfn.XLOOKUP(ESales_DB[[#This Row],[Product_ID]],Eproduct_DB[Product_ID],Eproduct_DB[Category])</f>
        <v>Beauty</v>
      </c>
      <c r="P157" s="2" t="str">
        <f>_xlfn.XLOOKUP(ESales_DB[[#This Row],[Product_ID]],Eproduct_DB[Product_ID],Eproduct_DB[Product_Name])</f>
        <v>Matte Lipstick Set</v>
      </c>
      <c r="Q157" s="2" t="str">
        <f>_xlfn.XLOOKUP(ESales_DB[[#This Row],[Store_ID]],Estore_DB[Store_ID],Estore_DB[Region])</f>
        <v>West</v>
      </c>
      <c r="R157" t="str">
        <f>VLOOKUP(ESales_DB[[#This Row],[Customer_ID]],Ecustom_DB[],10,FALSE)</f>
        <v>Silver</v>
      </c>
      <c r="S157" t="str">
        <f>IF(ESales_DB[[#This Row],[Quantity1]]&gt;3,"Bulk order","Normal order")</f>
        <v>Normal order</v>
      </c>
    </row>
    <row r="158" spans="1:19" x14ac:dyDescent="0.3">
      <c r="A158" t="s">
        <v>2964</v>
      </c>
      <c r="B158" s="4">
        <v>45940</v>
      </c>
      <c r="C158" s="4" t="str">
        <f>TEXT(ESales_DB[[#This Row],[Order_Date]],"mmm")</f>
        <v>Oct</v>
      </c>
      <c r="D158" t="s">
        <v>103</v>
      </c>
      <c r="E158" t="s">
        <v>1650</v>
      </c>
      <c r="F158" t="s">
        <v>1776</v>
      </c>
      <c r="G158">
        <v>1</v>
      </c>
      <c r="H158" s="10">
        <f>IF(ISBLANK(ESales_DB[[#This Row],[Quantity]]),AVERAGEIF(ESales_DB[Product_ID],ESales_DB[[#This Row],[Product_ID]],ESales_DB[Quantity]),ESales_DB[[#This Row],[Quantity]])</f>
        <v>1</v>
      </c>
      <c r="I158" s="2">
        <v>629.09</v>
      </c>
      <c r="J158">
        <v>0.02</v>
      </c>
      <c r="K158" t="s">
        <v>1824</v>
      </c>
      <c r="L158" s="2">
        <v>616.50819999999999</v>
      </c>
      <c r="M158" s="2" t="str">
        <f>IF(ESales_DB[[#This Row],[Total_Amount]]&gt;1000,"High","Low")</f>
        <v>Low</v>
      </c>
      <c r="N158" s="2" t="str">
        <f>VLOOKUP(ESales_DB[[#This Row],[Customer_ID]],Ecustom_DB[],3,FALSE)</f>
        <v>Heather Collins</v>
      </c>
      <c r="O158" s="2" t="str">
        <f>_xlfn.XLOOKUP(ESales_DB[[#This Row],[Product_ID]],Eproduct_DB[Product_ID],Eproduct_DB[Category])</f>
        <v>Electronics</v>
      </c>
      <c r="P158" s="2" t="str">
        <f>_xlfn.XLOOKUP(ESales_DB[[#This Row],[Product_ID]],Eproduct_DB[Product_ID],Eproduct_DB[Product_Name])</f>
        <v>HDMI Cable – 2m</v>
      </c>
      <c r="Q158" s="2" t="str">
        <f>_xlfn.XLOOKUP(ESales_DB[[#This Row],[Store_ID]],Estore_DB[Store_ID],Estore_DB[Region])</f>
        <v>East</v>
      </c>
      <c r="R158" t="str">
        <f>VLOOKUP(ESales_DB[[#This Row],[Customer_ID]],Ecustom_DB[],10,FALSE)</f>
        <v>Platinum</v>
      </c>
      <c r="S158" t="str">
        <f>IF(ESales_DB[[#This Row],[Quantity1]]&gt;3,"Bulk order","Normal order")</f>
        <v>Normal order</v>
      </c>
    </row>
    <row r="159" spans="1:19" x14ac:dyDescent="0.3">
      <c r="A159" t="s">
        <v>2965</v>
      </c>
      <c r="B159" s="4">
        <v>45518</v>
      </c>
      <c r="C159" s="4" t="str">
        <f>TEXT(ESales_DB[[#This Row],[Order_Date]],"mmm")</f>
        <v>Aug</v>
      </c>
      <c r="D159" t="s">
        <v>97</v>
      </c>
      <c r="E159" t="s">
        <v>1702</v>
      </c>
      <c r="F159" t="s">
        <v>1761</v>
      </c>
      <c r="G159">
        <v>2</v>
      </c>
      <c r="H159" s="10">
        <f>IF(ISBLANK(ESales_DB[[#This Row],[Quantity]]),AVERAGEIF(ESales_DB[Product_ID],ESales_DB[[#This Row],[Product_ID]],ESales_DB[Quantity]),ESales_DB[[#This Row],[Quantity]])</f>
        <v>2</v>
      </c>
      <c r="I159" s="2">
        <v>257.45</v>
      </c>
      <c r="J159">
        <v>0</v>
      </c>
      <c r="K159" t="s">
        <v>1829</v>
      </c>
      <c r="L159" s="2">
        <v>514.9</v>
      </c>
      <c r="M159" s="2" t="str">
        <f>IF(ESales_DB[[#This Row],[Total_Amount]]&gt;1000,"High","Low")</f>
        <v>Low</v>
      </c>
      <c r="N159" s="2" t="str">
        <f>VLOOKUP(ESales_DB[[#This Row],[Customer_ID]],Ecustom_DB[],3,FALSE)</f>
        <v>Paul Fox</v>
      </c>
      <c r="O159" s="2" t="str">
        <f>_xlfn.XLOOKUP(ESales_DB[[#This Row],[Product_ID]],Eproduct_DB[Product_ID],Eproduct_DB[Category])</f>
        <v>Electronics</v>
      </c>
      <c r="P159" s="2" t="str">
        <f>_xlfn.XLOOKUP(ESales_DB[[#This Row],[Product_ID]],Eproduct_DB[Product_ID],Eproduct_DB[Product_Name])</f>
        <v>WiFi Mesh Router</v>
      </c>
      <c r="Q159" s="2" t="str">
        <f>_xlfn.XLOOKUP(ESales_DB[[#This Row],[Store_ID]],Estore_DB[Store_ID],Estore_DB[Region])</f>
        <v>South</v>
      </c>
      <c r="R159" t="str">
        <f>VLOOKUP(ESales_DB[[#This Row],[Customer_ID]],Ecustom_DB[],10,FALSE)</f>
        <v>Silver</v>
      </c>
      <c r="S159" t="str">
        <f>IF(ESales_DB[[#This Row],[Quantity1]]&gt;3,"Bulk order","Normal order")</f>
        <v>Normal order</v>
      </c>
    </row>
    <row r="160" spans="1:19" x14ac:dyDescent="0.3">
      <c r="A160" t="s">
        <v>1940</v>
      </c>
      <c r="B160" s="4">
        <v>45482</v>
      </c>
      <c r="C160" s="4" t="str">
        <f>TEXT(ESales_DB[[#This Row],[Order_Date]],"mmm")</f>
        <v>Jul</v>
      </c>
      <c r="D160" t="s">
        <v>511</v>
      </c>
      <c r="E160" t="s">
        <v>1730</v>
      </c>
      <c r="F160" t="s">
        <v>1769</v>
      </c>
      <c r="G160">
        <v>2</v>
      </c>
      <c r="H160" s="10">
        <f>IF(ISBLANK(ESales_DB[[#This Row],[Quantity]]),AVERAGEIF(ESales_DB[Product_ID],ESales_DB[[#This Row],[Product_ID]],ESales_DB[Quantity]),ESales_DB[[#This Row],[Quantity]])</f>
        <v>2</v>
      </c>
      <c r="I160" s="2">
        <v>731.01</v>
      </c>
      <c r="J160">
        <v>0.05</v>
      </c>
      <c r="K160" t="s">
        <v>1826</v>
      </c>
      <c r="L160" s="2">
        <v>1388.9190000000001</v>
      </c>
      <c r="M160" s="2" t="str">
        <f>IF(ESales_DB[[#This Row],[Total_Amount]]&gt;1000,"High","Low")</f>
        <v>High</v>
      </c>
      <c r="N160" s="2" t="str">
        <f>VLOOKUP(ESales_DB[[#This Row],[Customer_ID]],Ecustom_DB[],3,FALSE)</f>
        <v>Patrick Roberts</v>
      </c>
      <c r="O160" s="2" t="str">
        <f>_xlfn.XLOOKUP(ESales_DB[[#This Row],[Product_ID]],Eproduct_DB[Product_ID],Eproduct_DB[Category])</f>
        <v>Clothing</v>
      </c>
      <c r="P160" s="2" t="str">
        <f>_xlfn.XLOOKUP(ESales_DB[[#This Row],[Product_ID]],Eproduct_DB[Product_ID],Eproduct_DB[Product_Name])</f>
        <v>Women's High Heels</v>
      </c>
      <c r="Q160" s="2" t="str">
        <f>_xlfn.XLOOKUP(ESales_DB[[#This Row],[Store_ID]],Estore_DB[Store_ID],Estore_DB[Region])</f>
        <v>South</v>
      </c>
      <c r="R160" t="str">
        <f>VLOOKUP(ESales_DB[[#This Row],[Customer_ID]],Ecustom_DB[],10,FALSE)</f>
        <v>Platinum</v>
      </c>
      <c r="S160" t="str">
        <f>IF(ESales_DB[[#This Row],[Quantity1]]&gt;3,"Bulk order","Normal order")</f>
        <v>Normal order</v>
      </c>
    </row>
    <row r="161" spans="1:19" x14ac:dyDescent="0.3">
      <c r="A161" t="s">
        <v>2966</v>
      </c>
      <c r="B161" s="4">
        <v>45861</v>
      </c>
      <c r="C161" s="4" t="str">
        <f>TEXT(ESales_DB[[#This Row],[Order_Date]],"mmm")</f>
        <v>Jul</v>
      </c>
      <c r="D161" t="s">
        <v>592</v>
      </c>
      <c r="E161" t="s">
        <v>1616</v>
      </c>
      <c r="F161" t="s">
        <v>1801</v>
      </c>
      <c r="G161">
        <v>2</v>
      </c>
      <c r="H161" s="10">
        <f>IF(ISBLANK(ESales_DB[[#This Row],[Quantity]]),AVERAGEIF(ESales_DB[Product_ID],ESales_DB[[#This Row],[Product_ID]],ESales_DB[Quantity]),ESales_DB[[#This Row],[Quantity]])</f>
        <v>2</v>
      </c>
      <c r="I161" s="2">
        <v>696.61</v>
      </c>
      <c r="J161">
        <v>0.17</v>
      </c>
      <c r="K161" t="s">
        <v>1826</v>
      </c>
      <c r="L161" s="2">
        <v>1156.3725999999999</v>
      </c>
      <c r="M161" s="2" t="str">
        <f>IF(ESales_DB[[#This Row],[Total_Amount]]&gt;1000,"High","Low")</f>
        <v>High</v>
      </c>
      <c r="N161" s="2" t="str">
        <f>VLOOKUP(ESales_DB[[#This Row],[Customer_ID]],Ecustom_DB[],3,FALSE)</f>
        <v>Nicholas Bradshaw</v>
      </c>
      <c r="O161" s="2" t="str">
        <f>_xlfn.XLOOKUP(ESales_DB[[#This Row],[Product_ID]],Eproduct_DB[Product_ID],Eproduct_DB[Category])</f>
        <v>Electronics</v>
      </c>
      <c r="P161" s="2" t="str">
        <f>_xlfn.XLOOKUP(ESales_DB[[#This Row],[Product_ID]],Eproduct_DB[Product_ID],Eproduct_DB[Product_Name])</f>
        <v>Gaming Mechanical Keyboard</v>
      </c>
      <c r="Q161" s="2" t="str">
        <f>_xlfn.XLOOKUP(ESales_DB[[#This Row],[Store_ID]],Estore_DB[Store_ID],Estore_DB[Region])</f>
        <v>North</v>
      </c>
      <c r="R161" t="str">
        <f>VLOOKUP(ESales_DB[[#This Row],[Customer_ID]],Ecustom_DB[],10,FALSE)</f>
        <v>Silver</v>
      </c>
      <c r="S161" t="str">
        <f>IF(ESales_DB[[#This Row],[Quantity1]]&gt;3,"Bulk order","Normal order")</f>
        <v>Normal order</v>
      </c>
    </row>
    <row r="162" spans="1:19" x14ac:dyDescent="0.3">
      <c r="A162" t="s">
        <v>2967</v>
      </c>
      <c r="B162" s="4">
        <v>45416</v>
      </c>
      <c r="C162" s="4" t="str">
        <f>TEXT(ESales_DB[[#This Row],[Order_Date]],"mmm")</f>
        <v>May</v>
      </c>
      <c r="D162" t="s">
        <v>1166</v>
      </c>
      <c r="E162" t="s">
        <v>1640</v>
      </c>
      <c r="F162" t="s">
        <v>1779</v>
      </c>
      <c r="G162">
        <v>2</v>
      </c>
      <c r="H162" s="10">
        <f>IF(ISBLANK(ESales_DB[[#This Row],[Quantity]]),AVERAGEIF(ESales_DB[Product_ID],ESales_DB[[#This Row],[Product_ID]],ESales_DB[Quantity]),ESales_DB[[#This Row],[Quantity]])</f>
        <v>2</v>
      </c>
      <c r="I162" s="2">
        <v>143.79</v>
      </c>
      <c r="J162">
        <v>0.1</v>
      </c>
      <c r="K162" t="s">
        <v>1826</v>
      </c>
      <c r="L162" s="2">
        <v>258.822</v>
      </c>
      <c r="M162" s="2" t="str">
        <f>IF(ESales_DB[[#This Row],[Total_Amount]]&gt;1000,"High","Low")</f>
        <v>Low</v>
      </c>
      <c r="N162" s="2" t="str">
        <f>VLOOKUP(ESales_DB[[#This Row],[Customer_ID]],Ecustom_DB[],3,FALSE)</f>
        <v>James Orozco</v>
      </c>
      <c r="O162" s="2" t="str">
        <f>_xlfn.XLOOKUP(ESales_DB[[#This Row],[Product_ID]],Eproduct_DB[Product_ID],Eproduct_DB[Category])</f>
        <v>Clothing</v>
      </c>
      <c r="P162" s="2" t="str">
        <f>_xlfn.XLOOKUP(ESales_DB[[#This Row],[Product_ID]],Eproduct_DB[Product_ID],Eproduct_DB[Product_Name])</f>
        <v>Men's Winter Jacket</v>
      </c>
      <c r="Q162" s="2" t="str">
        <f>_xlfn.XLOOKUP(ESales_DB[[#This Row],[Store_ID]],Estore_DB[Store_ID],Estore_DB[Region])</f>
        <v>South</v>
      </c>
      <c r="R162" t="str">
        <f>VLOOKUP(ESales_DB[[#This Row],[Customer_ID]],Ecustom_DB[],10,FALSE)</f>
        <v>Gold</v>
      </c>
      <c r="S162" t="str">
        <f>IF(ESales_DB[[#This Row],[Quantity1]]&gt;3,"Bulk order","Normal order")</f>
        <v>Normal order</v>
      </c>
    </row>
    <row r="163" spans="1:19" x14ac:dyDescent="0.3">
      <c r="A163" t="s">
        <v>2968</v>
      </c>
      <c r="B163" s="4">
        <v>45608</v>
      </c>
      <c r="C163" s="4" t="str">
        <f>TEXT(ESales_DB[[#This Row],[Order_Date]],"mmm")</f>
        <v>Nov</v>
      </c>
      <c r="D163" t="s">
        <v>937</v>
      </c>
      <c r="E163" t="s">
        <v>1714</v>
      </c>
      <c r="F163" t="s">
        <v>1757</v>
      </c>
      <c r="G163">
        <v>3</v>
      </c>
      <c r="H163" s="10">
        <f>IF(ISBLANK(ESales_DB[[#This Row],[Quantity]]),AVERAGEIF(ESales_DB[Product_ID],ESales_DB[[#This Row],[Product_ID]],ESales_DB[Quantity]),ESales_DB[[#This Row],[Quantity]])</f>
        <v>3</v>
      </c>
      <c r="I163" s="2">
        <v>460.93</v>
      </c>
      <c r="J163">
        <v>0.19</v>
      </c>
      <c r="K163" t="s">
        <v>1829</v>
      </c>
      <c r="L163" s="2">
        <v>1120.0599</v>
      </c>
      <c r="M163" s="2" t="str">
        <f>IF(ESales_DB[[#This Row],[Total_Amount]]&gt;1000,"High","Low")</f>
        <v>High</v>
      </c>
      <c r="N163" s="2" t="str">
        <f>VLOOKUP(ESales_DB[[#This Row],[Customer_ID]],Ecustom_DB[],3,FALSE)</f>
        <v>Jared Moran</v>
      </c>
      <c r="O163" s="2" t="str">
        <f>_xlfn.XLOOKUP(ESales_DB[[#This Row],[Product_ID]],Eproduct_DB[Product_ID],Eproduct_DB[Category])</f>
        <v>Beauty</v>
      </c>
      <c r="P163" s="2" t="str">
        <f>_xlfn.XLOOKUP(ESales_DB[[#This Row],[Product_ID]],Eproduct_DB[Product_ID],Eproduct_DB[Product_Name])</f>
        <v>Hydrating Face Cleanser</v>
      </c>
      <c r="Q163" s="2" t="str">
        <f>_xlfn.XLOOKUP(ESales_DB[[#This Row],[Store_ID]],Estore_DB[Store_ID],Estore_DB[Region])</f>
        <v>North</v>
      </c>
      <c r="R163" t="str">
        <f>VLOOKUP(ESales_DB[[#This Row],[Customer_ID]],Ecustom_DB[],10,FALSE)</f>
        <v>Bronze</v>
      </c>
      <c r="S163" t="str">
        <f>IF(ESales_DB[[#This Row],[Quantity1]]&gt;3,"Bulk order","Normal order")</f>
        <v>Normal order</v>
      </c>
    </row>
    <row r="164" spans="1:19" x14ac:dyDescent="0.3">
      <c r="A164" t="s">
        <v>2969</v>
      </c>
      <c r="B164" s="4">
        <v>45301</v>
      </c>
      <c r="C164" s="4" t="str">
        <f>TEXT(ESales_DB[[#This Row],[Order_Date]],"mmm")</f>
        <v>Jan</v>
      </c>
      <c r="D164" t="s">
        <v>1533</v>
      </c>
      <c r="E164" t="s">
        <v>1604</v>
      </c>
      <c r="F164" t="s">
        <v>1786</v>
      </c>
      <c r="G164">
        <v>2</v>
      </c>
      <c r="H164" s="10">
        <f>IF(ISBLANK(ESales_DB[[#This Row],[Quantity]]),AVERAGEIF(ESales_DB[Product_ID],ESales_DB[[#This Row],[Product_ID]],ESales_DB[Quantity]),ESales_DB[[#This Row],[Quantity]])</f>
        <v>2</v>
      </c>
      <c r="I164" s="2">
        <v>67.55</v>
      </c>
      <c r="J164">
        <v>0.03</v>
      </c>
      <c r="K164" t="s">
        <v>1824</v>
      </c>
      <c r="L164" s="2">
        <v>131.047</v>
      </c>
      <c r="M164" s="2" t="str">
        <f>IF(ESales_DB[[#This Row],[Total_Amount]]&gt;1000,"High","Low")</f>
        <v>Low</v>
      </c>
      <c r="N164" s="2" t="str">
        <f>VLOOKUP(ESales_DB[[#This Row],[Customer_ID]],Ecustom_DB[],3,FALSE)</f>
        <v>Philip Pennington</v>
      </c>
      <c r="O164" s="2" t="str">
        <f>_xlfn.XLOOKUP(ESales_DB[[#This Row],[Product_ID]],Eproduct_DB[Product_ID],Eproduct_DB[Category])</f>
        <v>Sports</v>
      </c>
      <c r="P164" s="2" t="str">
        <f>_xlfn.XLOOKUP(ESales_DB[[#This Row],[Product_ID]],Eproduct_DB[Product_ID],Eproduct_DB[Product_Name])</f>
        <v>Sports Stopwatch Timer</v>
      </c>
      <c r="Q164" s="2" t="str">
        <f>_xlfn.XLOOKUP(ESales_DB[[#This Row],[Store_ID]],Estore_DB[Store_ID],Estore_DB[Region])</f>
        <v>South</v>
      </c>
      <c r="R164" t="str">
        <f>VLOOKUP(ESales_DB[[#This Row],[Customer_ID]],Ecustom_DB[],10,FALSE)</f>
        <v>Platinum</v>
      </c>
      <c r="S164" t="str">
        <f>IF(ESales_DB[[#This Row],[Quantity1]]&gt;3,"Bulk order","Normal order")</f>
        <v>Normal order</v>
      </c>
    </row>
    <row r="165" spans="1:19" x14ac:dyDescent="0.3">
      <c r="A165" t="s">
        <v>2970</v>
      </c>
      <c r="B165" s="4">
        <v>45433</v>
      </c>
      <c r="C165" s="4" t="str">
        <f>TEXT(ESales_DB[[#This Row],[Order_Date]],"mmm")</f>
        <v>May</v>
      </c>
      <c r="D165" t="s">
        <v>684</v>
      </c>
      <c r="E165" t="s">
        <v>1646</v>
      </c>
      <c r="F165" t="s">
        <v>1757</v>
      </c>
      <c r="G165">
        <v>3</v>
      </c>
      <c r="H165" s="10">
        <f>IF(ISBLANK(ESales_DB[[#This Row],[Quantity]]),AVERAGEIF(ESales_DB[Product_ID],ESales_DB[[#This Row],[Product_ID]],ESales_DB[Quantity]),ESales_DB[[#This Row],[Quantity]])</f>
        <v>3</v>
      </c>
      <c r="I165" s="2">
        <v>803.31</v>
      </c>
      <c r="J165">
        <v>0.1</v>
      </c>
      <c r="K165" t="s">
        <v>1826</v>
      </c>
      <c r="L165" s="2">
        <v>2168.9369999999999</v>
      </c>
      <c r="M165" s="2" t="str">
        <f>IF(ESales_DB[[#This Row],[Total_Amount]]&gt;1000,"High","Low")</f>
        <v>High</v>
      </c>
      <c r="N165" s="2" t="str">
        <f>VLOOKUP(ESales_DB[[#This Row],[Customer_ID]],Ecustom_DB[],3,FALSE)</f>
        <v>Antonio Jones</v>
      </c>
      <c r="O165" s="2" t="str">
        <f>_xlfn.XLOOKUP(ESales_DB[[#This Row],[Product_ID]],Eproduct_DB[Product_ID],Eproduct_DB[Category])</f>
        <v>Beauty</v>
      </c>
      <c r="P165" s="2" t="str">
        <f>_xlfn.XLOOKUP(ESales_DB[[#This Row],[Product_ID]],Eproduct_DB[Product_ID],Eproduct_DB[Product_Name])</f>
        <v>Men's Roll-On Perfume</v>
      </c>
      <c r="Q165" s="2" t="str">
        <f>_xlfn.XLOOKUP(ESales_DB[[#This Row],[Store_ID]],Estore_DB[Store_ID],Estore_DB[Region])</f>
        <v>North</v>
      </c>
      <c r="R165" t="str">
        <f>VLOOKUP(ESales_DB[[#This Row],[Customer_ID]],Ecustom_DB[],10,FALSE)</f>
        <v>Silver</v>
      </c>
      <c r="S165" t="str">
        <f>IF(ESales_DB[[#This Row],[Quantity1]]&gt;3,"Bulk order","Normal order")</f>
        <v>Normal order</v>
      </c>
    </row>
    <row r="166" spans="1:19" x14ac:dyDescent="0.3">
      <c r="A166" t="s">
        <v>2971</v>
      </c>
      <c r="B166" s="4">
        <v>45821</v>
      </c>
      <c r="C166" s="4" t="str">
        <f>TEXT(ESales_DB[[#This Row],[Order_Date]],"mmm")</f>
        <v>Jun</v>
      </c>
      <c r="D166" t="s">
        <v>1340</v>
      </c>
      <c r="E166" t="s">
        <v>1580</v>
      </c>
      <c r="F166" t="s">
        <v>1797</v>
      </c>
      <c r="G166">
        <v>4</v>
      </c>
      <c r="H166" s="10">
        <f>IF(ISBLANK(ESales_DB[[#This Row],[Quantity]]),AVERAGEIF(ESales_DB[Product_ID],ESales_DB[[#This Row],[Product_ID]],ESales_DB[Quantity]),ESales_DB[[#This Row],[Quantity]])</f>
        <v>4</v>
      </c>
      <c r="I166" s="2">
        <v>254.71</v>
      </c>
      <c r="J166">
        <v>0.2</v>
      </c>
      <c r="K166" t="s">
        <v>1829</v>
      </c>
      <c r="L166" s="2">
        <v>815.07200000000012</v>
      </c>
      <c r="M166" s="2" t="str">
        <f>IF(ESales_DB[[#This Row],[Total_Amount]]&gt;1000,"High","Low")</f>
        <v>Low</v>
      </c>
      <c r="N166" s="2" t="str">
        <f>VLOOKUP(ESales_DB[[#This Row],[Customer_ID]],Ecustom_DB[],3,FALSE)</f>
        <v>Summer Weiss</v>
      </c>
      <c r="O166" s="2" t="str">
        <f>_xlfn.XLOOKUP(ESales_DB[[#This Row],[Product_ID]],Eproduct_DB[Product_ID],Eproduct_DB[Category])</f>
        <v>Beauty</v>
      </c>
      <c r="P166" s="2" t="str">
        <f>_xlfn.XLOOKUP(ESales_DB[[#This Row],[Product_ID]],Eproduct_DB[Product_ID],Eproduct_DB[Product_Name])</f>
        <v>Beard Grooming Kit</v>
      </c>
      <c r="Q166" s="2" t="str">
        <f>_xlfn.XLOOKUP(ESales_DB[[#This Row],[Store_ID]],Estore_DB[Store_ID],Estore_DB[Region])</f>
        <v>East</v>
      </c>
      <c r="R166" t="str">
        <f>VLOOKUP(ESales_DB[[#This Row],[Customer_ID]],Ecustom_DB[],10,FALSE)</f>
        <v>Bronze</v>
      </c>
      <c r="S166" t="str">
        <f>IF(ESales_DB[[#This Row],[Quantity1]]&gt;3,"Bulk order","Normal order")</f>
        <v>Bulk order</v>
      </c>
    </row>
    <row r="167" spans="1:19" x14ac:dyDescent="0.3">
      <c r="A167" t="s">
        <v>2972</v>
      </c>
      <c r="B167" s="4">
        <v>45508</v>
      </c>
      <c r="C167" s="4" t="str">
        <f>TEXT(ESales_DB[[#This Row],[Order_Date]],"mmm")</f>
        <v>Aug</v>
      </c>
      <c r="D167" t="s">
        <v>195</v>
      </c>
      <c r="E167" t="s">
        <v>1648</v>
      </c>
      <c r="F167" t="s">
        <v>1769</v>
      </c>
      <c r="G167">
        <v>4</v>
      </c>
      <c r="H167" s="10">
        <f>IF(ISBLANK(ESales_DB[[#This Row],[Quantity]]),AVERAGEIF(ESales_DB[Product_ID],ESales_DB[[#This Row],[Product_ID]],ESales_DB[Quantity]),ESales_DB[[#This Row],[Quantity]])</f>
        <v>4</v>
      </c>
      <c r="I167" s="2">
        <v>594.89</v>
      </c>
      <c r="J167">
        <v>0.3</v>
      </c>
      <c r="K167" t="s">
        <v>1826</v>
      </c>
      <c r="L167" s="2">
        <v>1665.692</v>
      </c>
      <c r="M167" s="2" t="str">
        <f>IF(ESales_DB[[#This Row],[Total_Amount]]&gt;1000,"High","Low")</f>
        <v>High</v>
      </c>
      <c r="N167" s="2" t="str">
        <f>VLOOKUP(ESales_DB[[#This Row],[Customer_ID]],Ecustom_DB[],3,FALSE)</f>
        <v>Sarah Rodgers</v>
      </c>
      <c r="O167" s="2" t="str">
        <f>_xlfn.XLOOKUP(ESales_DB[[#This Row],[Product_ID]],Eproduct_DB[Product_ID],Eproduct_DB[Category])</f>
        <v>Sports</v>
      </c>
      <c r="P167" s="2" t="str">
        <f>_xlfn.XLOOKUP(ESales_DB[[#This Row],[Product_ID]],Eproduct_DB[Product_ID],Eproduct_DB[Product_Name])</f>
        <v>Boxing Hand Wraps</v>
      </c>
      <c r="Q167" s="2" t="str">
        <f>_xlfn.XLOOKUP(ESales_DB[[#This Row],[Store_ID]],Estore_DB[Store_ID],Estore_DB[Region])</f>
        <v>South</v>
      </c>
      <c r="R167" t="str">
        <f>VLOOKUP(ESales_DB[[#This Row],[Customer_ID]],Ecustom_DB[],10,FALSE)</f>
        <v>Gold</v>
      </c>
      <c r="S167" t="str">
        <f>IF(ESales_DB[[#This Row],[Quantity1]]&gt;3,"Bulk order","Normal order")</f>
        <v>Bulk order</v>
      </c>
    </row>
    <row r="168" spans="1:19" x14ac:dyDescent="0.3">
      <c r="A168" t="s">
        <v>2973</v>
      </c>
      <c r="B168" s="4">
        <v>45854</v>
      </c>
      <c r="C168" s="4" t="str">
        <f>TEXT(ESales_DB[[#This Row],[Order_Date]],"mmm")</f>
        <v>Jul</v>
      </c>
      <c r="D168" t="s">
        <v>711</v>
      </c>
      <c r="E168" t="s">
        <v>1730</v>
      </c>
      <c r="F168" t="s">
        <v>1752</v>
      </c>
      <c r="G168">
        <v>2</v>
      </c>
      <c r="H168" s="10">
        <f>IF(ISBLANK(ESales_DB[[#This Row],[Quantity]]),AVERAGEIF(ESales_DB[Product_ID],ESales_DB[[#This Row],[Product_ID]],ESales_DB[Quantity]),ESales_DB[[#This Row],[Quantity]])</f>
        <v>2</v>
      </c>
      <c r="I168" s="2">
        <v>844.31</v>
      </c>
      <c r="J168">
        <v>7.0000000000000007E-2</v>
      </c>
      <c r="K168" t="s">
        <v>1826</v>
      </c>
      <c r="L168" s="2">
        <v>1570.4166</v>
      </c>
      <c r="M168" s="2" t="str">
        <f>IF(ESales_DB[[#This Row],[Total_Amount]]&gt;1000,"High","Low")</f>
        <v>High</v>
      </c>
      <c r="N168" s="2" t="str">
        <f>VLOOKUP(ESales_DB[[#This Row],[Customer_ID]],Ecustom_DB[],3,FALSE)</f>
        <v>Jordan Wells</v>
      </c>
      <c r="O168" s="2" t="str">
        <f>_xlfn.XLOOKUP(ESales_DB[[#This Row],[Product_ID]],Eproduct_DB[Product_ID],Eproduct_DB[Category])</f>
        <v>Clothing</v>
      </c>
      <c r="P168" s="2" t="str">
        <f>_xlfn.XLOOKUP(ESales_DB[[#This Row],[Product_ID]],Eproduct_DB[Product_ID],Eproduct_DB[Product_Name])</f>
        <v>Women's High Heels</v>
      </c>
      <c r="Q168" s="2" t="str">
        <f>_xlfn.XLOOKUP(ESales_DB[[#This Row],[Store_ID]],Estore_DB[Store_ID],Estore_DB[Region])</f>
        <v>East</v>
      </c>
      <c r="R168" t="str">
        <f>VLOOKUP(ESales_DB[[#This Row],[Customer_ID]],Ecustom_DB[],10,FALSE)</f>
        <v>Gold</v>
      </c>
      <c r="S168" t="str">
        <f>IF(ESales_DB[[#This Row],[Quantity1]]&gt;3,"Bulk order","Normal order")</f>
        <v>Normal order</v>
      </c>
    </row>
    <row r="169" spans="1:19" x14ac:dyDescent="0.3">
      <c r="A169" t="s">
        <v>2974</v>
      </c>
      <c r="B169" s="4">
        <v>45569</v>
      </c>
      <c r="C169" s="4" t="str">
        <f>TEXT(ESales_DB[[#This Row],[Order_Date]],"mmm")</f>
        <v>Oct</v>
      </c>
      <c r="D169" t="s">
        <v>458</v>
      </c>
      <c r="E169" t="s">
        <v>1578</v>
      </c>
      <c r="F169" t="s">
        <v>1776</v>
      </c>
      <c r="G169">
        <v>4</v>
      </c>
      <c r="H169" s="10">
        <f>IF(ISBLANK(ESales_DB[[#This Row],[Quantity]]),AVERAGEIF(ESales_DB[Product_ID],ESales_DB[[#This Row],[Product_ID]],ESales_DB[Quantity]),ESales_DB[[#This Row],[Quantity]])</f>
        <v>4</v>
      </c>
      <c r="I169" s="2">
        <v>101.33</v>
      </c>
      <c r="J169">
        <v>0</v>
      </c>
      <c r="K169" t="s">
        <v>1824</v>
      </c>
      <c r="L169" s="2">
        <v>405.32</v>
      </c>
      <c r="M169" s="2" t="str">
        <f>IF(ESales_DB[[#This Row],[Total_Amount]]&gt;1000,"High","Low")</f>
        <v>Low</v>
      </c>
      <c r="N169" s="2" t="str">
        <f>VLOOKUP(ESales_DB[[#This Row],[Customer_ID]],Ecustom_DB[],3,FALSE)</f>
        <v>Morgan Bowen</v>
      </c>
      <c r="O169" s="2" t="str">
        <f>_xlfn.XLOOKUP(ESales_DB[[#This Row],[Product_ID]],Eproduct_DB[Product_ID],Eproduct_DB[Category])</f>
        <v>Electronics</v>
      </c>
      <c r="P169" s="2" t="str">
        <f>_xlfn.XLOOKUP(ESales_DB[[#This Row],[Product_ID]],Eproduct_DB[Product_ID],Eproduct_DB[Product_Name])</f>
        <v>4K Home Projector</v>
      </c>
      <c r="Q169" s="2" t="str">
        <f>_xlfn.XLOOKUP(ESales_DB[[#This Row],[Store_ID]],Estore_DB[Store_ID],Estore_DB[Region])</f>
        <v>East</v>
      </c>
      <c r="R169" t="str">
        <f>VLOOKUP(ESales_DB[[#This Row],[Customer_ID]],Ecustom_DB[],10,FALSE)</f>
        <v>Gold</v>
      </c>
      <c r="S169" t="str">
        <f>IF(ESales_DB[[#This Row],[Quantity1]]&gt;3,"Bulk order","Normal order")</f>
        <v>Bulk order</v>
      </c>
    </row>
    <row r="170" spans="1:19" x14ac:dyDescent="0.3">
      <c r="A170" t="s">
        <v>2975</v>
      </c>
      <c r="B170" s="4">
        <v>45824</v>
      </c>
      <c r="C170" s="4" t="str">
        <f>TEXT(ESales_DB[[#This Row],[Order_Date]],"mmm")</f>
        <v>Jun</v>
      </c>
      <c r="D170" t="s">
        <v>449</v>
      </c>
      <c r="E170" t="s">
        <v>1600</v>
      </c>
      <c r="F170" t="s">
        <v>1782</v>
      </c>
      <c r="G170">
        <v>3</v>
      </c>
      <c r="H170" s="10">
        <f>IF(ISBLANK(ESales_DB[[#This Row],[Quantity]]),AVERAGEIF(ESales_DB[Product_ID],ESales_DB[[#This Row],[Product_ID]],ESales_DB[Quantity]),ESales_DB[[#This Row],[Quantity]])</f>
        <v>3</v>
      </c>
      <c r="I170" s="2">
        <v>922.56</v>
      </c>
      <c r="J170">
        <v>0.18</v>
      </c>
      <c r="K170" t="s">
        <v>1826</v>
      </c>
      <c r="L170" s="2">
        <v>2269.4976000000001</v>
      </c>
      <c r="M170" s="2" t="str">
        <f>IF(ESales_DB[[#This Row],[Total_Amount]]&gt;1000,"High","Low")</f>
        <v>High</v>
      </c>
      <c r="N170" s="2" t="str">
        <f>VLOOKUP(ESales_DB[[#This Row],[Customer_ID]],Ecustom_DB[],3,FALSE)</f>
        <v>Joseph Richards</v>
      </c>
      <c r="O170" s="2" t="str">
        <f>_xlfn.XLOOKUP(ESales_DB[[#This Row],[Product_ID]],Eproduct_DB[Product_ID],Eproduct_DB[Category])</f>
        <v>Electronics</v>
      </c>
      <c r="P170" s="2" t="str">
        <f>_xlfn.XLOOKUP(ESales_DB[[#This Row],[Product_ID]],Eproduct_DB[Product_ID],Eproduct_DB[Product_Name])</f>
        <v>Wireless Bluetooth Speaker</v>
      </c>
      <c r="Q170" s="2" t="str">
        <f>_xlfn.XLOOKUP(ESales_DB[[#This Row],[Store_ID]],Estore_DB[Store_ID],Estore_DB[Region])</f>
        <v>West</v>
      </c>
      <c r="R170" t="str">
        <f>VLOOKUP(ESales_DB[[#This Row],[Customer_ID]],Ecustom_DB[],10,FALSE)</f>
        <v>Bronze</v>
      </c>
      <c r="S170" t="str">
        <f>IF(ESales_DB[[#This Row],[Quantity1]]&gt;3,"Bulk order","Normal order")</f>
        <v>Normal order</v>
      </c>
    </row>
    <row r="171" spans="1:19" x14ac:dyDescent="0.3">
      <c r="A171" t="s">
        <v>1941</v>
      </c>
      <c r="B171" s="4">
        <v>45925</v>
      </c>
      <c r="C171" s="4" t="str">
        <f>TEXT(ESales_DB[[#This Row],[Order_Date]],"mmm")</f>
        <v>Sep</v>
      </c>
      <c r="D171" t="s">
        <v>821</v>
      </c>
      <c r="E171" t="s">
        <v>1718</v>
      </c>
      <c r="F171" t="s">
        <v>1779</v>
      </c>
      <c r="G171">
        <v>4</v>
      </c>
      <c r="H171" s="10">
        <f>IF(ISBLANK(ESales_DB[[#This Row],[Quantity]]),AVERAGEIF(ESales_DB[Product_ID],ESales_DB[[#This Row],[Product_ID]],ESales_DB[Quantity]),ESales_DB[[#This Row],[Quantity]])</f>
        <v>4</v>
      </c>
      <c r="I171" s="2">
        <v>930.85</v>
      </c>
      <c r="J171">
        <v>0.13</v>
      </c>
      <c r="K171" t="s">
        <v>1826</v>
      </c>
      <c r="L171" s="2">
        <v>3239.3580000000002</v>
      </c>
      <c r="M171" s="2" t="str">
        <f>IF(ESales_DB[[#This Row],[Total_Amount]]&gt;1000,"High","Low")</f>
        <v>High</v>
      </c>
      <c r="N171" s="2" t="str">
        <f>VLOOKUP(ESales_DB[[#This Row],[Customer_ID]],Ecustom_DB[],3,FALSE)</f>
        <v>Christopher David</v>
      </c>
      <c r="O171" s="2" t="str">
        <f>_xlfn.XLOOKUP(ESales_DB[[#This Row],[Product_ID]],Eproduct_DB[Product_ID],Eproduct_DB[Category])</f>
        <v>Clothing</v>
      </c>
      <c r="P171" s="2" t="str">
        <f>_xlfn.XLOOKUP(ESales_DB[[#This Row],[Product_ID]],Eproduct_DB[Product_ID],Eproduct_DB[Product_Name])</f>
        <v>Women's Beanie Hat</v>
      </c>
      <c r="Q171" s="2" t="str">
        <f>_xlfn.XLOOKUP(ESales_DB[[#This Row],[Store_ID]],Estore_DB[Store_ID],Estore_DB[Region])</f>
        <v>South</v>
      </c>
      <c r="R171" t="str">
        <f>VLOOKUP(ESales_DB[[#This Row],[Customer_ID]],Ecustom_DB[],10,FALSE)</f>
        <v>Silver</v>
      </c>
      <c r="S171" t="str">
        <f>IF(ESales_DB[[#This Row],[Quantity1]]&gt;3,"Bulk order","Normal order")</f>
        <v>Bulk order</v>
      </c>
    </row>
    <row r="172" spans="1:19" x14ac:dyDescent="0.3">
      <c r="A172" t="s">
        <v>2976</v>
      </c>
      <c r="B172" s="4">
        <v>45352</v>
      </c>
      <c r="C172" s="4" t="str">
        <f>TEXT(ESales_DB[[#This Row],[Order_Date]],"mmm")</f>
        <v>Mar</v>
      </c>
      <c r="D172" t="s">
        <v>1340</v>
      </c>
      <c r="E172" t="s">
        <v>1624</v>
      </c>
      <c r="F172" t="s">
        <v>1799</v>
      </c>
      <c r="G172">
        <v>4</v>
      </c>
      <c r="H172" s="10">
        <f>IF(ISBLANK(ESales_DB[[#This Row],[Quantity]]),AVERAGEIF(ESales_DB[Product_ID],ESales_DB[[#This Row],[Product_ID]],ESales_DB[Quantity]),ESales_DB[[#This Row],[Quantity]])</f>
        <v>4</v>
      </c>
      <c r="I172" s="2">
        <v>867.19</v>
      </c>
      <c r="J172">
        <v>7.0000000000000007E-2</v>
      </c>
      <c r="K172" t="s">
        <v>1829</v>
      </c>
      <c r="L172" s="2">
        <v>3225.9468000000002</v>
      </c>
      <c r="M172" s="2" t="str">
        <f>IF(ESales_DB[[#This Row],[Total_Amount]]&gt;1000,"High","Low")</f>
        <v>High</v>
      </c>
      <c r="N172" s="2" t="str">
        <f>VLOOKUP(ESales_DB[[#This Row],[Customer_ID]],Ecustom_DB[],3,FALSE)</f>
        <v>Summer Weiss</v>
      </c>
      <c r="O172" s="2" t="str">
        <f>_xlfn.XLOOKUP(ESales_DB[[#This Row],[Product_ID]],Eproduct_DB[Product_ID],Eproduct_DB[Category])</f>
        <v>Sports</v>
      </c>
      <c r="P172" s="2" t="str">
        <f>_xlfn.XLOOKUP(ESales_DB[[#This Row],[Product_ID]],Eproduct_DB[Product_ID],Eproduct_DB[Product_Name])</f>
        <v>Sports Water Hydration Pack</v>
      </c>
      <c r="Q172" s="2" t="str">
        <f>_xlfn.XLOOKUP(ESales_DB[[#This Row],[Store_ID]],Estore_DB[Store_ID],Estore_DB[Region])</f>
        <v>South</v>
      </c>
      <c r="R172" t="str">
        <f>VLOOKUP(ESales_DB[[#This Row],[Customer_ID]],Ecustom_DB[],10,FALSE)</f>
        <v>Bronze</v>
      </c>
      <c r="S172" t="str">
        <f>IF(ESales_DB[[#This Row],[Quantity1]]&gt;3,"Bulk order","Normal order")</f>
        <v>Bulk order</v>
      </c>
    </row>
    <row r="173" spans="1:19" x14ac:dyDescent="0.3">
      <c r="A173" t="s">
        <v>2977</v>
      </c>
      <c r="B173" s="4">
        <v>45454</v>
      </c>
      <c r="C173" s="4" t="str">
        <f>TEXT(ESales_DB[[#This Row],[Order_Date]],"mmm")</f>
        <v>Jun</v>
      </c>
      <c r="D173" t="s">
        <v>36</v>
      </c>
      <c r="E173" t="s">
        <v>1714</v>
      </c>
      <c r="F173" t="s">
        <v>1807</v>
      </c>
      <c r="G173">
        <v>3</v>
      </c>
      <c r="H173" s="10">
        <f>IF(ISBLANK(ESales_DB[[#This Row],[Quantity]]),AVERAGEIF(ESales_DB[Product_ID],ESales_DB[[#This Row],[Product_ID]],ESales_DB[Quantity]),ESales_DB[[#This Row],[Quantity]])</f>
        <v>3</v>
      </c>
      <c r="I173" s="2">
        <v>816.87</v>
      </c>
      <c r="J173">
        <v>0.14000000000000001</v>
      </c>
      <c r="K173" t="s">
        <v>1826</v>
      </c>
      <c r="L173" s="2">
        <v>2107.5246000000002</v>
      </c>
      <c r="M173" s="2" t="str">
        <f>IF(ESales_DB[[#This Row],[Total_Amount]]&gt;1000,"High","Low")</f>
        <v>High</v>
      </c>
      <c r="N173" s="2" t="str">
        <f>VLOOKUP(ESales_DB[[#This Row],[Customer_ID]],Ecustom_DB[],3,FALSE)</f>
        <v>Amber Jackson</v>
      </c>
      <c r="O173" s="2" t="str">
        <f>_xlfn.XLOOKUP(ESales_DB[[#This Row],[Product_ID]],Eproduct_DB[Product_ID],Eproduct_DB[Category])</f>
        <v>Beauty</v>
      </c>
      <c r="P173" s="2" t="str">
        <f>_xlfn.XLOOKUP(ESales_DB[[#This Row],[Product_ID]],Eproduct_DB[Product_ID],Eproduct_DB[Product_Name])</f>
        <v>Hydrating Face Cleanser</v>
      </c>
      <c r="Q173" s="2" t="str">
        <f>_xlfn.XLOOKUP(ESales_DB[[#This Row],[Store_ID]],Estore_DB[Store_ID],Estore_DB[Region])</f>
        <v>North</v>
      </c>
      <c r="R173" t="str">
        <f>VLOOKUP(ESales_DB[[#This Row],[Customer_ID]],Ecustom_DB[],10,FALSE)</f>
        <v>Platinum</v>
      </c>
      <c r="S173" t="str">
        <f>IF(ESales_DB[[#This Row],[Quantity1]]&gt;3,"Bulk order","Normal order")</f>
        <v>Normal order</v>
      </c>
    </row>
    <row r="174" spans="1:19" x14ac:dyDescent="0.3">
      <c r="A174" t="s">
        <v>2978</v>
      </c>
      <c r="B174" s="4">
        <v>45924</v>
      </c>
      <c r="C174" s="4" t="str">
        <f>TEXT(ESales_DB[[#This Row],[Order_Date]],"mmm")</f>
        <v>Sep</v>
      </c>
      <c r="D174" t="s">
        <v>1478</v>
      </c>
      <c r="E174" t="s">
        <v>1678</v>
      </c>
      <c r="F174" t="s">
        <v>1766</v>
      </c>
      <c r="G174">
        <v>3</v>
      </c>
      <c r="H174" s="10">
        <f>IF(ISBLANK(ESales_DB[[#This Row],[Quantity]]),AVERAGEIF(ESales_DB[Product_ID],ESales_DB[[#This Row],[Product_ID]],ESales_DB[Quantity]),ESales_DB[[#This Row],[Quantity]])</f>
        <v>3</v>
      </c>
      <c r="I174" s="2">
        <v>258.06</v>
      </c>
      <c r="J174">
        <v>0</v>
      </c>
      <c r="K174" t="s">
        <v>1826</v>
      </c>
      <c r="L174" s="2">
        <v>774.18000000000006</v>
      </c>
      <c r="M174" s="2" t="str">
        <f>IF(ESales_DB[[#This Row],[Total_Amount]]&gt;1000,"High","Low")</f>
        <v>Low</v>
      </c>
      <c r="N174" s="2" t="str">
        <f>VLOOKUP(ESales_DB[[#This Row],[Customer_ID]],Ecustom_DB[],3,FALSE)</f>
        <v>Jordan Medina</v>
      </c>
      <c r="O174" s="2" t="str">
        <f>_xlfn.XLOOKUP(ESales_DB[[#This Row],[Product_ID]],Eproduct_DB[Product_ID],Eproduct_DB[Category])</f>
        <v>Sports</v>
      </c>
      <c r="P174" s="2" t="str">
        <f>_xlfn.XLOOKUP(ESales_DB[[#This Row],[Product_ID]],Eproduct_DB[Product_ID],Eproduct_DB[Product_Name])</f>
        <v>Adjustable Dumbbells 20kg</v>
      </c>
      <c r="Q174" s="2" t="str">
        <f>_xlfn.XLOOKUP(ESales_DB[[#This Row],[Store_ID]],Estore_DB[Store_ID],Estore_DB[Region])</f>
        <v>North</v>
      </c>
      <c r="R174" t="str">
        <f>VLOOKUP(ESales_DB[[#This Row],[Customer_ID]],Ecustom_DB[],10,FALSE)</f>
        <v>Bronze</v>
      </c>
      <c r="S174" t="str">
        <f>IF(ESales_DB[[#This Row],[Quantity1]]&gt;3,"Bulk order","Normal order")</f>
        <v>Normal order</v>
      </c>
    </row>
    <row r="175" spans="1:19" x14ac:dyDescent="0.3">
      <c r="A175" t="s">
        <v>2979</v>
      </c>
      <c r="B175" s="4">
        <v>45694</v>
      </c>
      <c r="C175" s="4" t="str">
        <f>TEXT(ESales_DB[[#This Row],[Order_Date]],"mmm")</f>
        <v>Feb</v>
      </c>
      <c r="D175" t="s">
        <v>984</v>
      </c>
      <c r="E175" t="s">
        <v>1624</v>
      </c>
      <c r="F175" t="s">
        <v>1799</v>
      </c>
      <c r="G175">
        <v>2</v>
      </c>
      <c r="H175" s="10">
        <f>IF(ISBLANK(ESales_DB[[#This Row],[Quantity]]),AVERAGEIF(ESales_DB[Product_ID],ESales_DB[[#This Row],[Product_ID]],ESales_DB[Quantity]),ESales_DB[[#This Row],[Quantity]])</f>
        <v>2</v>
      </c>
      <c r="I175" s="2">
        <v>574.58000000000004</v>
      </c>
      <c r="J175">
        <v>0.06</v>
      </c>
      <c r="K175" t="s">
        <v>1824</v>
      </c>
      <c r="L175" s="2">
        <v>1080.2103999999999</v>
      </c>
      <c r="M175" s="2" t="str">
        <f>IF(ESales_DB[[#This Row],[Total_Amount]]&gt;1000,"High","Low")</f>
        <v>High</v>
      </c>
      <c r="N175" s="2" t="str">
        <f>VLOOKUP(ESales_DB[[#This Row],[Customer_ID]],Ecustom_DB[],3,FALSE)</f>
        <v>Jason Mullins</v>
      </c>
      <c r="O175" s="2" t="str">
        <f>_xlfn.XLOOKUP(ESales_DB[[#This Row],[Product_ID]],Eproduct_DB[Product_ID],Eproduct_DB[Category])</f>
        <v>Sports</v>
      </c>
      <c r="P175" s="2" t="str">
        <f>_xlfn.XLOOKUP(ESales_DB[[#This Row],[Product_ID]],Eproduct_DB[Product_ID],Eproduct_DB[Product_Name])</f>
        <v>Sports Water Hydration Pack</v>
      </c>
      <c r="Q175" s="2" t="str">
        <f>_xlfn.XLOOKUP(ESales_DB[[#This Row],[Store_ID]],Estore_DB[Store_ID],Estore_DB[Region])</f>
        <v>South</v>
      </c>
      <c r="R175" t="str">
        <f>VLOOKUP(ESales_DB[[#This Row],[Customer_ID]],Ecustom_DB[],10,FALSE)</f>
        <v>Silver</v>
      </c>
      <c r="S175" t="str">
        <f>IF(ESales_DB[[#This Row],[Quantity1]]&gt;3,"Bulk order","Normal order")</f>
        <v>Normal order</v>
      </c>
    </row>
    <row r="176" spans="1:19" x14ac:dyDescent="0.3">
      <c r="A176" t="s">
        <v>2980</v>
      </c>
      <c r="B176" s="4">
        <v>45587</v>
      </c>
      <c r="C176" s="4" t="str">
        <f>TEXT(ESales_DB[[#This Row],[Order_Date]],"mmm")</f>
        <v>Oct</v>
      </c>
      <c r="D176" t="s">
        <v>97</v>
      </c>
      <c r="E176" t="s">
        <v>1714</v>
      </c>
      <c r="F176" t="s">
        <v>1776</v>
      </c>
      <c r="G176">
        <v>2</v>
      </c>
      <c r="H176" s="10">
        <f>IF(ISBLANK(ESales_DB[[#This Row],[Quantity]]),AVERAGEIF(ESales_DB[Product_ID],ESales_DB[[#This Row],[Product_ID]],ESales_DB[Quantity]),ESales_DB[[#This Row],[Quantity]])</f>
        <v>2</v>
      </c>
      <c r="I176" s="2">
        <v>472.18</v>
      </c>
      <c r="J176">
        <v>0.27</v>
      </c>
      <c r="K176" t="s">
        <v>1826</v>
      </c>
      <c r="L176" s="2">
        <v>689.38279999999997</v>
      </c>
      <c r="M176" s="2" t="str">
        <f>IF(ESales_DB[[#This Row],[Total_Amount]]&gt;1000,"High","Low")</f>
        <v>Low</v>
      </c>
      <c r="N176" s="2" t="str">
        <f>VLOOKUP(ESales_DB[[#This Row],[Customer_ID]],Ecustom_DB[],3,FALSE)</f>
        <v>Paul Fox</v>
      </c>
      <c r="O176" s="2" t="str">
        <f>_xlfn.XLOOKUP(ESales_DB[[#This Row],[Product_ID]],Eproduct_DB[Product_ID],Eproduct_DB[Category])</f>
        <v>Beauty</v>
      </c>
      <c r="P176" s="2" t="str">
        <f>_xlfn.XLOOKUP(ESales_DB[[#This Row],[Product_ID]],Eproduct_DB[Product_ID],Eproduct_DB[Product_Name])</f>
        <v>Hydrating Face Cleanser</v>
      </c>
      <c r="Q176" s="2" t="str">
        <f>_xlfn.XLOOKUP(ESales_DB[[#This Row],[Store_ID]],Estore_DB[Store_ID],Estore_DB[Region])</f>
        <v>East</v>
      </c>
      <c r="R176" t="str">
        <f>VLOOKUP(ESales_DB[[#This Row],[Customer_ID]],Ecustom_DB[],10,FALSE)</f>
        <v>Silver</v>
      </c>
      <c r="S176" t="str">
        <f>IF(ESales_DB[[#This Row],[Quantity1]]&gt;3,"Bulk order","Normal order")</f>
        <v>Normal order</v>
      </c>
    </row>
    <row r="177" spans="1:19" x14ac:dyDescent="0.3">
      <c r="A177" t="s">
        <v>2981</v>
      </c>
      <c r="B177" s="4">
        <v>45556</v>
      </c>
      <c r="C177" s="4" t="str">
        <f>TEXT(ESales_DB[[#This Row],[Order_Date]],"mmm")</f>
        <v>Sep</v>
      </c>
      <c r="D177" t="s">
        <v>1068</v>
      </c>
      <c r="E177" t="s">
        <v>1630</v>
      </c>
      <c r="F177" t="s">
        <v>1773</v>
      </c>
      <c r="G177">
        <v>2</v>
      </c>
      <c r="H177" s="10">
        <f>IF(ISBLANK(ESales_DB[[#This Row],[Quantity]]),AVERAGEIF(ESales_DB[Product_ID],ESales_DB[[#This Row],[Product_ID]],ESales_DB[Quantity]),ESales_DB[[#This Row],[Quantity]])</f>
        <v>2</v>
      </c>
      <c r="I177" s="2">
        <v>20.47</v>
      </c>
      <c r="J177">
        <v>0.12</v>
      </c>
      <c r="K177" t="s">
        <v>1829</v>
      </c>
      <c r="L177" s="2">
        <v>36.027200000000001</v>
      </c>
      <c r="M177" s="2" t="str">
        <f>IF(ESales_DB[[#This Row],[Total_Amount]]&gt;1000,"High","Low")</f>
        <v>Low</v>
      </c>
      <c r="N177" s="2" t="str">
        <f>VLOOKUP(ESales_DB[[#This Row],[Customer_ID]],Ecustom_DB[],3,FALSE)</f>
        <v>Eric Davis</v>
      </c>
      <c r="O177" s="2" t="str">
        <f>_xlfn.XLOOKUP(ESales_DB[[#This Row],[Product_ID]],Eproduct_DB[Product_ID],Eproduct_DB[Category])</f>
        <v>Sports</v>
      </c>
      <c r="P177" s="2" t="str">
        <f>_xlfn.XLOOKUP(ESales_DB[[#This Row],[Product_ID]],Eproduct_DB[Product_ID],Eproduct_DB[Product_Name])</f>
        <v>Yoga Exercise Mat</v>
      </c>
      <c r="Q177" s="2" t="str">
        <f>_xlfn.XLOOKUP(ESales_DB[[#This Row],[Store_ID]],Estore_DB[Store_ID],Estore_DB[Region])</f>
        <v>North</v>
      </c>
      <c r="R177" t="str">
        <f>VLOOKUP(ESales_DB[[#This Row],[Customer_ID]],Ecustom_DB[],10,FALSE)</f>
        <v>Bronze</v>
      </c>
      <c r="S177" t="str">
        <f>IF(ESales_DB[[#This Row],[Quantity1]]&gt;3,"Bulk order","Normal order")</f>
        <v>Normal order</v>
      </c>
    </row>
    <row r="178" spans="1:19" x14ac:dyDescent="0.3">
      <c r="A178" t="s">
        <v>2982</v>
      </c>
      <c r="B178" s="4">
        <v>45923</v>
      </c>
      <c r="C178" s="4" t="str">
        <f>TEXT(ESales_DB[[#This Row],[Order_Date]],"mmm")</f>
        <v>Sep</v>
      </c>
      <c r="D178" t="s">
        <v>100</v>
      </c>
      <c r="E178" t="s">
        <v>1592</v>
      </c>
      <c r="F178" t="s">
        <v>1779</v>
      </c>
      <c r="G178">
        <v>3</v>
      </c>
      <c r="H178" s="10">
        <f>IF(ISBLANK(ESales_DB[[#This Row],[Quantity]]),AVERAGEIF(ESales_DB[Product_ID],ESales_DB[[#This Row],[Product_ID]],ESales_DB[Quantity]),ESales_DB[[#This Row],[Quantity]])</f>
        <v>3</v>
      </c>
      <c r="I178" s="2">
        <v>235.41</v>
      </c>
      <c r="J178">
        <v>0.15</v>
      </c>
      <c r="K178" t="s">
        <v>1826</v>
      </c>
      <c r="L178" s="2">
        <v>600.29549999999995</v>
      </c>
      <c r="M178" s="2" t="str">
        <f>IF(ESales_DB[[#This Row],[Total_Amount]]&gt;1000,"High","Low")</f>
        <v>Low</v>
      </c>
      <c r="N178" s="2" t="str">
        <f>VLOOKUP(ESales_DB[[#This Row],[Customer_ID]],Ecustom_DB[],3,FALSE)</f>
        <v>Jonathan Steele</v>
      </c>
      <c r="O178" s="2" t="str">
        <f>_xlfn.XLOOKUP(ESales_DB[[#This Row],[Product_ID]],Eproduct_DB[Product_ID],Eproduct_DB[Category])</f>
        <v>Sports</v>
      </c>
      <c r="P178" s="2" t="str">
        <f>_xlfn.XLOOKUP(ESales_DB[[#This Row],[Product_ID]],Eproduct_DB[Product_ID],Eproduct_DB[Product_Name])</f>
        <v>Carbon Fiber Tennis Racket</v>
      </c>
      <c r="Q178" s="2" t="str">
        <f>_xlfn.XLOOKUP(ESales_DB[[#This Row],[Store_ID]],Estore_DB[Store_ID],Estore_DB[Region])</f>
        <v>South</v>
      </c>
      <c r="R178" t="str">
        <f>VLOOKUP(ESales_DB[[#This Row],[Customer_ID]],Ecustom_DB[],10,FALSE)</f>
        <v>Silver</v>
      </c>
      <c r="S178" t="str">
        <f>IF(ESales_DB[[#This Row],[Quantity1]]&gt;3,"Bulk order","Normal order")</f>
        <v>Normal order</v>
      </c>
    </row>
    <row r="179" spans="1:19" x14ac:dyDescent="0.3">
      <c r="A179" t="s">
        <v>2983</v>
      </c>
      <c r="B179" s="4">
        <v>45811</v>
      </c>
      <c r="C179" s="4" t="str">
        <f>TEXT(ESales_DB[[#This Row],[Order_Date]],"mmm")</f>
        <v>Jun</v>
      </c>
      <c r="D179" t="s">
        <v>740</v>
      </c>
      <c r="E179" t="s">
        <v>1704</v>
      </c>
      <c r="F179" t="s">
        <v>1779</v>
      </c>
      <c r="G179">
        <v>3</v>
      </c>
      <c r="H179" s="10">
        <f>IF(ISBLANK(ESales_DB[[#This Row],[Quantity]]),AVERAGEIF(ESales_DB[Product_ID],ESales_DB[[#This Row],[Product_ID]],ESales_DB[Quantity]),ESales_DB[[#This Row],[Quantity]])</f>
        <v>3</v>
      </c>
      <c r="I179" s="2">
        <v>744.9</v>
      </c>
      <c r="J179">
        <v>0.27</v>
      </c>
      <c r="K179" t="s">
        <v>1826</v>
      </c>
      <c r="L179" s="2">
        <v>1631.3309999999999</v>
      </c>
      <c r="M179" s="2" t="str">
        <f>IF(ESales_DB[[#This Row],[Total_Amount]]&gt;1000,"High","Low")</f>
        <v>High</v>
      </c>
      <c r="N179" s="2" t="str">
        <f>VLOOKUP(ESales_DB[[#This Row],[Customer_ID]],Ecustom_DB[],3,FALSE)</f>
        <v>Timothy Sanders</v>
      </c>
      <c r="O179" s="2" t="str">
        <f>_xlfn.XLOOKUP(ESales_DB[[#This Row],[Product_ID]],Eproduct_DB[Product_ID],Eproduct_DB[Category])</f>
        <v>Home</v>
      </c>
      <c r="P179" s="2" t="str">
        <f>_xlfn.XLOOKUP(ESales_DB[[#This Row],[Product_ID]],Eproduct_DB[Product_ID],Eproduct_DB[Product_Name])</f>
        <v>Essential Oil Diffuser</v>
      </c>
      <c r="Q179" s="2" t="str">
        <f>_xlfn.XLOOKUP(ESales_DB[[#This Row],[Store_ID]],Estore_DB[Store_ID],Estore_DB[Region])</f>
        <v>South</v>
      </c>
      <c r="R179" t="str">
        <f>VLOOKUP(ESales_DB[[#This Row],[Customer_ID]],Ecustom_DB[],10,FALSE)</f>
        <v>Bronze</v>
      </c>
      <c r="S179" t="str">
        <f>IF(ESales_DB[[#This Row],[Quantity1]]&gt;3,"Bulk order","Normal order")</f>
        <v>Normal order</v>
      </c>
    </row>
    <row r="180" spans="1:19" x14ac:dyDescent="0.3">
      <c r="A180" t="s">
        <v>2984</v>
      </c>
      <c r="B180" s="4">
        <v>45559</v>
      </c>
      <c r="C180" s="4" t="str">
        <f>TEXT(ESales_DB[[#This Row],[Order_Date]],"mmm")</f>
        <v>Sep</v>
      </c>
      <c r="D180" t="s">
        <v>181</v>
      </c>
      <c r="E180" t="s">
        <v>1584</v>
      </c>
      <c r="F180" t="s">
        <v>1766</v>
      </c>
      <c r="G180">
        <v>2</v>
      </c>
      <c r="H180" s="10">
        <f>IF(ISBLANK(ESales_DB[[#This Row],[Quantity]]),AVERAGEIF(ESales_DB[Product_ID],ESales_DB[[#This Row],[Product_ID]],ESales_DB[Quantity]),ESales_DB[[#This Row],[Quantity]])</f>
        <v>2</v>
      </c>
      <c r="I180" s="2">
        <v>382.2</v>
      </c>
      <c r="J180">
        <v>0.15</v>
      </c>
      <c r="K180" t="s">
        <v>1824</v>
      </c>
      <c r="L180" s="2">
        <v>649.74</v>
      </c>
      <c r="M180" s="2" t="str">
        <f>IF(ESales_DB[[#This Row],[Total_Amount]]&gt;1000,"High","Low")</f>
        <v>Low</v>
      </c>
      <c r="N180" s="2" t="str">
        <f>VLOOKUP(ESales_DB[[#This Row],[Customer_ID]],Ecustom_DB[],3,FALSE)</f>
        <v>Gina Knight</v>
      </c>
      <c r="O180" s="2" t="str">
        <f>_xlfn.XLOOKUP(ESales_DB[[#This Row],[Product_ID]],Eproduct_DB[Product_ID],Eproduct_DB[Category])</f>
        <v>Clothing</v>
      </c>
      <c r="P180" s="2" t="str">
        <f>_xlfn.XLOOKUP(ESales_DB[[#This Row],[Product_ID]],Eproduct_DB[Product_ID],Eproduct_DB[Product_Name])</f>
        <v>Women's Denim Jeans</v>
      </c>
      <c r="Q180" s="2" t="str">
        <f>_xlfn.XLOOKUP(ESales_DB[[#This Row],[Store_ID]],Estore_DB[Store_ID],Estore_DB[Region])</f>
        <v>North</v>
      </c>
      <c r="R180" t="str">
        <f>VLOOKUP(ESales_DB[[#This Row],[Customer_ID]],Ecustom_DB[],10,FALSE)</f>
        <v>Silver</v>
      </c>
      <c r="S180" t="str">
        <f>IF(ESales_DB[[#This Row],[Quantity1]]&gt;3,"Bulk order","Normal order")</f>
        <v>Normal order</v>
      </c>
    </row>
    <row r="181" spans="1:19" x14ac:dyDescent="0.3">
      <c r="A181" t="s">
        <v>2985</v>
      </c>
      <c r="B181" s="4">
        <v>45881</v>
      </c>
      <c r="C181" s="4" t="str">
        <f>TEXT(ESales_DB[[#This Row],[Order_Date]],"mmm")</f>
        <v>Aug</v>
      </c>
      <c r="D181" t="s">
        <v>1086</v>
      </c>
      <c r="E181" t="s">
        <v>1728</v>
      </c>
      <c r="F181" t="s">
        <v>1804</v>
      </c>
      <c r="G181">
        <v>1</v>
      </c>
      <c r="H181" s="10">
        <f>IF(ISBLANK(ESales_DB[[#This Row],[Quantity]]),AVERAGEIF(ESales_DB[Product_ID],ESales_DB[[#This Row],[Product_ID]],ESales_DB[Quantity]),ESales_DB[[#This Row],[Quantity]])</f>
        <v>1</v>
      </c>
      <c r="I181" s="2">
        <v>269.25</v>
      </c>
      <c r="J181">
        <v>0.14000000000000001</v>
      </c>
      <c r="K181" t="s">
        <v>1826</v>
      </c>
      <c r="L181" s="2">
        <v>231.55500000000001</v>
      </c>
      <c r="M181" s="2" t="str">
        <f>IF(ESales_DB[[#This Row],[Total_Amount]]&gt;1000,"High","Low")</f>
        <v>Low</v>
      </c>
      <c r="N181" s="2" t="str">
        <f>VLOOKUP(ESales_DB[[#This Row],[Customer_ID]],Ecustom_DB[],3,FALSE)</f>
        <v>John Jordan</v>
      </c>
      <c r="O181" s="2" t="str">
        <f>_xlfn.XLOOKUP(ESales_DB[[#This Row],[Product_ID]],Eproduct_DB[Product_ID],Eproduct_DB[Category])</f>
        <v>Electronics</v>
      </c>
      <c r="P181" s="2" t="str">
        <f>_xlfn.XLOOKUP(ESales_DB[[#This Row],[Product_ID]],Eproduct_DB[Product_ID],Eproduct_DB[Product_Name])</f>
        <v>Gaming Mouse Pad XL</v>
      </c>
      <c r="Q181" s="2" t="str">
        <f>_xlfn.XLOOKUP(ESales_DB[[#This Row],[Store_ID]],Estore_DB[Store_ID],Estore_DB[Region])</f>
        <v>West</v>
      </c>
      <c r="R181" t="str">
        <f>VLOOKUP(ESales_DB[[#This Row],[Customer_ID]],Ecustom_DB[],10,FALSE)</f>
        <v>Platinum</v>
      </c>
      <c r="S181" t="str">
        <f>IF(ESales_DB[[#This Row],[Quantity1]]&gt;3,"Bulk order","Normal order")</f>
        <v>Normal order</v>
      </c>
    </row>
    <row r="182" spans="1:19" x14ac:dyDescent="0.3">
      <c r="A182" t="s">
        <v>1942</v>
      </c>
      <c r="B182" s="4">
        <v>45420</v>
      </c>
      <c r="C182" s="4" t="str">
        <f>TEXT(ESales_DB[[#This Row],[Order_Date]],"mmm")</f>
        <v>May</v>
      </c>
      <c r="D182" t="s">
        <v>1301</v>
      </c>
      <c r="E182" t="s">
        <v>1551</v>
      </c>
      <c r="F182" t="s">
        <v>1782</v>
      </c>
      <c r="G182">
        <v>4</v>
      </c>
      <c r="H182" s="10">
        <f>IF(ISBLANK(ESales_DB[[#This Row],[Quantity]]),AVERAGEIF(ESales_DB[Product_ID],ESales_DB[[#This Row],[Product_ID]],ESales_DB[Quantity]),ESales_DB[[#This Row],[Quantity]])</f>
        <v>4</v>
      </c>
      <c r="I182" s="2">
        <v>770.77</v>
      </c>
      <c r="J182">
        <v>0.22</v>
      </c>
      <c r="K182" t="s">
        <v>1824</v>
      </c>
      <c r="L182" s="2">
        <v>2404.8024</v>
      </c>
      <c r="M182" s="2" t="str">
        <f>IF(ESales_DB[[#This Row],[Total_Amount]]&gt;1000,"High","Low")</f>
        <v>High</v>
      </c>
      <c r="N182" s="2" t="str">
        <f>VLOOKUP(ESales_DB[[#This Row],[Customer_ID]],Ecustom_DB[],3,FALSE)</f>
        <v>Monica Miller</v>
      </c>
      <c r="O182" s="2" t="str">
        <f>_xlfn.XLOOKUP(ESales_DB[[#This Row],[Product_ID]],Eproduct_DB[Product_ID],Eproduct_DB[Category])</f>
        <v>Clothing</v>
      </c>
      <c r="P182" s="2" t="str">
        <f>_xlfn.XLOOKUP(ESales_DB[[#This Row],[Product_ID]],Eproduct_DB[Product_ID],Eproduct_DB[Product_Name])</f>
        <v>Men's Running Jacket</v>
      </c>
      <c r="Q182" s="2" t="str">
        <f>_xlfn.XLOOKUP(ESales_DB[[#This Row],[Store_ID]],Estore_DB[Store_ID],Estore_DB[Region])</f>
        <v>West</v>
      </c>
      <c r="R182" t="str">
        <f>VLOOKUP(ESales_DB[[#This Row],[Customer_ID]],Ecustom_DB[],10,FALSE)</f>
        <v>Gold</v>
      </c>
      <c r="S182" t="str">
        <f>IF(ESales_DB[[#This Row],[Quantity1]]&gt;3,"Bulk order","Normal order")</f>
        <v>Bulk order</v>
      </c>
    </row>
    <row r="183" spans="1:19" x14ac:dyDescent="0.3">
      <c r="A183" t="s">
        <v>2986</v>
      </c>
      <c r="B183" s="4">
        <v>45367</v>
      </c>
      <c r="C183" s="4" t="str">
        <f>TEXT(ESales_DB[[#This Row],[Order_Date]],"mmm")</f>
        <v>Mar</v>
      </c>
      <c r="D183" t="s">
        <v>1142</v>
      </c>
      <c r="E183" t="s">
        <v>1608</v>
      </c>
      <c r="F183" t="s">
        <v>1792</v>
      </c>
      <c r="G183">
        <v>2</v>
      </c>
      <c r="H183" s="10">
        <f>IF(ISBLANK(ESales_DB[[#This Row],[Quantity]]),AVERAGEIF(ESales_DB[Product_ID],ESales_DB[[#This Row],[Product_ID]],ESales_DB[Quantity]),ESales_DB[[#This Row],[Quantity]])</f>
        <v>2</v>
      </c>
      <c r="I183" s="2">
        <v>723.75</v>
      </c>
      <c r="J183">
        <v>0.03</v>
      </c>
      <c r="K183" t="s">
        <v>1826</v>
      </c>
      <c r="L183" s="2">
        <v>1404.075</v>
      </c>
      <c r="M183" s="2" t="str">
        <f>IF(ESales_DB[[#This Row],[Total_Amount]]&gt;1000,"High","Low")</f>
        <v>High</v>
      </c>
      <c r="N183" s="2" t="str">
        <f>VLOOKUP(ESales_DB[[#This Row],[Customer_ID]],Ecustom_DB[],3,FALSE)</f>
        <v>Brandon Mcbride</v>
      </c>
      <c r="O183" s="2" t="str">
        <f>_xlfn.XLOOKUP(ESales_DB[[#This Row],[Product_ID]],Eproduct_DB[Product_ID],Eproduct_DB[Category])</f>
        <v>Home</v>
      </c>
      <c r="P183" s="2" t="str">
        <f>_xlfn.XLOOKUP(ESales_DB[[#This Row],[Product_ID]],Eproduct_DB[Product_ID],Eproduct_DB[Product_Name])</f>
        <v>Stainless Steel Cutlery Set</v>
      </c>
      <c r="Q183" s="2" t="str">
        <f>_xlfn.XLOOKUP(ESales_DB[[#This Row],[Store_ID]],Estore_DB[Store_ID],Estore_DB[Region])</f>
        <v>South</v>
      </c>
      <c r="R183" t="str">
        <f>VLOOKUP(ESales_DB[[#This Row],[Customer_ID]],Ecustom_DB[],10,FALSE)</f>
        <v>Platinum</v>
      </c>
      <c r="S183" t="str">
        <f>IF(ESales_DB[[#This Row],[Quantity1]]&gt;3,"Bulk order","Normal order")</f>
        <v>Normal order</v>
      </c>
    </row>
    <row r="184" spans="1:19" x14ac:dyDescent="0.3">
      <c r="A184" t="s">
        <v>2987</v>
      </c>
      <c r="B184" s="4">
        <v>45832</v>
      </c>
      <c r="C184" s="4" t="str">
        <f>TEXT(ESales_DB[[#This Row],[Order_Date]],"mmm")</f>
        <v>Jun</v>
      </c>
      <c r="D184" t="s">
        <v>893</v>
      </c>
      <c r="E184" t="s">
        <v>1586</v>
      </c>
      <c r="F184" t="s">
        <v>1813</v>
      </c>
      <c r="G184">
        <v>4</v>
      </c>
      <c r="H184" s="10">
        <f>IF(ISBLANK(ESales_DB[[#This Row],[Quantity]]),AVERAGEIF(ESales_DB[Product_ID],ESales_DB[[#This Row],[Product_ID]],ESales_DB[Quantity]),ESales_DB[[#This Row],[Quantity]])</f>
        <v>4</v>
      </c>
      <c r="I184" s="2">
        <v>58.92</v>
      </c>
      <c r="J184">
        <v>0.18</v>
      </c>
      <c r="K184" t="s">
        <v>1824</v>
      </c>
      <c r="L184" s="2">
        <v>193.2576</v>
      </c>
      <c r="M184" s="2" t="str">
        <f>IF(ESales_DB[[#This Row],[Total_Amount]]&gt;1000,"High","Low")</f>
        <v>Low</v>
      </c>
      <c r="N184" s="2" t="str">
        <f>VLOOKUP(ESales_DB[[#This Row],[Customer_ID]],Ecustom_DB[],3,FALSE)</f>
        <v>Brittany Watson</v>
      </c>
      <c r="O184" s="2" t="str">
        <f>_xlfn.XLOOKUP(ESales_DB[[#This Row],[Product_ID]],Eproduct_DB[Product_ID],Eproduct_DB[Category])</f>
        <v>Sports</v>
      </c>
      <c r="P184" s="2" t="str">
        <f>_xlfn.XLOOKUP(ESales_DB[[#This Row],[Product_ID]],Eproduct_DB[Product_ID],Eproduct_DB[Product_Name])</f>
        <v>Knee Support Brace</v>
      </c>
      <c r="Q184" s="2" t="str">
        <f>_xlfn.XLOOKUP(ESales_DB[[#This Row],[Store_ID]],Estore_DB[Store_ID],Estore_DB[Region])</f>
        <v>East</v>
      </c>
      <c r="R184" t="str">
        <f>VLOOKUP(ESales_DB[[#This Row],[Customer_ID]],Ecustom_DB[],10,FALSE)</f>
        <v>Platinum</v>
      </c>
      <c r="S184" t="str">
        <f>IF(ESales_DB[[#This Row],[Quantity1]]&gt;3,"Bulk order","Normal order")</f>
        <v>Bulk order</v>
      </c>
    </row>
    <row r="185" spans="1:19" x14ac:dyDescent="0.3">
      <c r="A185" t="s">
        <v>2988</v>
      </c>
      <c r="B185" s="4">
        <v>45438</v>
      </c>
      <c r="C185" s="4" t="str">
        <f>TEXT(ESales_DB[[#This Row],[Order_Date]],"mmm")</f>
        <v>May</v>
      </c>
      <c r="D185" t="s">
        <v>619</v>
      </c>
      <c r="E185" t="s">
        <v>1690</v>
      </c>
      <c r="F185" t="s">
        <v>1789</v>
      </c>
      <c r="G185">
        <v>2</v>
      </c>
      <c r="H185" s="10">
        <f>IF(ISBLANK(ESales_DB[[#This Row],[Quantity]]),AVERAGEIF(ESales_DB[Product_ID],ESales_DB[[#This Row],[Product_ID]],ESales_DB[Quantity]),ESales_DB[[#This Row],[Quantity]])</f>
        <v>2</v>
      </c>
      <c r="I185" s="2">
        <v>913.08</v>
      </c>
      <c r="J185">
        <v>0.26</v>
      </c>
      <c r="K185" t="s">
        <v>1824</v>
      </c>
      <c r="L185" s="2">
        <v>1351.3584000000001</v>
      </c>
      <c r="M185" s="2" t="str">
        <f>IF(ESales_DB[[#This Row],[Total_Amount]]&gt;1000,"High","Low")</f>
        <v>High</v>
      </c>
      <c r="N185" s="2" t="str">
        <f>VLOOKUP(ESales_DB[[#This Row],[Customer_ID]],Ecustom_DB[],3,FALSE)</f>
        <v>Kimberly Brooks</v>
      </c>
      <c r="O185" s="2" t="str">
        <f>_xlfn.XLOOKUP(ESales_DB[[#This Row],[Product_ID]],Eproduct_DB[Product_ID],Eproduct_DB[Category])</f>
        <v>Beauty</v>
      </c>
      <c r="P185" s="2" t="str">
        <f>_xlfn.XLOOKUP(ESales_DB[[#This Row],[Product_ID]],Eproduct_DB[Product_ID],Eproduct_DB[Product_Name])</f>
        <v>Hair Repair Oil Treatment</v>
      </c>
      <c r="Q185" s="2" t="str">
        <f>_xlfn.XLOOKUP(ESales_DB[[#This Row],[Store_ID]],Estore_DB[Store_ID],Estore_DB[Region])</f>
        <v>East</v>
      </c>
      <c r="R185" t="str">
        <f>VLOOKUP(ESales_DB[[#This Row],[Customer_ID]],Ecustom_DB[],10,FALSE)</f>
        <v>Silver</v>
      </c>
      <c r="S185" t="str">
        <f>IF(ESales_DB[[#This Row],[Quantity1]]&gt;3,"Bulk order","Normal order")</f>
        <v>Normal order</v>
      </c>
    </row>
    <row r="186" spans="1:19" x14ac:dyDescent="0.3">
      <c r="A186" t="s">
        <v>2989</v>
      </c>
      <c r="B186" s="4">
        <v>45691</v>
      </c>
      <c r="C186" s="4" t="str">
        <f>TEXT(ESales_DB[[#This Row],[Order_Date]],"mmm")</f>
        <v>Feb</v>
      </c>
      <c r="D186" t="s">
        <v>776</v>
      </c>
      <c r="E186" t="s">
        <v>1710</v>
      </c>
      <c r="F186" t="s">
        <v>1757</v>
      </c>
      <c r="G186">
        <v>1</v>
      </c>
      <c r="H186" s="10">
        <f>IF(ISBLANK(ESales_DB[[#This Row],[Quantity]]),AVERAGEIF(ESales_DB[Product_ID],ESales_DB[[#This Row],[Product_ID]],ESales_DB[Quantity]),ESales_DB[[#This Row],[Quantity]])</f>
        <v>1</v>
      </c>
      <c r="I186" s="2">
        <v>791.83</v>
      </c>
      <c r="J186">
        <v>0.28000000000000003</v>
      </c>
      <c r="K186" t="s">
        <v>1826</v>
      </c>
      <c r="L186" s="2">
        <v>570.11760000000004</v>
      </c>
      <c r="M186" s="2" t="str">
        <f>IF(ESales_DB[[#This Row],[Total_Amount]]&gt;1000,"High","Low")</f>
        <v>Low</v>
      </c>
      <c r="N186" s="2" t="str">
        <f>VLOOKUP(ESales_DB[[#This Row],[Customer_ID]],Ecustom_DB[],3,FALSE)</f>
        <v>William Jackson</v>
      </c>
      <c r="O186" s="2" t="str">
        <f>_xlfn.XLOOKUP(ESales_DB[[#This Row],[Product_ID]],Eproduct_DB[Product_ID],Eproduct_DB[Category])</f>
        <v>Sports</v>
      </c>
      <c r="P186" s="2" t="str">
        <f>_xlfn.XLOOKUP(ESales_DB[[#This Row],[Product_ID]],Eproduct_DB[Product_ID],Eproduct_DB[Product_Name])</f>
        <v>Badminton Racket Set</v>
      </c>
      <c r="Q186" s="2" t="str">
        <f>_xlfn.XLOOKUP(ESales_DB[[#This Row],[Store_ID]],Estore_DB[Store_ID],Estore_DB[Region])</f>
        <v>North</v>
      </c>
      <c r="R186" t="str">
        <f>VLOOKUP(ESales_DB[[#This Row],[Customer_ID]],Ecustom_DB[],10,FALSE)</f>
        <v>Silver</v>
      </c>
      <c r="S186" t="str">
        <f>IF(ESales_DB[[#This Row],[Quantity1]]&gt;3,"Bulk order","Normal order")</f>
        <v>Normal order</v>
      </c>
    </row>
    <row r="187" spans="1:19" x14ac:dyDescent="0.3">
      <c r="A187" t="s">
        <v>2990</v>
      </c>
      <c r="B187" s="4">
        <v>45506</v>
      </c>
      <c r="C187" s="4" t="str">
        <f>TEXT(ESales_DB[[#This Row],[Order_Date]],"mmm")</f>
        <v>Aug</v>
      </c>
      <c r="D187" t="s">
        <v>1452</v>
      </c>
      <c r="E187" t="s">
        <v>1551</v>
      </c>
      <c r="F187" t="s">
        <v>1801</v>
      </c>
      <c r="G187">
        <v>1</v>
      </c>
      <c r="H187" s="10">
        <f>IF(ISBLANK(ESales_DB[[#This Row],[Quantity]]),AVERAGEIF(ESales_DB[Product_ID],ESales_DB[[#This Row],[Product_ID]],ESales_DB[Quantity]),ESales_DB[[#This Row],[Quantity]])</f>
        <v>1</v>
      </c>
      <c r="I187" s="2">
        <v>74.290000000000006</v>
      </c>
      <c r="J187">
        <v>0.3</v>
      </c>
      <c r="K187" t="s">
        <v>1829</v>
      </c>
      <c r="L187" s="2">
        <v>52.003</v>
      </c>
      <c r="M187" s="2" t="str">
        <f>IF(ESales_DB[[#This Row],[Total_Amount]]&gt;1000,"High","Low")</f>
        <v>Low</v>
      </c>
      <c r="N187" s="2" t="str">
        <f>VLOOKUP(ESales_DB[[#This Row],[Customer_ID]],Ecustom_DB[],3,FALSE)</f>
        <v>Debra Mccullough</v>
      </c>
      <c r="O187" s="2" t="str">
        <f>_xlfn.XLOOKUP(ESales_DB[[#This Row],[Product_ID]],Eproduct_DB[Product_ID],Eproduct_DB[Category])</f>
        <v>Clothing</v>
      </c>
      <c r="P187" s="2" t="str">
        <f>_xlfn.XLOOKUP(ESales_DB[[#This Row],[Product_ID]],Eproduct_DB[Product_ID],Eproduct_DB[Product_Name])</f>
        <v>Men's Running Jacket</v>
      </c>
      <c r="Q187" s="2" t="str">
        <f>_xlfn.XLOOKUP(ESales_DB[[#This Row],[Store_ID]],Estore_DB[Store_ID],Estore_DB[Region])</f>
        <v>North</v>
      </c>
      <c r="R187" t="str">
        <f>VLOOKUP(ESales_DB[[#This Row],[Customer_ID]],Ecustom_DB[],10,FALSE)</f>
        <v>Platinum</v>
      </c>
      <c r="S187" t="str">
        <f>IF(ESales_DB[[#This Row],[Quantity1]]&gt;3,"Bulk order","Normal order")</f>
        <v>Normal order</v>
      </c>
    </row>
    <row r="188" spans="1:19" x14ac:dyDescent="0.3">
      <c r="A188" t="s">
        <v>2991</v>
      </c>
      <c r="B188" s="4">
        <v>45251</v>
      </c>
      <c r="C188" s="4" t="str">
        <f>TEXT(ESales_DB[[#This Row],[Order_Date]],"mmm")</f>
        <v>Nov</v>
      </c>
      <c r="D188" t="s">
        <v>779</v>
      </c>
      <c r="E188" t="s">
        <v>1618</v>
      </c>
      <c r="F188" t="s">
        <v>1752</v>
      </c>
      <c r="G188">
        <v>2</v>
      </c>
      <c r="H188" s="10">
        <f>IF(ISBLANK(ESales_DB[[#This Row],[Quantity]]),AVERAGEIF(ESales_DB[Product_ID],ESales_DB[[#This Row],[Product_ID]],ESales_DB[Quantity]),ESales_DB[[#This Row],[Quantity]])</f>
        <v>2</v>
      </c>
      <c r="I188" s="2">
        <v>961.68</v>
      </c>
      <c r="J188">
        <v>0.27</v>
      </c>
      <c r="K188" t="s">
        <v>1826</v>
      </c>
      <c r="L188" s="2">
        <v>1404.0527999999999</v>
      </c>
      <c r="M188" s="2" t="str">
        <f>IF(ESales_DB[[#This Row],[Total_Amount]]&gt;1000,"High","Low")</f>
        <v>High</v>
      </c>
      <c r="N188" s="2" t="str">
        <f>VLOOKUP(ESales_DB[[#This Row],[Customer_ID]],Ecustom_DB[],3,FALSE)</f>
        <v>Brian Hammond</v>
      </c>
      <c r="O188" s="2" t="str">
        <f>_xlfn.XLOOKUP(ESales_DB[[#This Row],[Product_ID]],Eproduct_DB[Product_ID],Eproduct_DB[Category])</f>
        <v>Home</v>
      </c>
      <c r="P188" s="2" t="str">
        <f>_xlfn.XLOOKUP(ESales_DB[[#This Row],[Product_ID]],Eproduct_DB[Product_ID],Eproduct_DB[Product_Name])</f>
        <v>Bedroom Table Lamp</v>
      </c>
      <c r="Q188" s="2" t="str">
        <f>_xlfn.XLOOKUP(ESales_DB[[#This Row],[Store_ID]],Estore_DB[Store_ID],Estore_DB[Region])</f>
        <v>East</v>
      </c>
      <c r="R188" t="str">
        <f>VLOOKUP(ESales_DB[[#This Row],[Customer_ID]],Ecustom_DB[],10,FALSE)</f>
        <v>Gold</v>
      </c>
      <c r="S188" t="str">
        <f>IF(ESales_DB[[#This Row],[Quantity1]]&gt;3,"Bulk order","Normal order")</f>
        <v>Normal order</v>
      </c>
    </row>
    <row r="189" spans="1:19" x14ac:dyDescent="0.3">
      <c r="A189" t="s">
        <v>2992</v>
      </c>
      <c r="B189" s="4">
        <v>45722</v>
      </c>
      <c r="C189" s="4" t="str">
        <f>TEXT(ESales_DB[[#This Row],[Order_Date]],"mmm")</f>
        <v>Mar</v>
      </c>
      <c r="D189" t="s">
        <v>1518</v>
      </c>
      <c r="E189" t="s">
        <v>1586</v>
      </c>
      <c r="F189" t="s">
        <v>1799</v>
      </c>
      <c r="G189">
        <v>1</v>
      </c>
      <c r="H189" s="10">
        <f>IF(ISBLANK(ESales_DB[[#This Row],[Quantity]]),AVERAGEIF(ESales_DB[Product_ID],ESales_DB[[#This Row],[Product_ID]],ESales_DB[Quantity]),ESales_DB[[#This Row],[Quantity]])</f>
        <v>1</v>
      </c>
      <c r="I189" s="2">
        <v>90.72</v>
      </c>
      <c r="J189">
        <v>0.1</v>
      </c>
      <c r="K189" t="s">
        <v>1826</v>
      </c>
      <c r="L189" s="2">
        <v>81.647999999999996</v>
      </c>
      <c r="M189" s="2" t="str">
        <f>IF(ESales_DB[[#This Row],[Total_Amount]]&gt;1000,"High","Low")</f>
        <v>Low</v>
      </c>
      <c r="N189" s="2" t="str">
        <f>VLOOKUP(ESales_DB[[#This Row],[Customer_ID]],Ecustom_DB[],3,FALSE)</f>
        <v>Justin Lopez</v>
      </c>
      <c r="O189" s="2" t="str">
        <f>_xlfn.XLOOKUP(ESales_DB[[#This Row],[Product_ID]],Eproduct_DB[Product_ID],Eproduct_DB[Category])</f>
        <v>Sports</v>
      </c>
      <c r="P189" s="2" t="str">
        <f>_xlfn.XLOOKUP(ESales_DB[[#This Row],[Product_ID]],Eproduct_DB[Product_ID],Eproduct_DB[Product_Name])</f>
        <v>Knee Support Brace</v>
      </c>
      <c r="Q189" s="2" t="str">
        <f>_xlfn.XLOOKUP(ESales_DB[[#This Row],[Store_ID]],Estore_DB[Store_ID],Estore_DB[Region])</f>
        <v>South</v>
      </c>
      <c r="R189" t="str">
        <f>VLOOKUP(ESales_DB[[#This Row],[Customer_ID]],Ecustom_DB[],10,FALSE)</f>
        <v>Gold</v>
      </c>
      <c r="S189" t="str">
        <f>IF(ESales_DB[[#This Row],[Quantity1]]&gt;3,"Bulk order","Normal order")</f>
        <v>Normal order</v>
      </c>
    </row>
    <row r="190" spans="1:19" x14ac:dyDescent="0.3">
      <c r="A190" t="s">
        <v>2993</v>
      </c>
      <c r="B190" s="4">
        <v>45689</v>
      </c>
      <c r="C190" s="4" t="str">
        <f>TEXT(ESales_DB[[#This Row],[Order_Date]],"mmm")</f>
        <v>Feb</v>
      </c>
      <c r="D190" t="s">
        <v>224</v>
      </c>
      <c r="E190" t="s">
        <v>1664</v>
      </c>
      <c r="F190" t="s">
        <v>1779</v>
      </c>
      <c r="G190">
        <v>1</v>
      </c>
      <c r="H190" s="10">
        <f>IF(ISBLANK(ESales_DB[[#This Row],[Quantity]]),AVERAGEIF(ESales_DB[Product_ID],ESales_DB[[#This Row],[Product_ID]],ESales_DB[Quantity]),ESales_DB[[#This Row],[Quantity]])</f>
        <v>1</v>
      </c>
      <c r="I190" s="2">
        <v>458.69</v>
      </c>
      <c r="J190">
        <v>0.16</v>
      </c>
      <c r="K190" t="s">
        <v>1826</v>
      </c>
      <c r="L190" s="2">
        <v>385.2996</v>
      </c>
      <c r="M190" s="2" t="str">
        <f>IF(ESales_DB[[#This Row],[Total_Amount]]&gt;1000,"High","Low")</f>
        <v>Low</v>
      </c>
      <c r="N190" s="2" t="str">
        <f>VLOOKUP(ESales_DB[[#This Row],[Customer_ID]],Ecustom_DB[],3,FALSE)</f>
        <v>Dr. David Smith</v>
      </c>
      <c r="O190" s="2" t="str">
        <f>_xlfn.XLOOKUP(ESales_DB[[#This Row],[Product_ID]],Eproduct_DB[Product_ID],Eproduct_DB[Category])</f>
        <v>Clothing</v>
      </c>
      <c r="P190" s="2" t="str">
        <f>_xlfn.XLOOKUP(ESales_DB[[#This Row],[Product_ID]],Eproduct_DB[Product_ID],Eproduct_DB[Product_Name])</f>
        <v>Womens Cotton Scarf</v>
      </c>
      <c r="Q190" s="2" t="str">
        <f>_xlfn.XLOOKUP(ESales_DB[[#This Row],[Store_ID]],Estore_DB[Store_ID],Estore_DB[Region])</f>
        <v>South</v>
      </c>
      <c r="R190" t="str">
        <f>VLOOKUP(ESales_DB[[#This Row],[Customer_ID]],Ecustom_DB[],10,FALSE)</f>
        <v>Silver</v>
      </c>
      <c r="S190" t="str">
        <f>IF(ESales_DB[[#This Row],[Quantity1]]&gt;3,"Bulk order","Normal order")</f>
        <v>Normal order</v>
      </c>
    </row>
    <row r="191" spans="1:19" x14ac:dyDescent="0.3">
      <c r="A191" t="s">
        <v>2994</v>
      </c>
      <c r="B191" s="4">
        <v>45346</v>
      </c>
      <c r="C191" s="4" t="str">
        <f>TEXT(ESales_DB[[#This Row],[Order_Date]],"mmm")</f>
        <v>Feb</v>
      </c>
      <c r="D191" t="s">
        <v>743</v>
      </c>
      <c r="E191" t="s">
        <v>1616</v>
      </c>
      <c r="F191" t="s">
        <v>1779</v>
      </c>
      <c r="G191">
        <v>1</v>
      </c>
      <c r="H191" s="10">
        <f>IF(ISBLANK(ESales_DB[[#This Row],[Quantity]]),AVERAGEIF(ESales_DB[Product_ID],ESales_DB[[#This Row],[Product_ID]],ESales_DB[Quantity]),ESales_DB[[#This Row],[Quantity]])</f>
        <v>1</v>
      </c>
      <c r="I191" s="2">
        <v>168.29</v>
      </c>
      <c r="J191">
        <v>0.05</v>
      </c>
      <c r="K191" t="s">
        <v>1826</v>
      </c>
      <c r="L191" s="2">
        <v>159.87549999999999</v>
      </c>
      <c r="M191" s="2" t="str">
        <f>IF(ESales_DB[[#This Row],[Total_Amount]]&gt;1000,"High","Low")</f>
        <v>Low</v>
      </c>
      <c r="N191" s="2" t="str">
        <f>VLOOKUP(ESales_DB[[#This Row],[Customer_ID]],Ecustom_DB[],3,FALSE)</f>
        <v>Timothy Juarez</v>
      </c>
      <c r="O191" s="2" t="str">
        <f>_xlfn.XLOOKUP(ESales_DB[[#This Row],[Product_ID]],Eproduct_DB[Product_ID],Eproduct_DB[Category])</f>
        <v>Electronics</v>
      </c>
      <c r="P191" s="2" t="str">
        <f>_xlfn.XLOOKUP(ESales_DB[[#This Row],[Product_ID]],Eproduct_DB[Product_ID],Eproduct_DB[Product_Name])</f>
        <v>Gaming Mechanical Keyboard</v>
      </c>
      <c r="Q191" s="2" t="str">
        <f>_xlfn.XLOOKUP(ESales_DB[[#This Row],[Store_ID]],Estore_DB[Store_ID],Estore_DB[Region])</f>
        <v>South</v>
      </c>
      <c r="R191" t="str">
        <f>VLOOKUP(ESales_DB[[#This Row],[Customer_ID]],Ecustom_DB[],10,FALSE)</f>
        <v>Bronze</v>
      </c>
      <c r="S191" t="str">
        <f>IF(ESales_DB[[#This Row],[Quantity1]]&gt;3,"Bulk order","Normal order")</f>
        <v>Normal order</v>
      </c>
    </row>
    <row r="192" spans="1:19" x14ac:dyDescent="0.3">
      <c r="A192" t="s">
        <v>2995</v>
      </c>
      <c r="B192" s="4">
        <v>45549</v>
      </c>
      <c r="C192" s="4" t="str">
        <f>TEXT(ESales_DB[[#This Row],[Order_Date]],"mmm")</f>
        <v>Sep</v>
      </c>
      <c r="D192" t="s">
        <v>687</v>
      </c>
      <c r="E192" t="s">
        <v>1582</v>
      </c>
      <c r="F192" t="s">
        <v>1807</v>
      </c>
      <c r="G192">
        <v>1</v>
      </c>
      <c r="H192" s="10">
        <f>IF(ISBLANK(ESales_DB[[#This Row],[Quantity]]),AVERAGEIF(ESales_DB[Product_ID],ESales_DB[[#This Row],[Product_ID]],ESales_DB[Quantity]),ESales_DB[[#This Row],[Quantity]])</f>
        <v>1</v>
      </c>
      <c r="I192" s="2">
        <v>391.77</v>
      </c>
      <c r="J192">
        <v>0.1</v>
      </c>
      <c r="K192" t="s">
        <v>1826</v>
      </c>
      <c r="L192" s="2">
        <v>352.59300000000002</v>
      </c>
      <c r="M192" s="2" t="str">
        <f>IF(ESales_DB[[#This Row],[Total_Amount]]&gt;1000,"High","Low")</f>
        <v>Low</v>
      </c>
      <c r="N192" s="2" t="str">
        <f>VLOOKUP(ESales_DB[[#This Row],[Customer_ID]],Ecustom_DB[],3,FALSE)</f>
        <v>Rodney Huffman</v>
      </c>
      <c r="O192" s="2" t="str">
        <f>_xlfn.XLOOKUP(ESales_DB[[#This Row],[Product_ID]],Eproduct_DB[Product_ID],Eproduct_DB[Category])</f>
        <v>Sports</v>
      </c>
      <c r="P192" s="2" t="str">
        <f>_xlfn.XLOOKUP(ESales_DB[[#This Row],[Product_ID]],Eproduct_DB[Product_ID],Eproduct_DB[Product_Name])</f>
        <v>Soccer Training Cone Set</v>
      </c>
      <c r="Q192" s="2" t="str">
        <f>_xlfn.XLOOKUP(ESales_DB[[#This Row],[Store_ID]],Estore_DB[Store_ID],Estore_DB[Region])</f>
        <v>North</v>
      </c>
      <c r="R192" t="str">
        <f>VLOOKUP(ESales_DB[[#This Row],[Customer_ID]],Ecustom_DB[],10,FALSE)</f>
        <v>Silver</v>
      </c>
      <c r="S192" t="str">
        <f>IF(ESales_DB[[#This Row],[Quantity1]]&gt;3,"Bulk order","Normal order")</f>
        <v>Normal order</v>
      </c>
    </row>
    <row r="193" spans="1:19" x14ac:dyDescent="0.3">
      <c r="A193" t="s">
        <v>1943</v>
      </c>
      <c r="B193" s="4">
        <v>45554</v>
      </c>
      <c r="C193" s="4" t="str">
        <f>TEXT(ESales_DB[[#This Row],[Order_Date]],"mmm")</f>
        <v>Sep</v>
      </c>
      <c r="D193" t="s">
        <v>247</v>
      </c>
      <c r="E193" t="s">
        <v>1640</v>
      </c>
      <c r="F193" t="s">
        <v>1769</v>
      </c>
      <c r="G193">
        <v>3</v>
      </c>
      <c r="H193" s="10">
        <f>IF(ISBLANK(ESales_DB[[#This Row],[Quantity]]),AVERAGEIF(ESales_DB[Product_ID],ESales_DB[[#This Row],[Product_ID]],ESales_DB[Quantity]),ESales_DB[[#This Row],[Quantity]])</f>
        <v>3</v>
      </c>
      <c r="I193" s="2">
        <v>479.63</v>
      </c>
      <c r="J193">
        <v>0.3</v>
      </c>
      <c r="K193" t="s">
        <v>1826</v>
      </c>
      <c r="L193" s="2">
        <v>1007.223</v>
      </c>
      <c r="M193" s="2" t="str">
        <f>IF(ESales_DB[[#This Row],[Total_Amount]]&gt;1000,"High","Low")</f>
        <v>High</v>
      </c>
      <c r="N193" s="2" t="str">
        <f>VLOOKUP(ESales_DB[[#This Row],[Customer_ID]],Ecustom_DB[],3,FALSE)</f>
        <v>Amber Mcclain</v>
      </c>
      <c r="O193" s="2" t="str">
        <f>_xlfn.XLOOKUP(ESales_DB[[#This Row],[Product_ID]],Eproduct_DB[Product_ID],Eproduct_DB[Category])</f>
        <v>Clothing</v>
      </c>
      <c r="P193" s="2" t="str">
        <f>_xlfn.XLOOKUP(ESales_DB[[#This Row],[Product_ID]],Eproduct_DB[Product_ID],Eproduct_DB[Product_Name])</f>
        <v>Men's Winter Jacket</v>
      </c>
      <c r="Q193" s="2" t="str">
        <f>_xlfn.XLOOKUP(ESales_DB[[#This Row],[Store_ID]],Estore_DB[Store_ID],Estore_DB[Region])</f>
        <v>South</v>
      </c>
      <c r="R193" t="str">
        <f>VLOOKUP(ESales_DB[[#This Row],[Customer_ID]],Ecustom_DB[],10,FALSE)</f>
        <v>Silver</v>
      </c>
      <c r="S193" t="str">
        <f>IF(ESales_DB[[#This Row],[Quantity1]]&gt;3,"Bulk order","Normal order")</f>
        <v>Normal order</v>
      </c>
    </row>
    <row r="194" spans="1:19" x14ac:dyDescent="0.3">
      <c r="A194" t="s">
        <v>2996</v>
      </c>
      <c r="B194" s="4">
        <v>45900</v>
      </c>
      <c r="C194" s="4" t="str">
        <f>TEXT(ESales_DB[[#This Row],[Order_Date]],"mmm")</f>
        <v>Aug</v>
      </c>
      <c r="D194" t="s">
        <v>1077</v>
      </c>
      <c r="E194" t="s">
        <v>1572</v>
      </c>
      <c r="F194" t="s">
        <v>1799</v>
      </c>
      <c r="G194">
        <v>1</v>
      </c>
      <c r="H194" s="10">
        <f>IF(ISBLANK(ESales_DB[[#This Row],[Quantity]]),AVERAGEIF(ESales_DB[Product_ID],ESales_DB[[#This Row],[Product_ID]],ESales_DB[Quantity]),ESales_DB[[#This Row],[Quantity]])</f>
        <v>1</v>
      </c>
      <c r="I194" s="2">
        <v>424.83</v>
      </c>
      <c r="J194">
        <v>0.05</v>
      </c>
      <c r="K194" t="s">
        <v>1829</v>
      </c>
      <c r="L194" s="2">
        <v>403.58850000000001</v>
      </c>
      <c r="M194" s="2" t="str">
        <f>IF(ESales_DB[[#This Row],[Total_Amount]]&gt;1000,"High","Low")</f>
        <v>Low</v>
      </c>
      <c r="N194" s="2" t="str">
        <f>VLOOKUP(ESales_DB[[#This Row],[Customer_ID]],Ecustom_DB[],3,FALSE)</f>
        <v>Ryan Moore</v>
      </c>
      <c r="O194" s="2" t="str">
        <f>_xlfn.XLOOKUP(ESales_DB[[#This Row],[Product_ID]],Eproduct_DB[Product_ID],Eproduct_DB[Category])</f>
        <v>Beauty</v>
      </c>
      <c r="P194" s="2" t="str">
        <f>_xlfn.XLOOKUP(ESales_DB[[#This Row],[Product_ID]],Eproduct_DB[Product_ID],Eproduct_DB[Product_Name])</f>
        <v>Hair Strengthening Shampoo</v>
      </c>
      <c r="Q194" s="2" t="str">
        <f>_xlfn.XLOOKUP(ESales_DB[[#This Row],[Store_ID]],Estore_DB[Store_ID],Estore_DB[Region])</f>
        <v>South</v>
      </c>
      <c r="R194" t="str">
        <f>VLOOKUP(ESales_DB[[#This Row],[Customer_ID]],Ecustom_DB[],10,FALSE)</f>
        <v>Bronze</v>
      </c>
      <c r="S194" t="str">
        <f>IF(ESales_DB[[#This Row],[Quantity1]]&gt;3,"Bulk order","Normal order")</f>
        <v>Normal order</v>
      </c>
    </row>
    <row r="195" spans="1:19" x14ac:dyDescent="0.3">
      <c r="A195" t="s">
        <v>2997</v>
      </c>
      <c r="B195" s="4">
        <v>45308</v>
      </c>
      <c r="C195" s="4" t="str">
        <f>TEXT(ESales_DB[[#This Row],[Order_Date]],"mmm")</f>
        <v>Jan</v>
      </c>
      <c r="D195" t="s">
        <v>202</v>
      </c>
      <c r="E195" t="s">
        <v>1570</v>
      </c>
      <c r="F195" t="s">
        <v>1766</v>
      </c>
      <c r="G195">
        <v>1</v>
      </c>
      <c r="H195" s="10">
        <f>IF(ISBLANK(ESales_DB[[#This Row],[Quantity]]),AVERAGEIF(ESales_DB[Product_ID],ESales_DB[[#This Row],[Product_ID]],ESales_DB[Quantity]),ESales_DB[[#This Row],[Quantity]])</f>
        <v>1</v>
      </c>
      <c r="I195" s="2">
        <v>499.46</v>
      </c>
      <c r="J195">
        <v>0.1</v>
      </c>
      <c r="K195" t="s">
        <v>1824</v>
      </c>
      <c r="L195" s="2">
        <v>449.51400000000001</v>
      </c>
      <c r="M195" s="2" t="str">
        <f>IF(ESales_DB[[#This Row],[Total_Amount]]&gt;1000,"High","Low")</f>
        <v>Low</v>
      </c>
      <c r="N195" s="2" t="str">
        <f>VLOOKUP(ESales_DB[[#This Row],[Customer_ID]],Ecustom_DB[],3,FALSE)</f>
        <v>Sharon Brown</v>
      </c>
      <c r="O195" s="2" t="str">
        <f>_xlfn.XLOOKUP(ESales_DB[[#This Row],[Product_ID]],Eproduct_DB[Product_ID],Eproduct_DB[Category])</f>
        <v>Electronics</v>
      </c>
      <c r="P195" s="2" t="str">
        <f>_xlfn.XLOOKUP(ESales_DB[[#This Row],[Product_ID]],Eproduct_DB[Product_ID],Eproduct_DB[Product_Name])</f>
        <v>HD Smart TV Stick</v>
      </c>
      <c r="Q195" s="2" t="str">
        <f>_xlfn.XLOOKUP(ESales_DB[[#This Row],[Store_ID]],Estore_DB[Store_ID],Estore_DB[Region])</f>
        <v>North</v>
      </c>
      <c r="R195" t="str">
        <f>VLOOKUP(ESales_DB[[#This Row],[Customer_ID]],Ecustom_DB[],10,FALSE)</f>
        <v>Gold</v>
      </c>
      <c r="S195" t="str">
        <f>IF(ESales_DB[[#This Row],[Quantity1]]&gt;3,"Bulk order","Normal order")</f>
        <v>Normal order</v>
      </c>
    </row>
    <row r="196" spans="1:19" x14ac:dyDescent="0.3">
      <c r="A196" t="s">
        <v>2998</v>
      </c>
      <c r="B196" s="4">
        <v>45336</v>
      </c>
      <c r="C196" s="4" t="str">
        <f>TEXT(ESales_DB[[#This Row],[Order_Date]],"mmm")</f>
        <v>Feb</v>
      </c>
      <c r="D196" t="s">
        <v>85</v>
      </c>
      <c r="E196" t="s">
        <v>1746</v>
      </c>
      <c r="F196" t="s">
        <v>1757</v>
      </c>
      <c r="G196">
        <v>2</v>
      </c>
      <c r="H196" s="10">
        <f>IF(ISBLANK(ESales_DB[[#This Row],[Quantity]]),AVERAGEIF(ESales_DB[Product_ID],ESales_DB[[#This Row],[Product_ID]],ESales_DB[Quantity]),ESales_DB[[#This Row],[Quantity]])</f>
        <v>2</v>
      </c>
      <c r="I196" s="2">
        <v>698.34</v>
      </c>
      <c r="J196">
        <v>0.15</v>
      </c>
      <c r="K196" t="s">
        <v>1826</v>
      </c>
      <c r="L196" s="2">
        <v>1187.1780000000001</v>
      </c>
      <c r="M196" s="2" t="str">
        <f>IF(ESales_DB[[#This Row],[Total_Amount]]&gt;1000,"High","Low")</f>
        <v>High</v>
      </c>
      <c r="N196" s="2" t="str">
        <f>VLOOKUP(ESales_DB[[#This Row],[Customer_ID]],Ecustom_DB[],3,FALSE)</f>
        <v>Michael Torres</v>
      </c>
      <c r="O196" s="2" t="str">
        <f>_xlfn.XLOOKUP(ESales_DB[[#This Row],[Product_ID]],Eproduct_DB[Product_ID],Eproduct_DB[Category])</f>
        <v>Home</v>
      </c>
      <c r="P196" s="2" t="str">
        <f>_xlfn.XLOOKUP(ESales_DB[[#This Row],[Product_ID]],Eproduct_DB[Product_ID],Eproduct_DB[Product_Name])</f>
        <v>Stainless Steel Cookware Set</v>
      </c>
      <c r="Q196" s="2" t="str">
        <f>_xlfn.XLOOKUP(ESales_DB[[#This Row],[Store_ID]],Estore_DB[Store_ID],Estore_DB[Region])</f>
        <v>North</v>
      </c>
      <c r="R196" t="str">
        <f>VLOOKUP(ESales_DB[[#This Row],[Customer_ID]],Ecustom_DB[],10,FALSE)</f>
        <v>Platinum</v>
      </c>
      <c r="S196" t="str">
        <f>IF(ESales_DB[[#This Row],[Quantity1]]&gt;3,"Bulk order","Normal order")</f>
        <v>Normal order</v>
      </c>
    </row>
    <row r="197" spans="1:19" x14ac:dyDescent="0.3">
      <c r="A197" t="s">
        <v>2999</v>
      </c>
      <c r="B197" s="4">
        <v>45213</v>
      </c>
      <c r="C197" s="4" t="str">
        <f>TEXT(ESales_DB[[#This Row],[Order_Date]],"mmm")</f>
        <v>Oct</v>
      </c>
      <c r="D197" t="s">
        <v>899</v>
      </c>
      <c r="E197" t="s">
        <v>1660</v>
      </c>
      <c r="F197" t="s">
        <v>1804</v>
      </c>
      <c r="G197">
        <v>2</v>
      </c>
      <c r="H197" s="10">
        <f>IF(ISBLANK(ESales_DB[[#This Row],[Quantity]]),AVERAGEIF(ESales_DB[Product_ID],ESales_DB[[#This Row],[Product_ID]],ESales_DB[Quantity]),ESales_DB[[#This Row],[Quantity]])</f>
        <v>2</v>
      </c>
      <c r="I197" s="2">
        <v>805.08</v>
      </c>
      <c r="J197">
        <v>0.27</v>
      </c>
      <c r="K197" t="s">
        <v>1826</v>
      </c>
      <c r="L197" s="2">
        <v>1175.4168</v>
      </c>
      <c r="M197" s="2" t="str">
        <f>IF(ESales_DB[[#This Row],[Total_Amount]]&gt;1000,"High","Low")</f>
        <v>High</v>
      </c>
      <c r="N197" s="2" t="str">
        <f>VLOOKUP(ESales_DB[[#This Row],[Customer_ID]],Ecustom_DB[],3,FALSE)</f>
        <v>Bryan Garcia</v>
      </c>
      <c r="O197" s="2" t="str">
        <f>_xlfn.XLOOKUP(ESales_DB[[#This Row],[Product_ID]],Eproduct_DB[Product_ID],Eproduct_DB[Category])</f>
        <v>Home</v>
      </c>
      <c r="P197" s="2" t="str">
        <f>_xlfn.XLOOKUP(ESales_DB[[#This Row],[Product_ID]],Eproduct_DB[Product_ID],Eproduct_DB[Product_Name])</f>
        <v>Premium Blanket Throw</v>
      </c>
      <c r="Q197" s="2" t="str">
        <f>_xlfn.XLOOKUP(ESales_DB[[#This Row],[Store_ID]],Estore_DB[Store_ID],Estore_DB[Region])</f>
        <v>West</v>
      </c>
      <c r="R197" t="str">
        <f>VLOOKUP(ESales_DB[[#This Row],[Customer_ID]],Ecustom_DB[],10,FALSE)</f>
        <v>Silver</v>
      </c>
      <c r="S197" t="str">
        <f>IF(ESales_DB[[#This Row],[Quantity1]]&gt;3,"Bulk order","Normal order")</f>
        <v>Normal order</v>
      </c>
    </row>
    <row r="198" spans="1:19" x14ac:dyDescent="0.3">
      <c r="A198" t="s">
        <v>3000</v>
      </c>
      <c r="B198" s="4">
        <v>45742</v>
      </c>
      <c r="C198" s="4" t="str">
        <f>TEXT(ESales_DB[[#This Row],[Order_Date]],"mmm")</f>
        <v>Mar</v>
      </c>
      <c r="D198" t="s">
        <v>1437</v>
      </c>
      <c r="E198" t="s">
        <v>1700</v>
      </c>
      <c r="F198" t="s">
        <v>1761</v>
      </c>
      <c r="G198">
        <v>4</v>
      </c>
      <c r="H198" s="10">
        <f>IF(ISBLANK(ESales_DB[[#This Row],[Quantity]]),AVERAGEIF(ESales_DB[Product_ID],ESales_DB[[#This Row],[Product_ID]],ESales_DB[Quantity]),ESales_DB[[#This Row],[Quantity]])</f>
        <v>4</v>
      </c>
      <c r="I198" s="2">
        <v>934.79</v>
      </c>
      <c r="J198">
        <v>0.08</v>
      </c>
      <c r="K198" t="s">
        <v>1826</v>
      </c>
      <c r="L198" s="2">
        <v>3440.0272</v>
      </c>
      <c r="M198" s="2" t="str">
        <f>IF(ESales_DB[[#This Row],[Total_Amount]]&gt;1000,"High","Low")</f>
        <v>High</v>
      </c>
      <c r="N198" s="2" t="str">
        <f>VLOOKUP(ESales_DB[[#This Row],[Customer_ID]],Ecustom_DB[],3,FALSE)</f>
        <v>Cynthia Parrish</v>
      </c>
      <c r="O198" s="2" t="str">
        <f>_xlfn.XLOOKUP(ESales_DB[[#This Row],[Product_ID]],Eproduct_DB[Product_ID],Eproduct_DB[Category])</f>
        <v>Electronics</v>
      </c>
      <c r="P198" s="2" t="str">
        <f>_xlfn.XLOOKUP(ESales_DB[[#This Row],[Product_ID]],Eproduct_DB[Product_ID],Eproduct_DB[Product_Name])</f>
        <v>Wireless Mouse</v>
      </c>
      <c r="Q198" s="2" t="str">
        <f>_xlfn.XLOOKUP(ESales_DB[[#This Row],[Store_ID]],Estore_DB[Store_ID],Estore_DB[Region])</f>
        <v>South</v>
      </c>
      <c r="R198" t="str">
        <f>VLOOKUP(ESales_DB[[#This Row],[Customer_ID]],Ecustom_DB[],10,FALSE)</f>
        <v>Silver</v>
      </c>
      <c r="S198" t="str">
        <f>IF(ESales_DB[[#This Row],[Quantity1]]&gt;3,"Bulk order","Normal order")</f>
        <v>Bulk order</v>
      </c>
    </row>
    <row r="199" spans="1:19" x14ac:dyDescent="0.3">
      <c r="A199" t="s">
        <v>3001</v>
      </c>
      <c r="B199" s="4">
        <v>45932</v>
      </c>
      <c r="C199" s="4" t="str">
        <f>TEXT(ESales_DB[[#This Row],[Order_Date]],"mmm")</f>
        <v>Oct</v>
      </c>
      <c r="D199" t="s">
        <v>85</v>
      </c>
      <c r="E199" t="s">
        <v>1668</v>
      </c>
      <c r="F199" t="s">
        <v>1757</v>
      </c>
      <c r="G199">
        <v>2</v>
      </c>
      <c r="H199" s="10">
        <f>IF(ISBLANK(ESales_DB[[#This Row],[Quantity]]),AVERAGEIF(ESales_DB[Product_ID],ESales_DB[[#This Row],[Product_ID]],ESales_DB[Quantity]),ESales_DB[[#This Row],[Quantity]])</f>
        <v>2</v>
      </c>
      <c r="I199" s="2">
        <v>424.54</v>
      </c>
      <c r="J199">
        <v>0.24</v>
      </c>
      <c r="K199" t="s">
        <v>1826</v>
      </c>
      <c r="L199" s="2">
        <v>645.30080000000009</v>
      </c>
      <c r="M199" s="2" t="str">
        <f>IF(ESales_DB[[#This Row],[Total_Amount]]&gt;1000,"High","Low")</f>
        <v>Low</v>
      </c>
      <c r="N199" s="2" t="str">
        <f>VLOOKUP(ESales_DB[[#This Row],[Customer_ID]],Ecustom_DB[],3,FALSE)</f>
        <v>Michael Torres</v>
      </c>
      <c r="O199" s="2" t="str">
        <f>_xlfn.XLOOKUP(ESales_DB[[#This Row],[Product_ID]],Eproduct_DB[Product_ID],Eproduct_DB[Category])</f>
        <v>Beauty</v>
      </c>
      <c r="P199" s="2" t="str">
        <f>_xlfn.XLOOKUP(ESales_DB[[#This Row],[Product_ID]],Eproduct_DB[Product_ID],Eproduct_DB[Product_Name])</f>
        <v>Luxury Perfume Spray</v>
      </c>
      <c r="Q199" s="2" t="str">
        <f>_xlfn.XLOOKUP(ESales_DB[[#This Row],[Store_ID]],Estore_DB[Store_ID],Estore_DB[Region])</f>
        <v>North</v>
      </c>
      <c r="R199" t="str">
        <f>VLOOKUP(ESales_DB[[#This Row],[Customer_ID]],Ecustom_DB[],10,FALSE)</f>
        <v>Platinum</v>
      </c>
      <c r="S199" t="str">
        <f>IF(ESales_DB[[#This Row],[Quantity1]]&gt;3,"Bulk order","Normal order")</f>
        <v>Normal order</v>
      </c>
    </row>
    <row r="200" spans="1:19" x14ac:dyDescent="0.3">
      <c r="A200" t="s">
        <v>3002</v>
      </c>
      <c r="B200" s="4">
        <v>45462</v>
      </c>
      <c r="C200" s="4" t="str">
        <f>TEXT(ESales_DB[[#This Row],[Order_Date]],"mmm")</f>
        <v>Jun</v>
      </c>
      <c r="D200" t="s">
        <v>1029</v>
      </c>
      <c r="E200" t="s">
        <v>1716</v>
      </c>
      <c r="F200" t="s">
        <v>1807</v>
      </c>
      <c r="G200">
        <v>1</v>
      </c>
      <c r="H200" s="10">
        <f>IF(ISBLANK(ESales_DB[[#This Row],[Quantity]]),AVERAGEIF(ESales_DB[Product_ID],ESales_DB[[#This Row],[Product_ID]],ESales_DB[Quantity]),ESales_DB[[#This Row],[Quantity]])</f>
        <v>1</v>
      </c>
      <c r="I200" s="2">
        <v>235.44</v>
      </c>
      <c r="J200">
        <v>0.19</v>
      </c>
      <c r="K200" t="s">
        <v>1829</v>
      </c>
      <c r="L200" s="2">
        <v>190.7064</v>
      </c>
      <c r="M200" s="2" t="str">
        <f>IF(ESales_DB[[#This Row],[Total_Amount]]&gt;1000,"High","Low")</f>
        <v>Low</v>
      </c>
      <c r="N200" s="2" t="str">
        <f>VLOOKUP(ESales_DB[[#This Row],[Customer_ID]],Ecustom_DB[],3,FALSE)</f>
        <v>Reginald Willis</v>
      </c>
      <c r="O200" s="2" t="str">
        <f>_xlfn.XLOOKUP(ESales_DB[[#This Row],[Product_ID]],Eproduct_DB[Product_ID],Eproduct_DB[Category])</f>
        <v>Home</v>
      </c>
      <c r="P200" s="2" t="str">
        <f>_xlfn.XLOOKUP(ESales_DB[[#This Row],[Product_ID]],Eproduct_DB[Product_ID],Eproduct_DB[Product_Name])</f>
        <v>Wooden Bookshelf</v>
      </c>
      <c r="Q200" s="2" t="str">
        <f>_xlfn.XLOOKUP(ESales_DB[[#This Row],[Store_ID]],Estore_DB[Store_ID],Estore_DB[Region])</f>
        <v>North</v>
      </c>
      <c r="R200" t="str">
        <f>VLOOKUP(ESales_DB[[#This Row],[Customer_ID]],Ecustom_DB[],10,FALSE)</f>
        <v>Bronze</v>
      </c>
      <c r="S200" t="str">
        <f>IF(ESales_DB[[#This Row],[Quantity1]]&gt;3,"Bulk order","Normal order")</f>
        <v>Normal order</v>
      </c>
    </row>
    <row r="201" spans="1:19" x14ac:dyDescent="0.3">
      <c r="A201" t="s">
        <v>3003</v>
      </c>
      <c r="B201" s="4">
        <v>45568</v>
      </c>
      <c r="C201" s="4" t="str">
        <f>TEXT(ESales_DB[[#This Row],[Order_Date]],"mmm")</f>
        <v>Oct</v>
      </c>
      <c r="D201" t="s">
        <v>863</v>
      </c>
      <c r="E201" t="s">
        <v>1646</v>
      </c>
      <c r="F201" t="s">
        <v>1797</v>
      </c>
      <c r="G201">
        <v>2</v>
      </c>
      <c r="H201" s="10">
        <f>IF(ISBLANK(ESales_DB[[#This Row],[Quantity]]),AVERAGEIF(ESales_DB[Product_ID],ESales_DB[[#This Row],[Product_ID]],ESales_DB[Quantity]),ESales_DB[[#This Row],[Quantity]])</f>
        <v>2</v>
      </c>
      <c r="I201" s="2">
        <v>620.71</v>
      </c>
      <c r="J201">
        <v>0.27</v>
      </c>
      <c r="K201" t="s">
        <v>1824</v>
      </c>
      <c r="L201" s="2">
        <v>906.23660000000007</v>
      </c>
      <c r="M201" s="2" t="str">
        <f>IF(ESales_DB[[#This Row],[Total_Amount]]&gt;1000,"High","Low")</f>
        <v>Low</v>
      </c>
      <c r="N201" s="2" t="str">
        <f>VLOOKUP(ESales_DB[[#This Row],[Customer_ID]],Ecustom_DB[],3,FALSE)</f>
        <v>Daisy Johnson Dds</v>
      </c>
      <c r="O201" s="2" t="str">
        <f>_xlfn.XLOOKUP(ESales_DB[[#This Row],[Product_ID]],Eproduct_DB[Product_ID],Eproduct_DB[Category])</f>
        <v>Beauty</v>
      </c>
      <c r="P201" s="2" t="str">
        <f>_xlfn.XLOOKUP(ESales_DB[[#This Row],[Product_ID]],Eproduct_DB[Product_ID],Eproduct_DB[Product_Name])</f>
        <v>Men's Roll-On Perfume</v>
      </c>
      <c r="Q201" s="2" t="str">
        <f>_xlfn.XLOOKUP(ESales_DB[[#This Row],[Store_ID]],Estore_DB[Store_ID],Estore_DB[Region])</f>
        <v>East</v>
      </c>
      <c r="R201" t="str">
        <f>VLOOKUP(ESales_DB[[#This Row],[Customer_ID]],Ecustom_DB[],10,FALSE)</f>
        <v>Platinum</v>
      </c>
      <c r="S201" t="str">
        <f>IF(ESales_DB[[#This Row],[Quantity1]]&gt;3,"Bulk order","Normal order")</f>
        <v>Normal order</v>
      </c>
    </row>
    <row r="202" spans="1:19" x14ac:dyDescent="0.3">
      <c r="A202" t="s">
        <v>3004</v>
      </c>
      <c r="B202" s="4">
        <v>45397</v>
      </c>
      <c r="C202" s="4" t="str">
        <f>TEXT(ESales_DB[[#This Row],[Order_Date]],"mmm")</f>
        <v>Apr</v>
      </c>
      <c r="D202" t="s">
        <v>402</v>
      </c>
      <c r="E202" t="s">
        <v>1580</v>
      </c>
      <c r="F202" t="s">
        <v>1792</v>
      </c>
      <c r="G202">
        <v>2</v>
      </c>
      <c r="H202" s="10">
        <f>IF(ISBLANK(ESales_DB[[#This Row],[Quantity]]),AVERAGEIF(ESales_DB[Product_ID],ESales_DB[[#This Row],[Product_ID]],ESales_DB[Quantity]),ESales_DB[[#This Row],[Quantity]])</f>
        <v>2</v>
      </c>
      <c r="I202" s="2">
        <v>851.77</v>
      </c>
      <c r="J202">
        <v>0.13</v>
      </c>
      <c r="K202" t="s">
        <v>1826</v>
      </c>
      <c r="L202" s="2">
        <v>1482.0798</v>
      </c>
      <c r="M202" s="2" t="str">
        <f>IF(ESales_DB[[#This Row],[Total_Amount]]&gt;1000,"High","Low")</f>
        <v>High</v>
      </c>
      <c r="N202" s="2" t="str">
        <f>VLOOKUP(ESales_DB[[#This Row],[Customer_ID]],Ecustom_DB[],3,FALSE)</f>
        <v>Tyler Conrad</v>
      </c>
      <c r="O202" s="2" t="str">
        <f>_xlfn.XLOOKUP(ESales_DB[[#This Row],[Product_ID]],Eproduct_DB[Product_ID],Eproduct_DB[Category])</f>
        <v>Beauty</v>
      </c>
      <c r="P202" s="2" t="str">
        <f>_xlfn.XLOOKUP(ESales_DB[[#This Row],[Product_ID]],Eproduct_DB[Product_ID],Eproduct_DB[Product_Name])</f>
        <v>Beard Grooming Kit</v>
      </c>
      <c r="Q202" s="2" t="str">
        <f>_xlfn.XLOOKUP(ESales_DB[[#This Row],[Store_ID]],Estore_DB[Store_ID],Estore_DB[Region])</f>
        <v>South</v>
      </c>
      <c r="R202" t="str">
        <f>VLOOKUP(ESales_DB[[#This Row],[Customer_ID]],Ecustom_DB[],10,FALSE)</f>
        <v>Platinum</v>
      </c>
      <c r="S202" t="str">
        <f>IF(ESales_DB[[#This Row],[Quantity1]]&gt;3,"Bulk order","Normal order")</f>
        <v>Normal order</v>
      </c>
    </row>
    <row r="203" spans="1:19" x14ac:dyDescent="0.3">
      <c r="A203" t="s">
        <v>3005</v>
      </c>
      <c r="B203" s="4">
        <v>45569</v>
      </c>
      <c r="C203" s="4" t="str">
        <f>TEXT(ESales_DB[[#This Row],[Order_Date]],"mmm")</f>
        <v>Oct</v>
      </c>
      <c r="D203" t="s">
        <v>559</v>
      </c>
      <c r="E203" t="s">
        <v>1638</v>
      </c>
      <c r="F203" t="s">
        <v>1757</v>
      </c>
      <c r="G203">
        <v>3</v>
      </c>
      <c r="H203" s="10">
        <f>IF(ISBLANK(ESales_DB[[#This Row],[Quantity]]),AVERAGEIF(ESales_DB[Product_ID],ESales_DB[[#This Row],[Product_ID]],ESales_DB[Quantity]),ESales_DB[[#This Row],[Quantity]])</f>
        <v>3</v>
      </c>
      <c r="I203" s="2">
        <v>876.01</v>
      </c>
      <c r="J203">
        <v>0.2</v>
      </c>
      <c r="K203" t="s">
        <v>1824</v>
      </c>
      <c r="L203" s="2">
        <v>2102.424</v>
      </c>
      <c r="M203" s="2" t="str">
        <f>IF(ESales_DB[[#This Row],[Total_Amount]]&gt;1000,"High","Low")</f>
        <v>High</v>
      </c>
      <c r="N203" s="2" t="str">
        <f>VLOOKUP(ESales_DB[[#This Row],[Customer_ID]],Ecustom_DB[],3,FALSE)</f>
        <v>Daniel Contreras</v>
      </c>
      <c r="O203" s="2" t="str">
        <f>_xlfn.XLOOKUP(ESales_DB[[#This Row],[Product_ID]],Eproduct_DB[Product_ID],Eproduct_DB[Category])</f>
        <v>Sports</v>
      </c>
      <c r="P203" s="2" t="str">
        <f>_xlfn.XLOOKUP(ESales_DB[[#This Row],[Product_ID]],Eproduct_DB[Product_ID],Eproduct_DB[Product_Name])</f>
        <v>High-Grip Football</v>
      </c>
      <c r="Q203" s="2" t="str">
        <f>_xlfn.XLOOKUP(ESales_DB[[#This Row],[Store_ID]],Estore_DB[Store_ID],Estore_DB[Region])</f>
        <v>North</v>
      </c>
      <c r="R203" t="str">
        <f>VLOOKUP(ESales_DB[[#This Row],[Customer_ID]],Ecustom_DB[],10,FALSE)</f>
        <v>Platinum</v>
      </c>
      <c r="S203" t="str">
        <f>IF(ESales_DB[[#This Row],[Quantity1]]&gt;3,"Bulk order","Normal order")</f>
        <v>Normal order</v>
      </c>
    </row>
    <row r="204" spans="1:19" x14ac:dyDescent="0.3">
      <c r="A204" t="s">
        <v>1944</v>
      </c>
      <c r="B204" s="4">
        <v>45405</v>
      </c>
      <c r="C204" s="4" t="str">
        <f>TEXT(ESales_DB[[#This Row],[Order_Date]],"mmm")</f>
        <v>Apr</v>
      </c>
      <c r="D204" t="s">
        <v>372</v>
      </c>
      <c r="E204" t="s">
        <v>1626</v>
      </c>
      <c r="F204" t="s">
        <v>1792</v>
      </c>
      <c r="G204">
        <v>1</v>
      </c>
      <c r="H204" s="10">
        <f>IF(ISBLANK(ESales_DB[[#This Row],[Quantity]]),AVERAGEIF(ESales_DB[Product_ID],ESales_DB[[#This Row],[Product_ID]],ESales_DB[Quantity]),ESales_DB[[#This Row],[Quantity]])</f>
        <v>1</v>
      </c>
      <c r="I204" s="2">
        <v>165</v>
      </c>
      <c r="J204">
        <v>0.3</v>
      </c>
      <c r="K204" t="s">
        <v>1829</v>
      </c>
      <c r="L204" s="2">
        <v>115.5</v>
      </c>
      <c r="M204" s="2" t="str">
        <f>IF(ESales_DB[[#This Row],[Total_Amount]]&gt;1000,"High","Low")</f>
        <v>Low</v>
      </c>
      <c r="N204" s="2" t="str">
        <f>VLOOKUP(ESales_DB[[#This Row],[Customer_ID]],Ecustom_DB[],3,FALSE)</f>
        <v>Lance Baker</v>
      </c>
      <c r="O204" s="2" t="str">
        <f>_xlfn.XLOOKUP(ESales_DB[[#This Row],[Product_ID]],Eproduct_DB[Product_ID],Eproduct_DB[Category])</f>
        <v>Electronics</v>
      </c>
      <c r="P204" s="2" t="str">
        <f>_xlfn.XLOOKUP(ESales_DB[[#This Row],[Product_ID]],Eproduct_DB[Product_ID],Eproduct_DB[Product_Name])</f>
        <v>Portable Power Bank</v>
      </c>
      <c r="Q204" s="2" t="str">
        <f>_xlfn.XLOOKUP(ESales_DB[[#This Row],[Store_ID]],Estore_DB[Store_ID],Estore_DB[Region])</f>
        <v>South</v>
      </c>
      <c r="R204" t="str">
        <f>VLOOKUP(ESales_DB[[#This Row],[Customer_ID]],Ecustom_DB[],10,FALSE)</f>
        <v>Gold</v>
      </c>
      <c r="S204" t="str">
        <f>IF(ESales_DB[[#This Row],[Quantity1]]&gt;3,"Bulk order","Normal order")</f>
        <v>Normal order</v>
      </c>
    </row>
    <row r="205" spans="1:19" x14ac:dyDescent="0.3">
      <c r="A205" t="s">
        <v>3006</v>
      </c>
      <c r="B205" s="4">
        <v>45353</v>
      </c>
      <c r="C205" s="4" t="str">
        <f>TEXT(ESales_DB[[#This Row],[Order_Date]],"mmm")</f>
        <v>Mar</v>
      </c>
      <c r="D205" t="s">
        <v>878</v>
      </c>
      <c r="E205" t="s">
        <v>1602</v>
      </c>
      <c r="F205" t="s">
        <v>1786</v>
      </c>
      <c r="G205">
        <v>2</v>
      </c>
      <c r="H205" s="10">
        <f>IF(ISBLANK(ESales_DB[[#This Row],[Quantity]]),AVERAGEIF(ESales_DB[Product_ID],ESales_DB[[#This Row],[Product_ID]],ESales_DB[Quantity]),ESales_DB[[#This Row],[Quantity]])</f>
        <v>2</v>
      </c>
      <c r="I205" s="2">
        <v>717.21</v>
      </c>
      <c r="J205">
        <v>0.15</v>
      </c>
      <c r="K205" t="s">
        <v>1829</v>
      </c>
      <c r="L205" s="2">
        <v>1219.2570000000001</v>
      </c>
      <c r="M205" s="2" t="str">
        <f>IF(ESales_DB[[#This Row],[Total_Amount]]&gt;1000,"High","Low")</f>
        <v>High</v>
      </c>
      <c r="N205" s="2" t="str">
        <f>VLOOKUP(ESales_DB[[#This Row],[Customer_ID]],Ecustom_DB[],3,FALSE)</f>
        <v>Arthur Warren</v>
      </c>
      <c r="O205" s="2" t="str">
        <f>_xlfn.XLOOKUP(ESales_DB[[#This Row],[Product_ID]],Eproduct_DB[Product_ID],Eproduct_DB[Category])</f>
        <v>Home</v>
      </c>
      <c r="P205" s="2" t="str">
        <f>_xlfn.XLOOKUP(ESales_DB[[#This Row],[Product_ID]],Eproduct_DB[Product_ID],Eproduct_DB[Product_Name])</f>
        <v>Decorative Floor Vase</v>
      </c>
      <c r="Q205" s="2" t="str">
        <f>_xlfn.XLOOKUP(ESales_DB[[#This Row],[Store_ID]],Estore_DB[Store_ID],Estore_DB[Region])</f>
        <v>South</v>
      </c>
      <c r="R205" t="str">
        <f>VLOOKUP(ESales_DB[[#This Row],[Customer_ID]],Ecustom_DB[],10,FALSE)</f>
        <v>Gold</v>
      </c>
      <c r="S205" t="str">
        <f>IF(ESales_DB[[#This Row],[Quantity1]]&gt;3,"Bulk order","Normal order")</f>
        <v>Normal order</v>
      </c>
    </row>
    <row r="206" spans="1:19" x14ac:dyDescent="0.3">
      <c r="A206" t="s">
        <v>3007</v>
      </c>
      <c r="B206" s="4">
        <v>45343</v>
      </c>
      <c r="C206" s="4" t="str">
        <f>TEXT(ESales_DB[[#This Row],[Order_Date]],"mmm")</f>
        <v>Feb</v>
      </c>
      <c r="D206" t="s">
        <v>211</v>
      </c>
      <c r="E206" t="s">
        <v>1630</v>
      </c>
      <c r="F206" t="s">
        <v>1782</v>
      </c>
      <c r="G206">
        <v>2</v>
      </c>
      <c r="H206" s="10">
        <f>IF(ISBLANK(ESales_DB[[#This Row],[Quantity]]),AVERAGEIF(ESales_DB[Product_ID],ESales_DB[[#This Row],[Product_ID]],ESales_DB[Quantity]),ESales_DB[[#This Row],[Quantity]])</f>
        <v>2</v>
      </c>
      <c r="I206" s="2">
        <v>871.43</v>
      </c>
      <c r="J206">
        <v>0.05</v>
      </c>
      <c r="K206" t="s">
        <v>1824</v>
      </c>
      <c r="L206" s="2">
        <v>1655.7170000000001</v>
      </c>
      <c r="M206" s="2" t="str">
        <f>IF(ESales_DB[[#This Row],[Total_Amount]]&gt;1000,"High","Low")</f>
        <v>High</v>
      </c>
      <c r="N206" s="2" t="str">
        <f>VLOOKUP(ESales_DB[[#This Row],[Customer_ID]],Ecustom_DB[],3,FALSE)</f>
        <v>Christopher Sutton</v>
      </c>
      <c r="O206" s="2" t="str">
        <f>_xlfn.XLOOKUP(ESales_DB[[#This Row],[Product_ID]],Eproduct_DB[Product_ID],Eproduct_DB[Category])</f>
        <v>Sports</v>
      </c>
      <c r="P206" s="2" t="str">
        <f>_xlfn.XLOOKUP(ESales_DB[[#This Row],[Product_ID]],Eproduct_DB[Product_ID],Eproduct_DB[Product_Name])</f>
        <v>Yoga Exercise Mat</v>
      </c>
      <c r="Q206" s="2" t="str">
        <f>_xlfn.XLOOKUP(ESales_DB[[#This Row],[Store_ID]],Estore_DB[Store_ID],Estore_DB[Region])</f>
        <v>West</v>
      </c>
      <c r="R206" t="str">
        <f>VLOOKUP(ESales_DB[[#This Row],[Customer_ID]],Ecustom_DB[],10,FALSE)</f>
        <v>Gold</v>
      </c>
      <c r="S206" t="str">
        <f>IF(ESales_DB[[#This Row],[Quantity1]]&gt;3,"Bulk order","Normal order")</f>
        <v>Normal order</v>
      </c>
    </row>
    <row r="207" spans="1:19" x14ac:dyDescent="0.3">
      <c r="A207" t="s">
        <v>3008</v>
      </c>
      <c r="B207" s="4">
        <v>45321</v>
      </c>
      <c r="C207" s="4" t="str">
        <f>TEXT(ESales_DB[[#This Row],[Order_Date]],"mmm")</f>
        <v>Jan</v>
      </c>
      <c r="D207" t="s">
        <v>1400</v>
      </c>
      <c r="E207" t="s">
        <v>1620</v>
      </c>
      <c r="F207" t="s">
        <v>1779</v>
      </c>
      <c r="G207">
        <v>1</v>
      </c>
      <c r="H207" s="10">
        <f>IF(ISBLANK(ESales_DB[[#This Row],[Quantity]]),AVERAGEIF(ESales_DB[Product_ID],ESales_DB[[#This Row],[Product_ID]],ESales_DB[Quantity]),ESales_DB[[#This Row],[Quantity]])</f>
        <v>1</v>
      </c>
      <c r="I207" s="2">
        <v>514.65</v>
      </c>
      <c r="J207">
        <v>0.18</v>
      </c>
      <c r="K207" t="s">
        <v>1824</v>
      </c>
      <c r="L207" s="2">
        <v>422.01299999999998</v>
      </c>
      <c r="M207" s="2" t="str">
        <f>IF(ESales_DB[[#This Row],[Total_Amount]]&gt;1000,"High","Low")</f>
        <v>Low</v>
      </c>
      <c r="N207" s="2" t="str">
        <f>VLOOKUP(ESales_DB[[#This Row],[Customer_ID]],Ecustom_DB[],3,FALSE)</f>
        <v>April Phillips</v>
      </c>
      <c r="O207" s="2" t="str">
        <f>_xlfn.XLOOKUP(ESales_DB[[#This Row],[Product_ID]],Eproduct_DB[Product_ID],Eproduct_DB[Category])</f>
        <v>Clothing</v>
      </c>
      <c r="P207" s="2" t="str">
        <f>_xlfn.XLOOKUP(ESales_DB[[#This Row],[Product_ID]],Eproduct_DB[Product_ID],Eproduct_DB[Product_Name])</f>
        <v>Women's Summer Dress</v>
      </c>
      <c r="Q207" s="2" t="str">
        <f>_xlfn.XLOOKUP(ESales_DB[[#This Row],[Store_ID]],Estore_DB[Store_ID],Estore_DB[Region])</f>
        <v>South</v>
      </c>
      <c r="R207" t="str">
        <f>VLOOKUP(ESales_DB[[#This Row],[Customer_ID]],Ecustom_DB[],10,FALSE)</f>
        <v>Platinum</v>
      </c>
      <c r="S207" t="str">
        <f>IF(ESales_DB[[#This Row],[Quantity1]]&gt;3,"Bulk order","Normal order")</f>
        <v>Normal order</v>
      </c>
    </row>
    <row r="208" spans="1:19" x14ac:dyDescent="0.3">
      <c r="A208" t="s">
        <v>3009</v>
      </c>
      <c r="B208" s="4">
        <v>45650</v>
      </c>
      <c r="C208" s="4" t="str">
        <f>TEXT(ESales_DB[[#This Row],[Order_Date]],"mmm")</f>
        <v>Dec</v>
      </c>
      <c r="D208" t="s">
        <v>1417</v>
      </c>
      <c r="E208" t="s">
        <v>1672</v>
      </c>
      <c r="F208" t="s">
        <v>1804</v>
      </c>
      <c r="G208">
        <v>3</v>
      </c>
      <c r="H208" s="10">
        <f>IF(ISBLANK(ESales_DB[[#This Row],[Quantity]]),AVERAGEIF(ESales_DB[Product_ID],ESales_DB[[#This Row],[Product_ID]],ESales_DB[Quantity]),ESales_DB[[#This Row],[Quantity]])</f>
        <v>3</v>
      </c>
      <c r="I208" s="2">
        <v>198.76</v>
      </c>
      <c r="J208">
        <v>0.28000000000000003</v>
      </c>
      <c r="K208" t="s">
        <v>1829</v>
      </c>
      <c r="L208" s="2">
        <v>429.32159999999999</v>
      </c>
      <c r="M208" s="2" t="str">
        <f>IF(ESales_DB[[#This Row],[Total_Amount]]&gt;1000,"High","Low")</f>
        <v>Low</v>
      </c>
      <c r="N208" s="2" t="str">
        <f>VLOOKUP(ESales_DB[[#This Row],[Customer_ID]],Ecustom_DB[],3,FALSE)</f>
        <v>John Perez</v>
      </c>
      <c r="O208" s="2" t="str">
        <f>_xlfn.XLOOKUP(ESales_DB[[#This Row],[Product_ID]],Eproduct_DB[Product_ID],Eproduct_DB[Category])</f>
        <v>Electronics</v>
      </c>
      <c r="P208" s="2" t="str">
        <f>_xlfn.XLOOKUP(ESales_DB[[#This Row],[Product_ID]],Eproduct_DB[Product_ID],Eproduct_DB[Product_Name])</f>
        <v>Laptop Cooling Pad</v>
      </c>
      <c r="Q208" s="2" t="str">
        <f>_xlfn.XLOOKUP(ESales_DB[[#This Row],[Store_ID]],Estore_DB[Store_ID],Estore_DB[Region])</f>
        <v>West</v>
      </c>
      <c r="R208" t="str">
        <f>VLOOKUP(ESales_DB[[#This Row],[Customer_ID]],Ecustom_DB[],10,FALSE)</f>
        <v>Gold</v>
      </c>
      <c r="S208" t="str">
        <f>IF(ESales_DB[[#This Row],[Quantity1]]&gt;3,"Bulk order","Normal order")</f>
        <v>Normal order</v>
      </c>
    </row>
    <row r="209" spans="1:19" x14ac:dyDescent="0.3">
      <c r="A209" t="s">
        <v>3010</v>
      </c>
      <c r="B209" s="4">
        <v>45811</v>
      </c>
      <c r="C209" s="4" t="str">
        <f>TEXT(ESales_DB[[#This Row],[Order_Date]],"mmm")</f>
        <v>Jun</v>
      </c>
      <c r="D209" t="s">
        <v>727</v>
      </c>
      <c r="E209" t="s">
        <v>1674</v>
      </c>
      <c r="F209" t="s">
        <v>1766</v>
      </c>
      <c r="G209">
        <v>2</v>
      </c>
      <c r="H209" s="10">
        <f>IF(ISBLANK(ESales_DB[[#This Row],[Quantity]]),AVERAGEIF(ESales_DB[Product_ID],ESales_DB[[#This Row],[Product_ID]],ESales_DB[Quantity]),ESales_DB[[#This Row],[Quantity]])</f>
        <v>2</v>
      </c>
      <c r="I209" s="2">
        <v>975.72</v>
      </c>
      <c r="J209">
        <v>0.16</v>
      </c>
      <c r="K209" t="s">
        <v>1829</v>
      </c>
      <c r="L209" s="2">
        <v>1639.2095999999999</v>
      </c>
      <c r="M209" s="2" t="str">
        <f>IF(ESales_DB[[#This Row],[Total_Amount]]&gt;1000,"High","Low")</f>
        <v>High</v>
      </c>
      <c r="N209" s="2" t="str">
        <f>VLOOKUP(ESales_DB[[#This Row],[Customer_ID]],Ecustom_DB[],3,FALSE)</f>
        <v>Elizabeth Stanley</v>
      </c>
      <c r="O209" s="2" t="str">
        <f>_xlfn.XLOOKUP(ESales_DB[[#This Row],[Product_ID]],Eproduct_DB[Product_ID],Eproduct_DB[Category])</f>
        <v>Beauty</v>
      </c>
      <c r="P209" s="2" t="str">
        <f>_xlfn.XLOOKUP(ESales_DB[[#This Row],[Product_ID]],Eproduct_DB[Product_ID],Eproduct_DB[Product_Name])</f>
        <v>Organic Sunscreen Lotion</v>
      </c>
      <c r="Q209" s="2" t="str">
        <f>_xlfn.XLOOKUP(ESales_DB[[#This Row],[Store_ID]],Estore_DB[Store_ID],Estore_DB[Region])</f>
        <v>North</v>
      </c>
      <c r="R209" t="str">
        <f>VLOOKUP(ESales_DB[[#This Row],[Customer_ID]],Ecustom_DB[],10,FALSE)</f>
        <v>Platinum</v>
      </c>
      <c r="S209" t="str">
        <f>IF(ESales_DB[[#This Row],[Quantity1]]&gt;3,"Bulk order","Normal order")</f>
        <v>Normal order</v>
      </c>
    </row>
    <row r="210" spans="1:19" x14ac:dyDescent="0.3">
      <c r="A210" t="s">
        <v>3011</v>
      </c>
      <c r="B210" s="4">
        <v>45505</v>
      </c>
      <c r="C210" s="4" t="str">
        <f>TEXT(ESales_DB[[#This Row],[Order_Date]],"mmm")</f>
        <v>Aug</v>
      </c>
      <c r="D210" t="s">
        <v>1304</v>
      </c>
      <c r="E210" t="s">
        <v>1578</v>
      </c>
      <c r="F210" t="s">
        <v>1757</v>
      </c>
      <c r="G210">
        <v>1</v>
      </c>
      <c r="H210" s="10">
        <f>IF(ISBLANK(ESales_DB[[#This Row],[Quantity]]),AVERAGEIF(ESales_DB[Product_ID],ESales_DB[[#This Row],[Product_ID]],ESales_DB[Quantity]),ESales_DB[[#This Row],[Quantity]])</f>
        <v>1</v>
      </c>
      <c r="I210" s="2">
        <v>86.03</v>
      </c>
      <c r="J210">
        <v>0.01</v>
      </c>
      <c r="K210" t="s">
        <v>1824</v>
      </c>
      <c r="L210" s="2">
        <v>85.169700000000006</v>
      </c>
      <c r="M210" s="2" t="str">
        <f>IF(ESales_DB[[#This Row],[Total_Amount]]&gt;1000,"High","Low")</f>
        <v>Low</v>
      </c>
      <c r="N210" s="2" t="str">
        <f>VLOOKUP(ESales_DB[[#This Row],[Customer_ID]],Ecustom_DB[],3,FALSE)</f>
        <v>Dr. Tamara White Md</v>
      </c>
      <c r="O210" s="2" t="str">
        <f>_xlfn.XLOOKUP(ESales_DB[[#This Row],[Product_ID]],Eproduct_DB[Product_ID],Eproduct_DB[Category])</f>
        <v>Electronics</v>
      </c>
      <c r="P210" s="2" t="str">
        <f>_xlfn.XLOOKUP(ESales_DB[[#This Row],[Product_ID]],Eproduct_DB[Product_ID],Eproduct_DB[Product_Name])</f>
        <v>4K Home Projector</v>
      </c>
      <c r="Q210" s="2" t="str">
        <f>_xlfn.XLOOKUP(ESales_DB[[#This Row],[Store_ID]],Estore_DB[Store_ID],Estore_DB[Region])</f>
        <v>North</v>
      </c>
      <c r="R210" t="str">
        <f>VLOOKUP(ESales_DB[[#This Row],[Customer_ID]],Ecustom_DB[],10,FALSE)</f>
        <v>Bronze</v>
      </c>
      <c r="S210" t="str">
        <f>IF(ESales_DB[[#This Row],[Quantity1]]&gt;3,"Bulk order","Normal order")</f>
        <v>Normal order</v>
      </c>
    </row>
    <row r="211" spans="1:19" x14ac:dyDescent="0.3">
      <c r="A211" t="s">
        <v>3012</v>
      </c>
      <c r="B211" s="4">
        <v>45897</v>
      </c>
      <c r="C211" s="4" t="str">
        <f>TEXT(ESales_DB[[#This Row],[Order_Date]],"mmm")</f>
        <v>Aug</v>
      </c>
      <c r="D211" t="s">
        <v>314</v>
      </c>
      <c r="E211" t="s">
        <v>1656</v>
      </c>
      <c r="F211" t="s">
        <v>1794</v>
      </c>
      <c r="G211">
        <v>4</v>
      </c>
      <c r="H211" s="10">
        <f>IF(ISBLANK(ESales_DB[[#This Row],[Quantity]]),AVERAGEIF(ESales_DB[Product_ID],ESales_DB[[#This Row],[Product_ID]],ESales_DB[Quantity]),ESales_DB[[#This Row],[Quantity]])</f>
        <v>4</v>
      </c>
      <c r="I211" s="2">
        <v>705.12</v>
      </c>
      <c r="J211">
        <v>0.15</v>
      </c>
      <c r="K211" t="s">
        <v>1826</v>
      </c>
      <c r="L211" s="2">
        <v>2397.4079999999999</v>
      </c>
      <c r="M211" s="2" t="str">
        <f>IF(ESales_DB[[#This Row],[Total_Amount]]&gt;1000,"High","Low")</f>
        <v>High</v>
      </c>
      <c r="N211" s="2" t="str">
        <f>VLOOKUP(ESales_DB[[#This Row],[Customer_ID]],Ecustom_DB[],3,FALSE)</f>
        <v>Melissa Duffy Md</v>
      </c>
      <c r="O211" s="2" t="str">
        <f>_xlfn.XLOOKUP(ESales_DB[[#This Row],[Product_ID]],Eproduct_DB[Product_ID],Eproduct_DB[Category])</f>
        <v>Sports</v>
      </c>
      <c r="P211" s="2" t="str">
        <f>_xlfn.XLOOKUP(ESales_DB[[#This Row],[Product_ID]],Eproduct_DB[Product_ID],Eproduct_DB[Product_Name])</f>
        <v>Sports Stopwatch Pro</v>
      </c>
      <c r="Q211" s="2" t="str">
        <f>_xlfn.XLOOKUP(ESales_DB[[#This Row],[Store_ID]],Estore_DB[Store_ID],Estore_DB[Region])</f>
        <v>North</v>
      </c>
      <c r="R211" t="str">
        <f>VLOOKUP(ESales_DB[[#This Row],[Customer_ID]],Ecustom_DB[],10,FALSE)</f>
        <v>Bronze</v>
      </c>
      <c r="S211" t="str">
        <f>IF(ESales_DB[[#This Row],[Quantity1]]&gt;3,"Bulk order","Normal order")</f>
        <v>Bulk order</v>
      </c>
    </row>
    <row r="212" spans="1:19" x14ac:dyDescent="0.3">
      <c r="A212" t="s">
        <v>3013</v>
      </c>
      <c r="B212" s="4">
        <v>45602</v>
      </c>
      <c r="C212" s="4" t="str">
        <f>TEXT(ESales_DB[[#This Row],[Order_Date]],"mmm")</f>
        <v>Nov</v>
      </c>
      <c r="D212" t="s">
        <v>1160</v>
      </c>
      <c r="E212" t="s">
        <v>1584</v>
      </c>
      <c r="F212" t="s">
        <v>1794</v>
      </c>
      <c r="G212">
        <v>3</v>
      </c>
      <c r="H212" s="10">
        <f>IF(ISBLANK(ESales_DB[[#This Row],[Quantity]]),AVERAGEIF(ESales_DB[Product_ID],ESales_DB[[#This Row],[Product_ID]],ESales_DB[Quantity]),ESales_DB[[#This Row],[Quantity]])</f>
        <v>3</v>
      </c>
      <c r="I212" s="2">
        <v>99.77</v>
      </c>
      <c r="J212">
        <v>0.01</v>
      </c>
      <c r="K212" t="s">
        <v>1826</v>
      </c>
      <c r="L212" s="2">
        <v>296.31689999999998</v>
      </c>
      <c r="M212" s="2" t="str">
        <f>IF(ESales_DB[[#This Row],[Total_Amount]]&gt;1000,"High","Low")</f>
        <v>Low</v>
      </c>
      <c r="N212" s="2" t="str">
        <f>VLOOKUP(ESales_DB[[#This Row],[Customer_ID]],Ecustom_DB[],3,FALSE)</f>
        <v>Michael Garner</v>
      </c>
      <c r="O212" s="2" t="str">
        <f>_xlfn.XLOOKUP(ESales_DB[[#This Row],[Product_ID]],Eproduct_DB[Product_ID],Eproduct_DB[Category])</f>
        <v>Clothing</v>
      </c>
      <c r="P212" s="2" t="str">
        <f>_xlfn.XLOOKUP(ESales_DB[[#This Row],[Product_ID]],Eproduct_DB[Product_ID],Eproduct_DB[Product_Name])</f>
        <v>Women's Denim Jeans</v>
      </c>
      <c r="Q212" s="2" t="str">
        <f>_xlfn.XLOOKUP(ESales_DB[[#This Row],[Store_ID]],Estore_DB[Store_ID],Estore_DB[Region])</f>
        <v>North</v>
      </c>
      <c r="R212" t="str">
        <f>VLOOKUP(ESales_DB[[#This Row],[Customer_ID]],Ecustom_DB[],10,FALSE)</f>
        <v>Platinum</v>
      </c>
      <c r="S212" t="str">
        <f>IF(ESales_DB[[#This Row],[Quantity1]]&gt;3,"Bulk order","Normal order")</f>
        <v>Normal order</v>
      </c>
    </row>
    <row r="213" spans="1:19" x14ac:dyDescent="0.3">
      <c r="A213" t="s">
        <v>3014</v>
      </c>
      <c r="B213" s="4">
        <v>45530</v>
      </c>
      <c r="C213" s="4" t="str">
        <f>TEXT(ESales_DB[[#This Row],[Order_Date]],"mmm")</f>
        <v>Aug</v>
      </c>
      <c r="D213" t="s">
        <v>681</v>
      </c>
      <c r="E213" t="s">
        <v>1616</v>
      </c>
      <c r="F213" t="s">
        <v>1786</v>
      </c>
      <c r="G213">
        <v>2</v>
      </c>
      <c r="H213" s="10">
        <f>IF(ISBLANK(ESales_DB[[#This Row],[Quantity]]),AVERAGEIF(ESales_DB[Product_ID],ESales_DB[[#This Row],[Product_ID]],ESales_DB[Quantity]),ESales_DB[[#This Row],[Quantity]])</f>
        <v>2</v>
      </c>
      <c r="I213" s="2">
        <v>166.26</v>
      </c>
      <c r="J213">
        <v>0.14000000000000001</v>
      </c>
      <c r="K213" t="s">
        <v>1826</v>
      </c>
      <c r="L213" s="2">
        <v>285.96719999999999</v>
      </c>
      <c r="M213" s="2" t="str">
        <f>IF(ESales_DB[[#This Row],[Total_Amount]]&gt;1000,"High","Low")</f>
        <v>Low</v>
      </c>
      <c r="N213" s="2" t="str">
        <f>VLOOKUP(ESales_DB[[#This Row],[Customer_ID]],Ecustom_DB[],3,FALSE)</f>
        <v>Joan Johnson</v>
      </c>
      <c r="O213" s="2" t="str">
        <f>_xlfn.XLOOKUP(ESales_DB[[#This Row],[Product_ID]],Eproduct_DB[Product_ID],Eproduct_DB[Category])</f>
        <v>Electronics</v>
      </c>
      <c r="P213" s="2" t="str">
        <f>_xlfn.XLOOKUP(ESales_DB[[#This Row],[Product_ID]],Eproduct_DB[Product_ID],Eproduct_DB[Product_Name])</f>
        <v>Gaming Mechanical Keyboard</v>
      </c>
      <c r="Q213" s="2" t="str">
        <f>_xlfn.XLOOKUP(ESales_DB[[#This Row],[Store_ID]],Estore_DB[Store_ID],Estore_DB[Region])</f>
        <v>South</v>
      </c>
      <c r="R213" t="str">
        <f>VLOOKUP(ESales_DB[[#This Row],[Customer_ID]],Ecustom_DB[],10,FALSE)</f>
        <v>Platinum</v>
      </c>
      <c r="S213" t="str">
        <f>IF(ESales_DB[[#This Row],[Quantity1]]&gt;3,"Bulk order","Normal order")</f>
        <v>Normal order</v>
      </c>
    </row>
    <row r="214" spans="1:19" x14ac:dyDescent="0.3">
      <c r="A214" t="s">
        <v>3015</v>
      </c>
      <c r="B214" s="4">
        <v>45729</v>
      </c>
      <c r="C214" s="4" t="str">
        <f>TEXT(ESales_DB[[#This Row],[Order_Date]],"mmm")</f>
        <v>Mar</v>
      </c>
      <c r="D214" t="s">
        <v>1417</v>
      </c>
      <c r="E214" t="s">
        <v>1600</v>
      </c>
      <c r="F214" t="s">
        <v>1773</v>
      </c>
      <c r="G214">
        <v>1</v>
      </c>
      <c r="H214" s="10">
        <f>IF(ISBLANK(ESales_DB[[#This Row],[Quantity]]),AVERAGEIF(ESales_DB[Product_ID],ESales_DB[[#This Row],[Product_ID]],ESales_DB[Quantity]),ESales_DB[[#This Row],[Quantity]])</f>
        <v>1</v>
      </c>
      <c r="I214" s="2">
        <v>429.25</v>
      </c>
      <c r="J214">
        <v>0.28999999999999998</v>
      </c>
      <c r="K214" t="s">
        <v>1824</v>
      </c>
      <c r="L214" s="2">
        <v>304.76749999999998</v>
      </c>
      <c r="M214" s="2" t="str">
        <f>IF(ESales_DB[[#This Row],[Total_Amount]]&gt;1000,"High","Low")</f>
        <v>Low</v>
      </c>
      <c r="N214" s="2" t="str">
        <f>VLOOKUP(ESales_DB[[#This Row],[Customer_ID]],Ecustom_DB[],3,FALSE)</f>
        <v>John Perez</v>
      </c>
      <c r="O214" s="2" t="str">
        <f>_xlfn.XLOOKUP(ESales_DB[[#This Row],[Product_ID]],Eproduct_DB[Product_ID],Eproduct_DB[Category])</f>
        <v>Electronics</v>
      </c>
      <c r="P214" s="2" t="str">
        <f>_xlfn.XLOOKUP(ESales_DB[[#This Row],[Product_ID]],Eproduct_DB[Product_ID],Eproduct_DB[Product_Name])</f>
        <v>Wireless Bluetooth Speaker</v>
      </c>
      <c r="Q214" s="2" t="str">
        <f>_xlfn.XLOOKUP(ESales_DB[[#This Row],[Store_ID]],Estore_DB[Store_ID],Estore_DB[Region])</f>
        <v>North</v>
      </c>
      <c r="R214" t="str">
        <f>VLOOKUP(ESales_DB[[#This Row],[Customer_ID]],Ecustom_DB[],10,FALSE)</f>
        <v>Gold</v>
      </c>
      <c r="S214" t="str">
        <f>IF(ESales_DB[[#This Row],[Quantity1]]&gt;3,"Bulk order","Normal order")</f>
        <v>Normal order</v>
      </c>
    </row>
    <row r="215" spans="1:19" x14ac:dyDescent="0.3">
      <c r="A215" t="s">
        <v>1945</v>
      </c>
      <c r="B215" s="4">
        <v>45503</v>
      </c>
      <c r="C215" s="4" t="str">
        <f>TEXT(ESales_DB[[#This Row],[Order_Date]],"mmm")</f>
        <v>Jul</v>
      </c>
      <c r="D215" t="s">
        <v>529</v>
      </c>
      <c r="E215" t="s">
        <v>1586</v>
      </c>
      <c r="F215" t="s">
        <v>1782</v>
      </c>
      <c r="G215">
        <v>2</v>
      </c>
      <c r="H215" s="10">
        <f>IF(ISBLANK(ESales_DB[[#This Row],[Quantity]]),AVERAGEIF(ESales_DB[Product_ID],ESales_DB[[#This Row],[Product_ID]],ESales_DB[Quantity]),ESales_DB[[#This Row],[Quantity]])</f>
        <v>2</v>
      </c>
      <c r="I215" s="2">
        <v>151.51</v>
      </c>
      <c r="J215">
        <v>0.28999999999999998</v>
      </c>
      <c r="K215" t="s">
        <v>1829</v>
      </c>
      <c r="L215" s="2">
        <v>215.14420000000001</v>
      </c>
      <c r="M215" s="2" t="str">
        <f>IF(ESales_DB[[#This Row],[Total_Amount]]&gt;1000,"High","Low")</f>
        <v>Low</v>
      </c>
      <c r="N215" s="2" t="str">
        <f>VLOOKUP(ESales_DB[[#This Row],[Customer_ID]],Ecustom_DB[],3,FALSE)</f>
        <v>Sean Powell</v>
      </c>
      <c r="O215" s="2" t="str">
        <f>_xlfn.XLOOKUP(ESales_DB[[#This Row],[Product_ID]],Eproduct_DB[Product_ID],Eproduct_DB[Category])</f>
        <v>Sports</v>
      </c>
      <c r="P215" s="2" t="str">
        <f>_xlfn.XLOOKUP(ESales_DB[[#This Row],[Product_ID]],Eproduct_DB[Product_ID],Eproduct_DB[Product_Name])</f>
        <v>Knee Support Brace</v>
      </c>
      <c r="Q215" s="2" t="str">
        <f>_xlfn.XLOOKUP(ESales_DB[[#This Row],[Store_ID]],Estore_DB[Store_ID],Estore_DB[Region])</f>
        <v>West</v>
      </c>
      <c r="R215" t="str">
        <f>VLOOKUP(ESales_DB[[#This Row],[Customer_ID]],Ecustom_DB[],10,FALSE)</f>
        <v>Bronze</v>
      </c>
      <c r="S215" t="str">
        <f>IF(ESales_DB[[#This Row],[Quantity1]]&gt;3,"Bulk order","Normal order")</f>
        <v>Normal order</v>
      </c>
    </row>
    <row r="216" spans="1:19" x14ac:dyDescent="0.3">
      <c r="A216" t="s">
        <v>3016</v>
      </c>
      <c r="B216" s="4">
        <v>45468</v>
      </c>
      <c r="C216" s="4" t="str">
        <f>TEXT(ESales_DB[[#This Row],[Order_Date]],"mmm")</f>
        <v>Jun</v>
      </c>
      <c r="D216" t="s">
        <v>1371</v>
      </c>
      <c r="E216" t="s">
        <v>1543</v>
      </c>
      <c r="F216" t="s">
        <v>1786</v>
      </c>
      <c r="G216">
        <v>2</v>
      </c>
      <c r="H216" s="10">
        <f>IF(ISBLANK(ESales_DB[[#This Row],[Quantity]]),AVERAGEIF(ESales_DB[Product_ID],ESales_DB[[#This Row],[Product_ID]],ESales_DB[Quantity]),ESales_DB[[#This Row],[Quantity]])</f>
        <v>2</v>
      </c>
      <c r="I216" s="2">
        <v>540.48</v>
      </c>
      <c r="J216">
        <v>0.28999999999999998</v>
      </c>
      <c r="K216" t="s">
        <v>1824</v>
      </c>
      <c r="L216" s="2">
        <v>767.48159999999996</v>
      </c>
      <c r="M216" s="2" t="str">
        <f>IF(ESales_DB[[#This Row],[Total_Amount]]&gt;1000,"High","Low")</f>
        <v>Low</v>
      </c>
      <c r="N216" s="2" t="str">
        <f>VLOOKUP(ESales_DB[[#This Row],[Customer_ID]],Ecustom_DB[],3,FALSE)</f>
        <v>Adam Castro</v>
      </c>
      <c r="O216" s="2" t="str">
        <f>_xlfn.XLOOKUP(ESales_DB[[#This Row],[Product_ID]],Eproduct_DB[Product_ID],Eproduct_DB[Category])</f>
        <v>Electronics</v>
      </c>
      <c r="P216" s="2" t="str">
        <f>_xlfn.XLOOKUP(ESales_DB[[#This Row],[Product_ID]],Eproduct_DB[Product_ID],Eproduct_DB[Product_Name])</f>
        <v>Brother Laser Printer</v>
      </c>
      <c r="Q216" s="2" t="str">
        <f>_xlfn.XLOOKUP(ESales_DB[[#This Row],[Store_ID]],Estore_DB[Store_ID],Estore_DB[Region])</f>
        <v>South</v>
      </c>
      <c r="R216" t="str">
        <f>VLOOKUP(ESales_DB[[#This Row],[Customer_ID]],Ecustom_DB[],10,FALSE)</f>
        <v>Silver</v>
      </c>
      <c r="S216" t="str">
        <f>IF(ESales_DB[[#This Row],[Quantity1]]&gt;3,"Bulk order","Normal order")</f>
        <v>Normal order</v>
      </c>
    </row>
    <row r="217" spans="1:19" x14ac:dyDescent="0.3">
      <c r="A217" t="s">
        <v>3017</v>
      </c>
      <c r="B217" s="4">
        <v>45936</v>
      </c>
      <c r="C217" s="4" t="str">
        <f>TEXT(ESales_DB[[#This Row],[Order_Date]],"mmm")</f>
        <v>Oct</v>
      </c>
      <c r="D217" t="s">
        <v>857</v>
      </c>
      <c r="E217" t="s">
        <v>1666</v>
      </c>
      <c r="F217" t="s">
        <v>1799</v>
      </c>
      <c r="G217">
        <v>2</v>
      </c>
      <c r="H217" s="10">
        <f>IF(ISBLANK(ESales_DB[[#This Row],[Quantity]]),AVERAGEIF(ESales_DB[Product_ID],ESales_DB[[#This Row],[Product_ID]],ESales_DB[Quantity]),ESales_DB[[#This Row],[Quantity]])</f>
        <v>2</v>
      </c>
      <c r="I217" s="2">
        <v>579.52</v>
      </c>
      <c r="J217">
        <v>0.01</v>
      </c>
      <c r="K217" t="s">
        <v>1826</v>
      </c>
      <c r="L217" s="2">
        <v>1147.4495999999999</v>
      </c>
      <c r="M217" s="2" t="str">
        <f>IF(ESales_DB[[#This Row],[Total_Amount]]&gt;1000,"High","Low")</f>
        <v>High</v>
      </c>
      <c r="N217" s="2" t="str">
        <f>VLOOKUP(ESales_DB[[#This Row],[Customer_ID]],Ecustom_DB[],3,FALSE)</f>
        <v>Tyrone Olson</v>
      </c>
      <c r="O217" s="2" t="str">
        <f>_xlfn.XLOOKUP(ESales_DB[[#This Row],[Product_ID]],Eproduct_DB[Product_ID],Eproduct_DB[Category])</f>
        <v>Beauty</v>
      </c>
      <c r="P217" s="2" t="str">
        <f>_xlfn.XLOOKUP(ESales_DB[[#This Row],[Product_ID]],Eproduct_DB[Product_ID],Eproduct_DB[Product_Name])</f>
        <v>Men's Hair Styling Gel</v>
      </c>
      <c r="Q217" s="2" t="str">
        <f>_xlfn.XLOOKUP(ESales_DB[[#This Row],[Store_ID]],Estore_DB[Store_ID],Estore_DB[Region])</f>
        <v>South</v>
      </c>
      <c r="R217" t="str">
        <f>VLOOKUP(ESales_DB[[#This Row],[Customer_ID]],Ecustom_DB[],10,FALSE)</f>
        <v>Silver</v>
      </c>
      <c r="S217" t="str">
        <f>IF(ESales_DB[[#This Row],[Quantity1]]&gt;3,"Bulk order","Normal order")</f>
        <v>Normal order</v>
      </c>
    </row>
    <row r="218" spans="1:19" x14ac:dyDescent="0.3">
      <c r="A218" t="s">
        <v>3018</v>
      </c>
      <c r="B218" s="4">
        <v>45622</v>
      </c>
      <c r="C218" s="4" t="str">
        <f>TEXT(ESales_DB[[#This Row],[Order_Date]],"mmm")</f>
        <v>Nov</v>
      </c>
      <c r="D218" t="s">
        <v>110</v>
      </c>
      <c r="E218" t="s">
        <v>1686</v>
      </c>
      <c r="F218" t="s">
        <v>1807</v>
      </c>
      <c r="G218">
        <v>4</v>
      </c>
      <c r="H218" s="10">
        <f>IF(ISBLANK(ESales_DB[[#This Row],[Quantity]]),AVERAGEIF(ESales_DB[Product_ID],ESales_DB[[#This Row],[Product_ID]],ESales_DB[Quantity]),ESales_DB[[#This Row],[Quantity]])</f>
        <v>4</v>
      </c>
      <c r="I218" s="2">
        <v>477.52</v>
      </c>
      <c r="J218">
        <v>7.0000000000000007E-2</v>
      </c>
      <c r="K218" t="s">
        <v>1826</v>
      </c>
      <c r="L218" s="2">
        <v>1776.3743999999999</v>
      </c>
      <c r="M218" s="2" t="str">
        <f>IF(ESales_DB[[#This Row],[Total_Amount]]&gt;1000,"High","Low")</f>
        <v>High</v>
      </c>
      <c r="N218" s="2" t="str">
        <f>VLOOKUP(ESales_DB[[#This Row],[Customer_ID]],Ecustom_DB[],3,FALSE)</f>
        <v>Amber Carlson</v>
      </c>
      <c r="O218" s="2" t="str">
        <f>_xlfn.XLOOKUP(ESales_DB[[#This Row],[Product_ID]],Eproduct_DB[Product_ID],Eproduct_DB[Category])</f>
        <v>Clothing</v>
      </c>
      <c r="P218" s="2" t="str">
        <f>_xlfn.XLOOKUP(ESales_DB[[#This Row],[Product_ID]],Eproduct_DB[Product_ID],Eproduct_DB[Product_Name])</f>
        <v>Men's Sports Shorts</v>
      </c>
      <c r="Q218" s="2" t="str">
        <f>_xlfn.XLOOKUP(ESales_DB[[#This Row],[Store_ID]],Estore_DB[Store_ID],Estore_DB[Region])</f>
        <v>North</v>
      </c>
      <c r="R218" t="str">
        <f>VLOOKUP(ESales_DB[[#This Row],[Customer_ID]],Ecustom_DB[],10,FALSE)</f>
        <v>Gold</v>
      </c>
      <c r="S218" t="str">
        <f>IF(ESales_DB[[#This Row],[Quantity1]]&gt;3,"Bulk order","Normal order")</f>
        <v>Bulk order</v>
      </c>
    </row>
    <row r="219" spans="1:19" x14ac:dyDescent="0.3">
      <c r="A219" t="s">
        <v>3019</v>
      </c>
      <c r="B219" s="4">
        <v>45705</v>
      </c>
      <c r="C219" s="4" t="str">
        <f>TEXT(ESales_DB[[#This Row],[Order_Date]],"mmm")</f>
        <v>Feb</v>
      </c>
      <c r="D219" t="s">
        <v>827</v>
      </c>
      <c r="E219" t="s">
        <v>1730</v>
      </c>
      <c r="F219" t="s">
        <v>1776</v>
      </c>
      <c r="G219">
        <v>3</v>
      </c>
      <c r="H219" s="10">
        <f>IF(ISBLANK(ESales_DB[[#This Row],[Quantity]]),AVERAGEIF(ESales_DB[Product_ID],ESales_DB[[#This Row],[Product_ID]],ESales_DB[Quantity]),ESales_DB[[#This Row],[Quantity]])</f>
        <v>3</v>
      </c>
      <c r="I219" s="2">
        <v>242.58</v>
      </c>
      <c r="J219">
        <v>0.25</v>
      </c>
      <c r="K219" t="s">
        <v>1824</v>
      </c>
      <c r="L219" s="2">
        <v>545.80500000000006</v>
      </c>
      <c r="M219" s="2" t="str">
        <f>IF(ESales_DB[[#This Row],[Total_Amount]]&gt;1000,"High","Low")</f>
        <v>Low</v>
      </c>
      <c r="N219" s="2" t="str">
        <f>VLOOKUP(ESales_DB[[#This Row],[Customer_ID]],Ecustom_DB[],3,FALSE)</f>
        <v>Beth Allen</v>
      </c>
      <c r="O219" s="2" t="str">
        <f>_xlfn.XLOOKUP(ESales_DB[[#This Row],[Product_ID]],Eproduct_DB[Product_ID],Eproduct_DB[Category])</f>
        <v>Clothing</v>
      </c>
      <c r="P219" s="2" t="str">
        <f>_xlfn.XLOOKUP(ESales_DB[[#This Row],[Product_ID]],Eproduct_DB[Product_ID],Eproduct_DB[Product_Name])</f>
        <v>Women's High Heels</v>
      </c>
      <c r="Q219" s="2" t="str">
        <f>_xlfn.XLOOKUP(ESales_DB[[#This Row],[Store_ID]],Estore_DB[Store_ID],Estore_DB[Region])</f>
        <v>East</v>
      </c>
      <c r="R219" t="str">
        <f>VLOOKUP(ESales_DB[[#This Row],[Customer_ID]],Ecustom_DB[],10,FALSE)</f>
        <v>Silver</v>
      </c>
      <c r="S219" t="str">
        <f>IF(ESales_DB[[#This Row],[Quantity1]]&gt;3,"Bulk order","Normal order")</f>
        <v>Normal order</v>
      </c>
    </row>
    <row r="220" spans="1:19" x14ac:dyDescent="0.3">
      <c r="A220" t="s">
        <v>3020</v>
      </c>
      <c r="B220" s="4">
        <v>45250</v>
      </c>
      <c r="C220" s="4" t="str">
        <f>TEXT(ESales_DB[[#This Row],[Order_Date]],"mmm")</f>
        <v>Nov</v>
      </c>
      <c r="D220" t="s">
        <v>1148</v>
      </c>
      <c r="E220" t="s">
        <v>1600</v>
      </c>
      <c r="F220" t="s">
        <v>1807</v>
      </c>
      <c r="G220">
        <v>2</v>
      </c>
      <c r="H220" s="10">
        <f>IF(ISBLANK(ESales_DB[[#This Row],[Quantity]]),AVERAGEIF(ESales_DB[Product_ID],ESales_DB[[#This Row],[Product_ID]],ESales_DB[Quantity]),ESales_DB[[#This Row],[Quantity]])</f>
        <v>2</v>
      </c>
      <c r="I220" s="2">
        <v>519.29999999999995</v>
      </c>
      <c r="J220">
        <v>0.09</v>
      </c>
      <c r="K220" t="s">
        <v>1826</v>
      </c>
      <c r="L220" s="2">
        <v>945.12599999999998</v>
      </c>
      <c r="M220" s="2" t="str">
        <f>IF(ESales_DB[[#This Row],[Total_Amount]]&gt;1000,"High","Low")</f>
        <v>Low</v>
      </c>
      <c r="N220" s="2" t="str">
        <f>VLOOKUP(ESales_DB[[#This Row],[Customer_ID]],Ecustom_DB[],3,FALSE)</f>
        <v>Melinda Johnson</v>
      </c>
      <c r="O220" s="2" t="str">
        <f>_xlfn.XLOOKUP(ESales_DB[[#This Row],[Product_ID]],Eproduct_DB[Product_ID],Eproduct_DB[Category])</f>
        <v>Electronics</v>
      </c>
      <c r="P220" s="2" t="str">
        <f>_xlfn.XLOOKUP(ESales_DB[[#This Row],[Product_ID]],Eproduct_DB[Product_ID],Eproduct_DB[Product_Name])</f>
        <v>Wireless Bluetooth Speaker</v>
      </c>
      <c r="Q220" s="2" t="str">
        <f>_xlfn.XLOOKUP(ESales_DB[[#This Row],[Store_ID]],Estore_DB[Store_ID],Estore_DB[Region])</f>
        <v>North</v>
      </c>
      <c r="R220" t="str">
        <f>VLOOKUP(ESales_DB[[#This Row],[Customer_ID]],Ecustom_DB[],10,FALSE)</f>
        <v>Bronze</v>
      </c>
      <c r="S220" t="str">
        <f>IF(ESales_DB[[#This Row],[Quantity1]]&gt;3,"Bulk order","Normal order")</f>
        <v>Normal order</v>
      </c>
    </row>
    <row r="221" spans="1:19" x14ac:dyDescent="0.3">
      <c r="A221" t="s">
        <v>3021</v>
      </c>
      <c r="B221" s="4">
        <v>45684</v>
      </c>
      <c r="C221" s="4" t="str">
        <f>TEXT(ESales_DB[[#This Row],[Order_Date]],"mmm")</f>
        <v>Jan</v>
      </c>
      <c r="D221" t="s">
        <v>1510</v>
      </c>
      <c r="E221" t="s">
        <v>1736</v>
      </c>
      <c r="F221" t="s">
        <v>1792</v>
      </c>
      <c r="G221">
        <v>3</v>
      </c>
      <c r="H221" s="10">
        <f>IF(ISBLANK(ESales_DB[[#This Row],[Quantity]]),AVERAGEIF(ESales_DB[Product_ID],ESales_DB[[#This Row],[Product_ID]],ESales_DB[Quantity]),ESales_DB[[#This Row],[Quantity]])</f>
        <v>3</v>
      </c>
      <c r="I221" s="2">
        <v>845.67</v>
      </c>
      <c r="J221">
        <v>0.12</v>
      </c>
      <c r="K221" t="s">
        <v>1829</v>
      </c>
      <c r="L221" s="2">
        <v>2232.5688</v>
      </c>
      <c r="M221" s="2" t="str">
        <f>IF(ESales_DB[[#This Row],[Total_Amount]]&gt;1000,"High","Low")</f>
        <v>High</v>
      </c>
      <c r="N221" s="2" t="str">
        <f>VLOOKUP(ESales_DB[[#This Row],[Customer_ID]],Ecustom_DB[],3,FALSE)</f>
        <v>Kaitlin Brown</v>
      </c>
      <c r="O221" s="2" t="str">
        <f>_xlfn.XLOOKUP(ESales_DB[[#This Row],[Product_ID]],Eproduct_DB[Product_ID],Eproduct_DB[Category])</f>
        <v>Beauty</v>
      </c>
      <c r="P221" s="2" t="str">
        <f>_xlfn.XLOOKUP(ESales_DB[[#This Row],[Product_ID]],Eproduct_DB[Product_ID],Eproduct_DB[Product_Name])</f>
        <v>Vitamin E Body Lotion</v>
      </c>
      <c r="Q221" s="2" t="str">
        <f>_xlfn.XLOOKUP(ESales_DB[[#This Row],[Store_ID]],Estore_DB[Store_ID],Estore_DB[Region])</f>
        <v>South</v>
      </c>
      <c r="R221" t="str">
        <f>VLOOKUP(ESales_DB[[#This Row],[Customer_ID]],Ecustom_DB[],10,FALSE)</f>
        <v>Gold</v>
      </c>
      <c r="S221" t="str">
        <f>IF(ESales_DB[[#This Row],[Quantity1]]&gt;3,"Bulk order","Normal order")</f>
        <v>Normal order</v>
      </c>
    </row>
    <row r="222" spans="1:19" x14ac:dyDescent="0.3">
      <c r="A222" t="s">
        <v>3022</v>
      </c>
      <c r="B222" s="4">
        <v>45395</v>
      </c>
      <c r="C222" s="4" t="str">
        <f>TEXT(ESales_DB[[#This Row],[Order_Date]],"mmm")</f>
        <v>Apr</v>
      </c>
      <c r="D222" t="s">
        <v>963</v>
      </c>
      <c r="E222" t="s">
        <v>1658</v>
      </c>
      <c r="F222" t="s">
        <v>1804</v>
      </c>
      <c r="G222">
        <v>4</v>
      </c>
      <c r="H222" s="10">
        <f>IF(ISBLANK(ESales_DB[[#This Row],[Quantity]]),AVERAGEIF(ESales_DB[Product_ID],ESales_DB[[#This Row],[Product_ID]],ESales_DB[Quantity]),ESales_DB[[#This Row],[Quantity]])</f>
        <v>4</v>
      </c>
      <c r="I222" s="2">
        <v>750.26</v>
      </c>
      <c r="J222">
        <v>0.01</v>
      </c>
      <c r="K222" t="s">
        <v>1826</v>
      </c>
      <c r="L222" s="2">
        <v>2971.0295999999998</v>
      </c>
      <c r="M222" s="2" t="str">
        <f>IF(ESales_DB[[#This Row],[Total_Amount]]&gt;1000,"High","Low")</f>
        <v>High</v>
      </c>
      <c r="N222" s="2" t="str">
        <f>VLOOKUP(ESales_DB[[#This Row],[Customer_ID]],Ecustom_DB[],3,FALSE)</f>
        <v>Roberta Green</v>
      </c>
      <c r="O222" s="2" t="str">
        <f>_xlfn.XLOOKUP(ESales_DB[[#This Row],[Product_ID]],Eproduct_DB[Product_ID],Eproduct_DB[Category])</f>
        <v>Home</v>
      </c>
      <c r="P222" s="2" t="str">
        <f>_xlfn.XLOOKUP(ESales_DB[[#This Row],[Product_ID]],Eproduct_DB[Product_ID],Eproduct_DB[Product_Name])</f>
        <v>Ceramic Plant Pot</v>
      </c>
      <c r="Q222" s="2" t="str">
        <f>_xlfn.XLOOKUP(ESales_DB[[#This Row],[Store_ID]],Estore_DB[Store_ID],Estore_DB[Region])</f>
        <v>West</v>
      </c>
      <c r="R222" t="str">
        <f>VLOOKUP(ESales_DB[[#This Row],[Customer_ID]],Ecustom_DB[],10,FALSE)</f>
        <v>Platinum</v>
      </c>
      <c r="S222" t="str">
        <f>IF(ESales_DB[[#This Row],[Quantity1]]&gt;3,"Bulk order","Normal order")</f>
        <v>Bulk order</v>
      </c>
    </row>
    <row r="223" spans="1:19" x14ac:dyDescent="0.3">
      <c r="A223" t="s">
        <v>3023</v>
      </c>
      <c r="B223" s="4">
        <v>45382</v>
      </c>
      <c r="C223" s="4" t="str">
        <f>TEXT(ESales_DB[[#This Row],[Order_Date]],"mmm")</f>
        <v>Mar</v>
      </c>
      <c r="D223" t="s">
        <v>1044</v>
      </c>
      <c r="E223" t="s">
        <v>1732</v>
      </c>
      <c r="F223" t="s">
        <v>1794</v>
      </c>
      <c r="G223">
        <v>4</v>
      </c>
      <c r="H223" s="10">
        <f>IF(ISBLANK(ESales_DB[[#This Row],[Quantity]]),AVERAGEIF(ESales_DB[Product_ID],ESales_DB[[#This Row],[Product_ID]],ESales_DB[Quantity]),ESales_DB[[#This Row],[Quantity]])</f>
        <v>4</v>
      </c>
      <c r="I223" s="2">
        <v>294.38</v>
      </c>
      <c r="J223">
        <v>0.2</v>
      </c>
      <c r="K223" t="s">
        <v>1824</v>
      </c>
      <c r="L223" s="2">
        <v>942.01600000000008</v>
      </c>
      <c r="M223" s="2" t="str">
        <f>IF(ESales_DB[[#This Row],[Total_Amount]]&gt;1000,"High","Low")</f>
        <v>Low</v>
      </c>
      <c r="N223" s="2" t="str">
        <f>VLOOKUP(ESales_DB[[#This Row],[Customer_ID]],Ecustom_DB[],3,FALSE)</f>
        <v>Dr. Lindsay Hanna</v>
      </c>
      <c r="O223" s="2" t="str">
        <f>_xlfn.XLOOKUP(ESales_DB[[#This Row],[Product_ID]],Eproduct_DB[Product_ID],Eproduct_DB[Category])</f>
        <v>Home</v>
      </c>
      <c r="P223" s="2" t="str">
        <f>_xlfn.XLOOKUP(ESales_DB[[#This Row],[Product_ID]],Eproduct_DB[Product_ID],Eproduct_DB[Product_Name])</f>
        <v>Microwave Oven</v>
      </c>
      <c r="Q223" s="2" t="str">
        <f>_xlfn.XLOOKUP(ESales_DB[[#This Row],[Store_ID]],Estore_DB[Store_ID],Estore_DB[Region])</f>
        <v>North</v>
      </c>
      <c r="R223" t="str">
        <f>VLOOKUP(ESales_DB[[#This Row],[Customer_ID]],Ecustom_DB[],10,FALSE)</f>
        <v>Bronze</v>
      </c>
      <c r="S223" t="str">
        <f>IF(ESales_DB[[#This Row],[Quantity1]]&gt;3,"Bulk order","Normal order")</f>
        <v>Bulk order</v>
      </c>
    </row>
    <row r="224" spans="1:19" x14ac:dyDescent="0.3">
      <c r="A224" t="s">
        <v>3024</v>
      </c>
      <c r="B224" s="4">
        <v>45919</v>
      </c>
      <c r="C224" s="4" t="str">
        <f>TEXT(ESales_DB[[#This Row],[Order_Date]],"mmm")</f>
        <v>Sep</v>
      </c>
      <c r="D224" t="s">
        <v>347</v>
      </c>
      <c r="E224" t="s">
        <v>1740</v>
      </c>
      <c r="F224" t="s">
        <v>1761</v>
      </c>
      <c r="G224">
        <v>3</v>
      </c>
      <c r="H224" s="10">
        <f>IF(ISBLANK(ESales_DB[[#This Row],[Quantity]]),AVERAGEIF(ESales_DB[Product_ID],ESales_DB[[#This Row],[Product_ID]],ESales_DB[Quantity]),ESales_DB[[#This Row],[Quantity]])</f>
        <v>3</v>
      </c>
      <c r="I224" s="2">
        <v>583.52</v>
      </c>
      <c r="J224">
        <v>7.0000000000000007E-2</v>
      </c>
      <c r="K224" t="s">
        <v>1826</v>
      </c>
      <c r="L224" s="2">
        <v>1628.0208</v>
      </c>
      <c r="M224" s="2" t="str">
        <f>IF(ESales_DB[[#This Row],[Total_Amount]]&gt;1000,"High","Low")</f>
        <v>High</v>
      </c>
      <c r="N224" s="2" t="str">
        <f>VLOOKUP(ESales_DB[[#This Row],[Customer_ID]],Ecustom_DB[],3,FALSE)</f>
        <v>David Cobb</v>
      </c>
      <c r="O224" s="2" t="str">
        <f>_xlfn.XLOOKUP(ESales_DB[[#This Row],[Product_ID]],Eproduct_DB[Product_ID],Eproduct_DB[Category])</f>
        <v>Clothing</v>
      </c>
      <c r="P224" s="2" t="str">
        <f>_xlfn.XLOOKUP(ESales_DB[[#This Row],[Product_ID]],Eproduct_DB[Product_ID],Eproduct_DB[Product_Name])</f>
        <v>Women's Formal Blazer</v>
      </c>
      <c r="Q224" s="2" t="str">
        <f>_xlfn.XLOOKUP(ESales_DB[[#This Row],[Store_ID]],Estore_DB[Store_ID],Estore_DB[Region])</f>
        <v>South</v>
      </c>
      <c r="R224" t="str">
        <f>VLOOKUP(ESales_DB[[#This Row],[Customer_ID]],Ecustom_DB[],10,FALSE)</f>
        <v>Silver</v>
      </c>
      <c r="S224" t="str">
        <f>IF(ESales_DB[[#This Row],[Quantity1]]&gt;3,"Bulk order","Normal order")</f>
        <v>Normal order</v>
      </c>
    </row>
    <row r="225" spans="1:19" x14ac:dyDescent="0.3">
      <c r="A225" t="s">
        <v>3025</v>
      </c>
      <c r="B225" s="4">
        <v>45453</v>
      </c>
      <c r="C225" s="4" t="str">
        <f>TEXT(ESales_DB[[#This Row],[Order_Date]],"mmm")</f>
        <v>Jun</v>
      </c>
      <c r="D225" t="s">
        <v>1449</v>
      </c>
      <c r="E225" t="s">
        <v>1726</v>
      </c>
      <c r="F225" t="s">
        <v>1804</v>
      </c>
      <c r="G225">
        <v>2</v>
      </c>
      <c r="H225" s="10">
        <f>IF(ISBLANK(ESales_DB[[#This Row],[Quantity]]),AVERAGEIF(ESales_DB[Product_ID],ESales_DB[[#This Row],[Product_ID]],ESales_DB[Quantity]),ESales_DB[[#This Row],[Quantity]])</f>
        <v>2</v>
      </c>
      <c r="I225" s="2">
        <v>635.22</v>
      </c>
      <c r="J225">
        <v>0.3</v>
      </c>
      <c r="K225" t="s">
        <v>1829</v>
      </c>
      <c r="L225" s="2">
        <v>889.30799999999999</v>
      </c>
      <c r="M225" s="2" t="str">
        <f>IF(ESales_DB[[#This Row],[Total_Amount]]&gt;1000,"High","Low")</f>
        <v>Low</v>
      </c>
      <c r="N225" s="2" t="str">
        <f>VLOOKUP(ESales_DB[[#This Row],[Customer_ID]],Ecustom_DB[],3,FALSE)</f>
        <v>Manuel Fisher</v>
      </c>
      <c r="O225" s="2" t="str">
        <f>_xlfn.XLOOKUP(ESales_DB[[#This Row],[Product_ID]],Eproduct_DB[Product_ID],Eproduct_DB[Category])</f>
        <v>Beauty</v>
      </c>
      <c r="P225" s="2" t="str">
        <f>_xlfn.XLOOKUP(ESales_DB[[#This Row],[Product_ID]],Eproduct_DB[Product_ID],Eproduct_DB[Product_Name])</f>
        <v>Face Foundation Kit</v>
      </c>
      <c r="Q225" s="2" t="str">
        <f>_xlfn.XLOOKUP(ESales_DB[[#This Row],[Store_ID]],Estore_DB[Store_ID],Estore_DB[Region])</f>
        <v>West</v>
      </c>
      <c r="R225" t="str">
        <f>VLOOKUP(ESales_DB[[#This Row],[Customer_ID]],Ecustom_DB[],10,FALSE)</f>
        <v>Gold</v>
      </c>
      <c r="S225" t="str">
        <f>IF(ESales_DB[[#This Row],[Quantity1]]&gt;3,"Bulk order","Normal order")</f>
        <v>Normal order</v>
      </c>
    </row>
    <row r="226" spans="1:19" x14ac:dyDescent="0.3">
      <c r="A226" t="s">
        <v>1838</v>
      </c>
      <c r="B226" s="4">
        <v>45528</v>
      </c>
      <c r="C226" s="4" t="str">
        <f>TEXT(ESales_DB[[#This Row],[Order_Date]],"mmm")</f>
        <v>Aug</v>
      </c>
      <c r="D226" t="s">
        <v>761</v>
      </c>
      <c r="E226" t="s">
        <v>1724</v>
      </c>
      <c r="F226" t="s">
        <v>1769</v>
      </c>
      <c r="G226">
        <v>4</v>
      </c>
      <c r="H226" s="10">
        <f>IF(ISBLANK(ESales_DB[[#This Row],[Quantity]]),AVERAGEIF(ESales_DB[Product_ID],ESales_DB[[#This Row],[Product_ID]],ESales_DB[Quantity]),ESales_DB[[#This Row],[Quantity]])</f>
        <v>4</v>
      </c>
      <c r="I226" s="2">
        <v>644.58000000000004</v>
      </c>
      <c r="J226">
        <v>0.01</v>
      </c>
      <c r="K226" t="s">
        <v>1824</v>
      </c>
      <c r="L226" s="2">
        <v>2552.5367999999999</v>
      </c>
      <c r="M226" s="2" t="str">
        <f>IF(ESales_DB[[#This Row],[Total_Amount]]&gt;1000,"High","Low")</f>
        <v>High</v>
      </c>
      <c r="N226" s="2" t="str">
        <f>VLOOKUP(ESales_DB[[#This Row],[Customer_ID]],Ecustom_DB[],3,FALSE)</f>
        <v>Wesley Short</v>
      </c>
      <c r="O226" s="2" t="str">
        <f>_xlfn.XLOOKUP(ESales_DB[[#This Row],[Product_ID]],Eproduct_DB[Product_ID],Eproduct_DB[Category])</f>
        <v>Sports</v>
      </c>
      <c r="P226" s="2" t="str">
        <f>_xlfn.XLOOKUP(ESales_DB[[#This Row],[Product_ID]],Eproduct_DB[Product_ID],Eproduct_DB[Product_Name])</f>
        <v>Sports Wrist Sweatbands</v>
      </c>
      <c r="Q226" s="2" t="str">
        <f>_xlfn.XLOOKUP(ESales_DB[[#This Row],[Store_ID]],Estore_DB[Store_ID],Estore_DB[Region])</f>
        <v>South</v>
      </c>
      <c r="R226" t="str">
        <f>VLOOKUP(ESales_DB[[#This Row],[Customer_ID]],Ecustom_DB[],10,FALSE)</f>
        <v>Gold</v>
      </c>
      <c r="S226" t="str">
        <f>IF(ESales_DB[[#This Row],[Quantity1]]&gt;3,"Bulk order","Normal order")</f>
        <v>Bulk order</v>
      </c>
    </row>
    <row r="227" spans="1:19" x14ac:dyDescent="0.3">
      <c r="A227" t="s">
        <v>1946</v>
      </c>
      <c r="B227" s="4">
        <v>45274</v>
      </c>
      <c r="C227" s="4" t="str">
        <f>TEXT(ESales_DB[[#This Row],[Order_Date]],"mmm")</f>
        <v>Dec</v>
      </c>
      <c r="D227" t="s">
        <v>743</v>
      </c>
      <c r="E227" t="s">
        <v>1610</v>
      </c>
      <c r="F227" t="s">
        <v>1807</v>
      </c>
      <c r="G227">
        <v>2</v>
      </c>
      <c r="H227" s="10">
        <f>IF(ISBLANK(ESales_DB[[#This Row],[Quantity]]),AVERAGEIF(ESales_DB[Product_ID],ESales_DB[[#This Row],[Product_ID]],ESales_DB[Quantity]),ESales_DB[[#This Row],[Quantity]])</f>
        <v>2</v>
      </c>
      <c r="I227" s="2">
        <v>872.93</v>
      </c>
      <c r="J227">
        <v>0.28999999999999998</v>
      </c>
      <c r="K227" t="s">
        <v>1829</v>
      </c>
      <c r="L227" s="2">
        <v>1239.5606</v>
      </c>
      <c r="M227" s="2" t="str">
        <f>IF(ESales_DB[[#This Row],[Total_Amount]]&gt;1000,"High","Low")</f>
        <v>High</v>
      </c>
      <c r="N227" s="2" t="str">
        <f>VLOOKUP(ESales_DB[[#This Row],[Customer_ID]],Ecustom_DB[],3,FALSE)</f>
        <v>Timothy Juarez</v>
      </c>
      <c r="O227" s="2" t="str">
        <f>_xlfn.XLOOKUP(ESales_DB[[#This Row],[Product_ID]],Eproduct_DB[Product_ID],Eproduct_DB[Category])</f>
        <v>Sports</v>
      </c>
      <c r="P227" s="2" t="str">
        <f>_xlfn.XLOOKUP(ESales_DB[[#This Row],[Product_ID]],Eproduct_DB[Product_ID],Eproduct_DB[Product_Name])</f>
        <v>Basketball</v>
      </c>
      <c r="Q227" s="2" t="str">
        <f>_xlfn.XLOOKUP(ESales_DB[[#This Row],[Store_ID]],Estore_DB[Store_ID],Estore_DB[Region])</f>
        <v>North</v>
      </c>
      <c r="R227" t="str">
        <f>VLOOKUP(ESales_DB[[#This Row],[Customer_ID]],Ecustom_DB[],10,FALSE)</f>
        <v>Bronze</v>
      </c>
      <c r="S227" t="str">
        <f>IF(ESales_DB[[#This Row],[Quantity1]]&gt;3,"Bulk order","Normal order")</f>
        <v>Normal order</v>
      </c>
    </row>
    <row r="228" spans="1:19" x14ac:dyDescent="0.3">
      <c r="A228" t="s">
        <v>3026</v>
      </c>
      <c r="B228" s="4">
        <v>45313</v>
      </c>
      <c r="C228" s="4" t="str">
        <f>TEXT(ESales_DB[[#This Row],[Order_Date]],"mmm")</f>
        <v>Jan</v>
      </c>
      <c r="D228" t="s">
        <v>1328</v>
      </c>
      <c r="E228" t="s">
        <v>1680</v>
      </c>
      <c r="F228" t="s">
        <v>1761</v>
      </c>
      <c r="G228">
        <v>1</v>
      </c>
      <c r="H228" s="10">
        <f>IF(ISBLANK(ESales_DB[[#This Row],[Quantity]]),AVERAGEIF(ESales_DB[Product_ID],ESales_DB[[#This Row],[Product_ID]],ESales_DB[Quantity]),ESales_DB[[#This Row],[Quantity]])</f>
        <v>1</v>
      </c>
      <c r="I228" s="2">
        <v>743.55</v>
      </c>
      <c r="J228">
        <v>0.11</v>
      </c>
      <c r="K228" t="s">
        <v>1829</v>
      </c>
      <c r="L228" s="2">
        <v>661.7595</v>
      </c>
      <c r="M228" s="2" t="str">
        <f>IF(ESales_DB[[#This Row],[Total_Amount]]&gt;1000,"High","Low")</f>
        <v>Low</v>
      </c>
      <c r="N228" s="2" t="str">
        <f>VLOOKUP(ESales_DB[[#This Row],[Customer_ID]],Ecustom_DB[],3,FALSE)</f>
        <v>Samuel Mullins</v>
      </c>
      <c r="O228" s="2" t="str">
        <f>_xlfn.XLOOKUP(ESales_DB[[#This Row],[Product_ID]],Eproduct_DB[Product_ID],Eproduct_DB[Category])</f>
        <v>Beauty</v>
      </c>
      <c r="P228" s="2" t="str">
        <f>_xlfn.XLOOKUP(ESales_DB[[#This Row],[Product_ID]],Eproduct_DB[Product_ID],Eproduct_DB[Product_Name])</f>
        <v>Women's Hair Dryer Brush</v>
      </c>
      <c r="Q228" s="2" t="str">
        <f>_xlfn.XLOOKUP(ESales_DB[[#This Row],[Store_ID]],Estore_DB[Store_ID],Estore_DB[Region])</f>
        <v>South</v>
      </c>
      <c r="R228" t="str">
        <f>VLOOKUP(ESales_DB[[#This Row],[Customer_ID]],Ecustom_DB[],10,FALSE)</f>
        <v>Bronze</v>
      </c>
      <c r="S228" t="str">
        <f>IF(ESales_DB[[#This Row],[Quantity1]]&gt;3,"Bulk order","Normal order")</f>
        <v>Normal order</v>
      </c>
    </row>
    <row r="229" spans="1:19" x14ac:dyDescent="0.3">
      <c r="A229" t="s">
        <v>3027</v>
      </c>
      <c r="B229" s="4">
        <v>45377</v>
      </c>
      <c r="C229" s="4" t="str">
        <f>TEXT(ESales_DB[[#This Row],[Order_Date]],"mmm")</f>
        <v>Mar</v>
      </c>
      <c r="D229" t="s">
        <v>360</v>
      </c>
      <c r="E229" t="s">
        <v>1636</v>
      </c>
      <c r="F229" t="s">
        <v>1766</v>
      </c>
      <c r="G229">
        <v>4</v>
      </c>
      <c r="H229" s="10">
        <f>IF(ISBLANK(ESales_DB[[#This Row],[Quantity]]),AVERAGEIF(ESales_DB[Product_ID],ESales_DB[[#This Row],[Product_ID]],ESales_DB[Quantity]),ESales_DB[[#This Row],[Quantity]])</f>
        <v>4</v>
      </c>
      <c r="I229" s="2">
        <v>530.45000000000005</v>
      </c>
      <c r="J229">
        <v>0.13</v>
      </c>
      <c r="K229" t="s">
        <v>1824</v>
      </c>
      <c r="L229" s="2">
        <v>1845.9659999999999</v>
      </c>
      <c r="M229" s="2" t="str">
        <f>IF(ESales_DB[[#This Row],[Total_Amount]]&gt;1000,"High","Low")</f>
        <v>High</v>
      </c>
      <c r="N229" s="2" t="str">
        <f>VLOOKUP(ESales_DB[[#This Row],[Customer_ID]],Ecustom_DB[],3,FALSE)</f>
        <v>Colleen Maynard</v>
      </c>
      <c r="O229" s="2" t="str">
        <f>_xlfn.XLOOKUP(ESales_DB[[#This Row],[Product_ID]],Eproduct_DB[Product_ID],Eproduct_DB[Category])</f>
        <v>Sports</v>
      </c>
      <c r="P229" s="2" t="str">
        <f>_xlfn.XLOOKUP(ESales_DB[[#This Row],[Product_ID]],Eproduct_DB[Product_ID],Eproduct_DB[Product_Name])</f>
        <v>Adjustable Jump Rope</v>
      </c>
      <c r="Q229" s="2" t="str">
        <f>_xlfn.XLOOKUP(ESales_DB[[#This Row],[Store_ID]],Estore_DB[Store_ID],Estore_DB[Region])</f>
        <v>North</v>
      </c>
      <c r="R229" t="str">
        <f>VLOOKUP(ESales_DB[[#This Row],[Customer_ID]],Ecustom_DB[],10,FALSE)</f>
        <v>Gold</v>
      </c>
      <c r="S229" t="str">
        <f>IF(ESales_DB[[#This Row],[Quantity1]]&gt;3,"Bulk order","Normal order")</f>
        <v>Bulk order</v>
      </c>
    </row>
    <row r="230" spans="1:19" x14ac:dyDescent="0.3">
      <c r="A230" t="s">
        <v>3028</v>
      </c>
      <c r="B230" s="4">
        <v>45371</v>
      </c>
      <c r="C230" s="4" t="str">
        <f>TEXT(ESales_DB[[#This Row],[Order_Date]],"mmm")</f>
        <v>Mar</v>
      </c>
      <c r="D230" t="s">
        <v>842</v>
      </c>
      <c r="E230" t="s">
        <v>1680</v>
      </c>
      <c r="F230" t="s">
        <v>1786</v>
      </c>
      <c r="G230">
        <v>2</v>
      </c>
      <c r="H230" s="10">
        <f>IF(ISBLANK(ESales_DB[[#This Row],[Quantity]]),AVERAGEIF(ESales_DB[Product_ID],ESales_DB[[#This Row],[Product_ID]],ESales_DB[Quantity]),ESales_DB[[#This Row],[Quantity]])</f>
        <v>2</v>
      </c>
      <c r="I230" s="2">
        <v>972.4</v>
      </c>
      <c r="J230">
        <v>0.06</v>
      </c>
      <c r="K230" t="s">
        <v>1829</v>
      </c>
      <c r="L230" s="2">
        <v>1828.1120000000001</v>
      </c>
      <c r="M230" s="2" t="str">
        <f>IF(ESales_DB[[#This Row],[Total_Amount]]&gt;1000,"High","Low")</f>
        <v>High</v>
      </c>
      <c r="N230" s="2" t="str">
        <f>VLOOKUP(ESales_DB[[#This Row],[Customer_ID]],Ecustom_DB[],3,FALSE)</f>
        <v>Matthew Payne</v>
      </c>
      <c r="O230" s="2" t="str">
        <f>_xlfn.XLOOKUP(ESales_DB[[#This Row],[Product_ID]],Eproduct_DB[Product_ID],Eproduct_DB[Category])</f>
        <v>Beauty</v>
      </c>
      <c r="P230" s="2" t="str">
        <f>_xlfn.XLOOKUP(ESales_DB[[#This Row],[Product_ID]],Eproduct_DB[Product_ID],Eproduct_DB[Product_Name])</f>
        <v>Women's Hair Dryer Brush</v>
      </c>
      <c r="Q230" s="2" t="str">
        <f>_xlfn.XLOOKUP(ESales_DB[[#This Row],[Store_ID]],Estore_DB[Store_ID],Estore_DB[Region])</f>
        <v>South</v>
      </c>
      <c r="R230" t="str">
        <f>VLOOKUP(ESales_DB[[#This Row],[Customer_ID]],Ecustom_DB[],10,FALSE)</f>
        <v>Gold</v>
      </c>
      <c r="S230" t="str">
        <f>IF(ESales_DB[[#This Row],[Quantity1]]&gt;3,"Bulk order","Normal order")</f>
        <v>Normal order</v>
      </c>
    </row>
    <row r="231" spans="1:19" x14ac:dyDescent="0.3">
      <c r="A231" t="s">
        <v>3029</v>
      </c>
      <c r="B231" s="4">
        <v>45797</v>
      </c>
      <c r="C231" s="4" t="str">
        <f>TEXT(ESales_DB[[#This Row],[Order_Date]],"mmm")</f>
        <v>May</v>
      </c>
      <c r="D231" t="s">
        <v>1181</v>
      </c>
      <c r="E231" t="s">
        <v>1578</v>
      </c>
      <c r="F231" t="s">
        <v>1810</v>
      </c>
      <c r="G231">
        <v>3</v>
      </c>
      <c r="H231" s="10">
        <f>IF(ISBLANK(ESales_DB[[#This Row],[Quantity]]),AVERAGEIF(ESales_DB[Product_ID],ESales_DB[[#This Row],[Product_ID]],ESales_DB[Quantity]),ESales_DB[[#This Row],[Quantity]])</f>
        <v>3</v>
      </c>
      <c r="I231" s="2">
        <v>197.93</v>
      </c>
      <c r="J231">
        <v>0</v>
      </c>
      <c r="K231" t="s">
        <v>1829</v>
      </c>
      <c r="L231" s="2">
        <v>593.79</v>
      </c>
      <c r="M231" s="2" t="str">
        <f>IF(ESales_DB[[#This Row],[Total_Amount]]&gt;1000,"High","Low")</f>
        <v>Low</v>
      </c>
      <c r="N231" s="2" t="str">
        <f>VLOOKUP(ESales_DB[[#This Row],[Customer_ID]],Ecustom_DB[],3,FALSE)</f>
        <v>Frank Stewart</v>
      </c>
      <c r="O231" s="2" t="str">
        <f>_xlfn.XLOOKUP(ESales_DB[[#This Row],[Product_ID]],Eproduct_DB[Product_ID],Eproduct_DB[Category])</f>
        <v>Electronics</v>
      </c>
      <c r="P231" s="2" t="str">
        <f>_xlfn.XLOOKUP(ESales_DB[[#This Row],[Product_ID]],Eproduct_DB[Product_ID],Eproduct_DB[Product_Name])</f>
        <v>4K Home Projector</v>
      </c>
      <c r="Q231" s="2" t="str">
        <f>_xlfn.XLOOKUP(ESales_DB[[#This Row],[Store_ID]],Estore_DB[Store_ID],Estore_DB[Region])</f>
        <v>East</v>
      </c>
      <c r="R231" t="str">
        <f>VLOOKUP(ESales_DB[[#This Row],[Customer_ID]],Ecustom_DB[],10,FALSE)</f>
        <v>Bronze</v>
      </c>
      <c r="S231" t="str">
        <f>IF(ESales_DB[[#This Row],[Quantity1]]&gt;3,"Bulk order","Normal order")</f>
        <v>Normal order</v>
      </c>
    </row>
    <row r="232" spans="1:19" x14ac:dyDescent="0.3">
      <c r="A232" t="s">
        <v>3030</v>
      </c>
      <c r="B232" s="4">
        <v>45575</v>
      </c>
      <c r="C232" s="4" t="str">
        <f>TEXT(ESales_DB[[#This Row],[Order_Date]],"mmm")</f>
        <v>Oct</v>
      </c>
      <c r="D232" t="s">
        <v>1074</v>
      </c>
      <c r="E232" t="s">
        <v>1722</v>
      </c>
      <c r="F232" t="s">
        <v>1792</v>
      </c>
      <c r="G232">
        <v>4</v>
      </c>
      <c r="H232" s="10">
        <f>IF(ISBLANK(ESales_DB[[#This Row],[Quantity]]),AVERAGEIF(ESales_DB[Product_ID],ESales_DB[[#This Row],[Product_ID]],ESales_DB[Quantity]),ESales_DB[[#This Row],[Quantity]])</f>
        <v>4</v>
      </c>
      <c r="I232" s="2">
        <v>565.51</v>
      </c>
      <c r="J232">
        <v>0.16</v>
      </c>
      <c r="K232" t="s">
        <v>1826</v>
      </c>
      <c r="L232" s="2">
        <v>1900.1135999999999</v>
      </c>
      <c r="M232" s="2" t="str">
        <f>IF(ESales_DB[[#This Row],[Total_Amount]]&gt;1000,"High","Low")</f>
        <v>High</v>
      </c>
      <c r="N232" s="2" t="str">
        <f>VLOOKUP(ESales_DB[[#This Row],[Customer_ID]],Ecustom_DB[],3,FALSE)</f>
        <v>Michelle Cunningham</v>
      </c>
      <c r="O232" s="2" t="str">
        <f>_xlfn.XLOOKUP(ESales_DB[[#This Row],[Product_ID]],Eproduct_DB[Product_ID],Eproduct_DB[Category])</f>
        <v>Home</v>
      </c>
      <c r="P232" s="2" t="str">
        <f>_xlfn.XLOOKUP(ESales_DB[[#This Row],[Product_ID]],Eproduct_DB[Product_ID],Eproduct_DB[Product_Name])</f>
        <v>LED Bedside Lamp</v>
      </c>
      <c r="Q232" s="2" t="str">
        <f>_xlfn.XLOOKUP(ESales_DB[[#This Row],[Store_ID]],Estore_DB[Store_ID],Estore_DB[Region])</f>
        <v>South</v>
      </c>
      <c r="R232" t="str">
        <f>VLOOKUP(ESales_DB[[#This Row],[Customer_ID]],Ecustom_DB[],10,FALSE)</f>
        <v>Bronze</v>
      </c>
      <c r="S232" t="str">
        <f>IF(ESales_DB[[#This Row],[Quantity1]]&gt;3,"Bulk order","Normal order")</f>
        <v>Bulk order</v>
      </c>
    </row>
    <row r="233" spans="1:19" x14ac:dyDescent="0.3">
      <c r="A233" t="s">
        <v>3031</v>
      </c>
      <c r="B233" s="4">
        <v>45566</v>
      </c>
      <c r="C233" s="4" t="str">
        <f>TEXT(ESales_DB[[#This Row],[Order_Date]],"mmm")</f>
        <v>Oct</v>
      </c>
      <c r="D233" t="s">
        <v>1246</v>
      </c>
      <c r="E233" t="s">
        <v>1626</v>
      </c>
      <c r="F233" t="s">
        <v>1769</v>
      </c>
      <c r="G233">
        <v>4</v>
      </c>
      <c r="H233" s="10">
        <f>IF(ISBLANK(ESales_DB[[#This Row],[Quantity]]),AVERAGEIF(ESales_DB[Product_ID],ESales_DB[[#This Row],[Product_ID]],ESales_DB[Quantity]),ESales_DB[[#This Row],[Quantity]])</f>
        <v>4</v>
      </c>
      <c r="I233" s="2">
        <v>983.38</v>
      </c>
      <c r="J233">
        <v>0.25</v>
      </c>
      <c r="K233" t="s">
        <v>1829</v>
      </c>
      <c r="L233" s="2">
        <v>2950.14</v>
      </c>
      <c r="M233" s="2" t="str">
        <f>IF(ESales_DB[[#This Row],[Total_Amount]]&gt;1000,"High","Low")</f>
        <v>High</v>
      </c>
      <c r="N233" s="2" t="str">
        <f>VLOOKUP(ESales_DB[[#This Row],[Customer_ID]],Ecustom_DB[],3,FALSE)</f>
        <v>Mark Rogers</v>
      </c>
      <c r="O233" s="2" t="str">
        <f>_xlfn.XLOOKUP(ESales_DB[[#This Row],[Product_ID]],Eproduct_DB[Product_ID],Eproduct_DB[Category])</f>
        <v>Electronics</v>
      </c>
      <c r="P233" s="2" t="str">
        <f>_xlfn.XLOOKUP(ESales_DB[[#This Row],[Product_ID]],Eproduct_DB[Product_ID],Eproduct_DB[Product_Name])</f>
        <v>Portable Power Bank</v>
      </c>
      <c r="Q233" s="2" t="str">
        <f>_xlfn.XLOOKUP(ESales_DB[[#This Row],[Store_ID]],Estore_DB[Store_ID],Estore_DB[Region])</f>
        <v>South</v>
      </c>
      <c r="R233" t="str">
        <f>VLOOKUP(ESales_DB[[#This Row],[Customer_ID]],Ecustom_DB[],10,FALSE)</f>
        <v>Platinum</v>
      </c>
      <c r="S233" t="str">
        <f>IF(ESales_DB[[#This Row],[Quantity1]]&gt;3,"Bulk order","Normal order")</f>
        <v>Bulk order</v>
      </c>
    </row>
    <row r="234" spans="1:19" x14ac:dyDescent="0.3">
      <c r="A234" t="s">
        <v>3032</v>
      </c>
      <c r="B234" s="4">
        <v>45252</v>
      </c>
      <c r="C234" s="4" t="str">
        <f>TEXT(ESales_DB[[#This Row],[Order_Date]],"mmm")</f>
        <v>Nov</v>
      </c>
      <c r="D234" t="s">
        <v>752</v>
      </c>
      <c r="E234" t="s">
        <v>1746</v>
      </c>
      <c r="F234" t="s">
        <v>1786</v>
      </c>
      <c r="G234">
        <v>1</v>
      </c>
      <c r="H234" s="10">
        <f>IF(ISBLANK(ESales_DB[[#This Row],[Quantity]]),AVERAGEIF(ESales_DB[Product_ID],ESales_DB[[#This Row],[Product_ID]],ESales_DB[Quantity]),ESales_DB[[#This Row],[Quantity]])</f>
        <v>1</v>
      </c>
      <c r="I234" s="2">
        <v>955.06</v>
      </c>
      <c r="J234">
        <v>0.14000000000000001</v>
      </c>
      <c r="K234" t="s">
        <v>1824</v>
      </c>
      <c r="L234" s="2">
        <v>821.35159999999996</v>
      </c>
      <c r="M234" s="2" t="str">
        <f>IF(ESales_DB[[#This Row],[Total_Amount]]&gt;1000,"High","Low")</f>
        <v>Low</v>
      </c>
      <c r="N234" s="2" t="str">
        <f>VLOOKUP(ESales_DB[[#This Row],[Customer_ID]],Ecustom_DB[],3,FALSE)</f>
        <v>Nathaniel Hill</v>
      </c>
      <c r="O234" s="2" t="str">
        <f>_xlfn.XLOOKUP(ESales_DB[[#This Row],[Product_ID]],Eproduct_DB[Product_ID],Eproduct_DB[Category])</f>
        <v>Home</v>
      </c>
      <c r="P234" s="2" t="str">
        <f>_xlfn.XLOOKUP(ESales_DB[[#This Row],[Product_ID]],Eproduct_DB[Product_ID],Eproduct_DB[Product_Name])</f>
        <v>Stainless Steel Cookware Set</v>
      </c>
      <c r="Q234" s="2" t="str">
        <f>_xlfn.XLOOKUP(ESales_DB[[#This Row],[Store_ID]],Estore_DB[Store_ID],Estore_DB[Region])</f>
        <v>South</v>
      </c>
      <c r="R234" t="str">
        <f>VLOOKUP(ESales_DB[[#This Row],[Customer_ID]],Ecustom_DB[],10,FALSE)</f>
        <v>Gold</v>
      </c>
      <c r="S234" t="str">
        <f>IF(ESales_DB[[#This Row],[Quantity1]]&gt;3,"Bulk order","Normal order")</f>
        <v>Normal order</v>
      </c>
    </row>
    <row r="235" spans="1:19" x14ac:dyDescent="0.3">
      <c r="A235" t="s">
        <v>3033</v>
      </c>
      <c r="B235" s="4">
        <v>45693</v>
      </c>
      <c r="C235" s="4" t="str">
        <f>TEXT(ESales_DB[[#This Row],[Order_Date]],"mmm")</f>
        <v>Feb</v>
      </c>
      <c r="D235" t="s">
        <v>1104</v>
      </c>
      <c r="E235" t="s">
        <v>1666</v>
      </c>
      <c r="F235" t="s">
        <v>1801</v>
      </c>
      <c r="G235">
        <v>3</v>
      </c>
      <c r="H235" s="10">
        <f>IF(ISBLANK(ESales_DB[[#This Row],[Quantity]]),AVERAGEIF(ESales_DB[Product_ID],ESales_DB[[#This Row],[Product_ID]],ESales_DB[Quantity]),ESales_DB[[#This Row],[Quantity]])</f>
        <v>3</v>
      </c>
      <c r="I235" s="2">
        <v>597.46</v>
      </c>
      <c r="J235">
        <v>0.02</v>
      </c>
      <c r="K235" t="s">
        <v>1826</v>
      </c>
      <c r="L235" s="2">
        <v>1756.5324000000001</v>
      </c>
      <c r="M235" s="2" t="str">
        <f>IF(ESales_DB[[#This Row],[Total_Amount]]&gt;1000,"High","Low")</f>
        <v>High</v>
      </c>
      <c r="N235" s="2" t="str">
        <f>VLOOKUP(ESales_DB[[#This Row],[Customer_ID]],Ecustom_DB[],3,FALSE)</f>
        <v>Michael Greene</v>
      </c>
      <c r="O235" s="2" t="str">
        <f>_xlfn.XLOOKUP(ESales_DB[[#This Row],[Product_ID]],Eproduct_DB[Product_ID],Eproduct_DB[Category])</f>
        <v>Beauty</v>
      </c>
      <c r="P235" s="2" t="str">
        <f>_xlfn.XLOOKUP(ESales_DB[[#This Row],[Product_ID]],Eproduct_DB[Product_ID],Eproduct_DB[Product_Name])</f>
        <v>Men's Hair Styling Gel</v>
      </c>
      <c r="Q235" s="2" t="str">
        <f>_xlfn.XLOOKUP(ESales_DB[[#This Row],[Store_ID]],Estore_DB[Store_ID],Estore_DB[Region])</f>
        <v>North</v>
      </c>
      <c r="R235" t="str">
        <f>VLOOKUP(ESales_DB[[#This Row],[Customer_ID]],Ecustom_DB[],10,FALSE)</f>
        <v>Silver</v>
      </c>
      <c r="S235" t="str">
        <f>IF(ESales_DB[[#This Row],[Quantity1]]&gt;3,"Bulk order","Normal order")</f>
        <v>Normal order</v>
      </c>
    </row>
    <row r="236" spans="1:19" x14ac:dyDescent="0.3">
      <c r="A236" t="s">
        <v>3034</v>
      </c>
      <c r="B236" s="4">
        <v>45446</v>
      </c>
      <c r="C236" s="4" t="str">
        <f>TEXT(ESales_DB[[#This Row],[Order_Date]],"mmm")</f>
        <v>Jun</v>
      </c>
      <c r="D236" t="s">
        <v>999</v>
      </c>
      <c r="E236" t="s">
        <v>1562</v>
      </c>
      <c r="F236" t="s">
        <v>1804</v>
      </c>
      <c r="G236">
        <v>3</v>
      </c>
      <c r="H236" s="10">
        <f>IF(ISBLANK(ESales_DB[[#This Row],[Quantity]]),AVERAGEIF(ESales_DB[Product_ID],ESales_DB[[#This Row],[Product_ID]],ESales_DB[Quantity]),ESales_DB[[#This Row],[Quantity]])</f>
        <v>3</v>
      </c>
      <c r="I236" s="2">
        <v>581.09</v>
      </c>
      <c r="J236">
        <v>0.1</v>
      </c>
      <c r="K236" t="s">
        <v>1829</v>
      </c>
      <c r="L236" s="2">
        <v>1568.943</v>
      </c>
      <c r="M236" s="2" t="str">
        <f>IF(ESales_DB[[#This Row],[Total_Amount]]&gt;1000,"High","Low")</f>
        <v>High</v>
      </c>
      <c r="N236" s="2" t="str">
        <f>VLOOKUP(ESales_DB[[#This Row],[Customer_ID]],Ecustom_DB[],3,FALSE)</f>
        <v>Tiffany Williams</v>
      </c>
      <c r="O236" s="2" t="str">
        <f>_xlfn.XLOOKUP(ESales_DB[[#This Row],[Product_ID]],Eproduct_DB[Product_ID],Eproduct_DB[Category])</f>
        <v>Electronics</v>
      </c>
      <c r="P236" s="2" t="str">
        <f>_xlfn.XLOOKUP(ESales_DB[[#This Row],[Product_ID]],Eproduct_DB[Product_ID],Eproduct_DB[Product_Name])</f>
        <v>Wireless Bluetooth Earbuds</v>
      </c>
      <c r="Q236" s="2" t="str">
        <f>_xlfn.XLOOKUP(ESales_DB[[#This Row],[Store_ID]],Estore_DB[Store_ID],Estore_DB[Region])</f>
        <v>West</v>
      </c>
      <c r="R236" t="str">
        <f>VLOOKUP(ESales_DB[[#This Row],[Customer_ID]],Ecustom_DB[],10,FALSE)</f>
        <v>Gold</v>
      </c>
      <c r="S236" t="str">
        <f>IF(ESales_DB[[#This Row],[Quantity1]]&gt;3,"Bulk order","Normal order")</f>
        <v>Normal order</v>
      </c>
    </row>
    <row r="237" spans="1:19" x14ac:dyDescent="0.3">
      <c r="A237" t="s">
        <v>3035</v>
      </c>
      <c r="B237" s="4">
        <v>45862</v>
      </c>
      <c r="C237" s="4" t="str">
        <f>TEXT(ESales_DB[[#This Row],[Order_Date]],"mmm")</f>
        <v>Jul</v>
      </c>
      <c r="D237" t="s">
        <v>205</v>
      </c>
      <c r="E237" t="s">
        <v>1608</v>
      </c>
      <c r="F237" t="s">
        <v>1769</v>
      </c>
      <c r="G237">
        <v>4</v>
      </c>
      <c r="H237" s="10">
        <f>IF(ISBLANK(ESales_DB[[#This Row],[Quantity]]),AVERAGEIF(ESales_DB[Product_ID],ESales_DB[[#This Row],[Product_ID]],ESales_DB[Quantity]),ESales_DB[[#This Row],[Quantity]])</f>
        <v>4</v>
      </c>
      <c r="I237" s="2">
        <v>153.94999999999999</v>
      </c>
      <c r="J237">
        <v>0.11</v>
      </c>
      <c r="K237" t="s">
        <v>1826</v>
      </c>
      <c r="L237" s="2">
        <v>548.06200000000001</v>
      </c>
      <c r="M237" s="2" t="str">
        <f>IF(ESales_DB[[#This Row],[Total_Amount]]&gt;1000,"High","Low")</f>
        <v>Low</v>
      </c>
      <c r="N237" s="2" t="str">
        <f>VLOOKUP(ESales_DB[[#This Row],[Customer_ID]],Ecustom_DB[],3,FALSE)</f>
        <v>Katherine Dorsey</v>
      </c>
      <c r="O237" s="2" t="str">
        <f>_xlfn.XLOOKUP(ESales_DB[[#This Row],[Product_ID]],Eproduct_DB[Product_ID],Eproduct_DB[Category])</f>
        <v>Home</v>
      </c>
      <c r="P237" s="2" t="str">
        <f>_xlfn.XLOOKUP(ESales_DB[[#This Row],[Product_ID]],Eproduct_DB[Product_ID],Eproduct_DB[Product_Name])</f>
        <v>Stainless Steel Cutlery Set</v>
      </c>
      <c r="Q237" s="2" t="str">
        <f>_xlfn.XLOOKUP(ESales_DB[[#This Row],[Store_ID]],Estore_DB[Store_ID],Estore_DB[Region])</f>
        <v>South</v>
      </c>
      <c r="R237" t="str">
        <f>VLOOKUP(ESales_DB[[#This Row],[Customer_ID]],Ecustom_DB[],10,FALSE)</f>
        <v>Platinum</v>
      </c>
      <c r="S237" t="str">
        <f>IF(ESales_DB[[#This Row],[Quantity1]]&gt;3,"Bulk order","Normal order")</f>
        <v>Bulk order</v>
      </c>
    </row>
    <row r="238" spans="1:19" x14ac:dyDescent="0.3">
      <c r="A238" t="s">
        <v>1947</v>
      </c>
      <c r="B238" s="4">
        <v>45558</v>
      </c>
      <c r="C238" s="4" t="str">
        <f>TEXT(ESales_DB[[#This Row],[Order_Date]],"mmm")</f>
        <v>Sep</v>
      </c>
      <c r="D238" t="s">
        <v>842</v>
      </c>
      <c r="E238" t="s">
        <v>1592</v>
      </c>
      <c r="F238" t="s">
        <v>1789</v>
      </c>
      <c r="G238">
        <v>3</v>
      </c>
      <c r="H238" s="10">
        <f>IF(ISBLANK(ESales_DB[[#This Row],[Quantity]]),AVERAGEIF(ESales_DB[Product_ID],ESales_DB[[#This Row],[Product_ID]],ESales_DB[Quantity]),ESales_DB[[#This Row],[Quantity]])</f>
        <v>3</v>
      </c>
      <c r="I238" s="2">
        <v>432.4</v>
      </c>
      <c r="J238">
        <v>0.04</v>
      </c>
      <c r="K238" t="s">
        <v>1824</v>
      </c>
      <c r="L238" s="2">
        <v>1245.3119999999999</v>
      </c>
      <c r="M238" s="2" t="str">
        <f>IF(ESales_DB[[#This Row],[Total_Amount]]&gt;1000,"High","Low")</f>
        <v>High</v>
      </c>
      <c r="N238" s="2" t="str">
        <f>VLOOKUP(ESales_DB[[#This Row],[Customer_ID]],Ecustom_DB[],3,FALSE)</f>
        <v>Matthew Payne</v>
      </c>
      <c r="O238" s="2" t="str">
        <f>_xlfn.XLOOKUP(ESales_DB[[#This Row],[Product_ID]],Eproduct_DB[Product_ID],Eproduct_DB[Category])</f>
        <v>Sports</v>
      </c>
      <c r="P238" s="2" t="str">
        <f>_xlfn.XLOOKUP(ESales_DB[[#This Row],[Product_ID]],Eproduct_DB[Product_ID],Eproduct_DB[Product_Name])</f>
        <v>Carbon Fiber Tennis Racket</v>
      </c>
      <c r="Q238" s="2" t="str">
        <f>_xlfn.XLOOKUP(ESales_DB[[#This Row],[Store_ID]],Estore_DB[Store_ID],Estore_DB[Region])</f>
        <v>East</v>
      </c>
      <c r="R238" t="str">
        <f>VLOOKUP(ESales_DB[[#This Row],[Customer_ID]],Ecustom_DB[],10,FALSE)</f>
        <v>Gold</v>
      </c>
      <c r="S238" t="str">
        <f>IF(ESales_DB[[#This Row],[Quantity1]]&gt;3,"Bulk order","Normal order")</f>
        <v>Normal order</v>
      </c>
    </row>
    <row r="239" spans="1:19" x14ac:dyDescent="0.3">
      <c r="A239" t="s">
        <v>3036</v>
      </c>
      <c r="B239" s="4">
        <v>45530</v>
      </c>
      <c r="C239" s="4" t="str">
        <f>TEXT(ESales_DB[[#This Row],[Order_Date]],"mmm")</f>
        <v>Aug</v>
      </c>
      <c r="D239" t="s">
        <v>295</v>
      </c>
      <c r="E239" t="s">
        <v>1620</v>
      </c>
      <c r="F239" t="s">
        <v>1782</v>
      </c>
      <c r="G239">
        <v>4</v>
      </c>
      <c r="H239" s="10">
        <f>IF(ISBLANK(ESales_DB[[#This Row],[Quantity]]),AVERAGEIF(ESales_DB[Product_ID],ESales_DB[[#This Row],[Product_ID]],ESales_DB[Quantity]),ESales_DB[[#This Row],[Quantity]])</f>
        <v>4</v>
      </c>
      <c r="I239" s="2">
        <v>271.04000000000002</v>
      </c>
      <c r="J239">
        <v>0.12</v>
      </c>
      <c r="K239" t="s">
        <v>1829</v>
      </c>
      <c r="L239" s="2">
        <v>954.06080000000009</v>
      </c>
      <c r="M239" s="2" t="str">
        <f>IF(ESales_DB[[#This Row],[Total_Amount]]&gt;1000,"High","Low")</f>
        <v>Low</v>
      </c>
      <c r="N239" s="2" t="str">
        <f>VLOOKUP(ESales_DB[[#This Row],[Customer_ID]],Ecustom_DB[],3,FALSE)</f>
        <v>Krystal Ford</v>
      </c>
      <c r="O239" s="2" t="str">
        <f>_xlfn.XLOOKUP(ESales_DB[[#This Row],[Product_ID]],Eproduct_DB[Product_ID],Eproduct_DB[Category])</f>
        <v>Clothing</v>
      </c>
      <c r="P239" s="2" t="str">
        <f>_xlfn.XLOOKUP(ESales_DB[[#This Row],[Product_ID]],Eproduct_DB[Product_ID],Eproduct_DB[Product_Name])</f>
        <v>Women's Summer Dress</v>
      </c>
      <c r="Q239" s="2" t="str">
        <f>_xlfn.XLOOKUP(ESales_DB[[#This Row],[Store_ID]],Estore_DB[Store_ID],Estore_DB[Region])</f>
        <v>West</v>
      </c>
      <c r="R239" t="str">
        <f>VLOOKUP(ESales_DB[[#This Row],[Customer_ID]],Ecustom_DB[],10,FALSE)</f>
        <v>Platinum</v>
      </c>
      <c r="S239" t="str">
        <f>IF(ESales_DB[[#This Row],[Quantity1]]&gt;3,"Bulk order","Normal order")</f>
        <v>Bulk order</v>
      </c>
    </row>
    <row r="240" spans="1:19" x14ac:dyDescent="0.3">
      <c r="A240" t="s">
        <v>3037</v>
      </c>
      <c r="B240" s="4">
        <v>45558</v>
      </c>
      <c r="C240" s="4" t="str">
        <f>TEXT(ESales_DB[[#This Row],[Order_Date]],"mmm")</f>
        <v>Sep</v>
      </c>
      <c r="D240" t="s">
        <v>71</v>
      </c>
      <c r="E240" t="s">
        <v>1618</v>
      </c>
      <c r="F240" t="s">
        <v>1776</v>
      </c>
      <c r="G240">
        <v>4</v>
      </c>
      <c r="H240" s="10">
        <f>IF(ISBLANK(ESales_DB[[#This Row],[Quantity]]),AVERAGEIF(ESales_DB[Product_ID],ESales_DB[[#This Row],[Product_ID]],ESales_DB[Quantity]),ESales_DB[[#This Row],[Quantity]])</f>
        <v>4</v>
      </c>
      <c r="I240" s="2">
        <v>328.27</v>
      </c>
      <c r="J240">
        <v>0.09</v>
      </c>
      <c r="K240" t="s">
        <v>1826</v>
      </c>
      <c r="L240" s="2">
        <v>1194.9028000000001</v>
      </c>
      <c r="M240" s="2" t="str">
        <f>IF(ESales_DB[[#This Row],[Total_Amount]]&gt;1000,"High","Low")</f>
        <v>High</v>
      </c>
      <c r="N240" s="2" t="str">
        <f>VLOOKUP(ESales_DB[[#This Row],[Customer_ID]],Ecustom_DB[],3,FALSE)</f>
        <v>Laura Alvarez</v>
      </c>
      <c r="O240" s="2" t="str">
        <f>_xlfn.XLOOKUP(ESales_DB[[#This Row],[Product_ID]],Eproduct_DB[Product_ID],Eproduct_DB[Category])</f>
        <v>Home</v>
      </c>
      <c r="P240" s="2" t="str">
        <f>_xlfn.XLOOKUP(ESales_DB[[#This Row],[Product_ID]],Eproduct_DB[Product_ID],Eproduct_DB[Product_Name])</f>
        <v>Bedroom Table Lamp</v>
      </c>
      <c r="Q240" s="2" t="str">
        <f>_xlfn.XLOOKUP(ESales_DB[[#This Row],[Store_ID]],Estore_DB[Store_ID],Estore_DB[Region])</f>
        <v>East</v>
      </c>
      <c r="R240" t="str">
        <f>VLOOKUP(ESales_DB[[#This Row],[Customer_ID]],Ecustom_DB[],10,FALSE)</f>
        <v>Platinum</v>
      </c>
      <c r="S240" t="str">
        <f>IF(ESales_DB[[#This Row],[Quantity1]]&gt;3,"Bulk order","Normal order")</f>
        <v>Bulk order</v>
      </c>
    </row>
    <row r="241" spans="1:19" x14ac:dyDescent="0.3">
      <c r="A241" t="s">
        <v>3038</v>
      </c>
      <c r="B241" s="4">
        <v>45472</v>
      </c>
      <c r="C241" s="4" t="str">
        <f>TEXT(ESales_DB[[#This Row],[Order_Date]],"mmm")</f>
        <v>Jun</v>
      </c>
      <c r="D241" t="s">
        <v>1518</v>
      </c>
      <c r="E241" t="s">
        <v>1582</v>
      </c>
      <c r="F241" t="s">
        <v>1799</v>
      </c>
      <c r="G241">
        <v>4</v>
      </c>
      <c r="H241" s="10">
        <f>IF(ISBLANK(ESales_DB[[#This Row],[Quantity]]),AVERAGEIF(ESales_DB[Product_ID],ESales_DB[[#This Row],[Product_ID]],ESales_DB[Quantity]),ESales_DB[[#This Row],[Quantity]])</f>
        <v>4</v>
      </c>
      <c r="I241" s="2">
        <v>884.71</v>
      </c>
      <c r="J241">
        <v>0.09</v>
      </c>
      <c r="K241" t="s">
        <v>1826</v>
      </c>
      <c r="L241" s="2">
        <v>3220.3444</v>
      </c>
      <c r="M241" s="2" t="str">
        <f>IF(ESales_DB[[#This Row],[Total_Amount]]&gt;1000,"High","Low")</f>
        <v>High</v>
      </c>
      <c r="N241" s="2" t="str">
        <f>VLOOKUP(ESales_DB[[#This Row],[Customer_ID]],Ecustom_DB[],3,FALSE)</f>
        <v>Justin Lopez</v>
      </c>
      <c r="O241" s="2" t="str">
        <f>_xlfn.XLOOKUP(ESales_DB[[#This Row],[Product_ID]],Eproduct_DB[Product_ID],Eproduct_DB[Category])</f>
        <v>Sports</v>
      </c>
      <c r="P241" s="2" t="str">
        <f>_xlfn.XLOOKUP(ESales_DB[[#This Row],[Product_ID]],Eproduct_DB[Product_ID],Eproduct_DB[Product_Name])</f>
        <v>Soccer Training Cone Set</v>
      </c>
      <c r="Q241" s="2" t="str">
        <f>_xlfn.XLOOKUP(ESales_DB[[#This Row],[Store_ID]],Estore_DB[Store_ID],Estore_DB[Region])</f>
        <v>South</v>
      </c>
      <c r="R241" t="str">
        <f>VLOOKUP(ESales_DB[[#This Row],[Customer_ID]],Ecustom_DB[],10,FALSE)</f>
        <v>Gold</v>
      </c>
      <c r="S241" t="str">
        <f>IF(ESales_DB[[#This Row],[Quantity1]]&gt;3,"Bulk order","Normal order")</f>
        <v>Bulk order</v>
      </c>
    </row>
    <row r="242" spans="1:19" x14ac:dyDescent="0.3">
      <c r="A242" t="s">
        <v>3039</v>
      </c>
      <c r="B242" s="4">
        <v>45809</v>
      </c>
      <c r="C242" s="4" t="str">
        <f>TEXT(ESales_DB[[#This Row],[Order_Date]],"mmm")</f>
        <v>Jun</v>
      </c>
      <c r="D242" t="s">
        <v>797</v>
      </c>
      <c r="E242" t="s">
        <v>1692</v>
      </c>
      <c r="F242" t="s">
        <v>1769</v>
      </c>
      <c r="G242">
        <v>1</v>
      </c>
      <c r="H242" s="10">
        <f>IF(ISBLANK(ESales_DB[[#This Row],[Quantity]]),AVERAGEIF(ESales_DB[Product_ID],ESales_DB[[#This Row],[Product_ID]],ESales_DB[Quantity]),ESales_DB[[#This Row],[Quantity]])</f>
        <v>1</v>
      </c>
      <c r="I242" s="2">
        <v>41.39</v>
      </c>
      <c r="J242">
        <v>0.01</v>
      </c>
      <c r="K242" t="s">
        <v>1824</v>
      </c>
      <c r="L242" s="2">
        <v>40.976100000000002</v>
      </c>
      <c r="M242" s="2" t="str">
        <f>IF(ESales_DB[[#This Row],[Total_Amount]]&gt;1000,"High","Low")</f>
        <v>Low</v>
      </c>
      <c r="N242" s="2" t="str">
        <f>VLOOKUP(ESales_DB[[#This Row],[Customer_ID]],Ecustom_DB[],3,FALSE)</f>
        <v>Lauren George</v>
      </c>
      <c r="O242" s="2" t="str">
        <f>_xlfn.XLOOKUP(ESales_DB[[#This Row],[Product_ID]],Eproduct_DB[Product_ID],Eproduct_DB[Category])</f>
        <v>Sports</v>
      </c>
      <c r="P242" s="2" t="str">
        <f>_xlfn.XLOOKUP(ESales_DB[[#This Row],[Product_ID]],Eproduct_DB[Product_ID],Eproduct_DB[Product_Name])</f>
        <v>Professional Jump Rope</v>
      </c>
      <c r="Q242" s="2" t="str">
        <f>_xlfn.XLOOKUP(ESales_DB[[#This Row],[Store_ID]],Estore_DB[Store_ID],Estore_DB[Region])</f>
        <v>South</v>
      </c>
      <c r="R242" t="str">
        <f>VLOOKUP(ESales_DB[[#This Row],[Customer_ID]],Ecustom_DB[],10,FALSE)</f>
        <v>Gold</v>
      </c>
      <c r="S242" t="str">
        <f>IF(ESales_DB[[#This Row],[Quantity1]]&gt;3,"Bulk order","Normal order")</f>
        <v>Normal order</v>
      </c>
    </row>
    <row r="243" spans="1:19" x14ac:dyDescent="0.3">
      <c r="A243" t="s">
        <v>3040</v>
      </c>
      <c r="B243" s="4">
        <v>45783</v>
      </c>
      <c r="C243" s="4" t="str">
        <f>TEXT(ESales_DB[[#This Row],[Order_Date]],"mmm")</f>
        <v>May</v>
      </c>
      <c r="D243" t="s">
        <v>550</v>
      </c>
      <c r="E243" t="s">
        <v>1662</v>
      </c>
      <c r="F243" t="s">
        <v>1786</v>
      </c>
      <c r="G243">
        <v>4</v>
      </c>
      <c r="H243" s="10">
        <f>IF(ISBLANK(ESales_DB[[#This Row],[Quantity]]),AVERAGEIF(ESales_DB[Product_ID],ESales_DB[[#This Row],[Product_ID]],ESales_DB[Quantity]),ESales_DB[[#This Row],[Quantity]])</f>
        <v>4</v>
      </c>
      <c r="I243" s="2">
        <v>64.06</v>
      </c>
      <c r="J243">
        <v>0.26</v>
      </c>
      <c r="K243" t="s">
        <v>1824</v>
      </c>
      <c r="L243" s="2">
        <v>189.61760000000001</v>
      </c>
      <c r="M243" s="2" t="str">
        <f>IF(ESales_DB[[#This Row],[Total_Amount]]&gt;1000,"High","Low")</f>
        <v>Low</v>
      </c>
      <c r="N243" s="2" t="str">
        <f>VLOOKUP(ESales_DB[[#This Row],[Customer_ID]],Ecustom_DB[],3,FALSE)</f>
        <v>Jason Wheeler</v>
      </c>
      <c r="O243" s="2" t="str">
        <f>_xlfn.XLOOKUP(ESales_DB[[#This Row],[Product_ID]],Eproduct_DB[Product_ID],Eproduct_DB[Category])</f>
        <v>Sports</v>
      </c>
      <c r="P243" s="2" t="str">
        <f>_xlfn.XLOOKUP(ESales_DB[[#This Row],[Product_ID]],Eproduct_DB[Product_ID],Eproduct_DB[Product_Name])</f>
        <v>Foam Roller</v>
      </c>
      <c r="Q243" s="2" t="str">
        <f>_xlfn.XLOOKUP(ESales_DB[[#This Row],[Store_ID]],Estore_DB[Store_ID],Estore_DB[Region])</f>
        <v>South</v>
      </c>
      <c r="R243" t="str">
        <f>VLOOKUP(ESales_DB[[#This Row],[Customer_ID]],Ecustom_DB[],10,FALSE)</f>
        <v>Platinum</v>
      </c>
      <c r="S243" t="str">
        <f>IF(ESales_DB[[#This Row],[Quantity1]]&gt;3,"Bulk order","Normal order")</f>
        <v>Bulk order</v>
      </c>
    </row>
    <row r="244" spans="1:19" x14ac:dyDescent="0.3">
      <c r="A244" t="s">
        <v>3041</v>
      </c>
      <c r="B244" s="4">
        <v>45849</v>
      </c>
      <c r="C244" s="4" t="str">
        <f>TEXT(ESales_DB[[#This Row],[Order_Date]],"mmm")</f>
        <v>Jul</v>
      </c>
      <c r="D244" t="s">
        <v>1086</v>
      </c>
      <c r="E244" t="s">
        <v>1640</v>
      </c>
      <c r="F244" t="s">
        <v>1786</v>
      </c>
      <c r="G244">
        <v>2</v>
      </c>
      <c r="H244" s="10">
        <f>IF(ISBLANK(ESales_DB[[#This Row],[Quantity]]),AVERAGEIF(ESales_DB[Product_ID],ESales_DB[[#This Row],[Product_ID]],ESales_DB[Quantity]),ESales_DB[[#This Row],[Quantity]])</f>
        <v>2</v>
      </c>
      <c r="I244" s="2">
        <v>152.25</v>
      </c>
      <c r="J244">
        <v>0.13</v>
      </c>
      <c r="K244" t="s">
        <v>1824</v>
      </c>
      <c r="L244" s="2">
        <v>264.91500000000002</v>
      </c>
      <c r="M244" s="2" t="str">
        <f>IF(ESales_DB[[#This Row],[Total_Amount]]&gt;1000,"High","Low")</f>
        <v>Low</v>
      </c>
      <c r="N244" s="2" t="str">
        <f>VLOOKUP(ESales_DB[[#This Row],[Customer_ID]],Ecustom_DB[],3,FALSE)</f>
        <v>John Jordan</v>
      </c>
      <c r="O244" s="2" t="str">
        <f>_xlfn.XLOOKUP(ESales_DB[[#This Row],[Product_ID]],Eproduct_DB[Product_ID],Eproduct_DB[Category])</f>
        <v>Clothing</v>
      </c>
      <c r="P244" s="2" t="str">
        <f>_xlfn.XLOOKUP(ESales_DB[[#This Row],[Product_ID]],Eproduct_DB[Product_ID],Eproduct_DB[Product_Name])</f>
        <v>Men's Winter Jacket</v>
      </c>
      <c r="Q244" s="2" t="str">
        <f>_xlfn.XLOOKUP(ESales_DB[[#This Row],[Store_ID]],Estore_DB[Store_ID],Estore_DB[Region])</f>
        <v>South</v>
      </c>
      <c r="R244" t="str">
        <f>VLOOKUP(ESales_DB[[#This Row],[Customer_ID]],Ecustom_DB[],10,FALSE)</f>
        <v>Platinum</v>
      </c>
      <c r="S244" t="str">
        <f>IF(ESales_DB[[#This Row],[Quantity1]]&gt;3,"Bulk order","Normal order")</f>
        <v>Normal order</v>
      </c>
    </row>
    <row r="245" spans="1:19" x14ac:dyDescent="0.3">
      <c r="A245" t="s">
        <v>3042</v>
      </c>
      <c r="B245" s="4">
        <v>45281</v>
      </c>
      <c r="C245" s="4" t="str">
        <f>TEXT(ESales_DB[[#This Row],[Order_Date]],"mmm")</f>
        <v>Dec</v>
      </c>
      <c r="D245" t="s">
        <v>356</v>
      </c>
      <c r="E245" t="s">
        <v>1574</v>
      </c>
      <c r="F245" t="s">
        <v>1813</v>
      </c>
      <c r="G245">
        <v>2</v>
      </c>
      <c r="H245" s="10">
        <f>IF(ISBLANK(ESales_DB[[#This Row],[Quantity]]),AVERAGEIF(ESales_DB[Product_ID],ESales_DB[[#This Row],[Product_ID]],ESales_DB[Quantity]),ESales_DB[[#This Row],[Quantity]])</f>
        <v>2</v>
      </c>
      <c r="I245" s="2">
        <v>889.04</v>
      </c>
      <c r="J245">
        <v>0.23</v>
      </c>
      <c r="K245" t="s">
        <v>1824</v>
      </c>
      <c r="L245" s="2">
        <v>1369.1215999999999</v>
      </c>
      <c r="M245" s="2" t="str">
        <f>IF(ESales_DB[[#This Row],[Total_Amount]]&gt;1000,"High","Low")</f>
        <v>High</v>
      </c>
      <c r="N245" s="2" t="str">
        <f>VLOOKUP(ESales_DB[[#This Row],[Customer_ID]],Ecustom_DB[],3,FALSE)</f>
        <v>Diane Watson</v>
      </c>
      <c r="O245" s="2" t="str">
        <f>_xlfn.XLOOKUP(ESales_DB[[#This Row],[Product_ID]],Eproduct_DB[Product_ID],Eproduct_DB[Category])</f>
        <v>Electronics</v>
      </c>
      <c r="P245" s="2" t="str">
        <f>_xlfn.XLOOKUP(ESales_DB[[#This Row],[Product_ID]],Eproduct_DB[Product_ID],Eproduct_DB[Product_Name])</f>
        <v>USB-C Fast Charger</v>
      </c>
      <c r="Q245" s="2" t="str">
        <f>_xlfn.XLOOKUP(ESales_DB[[#This Row],[Store_ID]],Estore_DB[Store_ID],Estore_DB[Region])</f>
        <v>East</v>
      </c>
      <c r="R245" t="str">
        <f>VLOOKUP(ESales_DB[[#This Row],[Customer_ID]],Ecustom_DB[],10,FALSE)</f>
        <v>Platinum</v>
      </c>
      <c r="S245" t="str">
        <f>IF(ESales_DB[[#This Row],[Quantity1]]&gt;3,"Bulk order","Normal order")</f>
        <v>Normal order</v>
      </c>
    </row>
    <row r="246" spans="1:19" x14ac:dyDescent="0.3">
      <c r="A246" t="s">
        <v>3043</v>
      </c>
      <c r="B246" s="4">
        <v>45322</v>
      </c>
      <c r="C246" s="4" t="str">
        <f>TEXT(ESales_DB[[#This Row],[Order_Date]],"mmm")</f>
        <v>Jan</v>
      </c>
      <c r="D246" t="s">
        <v>538</v>
      </c>
      <c r="E246" t="s">
        <v>1622</v>
      </c>
      <c r="F246" t="s">
        <v>1789</v>
      </c>
      <c r="G246">
        <v>3</v>
      </c>
      <c r="H246" s="10">
        <f>IF(ISBLANK(ESales_DB[[#This Row],[Quantity]]),AVERAGEIF(ESales_DB[Product_ID],ESales_DB[[#This Row],[Product_ID]],ESales_DB[Quantity]),ESales_DB[[#This Row],[Quantity]])</f>
        <v>3</v>
      </c>
      <c r="I246" s="2">
        <v>145.25</v>
      </c>
      <c r="J246">
        <v>0.24</v>
      </c>
      <c r="K246" t="s">
        <v>1826</v>
      </c>
      <c r="L246" s="2">
        <v>331.17</v>
      </c>
      <c r="M246" s="2" t="str">
        <f>IF(ESales_DB[[#This Row],[Total_Amount]]&gt;1000,"High","Low")</f>
        <v>Low</v>
      </c>
      <c r="N246" s="2" t="str">
        <f>VLOOKUP(ESales_DB[[#This Row],[Customer_ID]],Ecustom_DB[],3,FALSE)</f>
        <v>Cynthia Morris</v>
      </c>
      <c r="O246" s="2" t="str">
        <f>_xlfn.XLOOKUP(ESales_DB[[#This Row],[Product_ID]],Eproduct_DB[Product_ID],Eproduct_DB[Category])</f>
        <v>Clothing</v>
      </c>
      <c r="P246" s="2" t="str">
        <f>_xlfn.XLOOKUP(ESales_DB[[#This Row],[Product_ID]],Eproduct_DB[Product_ID],Eproduct_DB[Product_Name])</f>
        <v>Men's Casual Sneakers</v>
      </c>
      <c r="Q246" s="2" t="str">
        <f>_xlfn.XLOOKUP(ESales_DB[[#This Row],[Store_ID]],Estore_DB[Store_ID],Estore_DB[Region])</f>
        <v>East</v>
      </c>
      <c r="R246" t="str">
        <f>VLOOKUP(ESales_DB[[#This Row],[Customer_ID]],Ecustom_DB[],10,FALSE)</f>
        <v>Silver</v>
      </c>
      <c r="S246" t="str">
        <f>IF(ESales_DB[[#This Row],[Quantity1]]&gt;3,"Bulk order","Normal order")</f>
        <v>Normal order</v>
      </c>
    </row>
    <row r="247" spans="1:19" x14ac:dyDescent="0.3">
      <c r="A247" t="s">
        <v>3044</v>
      </c>
      <c r="B247" s="4">
        <v>45560</v>
      </c>
      <c r="C247" s="4" t="str">
        <f>TEXT(ESales_DB[[#This Row],[Order_Date]],"mmm")</f>
        <v>Sep</v>
      </c>
      <c r="D247" t="s">
        <v>211</v>
      </c>
      <c r="E247" t="s">
        <v>1724</v>
      </c>
      <c r="F247" t="s">
        <v>1761</v>
      </c>
      <c r="G247">
        <v>2</v>
      </c>
      <c r="H247" s="10">
        <f>IF(ISBLANK(ESales_DB[[#This Row],[Quantity]]),AVERAGEIF(ESales_DB[Product_ID],ESales_DB[[#This Row],[Product_ID]],ESales_DB[Quantity]),ESales_DB[[#This Row],[Quantity]])</f>
        <v>2</v>
      </c>
      <c r="I247" s="2">
        <v>898.45</v>
      </c>
      <c r="J247">
        <v>0.28999999999999998</v>
      </c>
      <c r="K247" t="s">
        <v>1829</v>
      </c>
      <c r="L247" s="2">
        <v>1275.799</v>
      </c>
      <c r="M247" s="2" t="str">
        <f>IF(ESales_DB[[#This Row],[Total_Amount]]&gt;1000,"High","Low")</f>
        <v>High</v>
      </c>
      <c r="N247" s="2" t="str">
        <f>VLOOKUP(ESales_DB[[#This Row],[Customer_ID]],Ecustom_DB[],3,FALSE)</f>
        <v>Christopher Sutton</v>
      </c>
      <c r="O247" s="2" t="str">
        <f>_xlfn.XLOOKUP(ESales_DB[[#This Row],[Product_ID]],Eproduct_DB[Product_ID],Eproduct_DB[Category])</f>
        <v>Sports</v>
      </c>
      <c r="P247" s="2" t="str">
        <f>_xlfn.XLOOKUP(ESales_DB[[#This Row],[Product_ID]],Eproduct_DB[Product_ID],Eproduct_DB[Product_Name])</f>
        <v>Sports Wrist Sweatbands</v>
      </c>
      <c r="Q247" s="2" t="str">
        <f>_xlfn.XLOOKUP(ESales_DB[[#This Row],[Store_ID]],Estore_DB[Store_ID],Estore_DB[Region])</f>
        <v>South</v>
      </c>
      <c r="R247" t="str">
        <f>VLOOKUP(ESales_DB[[#This Row],[Customer_ID]],Ecustom_DB[],10,FALSE)</f>
        <v>Gold</v>
      </c>
      <c r="S247" t="str">
        <f>IF(ESales_DB[[#This Row],[Quantity1]]&gt;3,"Bulk order","Normal order")</f>
        <v>Normal order</v>
      </c>
    </row>
    <row r="248" spans="1:19" x14ac:dyDescent="0.3">
      <c r="A248" t="s">
        <v>3045</v>
      </c>
      <c r="B248" s="4">
        <v>45905</v>
      </c>
      <c r="C248" s="4" t="str">
        <f>TEXT(ESales_DB[[#This Row],[Order_Date]],"mmm")</f>
        <v>Sep</v>
      </c>
      <c r="D248" t="s">
        <v>124</v>
      </c>
      <c r="E248" t="s">
        <v>1618</v>
      </c>
      <c r="F248" t="s">
        <v>1801</v>
      </c>
      <c r="G248">
        <v>4</v>
      </c>
      <c r="H248" s="10">
        <f>IF(ISBLANK(ESales_DB[[#This Row],[Quantity]]),AVERAGEIF(ESales_DB[Product_ID],ESales_DB[[#This Row],[Product_ID]],ESales_DB[Quantity]),ESales_DB[[#This Row],[Quantity]])</f>
        <v>4</v>
      </c>
      <c r="I248" s="2">
        <v>642.04999999999995</v>
      </c>
      <c r="J248">
        <v>0.25</v>
      </c>
      <c r="K248" t="s">
        <v>1824</v>
      </c>
      <c r="L248" s="2">
        <v>1926.15</v>
      </c>
      <c r="M248" s="2" t="str">
        <f>IF(ESales_DB[[#This Row],[Total_Amount]]&gt;1000,"High","Low")</f>
        <v>High</v>
      </c>
      <c r="N248" s="2" t="str">
        <f>VLOOKUP(ESales_DB[[#This Row],[Customer_ID]],Ecustom_DB[],3,FALSE)</f>
        <v>Jessica Acevedo</v>
      </c>
      <c r="O248" s="2" t="str">
        <f>_xlfn.XLOOKUP(ESales_DB[[#This Row],[Product_ID]],Eproduct_DB[Product_ID],Eproduct_DB[Category])</f>
        <v>Home</v>
      </c>
      <c r="P248" s="2" t="str">
        <f>_xlfn.XLOOKUP(ESales_DB[[#This Row],[Product_ID]],Eproduct_DB[Product_ID],Eproduct_DB[Product_Name])</f>
        <v>Bedroom Table Lamp</v>
      </c>
      <c r="Q248" s="2" t="str">
        <f>_xlfn.XLOOKUP(ESales_DB[[#This Row],[Store_ID]],Estore_DB[Store_ID],Estore_DB[Region])</f>
        <v>North</v>
      </c>
      <c r="R248" t="str">
        <f>VLOOKUP(ESales_DB[[#This Row],[Customer_ID]],Ecustom_DB[],10,FALSE)</f>
        <v>Bronze</v>
      </c>
      <c r="S248" t="str">
        <f>IF(ESales_DB[[#This Row],[Quantity1]]&gt;3,"Bulk order","Normal order")</f>
        <v>Bulk order</v>
      </c>
    </row>
    <row r="249" spans="1:19" x14ac:dyDescent="0.3">
      <c r="A249" t="s">
        <v>1948</v>
      </c>
      <c r="B249" s="4">
        <v>45886</v>
      </c>
      <c r="C249" s="4" t="str">
        <f>TEXT(ESales_DB[[#This Row],[Order_Date]],"mmm")</f>
        <v>Aug</v>
      </c>
      <c r="D249" t="s">
        <v>1062</v>
      </c>
      <c r="E249" t="s">
        <v>1648</v>
      </c>
      <c r="F249" t="s">
        <v>1779</v>
      </c>
      <c r="G249">
        <v>2</v>
      </c>
      <c r="H249" s="10">
        <f>IF(ISBLANK(ESales_DB[[#This Row],[Quantity]]),AVERAGEIF(ESales_DB[Product_ID],ESales_DB[[#This Row],[Product_ID]],ESales_DB[Quantity]),ESales_DB[[#This Row],[Quantity]])</f>
        <v>2</v>
      </c>
      <c r="I249" s="2">
        <v>197.76</v>
      </c>
      <c r="J249">
        <v>0.04</v>
      </c>
      <c r="K249" t="s">
        <v>1824</v>
      </c>
      <c r="L249" s="2">
        <v>379.69920000000002</v>
      </c>
      <c r="M249" s="2" t="str">
        <f>IF(ESales_DB[[#This Row],[Total_Amount]]&gt;1000,"High","Low")</f>
        <v>Low</v>
      </c>
      <c r="N249" s="2" t="str">
        <f>VLOOKUP(ESales_DB[[#This Row],[Customer_ID]],Ecustom_DB[],3,FALSE)</f>
        <v>Jasmine Snyder</v>
      </c>
      <c r="O249" s="2" t="str">
        <f>_xlfn.XLOOKUP(ESales_DB[[#This Row],[Product_ID]],Eproduct_DB[Product_ID],Eproduct_DB[Category])</f>
        <v>Sports</v>
      </c>
      <c r="P249" s="2" t="str">
        <f>_xlfn.XLOOKUP(ESales_DB[[#This Row],[Product_ID]],Eproduct_DB[Product_ID],Eproduct_DB[Product_Name])</f>
        <v>Boxing Hand Wraps</v>
      </c>
      <c r="Q249" s="2" t="str">
        <f>_xlfn.XLOOKUP(ESales_DB[[#This Row],[Store_ID]],Estore_DB[Store_ID],Estore_DB[Region])</f>
        <v>South</v>
      </c>
      <c r="R249" t="str">
        <f>VLOOKUP(ESales_DB[[#This Row],[Customer_ID]],Ecustom_DB[],10,FALSE)</f>
        <v>Silver</v>
      </c>
      <c r="S249" t="str">
        <f>IF(ESales_DB[[#This Row],[Quantity1]]&gt;3,"Bulk order","Normal order")</f>
        <v>Normal order</v>
      </c>
    </row>
    <row r="250" spans="1:19" x14ac:dyDescent="0.3">
      <c r="A250" t="s">
        <v>3046</v>
      </c>
      <c r="B250" s="4">
        <v>45531</v>
      </c>
      <c r="C250" s="4" t="str">
        <f>TEXT(ESales_DB[[#This Row],[Order_Date]],"mmm")</f>
        <v>Aug</v>
      </c>
      <c r="D250" t="s">
        <v>987</v>
      </c>
      <c r="E250" t="s">
        <v>1716</v>
      </c>
      <c r="F250" t="s">
        <v>1779</v>
      </c>
      <c r="G250">
        <v>4</v>
      </c>
      <c r="H250" s="10">
        <f>IF(ISBLANK(ESales_DB[[#This Row],[Quantity]]),AVERAGEIF(ESales_DB[Product_ID],ESales_DB[[#This Row],[Product_ID]],ESales_DB[Quantity]),ESales_DB[[#This Row],[Quantity]])</f>
        <v>4</v>
      </c>
      <c r="I250" s="2">
        <v>450.83</v>
      </c>
      <c r="J250">
        <v>0.24</v>
      </c>
      <c r="K250" t="s">
        <v>1824</v>
      </c>
      <c r="L250" s="2">
        <v>1370.5232000000001</v>
      </c>
      <c r="M250" s="2" t="str">
        <f>IF(ESales_DB[[#This Row],[Total_Amount]]&gt;1000,"High","Low")</f>
        <v>High</v>
      </c>
      <c r="N250" s="2" t="str">
        <f>VLOOKUP(ESales_DB[[#This Row],[Customer_ID]],Ecustom_DB[],3,FALSE)</f>
        <v>Elizabeth Jones</v>
      </c>
      <c r="O250" s="2" t="str">
        <f>_xlfn.XLOOKUP(ESales_DB[[#This Row],[Product_ID]],Eproduct_DB[Product_ID],Eproduct_DB[Category])</f>
        <v>Home</v>
      </c>
      <c r="P250" s="2" t="str">
        <f>_xlfn.XLOOKUP(ESales_DB[[#This Row],[Product_ID]],Eproduct_DB[Product_ID],Eproduct_DB[Product_Name])</f>
        <v>Wooden Bookshelf</v>
      </c>
      <c r="Q250" s="2" t="str">
        <f>_xlfn.XLOOKUP(ESales_DB[[#This Row],[Store_ID]],Estore_DB[Store_ID],Estore_DB[Region])</f>
        <v>South</v>
      </c>
      <c r="R250" t="str">
        <f>VLOOKUP(ESales_DB[[#This Row],[Customer_ID]],Ecustom_DB[],10,FALSE)</f>
        <v>Platinum</v>
      </c>
      <c r="S250" t="str">
        <f>IF(ESales_DB[[#This Row],[Quantity1]]&gt;3,"Bulk order","Normal order")</f>
        <v>Bulk order</v>
      </c>
    </row>
    <row r="251" spans="1:19" x14ac:dyDescent="0.3">
      <c r="A251" t="s">
        <v>3047</v>
      </c>
      <c r="B251" s="4">
        <v>45216</v>
      </c>
      <c r="C251" s="4" t="str">
        <f>TEXT(ESales_DB[[#This Row],[Order_Date]],"mmm")</f>
        <v>Oct</v>
      </c>
      <c r="D251" t="s">
        <v>52</v>
      </c>
      <c r="E251" t="s">
        <v>1652</v>
      </c>
      <c r="F251" t="s">
        <v>1813</v>
      </c>
      <c r="G251">
        <v>2</v>
      </c>
      <c r="H251" s="10">
        <f>IF(ISBLANK(ESales_DB[[#This Row],[Quantity]]),AVERAGEIF(ESales_DB[Product_ID],ESales_DB[[#This Row],[Product_ID]],ESales_DB[Quantity]),ESales_DB[[#This Row],[Quantity]])</f>
        <v>2</v>
      </c>
      <c r="I251" s="2">
        <v>441.03</v>
      </c>
      <c r="J251">
        <v>0.23</v>
      </c>
      <c r="K251" t="s">
        <v>1829</v>
      </c>
      <c r="L251" s="2">
        <v>679.18619999999999</v>
      </c>
      <c r="M251" s="2" t="str">
        <f>IF(ESales_DB[[#This Row],[Total_Amount]]&gt;1000,"High","Low")</f>
        <v>Low</v>
      </c>
      <c r="N251" s="2" t="str">
        <f>VLOOKUP(ESales_DB[[#This Row],[Customer_ID]],Ecustom_DB[],3,FALSE)</f>
        <v>Dominic Page</v>
      </c>
      <c r="O251" s="2" t="str">
        <f>_xlfn.XLOOKUP(ESales_DB[[#This Row],[Product_ID]],Eproduct_DB[Product_ID],Eproduct_DB[Category])</f>
        <v>Sports</v>
      </c>
      <c r="P251" s="2" t="str">
        <f>_xlfn.XLOOKUP(ESales_DB[[#This Row],[Product_ID]],Eproduct_DB[Product_ID],Eproduct_DB[Product_Name])</f>
        <v>Rugby Ball</v>
      </c>
      <c r="Q251" s="2" t="str">
        <f>_xlfn.XLOOKUP(ESales_DB[[#This Row],[Store_ID]],Estore_DB[Store_ID],Estore_DB[Region])</f>
        <v>East</v>
      </c>
      <c r="R251" t="str">
        <f>VLOOKUP(ESales_DB[[#This Row],[Customer_ID]],Ecustom_DB[],10,FALSE)</f>
        <v>Bronze</v>
      </c>
      <c r="S251" t="str">
        <f>IF(ESales_DB[[#This Row],[Quantity1]]&gt;3,"Bulk order","Normal order")</f>
        <v>Normal order</v>
      </c>
    </row>
    <row r="252" spans="1:19" x14ac:dyDescent="0.3">
      <c r="A252" t="s">
        <v>3048</v>
      </c>
      <c r="B252" s="4">
        <v>45384</v>
      </c>
      <c r="C252" s="4" t="str">
        <f>TEXT(ESales_DB[[#This Row],[Order_Date]],"mmm")</f>
        <v>Apr</v>
      </c>
      <c r="D252" t="s">
        <v>298</v>
      </c>
      <c r="E252" t="s">
        <v>1598</v>
      </c>
      <c r="F252" t="s">
        <v>1761</v>
      </c>
      <c r="G252">
        <v>3</v>
      </c>
      <c r="H252" s="10">
        <f>IF(ISBLANK(ESales_DB[[#This Row],[Quantity]]),AVERAGEIF(ESales_DB[Product_ID],ESales_DB[[#This Row],[Product_ID]],ESales_DB[Quantity]),ESales_DB[[#This Row],[Quantity]])</f>
        <v>3</v>
      </c>
      <c r="I252" s="2">
        <v>377.69</v>
      </c>
      <c r="J252">
        <v>7.0000000000000007E-2</v>
      </c>
      <c r="K252" t="s">
        <v>1826</v>
      </c>
      <c r="L252" s="2">
        <v>1053.7551000000001</v>
      </c>
      <c r="M252" s="2" t="str">
        <f>IF(ESales_DB[[#This Row],[Total_Amount]]&gt;1000,"High","Low")</f>
        <v>High</v>
      </c>
      <c r="N252" s="2" t="str">
        <f>VLOOKUP(ESales_DB[[#This Row],[Customer_ID]],Ecustom_DB[],3,FALSE)</f>
        <v>George Rosario</v>
      </c>
      <c r="O252" s="2" t="str">
        <f>_xlfn.XLOOKUP(ESales_DB[[#This Row],[Product_ID]],Eproduct_DB[Product_ID],Eproduct_DB[Category])</f>
        <v>Clothing</v>
      </c>
      <c r="P252" s="2" t="str">
        <f>_xlfn.XLOOKUP(ESales_DB[[#This Row],[Product_ID]],Eproduct_DB[Product_ID],Eproduct_DB[Product_Name])</f>
        <v>Women's Scarf Set</v>
      </c>
      <c r="Q252" s="2" t="str">
        <f>_xlfn.XLOOKUP(ESales_DB[[#This Row],[Store_ID]],Estore_DB[Store_ID],Estore_DB[Region])</f>
        <v>South</v>
      </c>
      <c r="R252" t="str">
        <f>VLOOKUP(ESales_DB[[#This Row],[Customer_ID]],Ecustom_DB[],10,FALSE)</f>
        <v>Bronze</v>
      </c>
      <c r="S252" t="str">
        <f>IF(ESales_DB[[#This Row],[Quantity1]]&gt;3,"Bulk order","Normal order")</f>
        <v>Normal order</v>
      </c>
    </row>
    <row r="253" spans="1:19" x14ac:dyDescent="0.3">
      <c r="A253" t="s">
        <v>3049</v>
      </c>
      <c r="B253" s="4">
        <v>45416</v>
      </c>
      <c r="C253" s="4" t="str">
        <f>TEXT(ESales_DB[[#This Row],[Order_Date]],"mmm")</f>
        <v>May</v>
      </c>
      <c r="D253" t="s">
        <v>535</v>
      </c>
      <c r="E253" t="s">
        <v>1568</v>
      </c>
      <c r="F253" t="s">
        <v>1779</v>
      </c>
      <c r="G253">
        <v>1</v>
      </c>
      <c r="H253" s="10">
        <f>IF(ISBLANK(ESales_DB[[#This Row],[Quantity]]),AVERAGEIF(ESales_DB[Product_ID],ESales_DB[[#This Row],[Product_ID]],ESales_DB[Quantity]),ESales_DB[[#This Row],[Quantity]])</f>
        <v>1</v>
      </c>
      <c r="I253" s="2">
        <v>457.33</v>
      </c>
      <c r="J253">
        <v>0.27</v>
      </c>
      <c r="K253" t="s">
        <v>1824</v>
      </c>
      <c r="L253" s="2">
        <v>333.85090000000002</v>
      </c>
      <c r="M253" s="2" t="str">
        <f>IF(ESales_DB[[#This Row],[Total_Amount]]&gt;1000,"High","Low")</f>
        <v>Low</v>
      </c>
      <c r="N253" s="2" t="str">
        <f>VLOOKUP(ESales_DB[[#This Row],[Customer_ID]],Ecustom_DB[],3,FALSE)</f>
        <v>John Lawson</v>
      </c>
      <c r="O253" s="2" t="str">
        <f>_xlfn.XLOOKUP(ESales_DB[[#This Row],[Product_ID]],Eproduct_DB[Product_ID],Eproduct_DB[Category])</f>
        <v>Home</v>
      </c>
      <c r="P253" s="2" t="str">
        <f>_xlfn.XLOOKUP(ESales_DB[[#This Row],[Product_ID]],Eproduct_DB[Product_ID],Eproduct_DB[Product_Name])</f>
        <v>Ceramic Kitchen Bowl Set</v>
      </c>
      <c r="Q253" s="2" t="str">
        <f>_xlfn.XLOOKUP(ESales_DB[[#This Row],[Store_ID]],Estore_DB[Store_ID],Estore_DB[Region])</f>
        <v>South</v>
      </c>
      <c r="R253" t="str">
        <f>VLOOKUP(ESales_DB[[#This Row],[Customer_ID]],Ecustom_DB[],10,FALSE)</f>
        <v>Platinum</v>
      </c>
      <c r="S253" t="str">
        <f>IF(ESales_DB[[#This Row],[Quantity1]]&gt;3,"Bulk order","Normal order")</f>
        <v>Normal order</v>
      </c>
    </row>
    <row r="254" spans="1:19" x14ac:dyDescent="0.3">
      <c r="A254" t="s">
        <v>3050</v>
      </c>
      <c r="B254" s="4">
        <v>45880</v>
      </c>
      <c r="C254" s="4" t="str">
        <f>TEXT(ESales_DB[[#This Row],[Order_Date]],"mmm")</f>
        <v>Aug</v>
      </c>
      <c r="D254" t="s">
        <v>782</v>
      </c>
      <c r="E254" t="s">
        <v>1700</v>
      </c>
      <c r="F254" t="s">
        <v>1776</v>
      </c>
      <c r="G254">
        <v>4</v>
      </c>
      <c r="H254" s="10">
        <f>IF(ISBLANK(ESales_DB[[#This Row],[Quantity]]),AVERAGEIF(ESales_DB[Product_ID],ESales_DB[[#This Row],[Product_ID]],ESales_DB[Quantity]),ESales_DB[[#This Row],[Quantity]])</f>
        <v>4</v>
      </c>
      <c r="I254" s="2">
        <v>218.01</v>
      </c>
      <c r="J254">
        <v>0.06</v>
      </c>
      <c r="K254" t="s">
        <v>1824</v>
      </c>
      <c r="L254" s="2">
        <v>819.71759999999995</v>
      </c>
      <c r="M254" s="2" t="str">
        <f>IF(ESales_DB[[#This Row],[Total_Amount]]&gt;1000,"High","Low")</f>
        <v>Low</v>
      </c>
      <c r="N254" s="2" t="str">
        <f>VLOOKUP(ESales_DB[[#This Row],[Customer_ID]],Ecustom_DB[],3,FALSE)</f>
        <v>Nancy Page</v>
      </c>
      <c r="O254" s="2" t="str">
        <f>_xlfn.XLOOKUP(ESales_DB[[#This Row],[Product_ID]],Eproduct_DB[Product_ID],Eproduct_DB[Category])</f>
        <v>Electronics</v>
      </c>
      <c r="P254" s="2" t="str">
        <f>_xlfn.XLOOKUP(ESales_DB[[#This Row],[Product_ID]],Eproduct_DB[Product_ID],Eproduct_DB[Product_Name])</f>
        <v>Wireless Mouse</v>
      </c>
      <c r="Q254" s="2" t="str">
        <f>_xlfn.XLOOKUP(ESales_DB[[#This Row],[Store_ID]],Estore_DB[Store_ID],Estore_DB[Region])</f>
        <v>East</v>
      </c>
      <c r="R254" t="str">
        <f>VLOOKUP(ESales_DB[[#This Row],[Customer_ID]],Ecustom_DB[],10,FALSE)</f>
        <v>Bronze</v>
      </c>
      <c r="S254" t="str">
        <f>IF(ESales_DB[[#This Row],[Quantity1]]&gt;3,"Bulk order","Normal order")</f>
        <v>Bulk order</v>
      </c>
    </row>
    <row r="255" spans="1:19" x14ac:dyDescent="0.3">
      <c r="A255" t="s">
        <v>3051</v>
      </c>
      <c r="B255" s="4">
        <v>45933</v>
      </c>
      <c r="C255" s="4" t="str">
        <f>TEXT(ESales_DB[[#This Row],[Order_Date]],"mmm")</f>
        <v>Oct</v>
      </c>
      <c r="D255" t="s">
        <v>708</v>
      </c>
      <c r="E255" t="s">
        <v>1732</v>
      </c>
      <c r="F255" t="s">
        <v>1810</v>
      </c>
      <c r="G255">
        <v>2</v>
      </c>
      <c r="H255" s="10">
        <f>IF(ISBLANK(ESales_DB[[#This Row],[Quantity]]),AVERAGEIF(ESales_DB[Product_ID],ESales_DB[[#This Row],[Product_ID]],ESales_DB[Quantity]),ESales_DB[[#This Row],[Quantity]])</f>
        <v>2</v>
      </c>
      <c r="I255" s="2">
        <v>682.7</v>
      </c>
      <c r="J255">
        <v>0.13</v>
      </c>
      <c r="K255" t="s">
        <v>1824</v>
      </c>
      <c r="L255" s="2">
        <v>1187.8979999999999</v>
      </c>
      <c r="M255" s="2" t="str">
        <f>IF(ESales_DB[[#This Row],[Total_Amount]]&gt;1000,"High","Low")</f>
        <v>High</v>
      </c>
      <c r="N255" s="2" t="str">
        <f>VLOOKUP(ESales_DB[[#This Row],[Customer_ID]],Ecustom_DB[],3,FALSE)</f>
        <v>Julia Jackson</v>
      </c>
      <c r="O255" s="2" t="str">
        <f>_xlfn.XLOOKUP(ESales_DB[[#This Row],[Product_ID]],Eproduct_DB[Product_ID],Eproduct_DB[Category])</f>
        <v>Home</v>
      </c>
      <c r="P255" s="2" t="str">
        <f>_xlfn.XLOOKUP(ESales_DB[[#This Row],[Product_ID]],Eproduct_DB[Product_ID],Eproduct_DB[Product_Name])</f>
        <v>Microwave Oven</v>
      </c>
      <c r="Q255" s="2" t="str">
        <f>_xlfn.XLOOKUP(ESales_DB[[#This Row],[Store_ID]],Estore_DB[Store_ID],Estore_DB[Region])</f>
        <v>East</v>
      </c>
      <c r="R255" t="str">
        <f>VLOOKUP(ESales_DB[[#This Row],[Customer_ID]],Ecustom_DB[],10,FALSE)</f>
        <v>Platinum</v>
      </c>
      <c r="S255" t="str">
        <f>IF(ESales_DB[[#This Row],[Quantity1]]&gt;3,"Bulk order","Normal order")</f>
        <v>Normal order</v>
      </c>
    </row>
    <row r="256" spans="1:19" x14ac:dyDescent="0.3">
      <c r="A256" t="s">
        <v>3052</v>
      </c>
      <c r="B256" s="4">
        <v>45345</v>
      </c>
      <c r="C256" s="4" t="str">
        <f>TEXT(ESales_DB[[#This Row],[Order_Date]],"mmm")</f>
        <v>Feb</v>
      </c>
      <c r="D256" t="s">
        <v>1017</v>
      </c>
      <c r="E256" t="s">
        <v>1586</v>
      </c>
      <c r="F256" t="s">
        <v>1810</v>
      </c>
      <c r="G256">
        <v>3</v>
      </c>
      <c r="H256" s="10">
        <f>IF(ISBLANK(ESales_DB[[#This Row],[Quantity]]),AVERAGEIF(ESales_DB[Product_ID],ESales_DB[[#This Row],[Product_ID]],ESales_DB[Quantity]),ESales_DB[[#This Row],[Quantity]])</f>
        <v>3</v>
      </c>
      <c r="I256" s="2">
        <v>726.97</v>
      </c>
      <c r="J256">
        <v>0.04</v>
      </c>
      <c r="K256" t="s">
        <v>1826</v>
      </c>
      <c r="L256" s="2">
        <v>2093.6736000000001</v>
      </c>
      <c r="M256" s="2" t="str">
        <f>IF(ESales_DB[[#This Row],[Total_Amount]]&gt;1000,"High","Low")</f>
        <v>High</v>
      </c>
      <c r="N256" s="2" t="str">
        <f>VLOOKUP(ESales_DB[[#This Row],[Customer_ID]],Ecustom_DB[],3,FALSE)</f>
        <v>Kristy Dunlap</v>
      </c>
      <c r="O256" s="2" t="str">
        <f>_xlfn.XLOOKUP(ESales_DB[[#This Row],[Product_ID]],Eproduct_DB[Product_ID],Eproduct_DB[Category])</f>
        <v>Sports</v>
      </c>
      <c r="P256" s="2" t="str">
        <f>_xlfn.XLOOKUP(ESales_DB[[#This Row],[Product_ID]],Eproduct_DB[Product_ID],Eproduct_DB[Product_Name])</f>
        <v>Knee Support Brace</v>
      </c>
      <c r="Q256" s="2" t="str">
        <f>_xlfn.XLOOKUP(ESales_DB[[#This Row],[Store_ID]],Estore_DB[Store_ID],Estore_DB[Region])</f>
        <v>East</v>
      </c>
      <c r="R256" t="str">
        <f>VLOOKUP(ESales_DB[[#This Row],[Customer_ID]],Ecustom_DB[],10,FALSE)</f>
        <v>Platinum</v>
      </c>
      <c r="S256" t="str">
        <f>IF(ESales_DB[[#This Row],[Quantity1]]&gt;3,"Bulk order","Normal order")</f>
        <v>Normal order</v>
      </c>
    </row>
    <row r="257" spans="1:19" x14ac:dyDescent="0.3">
      <c r="A257" t="s">
        <v>3053</v>
      </c>
      <c r="B257" s="4">
        <v>45681</v>
      </c>
      <c r="C257" s="4" t="str">
        <f>TEXT(ESales_DB[[#This Row],[Order_Date]],"mmm")</f>
        <v>Jan</v>
      </c>
      <c r="D257" t="s">
        <v>1269</v>
      </c>
      <c r="E257" t="s">
        <v>1666</v>
      </c>
      <c r="F257" t="s">
        <v>1786</v>
      </c>
      <c r="G257">
        <v>2</v>
      </c>
      <c r="H257" s="10">
        <f>IF(ISBLANK(ESales_DB[[#This Row],[Quantity]]),AVERAGEIF(ESales_DB[Product_ID],ESales_DB[[#This Row],[Product_ID]],ESales_DB[Quantity]),ESales_DB[[#This Row],[Quantity]])</f>
        <v>2</v>
      </c>
      <c r="I257" s="2">
        <v>107.97</v>
      </c>
      <c r="J257">
        <v>0.06</v>
      </c>
      <c r="K257" t="s">
        <v>1824</v>
      </c>
      <c r="L257" s="2">
        <v>202.9836</v>
      </c>
      <c r="M257" s="2" t="str">
        <f>IF(ESales_DB[[#This Row],[Total_Amount]]&gt;1000,"High","Low")</f>
        <v>Low</v>
      </c>
      <c r="N257" s="2" t="str">
        <f>VLOOKUP(ESales_DB[[#This Row],[Customer_ID]],Ecustom_DB[],3,FALSE)</f>
        <v>Isabel Foster</v>
      </c>
      <c r="O257" s="2" t="str">
        <f>_xlfn.XLOOKUP(ESales_DB[[#This Row],[Product_ID]],Eproduct_DB[Product_ID],Eproduct_DB[Category])</f>
        <v>Beauty</v>
      </c>
      <c r="P257" s="2" t="str">
        <f>_xlfn.XLOOKUP(ESales_DB[[#This Row],[Product_ID]],Eproduct_DB[Product_ID],Eproduct_DB[Product_Name])</f>
        <v>Men's Hair Styling Gel</v>
      </c>
      <c r="Q257" s="2" t="str">
        <f>_xlfn.XLOOKUP(ESales_DB[[#This Row],[Store_ID]],Estore_DB[Store_ID],Estore_DB[Region])</f>
        <v>South</v>
      </c>
      <c r="R257" t="str">
        <f>VLOOKUP(ESales_DB[[#This Row],[Customer_ID]],Ecustom_DB[],10,FALSE)</f>
        <v>Gold</v>
      </c>
      <c r="S257" t="str">
        <f>IF(ESales_DB[[#This Row],[Quantity1]]&gt;3,"Bulk order","Normal order")</f>
        <v>Normal order</v>
      </c>
    </row>
    <row r="258" spans="1:19" x14ac:dyDescent="0.3">
      <c r="A258" t="s">
        <v>3054</v>
      </c>
      <c r="B258" s="4">
        <v>45785</v>
      </c>
      <c r="C258" s="4" t="str">
        <f>TEXT(ESales_DB[[#This Row],[Order_Date]],"mmm")</f>
        <v>May</v>
      </c>
      <c r="D258" t="s">
        <v>40</v>
      </c>
      <c r="E258" t="s">
        <v>1555</v>
      </c>
      <c r="F258" t="s">
        <v>1799</v>
      </c>
      <c r="G258">
        <v>1</v>
      </c>
      <c r="H258" s="10">
        <f>IF(ISBLANK(ESales_DB[[#This Row],[Quantity]]),AVERAGEIF(ESales_DB[Product_ID],ESales_DB[[#This Row],[Product_ID]],ESales_DB[Quantity]),ESales_DB[[#This Row],[Quantity]])</f>
        <v>1</v>
      </c>
      <c r="I258" s="2">
        <v>38.880000000000003</v>
      </c>
      <c r="J258">
        <v>0.16</v>
      </c>
      <c r="K258" t="s">
        <v>1829</v>
      </c>
      <c r="L258" s="2">
        <v>32.659199999999998</v>
      </c>
      <c r="M258" s="2" t="str">
        <f>IF(ESales_DB[[#This Row],[Total_Amount]]&gt;1000,"High","Low")</f>
        <v>Low</v>
      </c>
      <c r="N258" s="2" t="str">
        <f>VLOOKUP(ESales_DB[[#This Row],[Customer_ID]],Ecustom_DB[],3,FALSE)</f>
        <v>Daniel Boyd</v>
      </c>
      <c r="O258" s="2" t="str">
        <f>_xlfn.XLOOKUP(ESales_DB[[#This Row],[Product_ID]],Eproduct_DB[Product_ID],Eproduct_DB[Category])</f>
        <v>Clothing</v>
      </c>
      <c r="P258" s="2" t="str">
        <f>_xlfn.XLOOKUP(ESales_DB[[#This Row],[Product_ID]],Eproduct_DB[Product_ID],Eproduct_DB[Product_Name])</f>
        <v>Men's Leather Belt</v>
      </c>
      <c r="Q258" s="2" t="str">
        <f>_xlfn.XLOOKUP(ESales_DB[[#This Row],[Store_ID]],Estore_DB[Store_ID],Estore_DB[Region])</f>
        <v>South</v>
      </c>
      <c r="R258" t="str">
        <f>VLOOKUP(ESales_DB[[#This Row],[Customer_ID]],Ecustom_DB[],10,FALSE)</f>
        <v>Bronze</v>
      </c>
      <c r="S258" t="str">
        <f>IF(ESales_DB[[#This Row],[Quantity1]]&gt;3,"Bulk order","Normal order")</f>
        <v>Normal order</v>
      </c>
    </row>
    <row r="259" spans="1:19" x14ac:dyDescent="0.3">
      <c r="A259" t="s">
        <v>3055</v>
      </c>
      <c r="B259" s="4">
        <v>45823</v>
      </c>
      <c r="C259" s="4" t="str">
        <f>TEXT(ESales_DB[[#This Row],[Order_Date]],"mmm")</f>
        <v>Jun</v>
      </c>
      <c r="D259" t="s">
        <v>284</v>
      </c>
      <c r="E259" t="s">
        <v>1580</v>
      </c>
      <c r="F259" t="s">
        <v>1807</v>
      </c>
      <c r="G259">
        <v>3</v>
      </c>
      <c r="H259" s="10">
        <f>IF(ISBLANK(ESales_DB[[#This Row],[Quantity]]),AVERAGEIF(ESales_DB[Product_ID],ESales_DB[[#This Row],[Product_ID]],ESales_DB[Quantity]),ESales_DB[[#This Row],[Quantity]])</f>
        <v>3</v>
      </c>
      <c r="I259" s="2">
        <v>484.39</v>
      </c>
      <c r="J259">
        <v>0.28999999999999998</v>
      </c>
      <c r="K259" t="s">
        <v>1829</v>
      </c>
      <c r="L259" s="2">
        <v>1031.7507000000001</v>
      </c>
      <c r="M259" s="2" t="str">
        <f>IF(ESales_DB[[#This Row],[Total_Amount]]&gt;1000,"High","Low")</f>
        <v>High</v>
      </c>
      <c r="N259" s="2" t="str">
        <f>VLOOKUP(ESales_DB[[#This Row],[Customer_ID]],Ecustom_DB[],3,FALSE)</f>
        <v>Cody Blake</v>
      </c>
      <c r="O259" s="2" t="str">
        <f>_xlfn.XLOOKUP(ESales_DB[[#This Row],[Product_ID]],Eproduct_DB[Product_ID],Eproduct_DB[Category])</f>
        <v>Beauty</v>
      </c>
      <c r="P259" s="2" t="str">
        <f>_xlfn.XLOOKUP(ESales_DB[[#This Row],[Product_ID]],Eproduct_DB[Product_ID],Eproduct_DB[Product_Name])</f>
        <v>Beard Grooming Kit</v>
      </c>
      <c r="Q259" s="2" t="str">
        <f>_xlfn.XLOOKUP(ESales_DB[[#This Row],[Store_ID]],Estore_DB[Store_ID],Estore_DB[Region])</f>
        <v>North</v>
      </c>
      <c r="R259" t="str">
        <f>VLOOKUP(ESales_DB[[#This Row],[Customer_ID]],Ecustom_DB[],10,FALSE)</f>
        <v>Gold</v>
      </c>
      <c r="S259" t="str">
        <f>IF(ESales_DB[[#This Row],[Quantity1]]&gt;3,"Bulk order","Normal order")</f>
        <v>Normal order</v>
      </c>
    </row>
    <row r="260" spans="1:19" x14ac:dyDescent="0.3">
      <c r="A260" t="s">
        <v>1949</v>
      </c>
      <c r="B260" s="4">
        <v>45674</v>
      </c>
      <c r="C260" s="4" t="str">
        <f>TEXT(ESales_DB[[#This Row],[Order_Date]],"mmm")</f>
        <v>Jan</v>
      </c>
      <c r="D260" t="s">
        <v>1466</v>
      </c>
      <c r="E260" t="s">
        <v>1628</v>
      </c>
      <c r="F260" t="s">
        <v>1761</v>
      </c>
      <c r="G260">
        <v>3</v>
      </c>
      <c r="H260" s="10">
        <f>IF(ISBLANK(ESales_DB[[#This Row],[Quantity]]),AVERAGEIF(ESales_DB[Product_ID],ESales_DB[[#This Row],[Product_ID]],ESales_DB[Quantity]),ESales_DB[[#This Row],[Quantity]])</f>
        <v>3</v>
      </c>
      <c r="I260" s="2">
        <v>334.6</v>
      </c>
      <c r="J260">
        <v>0.11</v>
      </c>
      <c r="K260" t="s">
        <v>1826</v>
      </c>
      <c r="L260" s="2">
        <v>893.38200000000006</v>
      </c>
      <c r="M260" s="2" t="str">
        <f>IF(ESales_DB[[#This Row],[Total_Amount]]&gt;1000,"High","Low")</f>
        <v>Low</v>
      </c>
      <c r="N260" s="2" t="str">
        <f>VLOOKUP(ESales_DB[[#This Row],[Customer_ID]],Ecustom_DB[],3,FALSE)</f>
        <v>Elizabeth Foster</v>
      </c>
      <c r="O260" s="2" t="str">
        <f>_xlfn.XLOOKUP(ESales_DB[[#This Row],[Product_ID]],Eproduct_DB[Product_ID],Eproduct_DB[Category])</f>
        <v>Electronics</v>
      </c>
      <c r="P260" s="2" t="str">
        <f>_xlfn.XLOOKUP(ESales_DB[[#This Row],[Product_ID]],Eproduct_DB[Product_ID],Eproduct_DB[Product_Name])</f>
        <v>Noise-Canceling Headphones</v>
      </c>
      <c r="Q260" s="2" t="str">
        <f>_xlfn.XLOOKUP(ESales_DB[[#This Row],[Store_ID]],Estore_DB[Store_ID],Estore_DB[Region])</f>
        <v>South</v>
      </c>
      <c r="R260" t="str">
        <f>VLOOKUP(ESales_DB[[#This Row],[Customer_ID]],Ecustom_DB[],10,FALSE)</f>
        <v>Gold</v>
      </c>
      <c r="S260" t="str">
        <f>IF(ESales_DB[[#This Row],[Quantity1]]&gt;3,"Bulk order","Normal order")</f>
        <v>Normal order</v>
      </c>
    </row>
    <row r="261" spans="1:19" x14ac:dyDescent="0.3">
      <c r="A261" t="s">
        <v>3056</v>
      </c>
      <c r="B261" s="4">
        <v>45572</v>
      </c>
      <c r="C261" s="4" t="str">
        <f>TEXT(ESales_DB[[#This Row],[Order_Date]],"mmm")</f>
        <v>Oct</v>
      </c>
      <c r="D261" t="s">
        <v>82</v>
      </c>
      <c r="E261" t="s">
        <v>1708</v>
      </c>
      <c r="F261" t="s">
        <v>1801</v>
      </c>
      <c r="G261">
        <v>2</v>
      </c>
      <c r="H261" s="10">
        <f>IF(ISBLANK(ESales_DB[[#This Row],[Quantity]]),AVERAGEIF(ESales_DB[Product_ID],ESales_DB[[#This Row],[Product_ID]],ESales_DB[Quantity]),ESales_DB[[#This Row],[Quantity]])</f>
        <v>2</v>
      </c>
      <c r="I261" s="2">
        <v>949.3</v>
      </c>
      <c r="J261">
        <v>0.08</v>
      </c>
      <c r="K261" t="s">
        <v>1829</v>
      </c>
      <c r="L261" s="2">
        <v>1746.712</v>
      </c>
      <c r="M261" s="2" t="str">
        <f>IF(ESales_DB[[#This Row],[Total_Amount]]&gt;1000,"High","Low")</f>
        <v>High</v>
      </c>
      <c r="N261" s="2" t="str">
        <f>VLOOKUP(ESales_DB[[#This Row],[Customer_ID]],Ecustom_DB[],3,FALSE)</f>
        <v>Rhonda Moss</v>
      </c>
      <c r="O261" s="2" t="str">
        <f>_xlfn.XLOOKUP(ESales_DB[[#This Row],[Product_ID]],Eproduct_DB[Product_ID],Eproduct_DB[Category])</f>
        <v>Home</v>
      </c>
      <c r="P261" s="2" t="str">
        <f>_xlfn.XLOOKUP(ESales_DB[[#This Row],[Product_ID]],Eproduct_DB[Product_ID],Eproduct_DB[Product_Name])</f>
        <v>Wall-Mounted Spice Rack</v>
      </c>
      <c r="Q261" s="2" t="str">
        <f>_xlfn.XLOOKUP(ESales_DB[[#This Row],[Store_ID]],Estore_DB[Store_ID],Estore_DB[Region])</f>
        <v>North</v>
      </c>
      <c r="R261" t="str">
        <f>VLOOKUP(ESales_DB[[#This Row],[Customer_ID]],Ecustom_DB[],10,FALSE)</f>
        <v>Uncategorized</v>
      </c>
      <c r="S261" t="str">
        <f>IF(ESales_DB[[#This Row],[Quantity1]]&gt;3,"Bulk order","Normal order")</f>
        <v>Normal order</v>
      </c>
    </row>
    <row r="262" spans="1:19" x14ac:dyDescent="0.3">
      <c r="A262" t="s">
        <v>3057</v>
      </c>
      <c r="B262" s="4">
        <v>45259</v>
      </c>
      <c r="C262" s="4" t="str">
        <f>TEXT(ESales_DB[[#This Row],[Order_Date]],"mmm")</f>
        <v>Nov</v>
      </c>
      <c r="D262" t="s">
        <v>1343</v>
      </c>
      <c r="E262" t="s">
        <v>1690</v>
      </c>
      <c r="F262" t="s">
        <v>1776</v>
      </c>
      <c r="G262">
        <v>3</v>
      </c>
      <c r="H262" s="10">
        <f>IF(ISBLANK(ESales_DB[[#This Row],[Quantity]]),AVERAGEIF(ESales_DB[Product_ID],ESales_DB[[#This Row],[Product_ID]],ESales_DB[Quantity]),ESales_DB[[#This Row],[Quantity]])</f>
        <v>3</v>
      </c>
      <c r="I262" s="2">
        <v>664.75</v>
      </c>
      <c r="J262">
        <v>0.12</v>
      </c>
      <c r="K262" t="s">
        <v>1824</v>
      </c>
      <c r="L262" s="2">
        <v>1754.94</v>
      </c>
      <c r="M262" s="2" t="str">
        <f>IF(ESales_DB[[#This Row],[Total_Amount]]&gt;1000,"High","Low")</f>
        <v>High</v>
      </c>
      <c r="N262" s="2" t="str">
        <f>VLOOKUP(ESales_DB[[#This Row],[Customer_ID]],Ecustom_DB[],3,FALSE)</f>
        <v>Thomas Moore</v>
      </c>
      <c r="O262" s="2" t="str">
        <f>_xlfn.XLOOKUP(ESales_DB[[#This Row],[Product_ID]],Eproduct_DB[Product_ID],Eproduct_DB[Category])</f>
        <v>Beauty</v>
      </c>
      <c r="P262" s="2" t="str">
        <f>_xlfn.XLOOKUP(ESales_DB[[#This Row],[Product_ID]],Eproduct_DB[Product_ID],Eproduct_DB[Product_Name])</f>
        <v>Hair Repair Oil Treatment</v>
      </c>
      <c r="Q262" s="2" t="str">
        <f>_xlfn.XLOOKUP(ESales_DB[[#This Row],[Store_ID]],Estore_DB[Store_ID],Estore_DB[Region])</f>
        <v>East</v>
      </c>
      <c r="R262" t="str">
        <f>VLOOKUP(ESales_DB[[#This Row],[Customer_ID]],Ecustom_DB[],10,FALSE)</f>
        <v>Silver</v>
      </c>
      <c r="S262" t="str">
        <f>IF(ESales_DB[[#This Row],[Quantity1]]&gt;3,"Bulk order","Normal order")</f>
        <v>Normal order</v>
      </c>
    </row>
    <row r="263" spans="1:19" x14ac:dyDescent="0.3">
      <c r="A263" t="s">
        <v>3058</v>
      </c>
      <c r="B263" s="4">
        <v>45740</v>
      </c>
      <c r="C263" s="4" t="str">
        <f>TEXT(ESales_DB[[#This Row],[Order_Date]],"mmm")</f>
        <v>Mar</v>
      </c>
      <c r="D263" t="s">
        <v>896</v>
      </c>
      <c r="E263" t="s">
        <v>1688</v>
      </c>
      <c r="F263" t="s">
        <v>1807</v>
      </c>
      <c r="G263">
        <v>3</v>
      </c>
      <c r="H263" s="10">
        <f>IF(ISBLANK(ESales_DB[[#This Row],[Quantity]]),AVERAGEIF(ESales_DB[Product_ID],ESales_DB[[#This Row],[Product_ID]],ESales_DB[Quantity]),ESales_DB[[#This Row],[Quantity]])</f>
        <v>3</v>
      </c>
      <c r="I263" s="2">
        <v>190.04</v>
      </c>
      <c r="J263">
        <v>7.0000000000000007E-2</v>
      </c>
      <c r="K263" t="s">
        <v>1826</v>
      </c>
      <c r="L263" s="2">
        <v>530.21159999999998</v>
      </c>
      <c r="M263" s="2" t="str">
        <f>IF(ESales_DB[[#This Row],[Total_Amount]]&gt;1000,"High","Low")</f>
        <v>Low</v>
      </c>
      <c r="N263" s="2" t="str">
        <f>VLOOKUP(ESales_DB[[#This Row],[Customer_ID]],Ecustom_DB[],3,FALSE)</f>
        <v>Kristi Lopez</v>
      </c>
      <c r="O263" s="2" t="str">
        <f>_xlfn.XLOOKUP(ESales_DB[[#This Row],[Product_ID]],Eproduct_DB[Product_ID],Eproduct_DB[Category])</f>
        <v>Home</v>
      </c>
      <c r="P263" s="2" t="str">
        <f>_xlfn.XLOOKUP(ESales_DB[[#This Row],[Product_ID]],Eproduct_DB[Product_ID],Eproduct_DB[Product_Name])</f>
        <v>Kitchen Storage Rack</v>
      </c>
      <c r="Q263" s="2" t="str">
        <f>_xlfn.XLOOKUP(ESales_DB[[#This Row],[Store_ID]],Estore_DB[Store_ID],Estore_DB[Region])</f>
        <v>North</v>
      </c>
      <c r="R263" t="str">
        <f>VLOOKUP(ESales_DB[[#This Row],[Customer_ID]],Ecustom_DB[],10,FALSE)</f>
        <v>Gold</v>
      </c>
      <c r="S263" t="str">
        <f>IF(ESales_DB[[#This Row],[Quantity1]]&gt;3,"Bulk order","Normal order")</f>
        <v>Normal order</v>
      </c>
    </row>
    <row r="264" spans="1:19" x14ac:dyDescent="0.3">
      <c r="A264" t="s">
        <v>3059</v>
      </c>
      <c r="B264" s="4">
        <v>45869</v>
      </c>
      <c r="C264" s="4" t="str">
        <f>TEXT(ESales_DB[[#This Row],[Order_Date]],"mmm")</f>
        <v>Jul</v>
      </c>
      <c r="D264" t="s">
        <v>881</v>
      </c>
      <c r="E264" t="s">
        <v>1560</v>
      </c>
      <c r="F264" t="s">
        <v>1801</v>
      </c>
      <c r="G264">
        <v>3</v>
      </c>
      <c r="H264" s="10">
        <f>IF(ISBLANK(ESales_DB[[#This Row],[Quantity]]),AVERAGEIF(ESales_DB[Product_ID],ESales_DB[[#This Row],[Product_ID]],ESales_DB[Quantity]),ESales_DB[[#This Row],[Quantity]])</f>
        <v>3</v>
      </c>
      <c r="I264" s="2">
        <v>754.02</v>
      </c>
      <c r="J264">
        <v>0.1</v>
      </c>
      <c r="K264" t="s">
        <v>1829</v>
      </c>
      <c r="L264" s="2">
        <v>2035.854</v>
      </c>
      <c r="M264" s="2" t="str">
        <f>IF(ESales_DB[[#This Row],[Total_Amount]]&gt;1000,"High","Low")</f>
        <v>High</v>
      </c>
      <c r="N264" s="2" t="str">
        <f>VLOOKUP(ESales_DB[[#This Row],[Customer_ID]],Ecustom_DB[],3,FALSE)</f>
        <v>Jeffrey Gomez</v>
      </c>
      <c r="O264" s="2" t="str">
        <f>_xlfn.XLOOKUP(ESales_DB[[#This Row],[Product_ID]],Eproduct_DB[Product_ID],Eproduct_DB[Category])</f>
        <v>Home</v>
      </c>
      <c r="P264" s="2" t="str">
        <f>_xlfn.XLOOKUP(ESales_DB[[#This Row],[Product_ID]],Eproduct_DB[Product_ID],Eproduct_DB[Product_Name])</f>
        <v>LED Table Lamp</v>
      </c>
      <c r="Q264" s="2" t="str">
        <f>_xlfn.XLOOKUP(ESales_DB[[#This Row],[Store_ID]],Estore_DB[Store_ID],Estore_DB[Region])</f>
        <v>North</v>
      </c>
      <c r="R264" t="str">
        <f>VLOOKUP(ESales_DB[[#This Row],[Customer_ID]],Ecustom_DB[],10,FALSE)</f>
        <v>Platinum</v>
      </c>
      <c r="S264" t="str">
        <f>IF(ESales_DB[[#This Row],[Quantity1]]&gt;3,"Bulk order","Normal order")</f>
        <v>Normal order</v>
      </c>
    </row>
    <row r="265" spans="1:19" x14ac:dyDescent="0.3">
      <c r="A265" t="s">
        <v>3060</v>
      </c>
      <c r="B265" s="4">
        <v>45526</v>
      </c>
      <c r="C265" s="4" t="str">
        <f>TEXT(ESales_DB[[#This Row],[Order_Date]],"mmm")</f>
        <v>Aug</v>
      </c>
      <c r="D265" t="s">
        <v>1199</v>
      </c>
      <c r="E265" t="s">
        <v>1616</v>
      </c>
      <c r="F265" t="s">
        <v>1794</v>
      </c>
      <c r="G265">
        <v>4</v>
      </c>
      <c r="H265" s="10">
        <f>IF(ISBLANK(ESales_DB[[#This Row],[Quantity]]),AVERAGEIF(ESales_DB[Product_ID],ESales_DB[[#This Row],[Product_ID]],ESales_DB[Quantity]),ESales_DB[[#This Row],[Quantity]])</f>
        <v>4</v>
      </c>
      <c r="I265" s="2">
        <v>94.13</v>
      </c>
      <c r="J265">
        <v>0.04</v>
      </c>
      <c r="K265" t="s">
        <v>1829</v>
      </c>
      <c r="L265" s="2">
        <v>361.45920000000001</v>
      </c>
      <c r="M265" s="2" t="str">
        <f>IF(ESales_DB[[#This Row],[Total_Amount]]&gt;1000,"High","Low")</f>
        <v>Low</v>
      </c>
      <c r="N265" s="2" t="str">
        <f>VLOOKUP(ESales_DB[[#This Row],[Customer_ID]],Ecustom_DB[],3,FALSE)</f>
        <v>Andrew Mason</v>
      </c>
      <c r="O265" s="2" t="str">
        <f>_xlfn.XLOOKUP(ESales_DB[[#This Row],[Product_ID]],Eproduct_DB[Product_ID],Eproduct_DB[Category])</f>
        <v>Electronics</v>
      </c>
      <c r="P265" s="2" t="str">
        <f>_xlfn.XLOOKUP(ESales_DB[[#This Row],[Product_ID]],Eproduct_DB[Product_ID],Eproduct_DB[Product_Name])</f>
        <v>Gaming Mechanical Keyboard</v>
      </c>
      <c r="Q265" s="2" t="str">
        <f>_xlfn.XLOOKUP(ESales_DB[[#This Row],[Store_ID]],Estore_DB[Store_ID],Estore_DB[Region])</f>
        <v>North</v>
      </c>
      <c r="R265" t="str">
        <f>VLOOKUP(ESales_DB[[#This Row],[Customer_ID]],Ecustom_DB[],10,FALSE)</f>
        <v>Bronze</v>
      </c>
      <c r="S265" t="str">
        <f>IF(ESales_DB[[#This Row],[Quantity1]]&gt;3,"Bulk order","Normal order")</f>
        <v>Bulk order</v>
      </c>
    </row>
    <row r="266" spans="1:19" x14ac:dyDescent="0.3">
      <c r="A266" t="s">
        <v>3061</v>
      </c>
      <c r="B266" s="4">
        <v>45489</v>
      </c>
      <c r="C266" s="4" t="str">
        <f>TEXT(ESales_DB[[#This Row],[Order_Date]],"mmm")</f>
        <v>Jul</v>
      </c>
      <c r="D266" t="s">
        <v>1443</v>
      </c>
      <c r="E266" t="s">
        <v>1546</v>
      </c>
      <c r="F266" t="s">
        <v>1801</v>
      </c>
      <c r="G266">
        <v>3</v>
      </c>
      <c r="H266" s="10">
        <f>IF(ISBLANK(ESales_DB[[#This Row],[Quantity]]),AVERAGEIF(ESales_DB[Product_ID],ESales_DB[[#This Row],[Product_ID]],ESales_DB[Quantity]),ESales_DB[[#This Row],[Quantity]])</f>
        <v>3</v>
      </c>
      <c r="I266" s="2">
        <v>402.3</v>
      </c>
      <c r="J266">
        <v>0.21</v>
      </c>
      <c r="K266" t="s">
        <v>1826</v>
      </c>
      <c r="L266" s="2">
        <v>953.45100000000014</v>
      </c>
      <c r="M266" s="2" t="str">
        <f>IF(ESales_DB[[#This Row],[Total_Amount]]&gt;1000,"High","Low")</f>
        <v>Low</v>
      </c>
      <c r="N266" s="2" t="str">
        <f>VLOOKUP(ESales_DB[[#This Row],[Customer_ID]],Ecustom_DB[],3,FALSE)</f>
        <v>Gregory Curtis</v>
      </c>
      <c r="O266" s="2" t="str">
        <f>_xlfn.XLOOKUP(ESales_DB[[#This Row],[Product_ID]],Eproduct_DB[Product_ID],Eproduct_DB[Category])</f>
        <v>Clothing</v>
      </c>
      <c r="P266" s="2" t="str">
        <f>_xlfn.XLOOKUP(ESales_DB[[#This Row],[Product_ID]],Eproduct_DB[Product_ID],Eproduct_DB[Product_Name])</f>
        <v>Men's Graphic T-Shirt</v>
      </c>
      <c r="Q266" s="2" t="str">
        <f>_xlfn.XLOOKUP(ESales_DB[[#This Row],[Store_ID]],Estore_DB[Store_ID],Estore_DB[Region])</f>
        <v>North</v>
      </c>
      <c r="R266" t="str">
        <f>VLOOKUP(ESales_DB[[#This Row],[Customer_ID]],Ecustom_DB[],10,FALSE)</f>
        <v>Bronze</v>
      </c>
      <c r="S266" t="str">
        <f>IF(ESales_DB[[#This Row],[Quantity1]]&gt;3,"Bulk order","Normal order")</f>
        <v>Normal order</v>
      </c>
    </row>
    <row r="267" spans="1:19" x14ac:dyDescent="0.3">
      <c r="A267" t="s">
        <v>3062</v>
      </c>
      <c r="B267" s="4">
        <v>45908</v>
      </c>
      <c r="C267" s="4" t="str">
        <f>TEXT(ESales_DB[[#This Row],[Order_Date]],"mmm")</f>
        <v>Sep</v>
      </c>
      <c r="D267" t="s">
        <v>767</v>
      </c>
      <c r="E267" t="s">
        <v>1720</v>
      </c>
      <c r="F267" t="s">
        <v>1779</v>
      </c>
      <c r="G267">
        <v>1</v>
      </c>
      <c r="H267" s="10">
        <f>IF(ISBLANK(ESales_DB[[#This Row],[Quantity]]),AVERAGEIF(ESales_DB[Product_ID],ESales_DB[[#This Row],[Product_ID]],ESales_DB[Quantity]),ESales_DB[[#This Row],[Quantity]])</f>
        <v>1</v>
      </c>
      <c r="I267" s="2">
        <v>729.05</v>
      </c>
      <c r="J267">
        <v>0.06</v>
      </c>
      <c r="K267" t="s">
        <v>1829</v>
      </c>
      <c r="L267" s="2">
        <v>685.3069999999999</v>
      </c>
      <c r="M267" s="2" t="str">
        <f>IF(ESales_DB[[#This Row],[Total_Amount]]&gt;1000,"High","Low")</f>
        <v>Low</v>
      </c>
      <c r="N267" s="2" t="str">
        <f>VLOOKUP(ESales_DB[[#This Row],[Customer_ID]],Ecustom_DB[],3,FALSE)</f>
        <v>Maria Hill</v>
      </c>
      <c r="O267" s="2" t="str">
        <f>_xlfn.XLOOKUP(ESales_DB[[#This Row],[Product_ID]],Eproduct_DB[Product_ID],Eproduct_DB[Category])</f>
        <v>Home</v>
      </c>
      <c r="P267" s="2" t="str">
        <f>_xlfn.XLOOKUP(ESales_DB[[#This Row],[Product_ID]],Eproduct_DB[Product_ID],Eproduct_DB[Product_Name])</f>
        <v>Kitchen Cutting Board</v>
      </c>
      <c r="Q267" s="2" t="str">
        <f>_xlfn.XLOOKUP(ESales_DB[[#This Row],[Store_ID]],Estore_DB[Store_ID],Estore_DB[Region])</f>
        <v>South</v>
      </c>
      <c r="R267" t="str">
        <f>VLOOKUP(ESales_DB[[#This Row],[Customer_ID]],Ecustom_DB[],10,FALSE)</f>
        <v>Platinum</v>
      </c>
      <c r="S267" t="str">
        <f>IF(ESales_DB[[#This Row],[Quantity1]]&gt;3,"Bulk order","Normal order")</f>
        <v>Normal order</v>
      </c>
    </row>
    <row r="268" spans="1:19" x14ac:dyDescent="0.3">
      <c r="A268" t="s">
        <v>3063</v>
      </c>
      <c r="B268" s="4">
        <v>45912</v>
      </c>
      <c r="C268" s="4" t="str">
        <f>TEXT(ESales_DB[[#This Row],[Order_Date]],"mmm")</f>
        <v>Sep</v>
      </c>
      <c r="D268" t="s">
        <v>458</v>
      </c>
      <c r="E268" t="s">
        <v>1728</v>
      </c>
      <c r="F268" t="s">
        <v>1797</v>
      </c>
      <c r="G268">
        <v>1</v>
      </c>
      <c r="H268" s="10">
        <f>IF(ISBLANK(ESales_DB[[#This Row],[Quantity]]),AVERAGEIF(ESales_DB[Product_ID],ESales_DB[[#This Row],[Product_ID]],ESales_DB[Quantity]),ESales_DB[[#This Row],[Quantity]])</f>
        <v>1</v>
      </c>
      <c r="I268" s="2">
        <v>822.6</v>
      </c>
      <c r="J268">
        <v>0.28999999999999998</v>
      </c>
      <c r="K268" t="s">
        <v>1826</v>
      </c>
      <c r="L268" s="2">
        <v>584.04599999999994</v>
      </c>
      <c r="M268" s="2" t="str">
        <f>IF(ESales_DB[[#This Row],[Total_Amount]]&gt;1000,"High","Low")</f>
        <v>Low</v>
      </c>
      <c r="N268" s="2" t="str">
        <f>VLOOKUP(ESales_DB[[#This Row],[Customer_ID]],Ecustom_DB[],3,FALSE)</f>
        <v>Morgan Bowen</v>
      </c>
      <c r="O268" s="2" t="str">
        <f>_xlfn.XLOOKUP(ESales_DB[[#This Row],[Product_ID]],Eproduct_DB[Product_ID],Eproduct_DB[Category])</f>
        <v>Electronics</v>
      </c>
      <c r="P268" s="2" t="str">
        <f>_xlfn.XLOOKUP(ESales_DB[[#This Row],[Product_ID]],Eproduct_DB[Product_ID],Eproduct_DB[Product_Name])</f>
        <v>Gaming Mouse Pad XL</v>
      </c>
      <c r="Q268" s="2" t="str">
        <f>_xlfn.XLOOKUP(ESales_DB[[#This Row],[Store_ID]],Estore_DB[Store_ID],Estore_DB[Region])</f>
        <v>East</v>
      </c>
      <c r="R268" t="str">
        <f>VLOOKUP(ESales_DB[[#This Row],[Customer_ID]],Ecustom_DB[],10,FALSE)</f>
        <v>Gold</v>
      </c>
      <c r="S268" t="str">
        <f>IF(ESales_DB[[#This Row],[Quantity1]]&gt;3,"Bulk order","Normal order")</f>
        <v>Normal order</v>
      </c>
    </row>
    <row r="269" spans="1:19" x14ac:dyDescent="0.3">
      <c r="A269" t="s">
        <v>3064</v>
      </c>
      <c r="B269" s="4">
        <v>45771</v>
      </c>
      <c r="C269" s="4" t="str">
        <f>TEXT(ESales_DB[[#This Row],[Order_Date]],"mmm")</f>
        <v>Apr</v>
      </c>
      <c r="D269" t="s">
        <v>634</v>
      </c>
      <c r="E269" t="s">
        <v>1714</v>
      </c>
      <c r="F269" t="s">
        <v>1782</v>
      </c>
      <c r="G269">
        <v>2</v>
      </c>
      <c r="H269" s="10">
        <f>IF(ISBLANK(ESales_DB[[#This Row],[Quantity]]),AVERAGEIF(ESales_DB[Product_ID],ESales_DB[[#This Row],[Product_ID]],ESales_DB[Quantity]),ESales_DB[[#This Row],[Quantity]])</f>
        <v>2</v>
      </c>
      <c r="I269" s="2">
        <v>327.25</v>
      </c>
      <c r="J269">
        <v>0.19</v>
      </c>
      <c r="K269" t="s">
        <v>1826</v>
      </c>
      <c r="L269" s="2">
        <v>530.14499999999998</v>
      </c>
      <c r="M269" s="2" t="str">
        <f>IF(ESales_DB[[#This Row],[Total_Amount]]&gt;1000,"High","Low")</f>
        <v>Low</v>
      </c>
      <c r="N269" s="2" t="str">
        <f>VLOOKUP(ESales_DB[[#This Row],[Customer_ID]],Ecustom_DB[],3,FALSE)</f>
        <v>David Roberts</v>
      </c>
      <c r="O269" s="2" t="str">
        <f>_xlfn.XLOOKUP(ESales_DB[[#This Row],[Product_ID]],Eproduct_DB[Product_ID],Eproduct_DB[Category])</f>
        <v>Beauty</v>
      </c>
      <c r="P269" s="2" t="str">
        <f>_xlfn.XLOOKUP(ESales_DB[[#This Row],[Product_ID]],Eproduct_DB[Product_ID],Eproduct_DB[Product_Name])</f>
        <v>Hydrating Face Cleanser</v>
      </c>
      <c r="Q269" s="2" t="str">
        <f>_xlfn.XLOOKUP(ESales_DB[[#This Row],[Store_ID]],Estore_DB[Store_ID],Estore_DB[Region])</f>
        <v>West</v>
      </c>
      <c r="R269" t="str">
        <f>VLOOKUP(ESales_DB[[#This Row],[Customer_ID]],Ecustom_DB[],10,FALSE)</f>
        <v>Gold</v>
      </c>
      <c r="S269" t="str">
        <f>IF(ESales_DB[[#This Row],[Quantity1]]&gt;3,"Bulk order","Normal order")</f>
        <v>Normal order</v>
      </c>
    </row>
    <row r="270" spans="1:19" x14ac:dyDescent="0.3">
      <c r="A270" t="s">
        <v>3065</v>
      </c>
      <c r="B270" s="4">
        <v>45619</v>
      </c>
      <c r="C270" s="4" t="str">
        <f>TEXT(ESales_DB[[#This Row],[Order_Date]],"mmm")</f>
        <v>Nov</v>
      </c>
      <c r="D270" t="s">
        <v>304</v>
      </c>
      <c r="E270" t="s">
        <v>1688</v>
      </c>
      <c r="F270" t="s">
        <v>1786</v>
      </c>
      <c r="G270">
        <v>4</v>
      </c>
      <c r="H270" s="10">
        <f>IF(ISBLANK(ESales_DB[[#This Row],[Quantity]]),AVERAGEIF(ESales_DB[Product_ID],ESales_DB[[#This Row],[Product_ID]],ESales_DB[Quantity]),ESales_DB[[#This Row],[Quantity]])</f>
        <v>4</v>
      </c>
      <c r="I270" s="2">
        <v>930.38</v>
      </c>
      <c r="J270">
        <v>0</v>
      </c>
      <c r="K270" t="s">
        <v>1829</v>
      </c>
      <c r="L270" s="2">
        <v>3721.52</v>
      </c>
      <c r="M270" s="2" t="str">
        <f>IF(ESales_DB[[#This Row],[Total_Amount]]&gt;1000,"High","Low")</f>
        <v>High</v>
      </c>
      <c r="N270" s="2" t="str">
        <f>VLOOKUP(ESales_DB[[#This Row],[Customer_ID]],Ecustom_DB[],3,FALSE)</f>
        <v>Christy Hoffman</v>
      </c>
      <c r="O270" s="2" t="str">
        <f>_xlfn.XLOOKUP(ESales_DB[[#This Row],[Product_ID]],Eproduct_DB[Product_ID],Eproduct_DB[Category])</f>
        <v>Home</v>
      </c>
      <c r="P270" s="2" t="str">
        <f>_xlfn.XLOOKUP(ESales_DB[[#This Row],[Product_ID]],Eproduct_DB[Product_ID],Eproduct_DB[Product_Name])</f>
        <v>Kitchen Storage Rack</v>
      </c>
      <c r="Q270" s="2" t="str">
        <f>_xlfn.XLOOKUP(ESales_DB[[#This Row],[Store_ID]],Estore_DB[Store_ID],Estore_DB[Region])</f>
        <v>South</v>
      </c>
      <c r="R270" t="str">
        <f>VLOOKUP(ESales_DB[[#This Row],[Customer_ID]],Ecustom_DB[],10,FALSE)</f>
        <v>Platinum</v>
      </c>
      <c r="S270" t="str">
        <f>IF(ESales_DB[[#This Row],[Quantity1]]&gt;3,"Bulk order","Normal order")</f>
        <v>Bulk order</v>
      </c>
    </row>
    <row r="271" spans="1:19" x14ac:dyDescent="0.3">
      <c r="A271" t="s">
        <v>1950</v>
      </c>
      <c r="B271" s="4">
        <v>45777</v>
      </c>
      <c r="C271" s="4" t="str">
        <f>TEXT(ESales_DB[[#This Row],[Order_Date]],"mmm")</f>
        <v>Apr</v>
      </c>
      <c r="D271" t="s">
        <v>314</v>
      </c>
      <c r="E271" t="s">
        <v>1576</v>
      </c>
      <c r="F271" t="s">
        <v>1766</v>
      </c>
      <c r="G271">
        <v>2</v>
      </c>
      <c r="H271" s="10">
        <f>IF(ISBLANK(ESales_DB[[#This Row],[Quantity]]),AVERAGEIF(ESales_DB[Product_ID],ESales_DB[[#This Row],[Product_ID]],ESales_DB[Quantity]),ESales_DB[[#This Row],[Quantity]])</f>
        <v>2</v>
      </c>
      <c r="I271" s="2">
        <v>44.35</v>
      </c>
      <c r="J271">
        <v>0.2</v>
      </c>
      <c r="K271" t="s">
        <v>1829</v>
      </c>
      <c r="L271" s="2">
        <v>70.960000000000008</v>
      </c>
      <c r="M271" s="2" t="str">
        <f>IF(ESales_DB[[#This Row],[Total_Amount]]&gt;1000,"High","Low")</f>
        <v>Low</v>
      </c>
      <c r="N271" s="2" t="str">
        <f>VLOOKUP(ESales_DB[[#This Row],[Customer_ID]],Ecustom_DB[],3,FALSE)</f>
        <v>Melissa Duffy Md</v>
      </c>
      <c r="O271" s="2" t="str">
        <f>_xlfn.XLOOKUP(ESales_DB[[#This Row],[Product_ID]],Eproduct_DB[Product_ID],Eproduct_DB[Category])</f>
        <v>Home</v>
      </c>
      <c r="P271" s="2" t="str">
        <f>_xlfn.XLOOKUP(ESales_DB[[#This Row],[Product_ID]],Eproduct_DB[Product_ID],Eproduct_DB[Product_Name])</f>
        <v>Decorative Wall Mirror</v>
      </c>
      <c r="Q271" s="2" t="str">
        <f>_xlfn.XLOOKUP(ESales_DB[[#This Row],[Store_ID]],Estore_DB[Store_ID],Estore_DB[Region])</f>
        <v>North</v>
      </c>
      <c r="R271" t="str">
        <f>VLOOKUP(ESales_DB[[#This Row],[Customer_ID]],Ecustom_DB[],10,FALSE)</f>
        <v>Bronze</v>
      </c>
      <c r="S271" t="str">
        <f>IF(ESales_DB[[#This Row],[Quantity1]]&gt;3,"Bulk order","Normal order")</f>
        <v>Normal order</v>
      </c>
    </row>
    <row r="272" spans="1:19" x14ac:dyDescent="0.3">
      <c r="A272" t="s">
        <v>3066</v>
      </c>
      <c r="B272" s="4">
        <v>45394</v>
      </c>
      <c r="C272" s="4" t="str">
        <f>TEXT(ESales_DB[[#This Row],[Order_Date]],"mmm")</f>
        <v>Apr</v>
      </c>
      <c r="D272" t="s">
        <v>487</v>
      </c>
      <c r="E272" t="s">
        <v>1602</v>
      </c>
      <c r="F272" t="s">
        <v>1773</v>
      </c>
      <c r="G272">
        <v>2</v>
      </c>
      <c r="H272" s="10">
        <f>IF(ISBLANK(ESales_DB[[#This Row],[Quantity]]),AVERAGEIF(ESales_DB[Product_ID],ESales_DB[[#This Row],[Product_ID]],ESales_DB[Quantity]),ESales_DB[[#This Row],[Quantity]])</f>
        <v>2</v>
      </c>
      <c r="I272" s="2">
        <v>437.84</v>
      </c>
      <c r="J272">
        <v>0.24</v>
      </c>
      <c r="K272" t="s">
        <v>1824</v>
      </c>
      <c r="L272" s="2">
        <v>665.51679999999999</v>
      </c>
      <c r="M272" s="2" t="str">
        <f>IF(ESales_DB[[#This Row],[Total_Amount]]&gt;1000,"High","Low")</f>
        <v>Low</v>
      </c>
      <c r="N272" s="2" t="str">
        <f>VLOOKUP(ESales_DB[[#This Row],[Customer_ID]],Ecustom_DB[],3,FALSE)</f>
        <v>Justin Cross</v>
      </c>
      <c r="O272" s="2" t="str">
        <f>_xlfn.XLOOKUP(ESales_DB[[#This Row],[Product_ID]],Eproduct_DB[Product_ID],Eproduct_DB[Category])</f>
        <v>Home</v>
      </c>
      <c r="P272" s="2" t="str">
        <f>_xlfn.XLOOKUP(ESales_DB[[#This Row],[Product_ID]],Eproduct_DB[Product_ID],Eproduct_DB[Product_Name])</f>
        <v>Decorative Floor Vase</v>
      </c>
      <c r="Q272" s="2" t="str">
        <f>_xlfn.XLOOKUP(ESales_DB[[#This Row],[Store_ID]],Estore_DB[Store_ID],Estore_DB[Region])</f>
        <v>North</v>
      </c>
      <c r="R272" t="str">
        <f>VLOOKUP(ESales_DB[[#This Row],[Customer_ID]],Ecustom_DB[],10,FALSE)</f>
        <v>Bronze</v>
      </c>
      <c r="S272" t="str">
        <f>IF(ESales_DB[[#This Row],[Quantity1]]&gt;3,"Bulk order","Normal order")</f>
        <v>Normal order</v>
      </c>
    </row>
    <row r="273" spans="1:19" x14ac:dyDescent="0.3">
      <c r="A273" t="s">
        <v>3067</v>
      </c>
      <c r="B273" s="4">
        <v>45786</v>
      </c>
      <c r="C273" s="4" t="str">
        <f>TEXT(ESales_DB[[#This Row],[Order_Date]],"mmm")</f>
        <v>May</v>
      </c>
      <c r="D273" t="s">
        <v>258</v>
      </c>
      <c r="E273" t="s">
        <v>1580</v>
      </c>
      <c r="F273" t="s">
        <v>1804</v>
      </c>
      <c r="G273">
        <v>2</v>
      </c>
      <c r="H273" s="10">
        <f>IF(ISBLANK(ESales_DB[[#This Row],[Quantity]]),AVERAGEIF(ESales_DB[Product_ID],ESales_DB[[#This Row],[Product_ID]],ESales_DB[Quantity]),ESales_DB[[#This Row],[Quantity]])</f>
        <v>2</v>
      </c>
      <c r="I273" s="2">
        <v>126.02</v>
      </c>
      <c r="J273">
        <v>0.09</v>
      </c>
      <c r="K273" t="s">
        <v>1829</v>
      </c>
      <c r="L273" s="2">
        <v>229.35640000000001</v>
      </c>
      <c r="M273" s="2" t="str">
        <f>IF(ESales_DB[[#This Row],[Total_Amount]]&gt;1000,"High","Low")</f>
        <v>Low</v>
      </c>
      <c r="N273" s="2" t="str">
        <f>VLOOKUP(ESales_DB[[#This Row],[Customer_ID]],Ecustom_DB[],3,FALSE)</f>
        <v>Eric Singh</v>
      </c>
      <c r="O273" s="2" t="str">
        <f>_xlfn.XLOOKUP(ESales_DB[[#This Row],[Product_ID]],Eproduct_DB[Product_ID],Eproduct_DB[Category])</f>
        <v>Beauty</v>
      </c>
      <c r="P273" s="2" t="str">
        <f>_xlfn.XLOOKUP(ESales_DB[[#This Row],[Product_ID]],Eproduct_DB[Product_ID],Eproduct_DB[Product_Name])</f>
        <v>Beard Grooming Kit</v>
      </c>
      <c r="Q273" s="2" t="str">
        <f>_xlfn.XLOOKUP(ESales_DB[[#This Row],[Store_ID]],Estore_DB[Store_ID],Estore_DB[Region])</f>
        <v>West</v>
      </c>
      <c r="R273" t="str">
        <f>VLOOKUP(ESales_DB[[#This Row],[Customer_ID]],Ecustom_DB[],10,FALSE)</f>
        <v>Gold</v>
      </c>
      <c r="S273" t="str">
        <f>IF(ESales_DB[[#This Row],[Quantity1]]&gt;3,"Bulk order","Normal order")</f>
        <v>Normal order</v>
      </c>
    </row>
    <row r="274" spans="1:19" x14ac:dyDescent="0.3">
      <c r="A274" t="s">
        <v>3068</v>
      </c>
      <c r="B274" s="4">
        <v>45692</v>
      </c>
      <c r="C274" s="4" t="str">
        <f>TEXT(ESales_DB[[#This Row],[Order_Date]],"mmm")</f>
        <v>Feb</v>
      </c>
      <c r="D274" t="s">
        <v>1355</v>
      </c>
      <c r="E274" t="s">
        <v>1714</v>
      </c>
      <c r="F274" t="s">
        <v>1801</v>
      </c>
      <c r="G274">
        <v>1</v>
      </c>
      <c r="H274" s="10">
        <f>IF(ISBLANK(ESales_DB[[#This Row],[Quantity]]),AVERAGEIF(ESales_DB[Product_ID],ESales_DB[[#This Row],[Product_ID]],ESales_DB[Quantity]),ESales_DB[[#This Row],[Quantity]])</f>
        <v>1</v>
      </c>
      <c r="I274" s="2">
        <v>860.84</v>
      </c>
      <c r="J274">
        <v>7.0000000000000007E-2</v>
      </c>
      <c r="K274" t="s">
        <v>1826</v>
      </c>
      <c r="L274" s="2">
        <v>800.58119999999997</v>
      </c>
      <c r="M274" s="2" t="str">
        <f>IF(ESales_DB[[#This Row],[Total_Amount]]&gt;1000,"High","Low")</f>
        <v>Low</v>
      </c>
      <c r="N274" s="2" t="str">
        <f>VLOOKUP(ESales_DB[[#This Row],[Customer_ID]],Ecustom_DB[],3,FALSE)</f>
        <v>Melinda Rivera</v>
      </c>
      <c r="O274" s="2" t="str">
        <f>_xlfn.XLOOKUP(ESales_DB[[#This Row],[Product_ID]],Eproduct_DB[Product_ID],Eproduct_DB[Category])</f>
        <v>Beauty</v>
      </c>
      <c r="P274" s="2" t="str">
        <f>_xlfn.XLOOKUP(ESales_DB[[#This Row],[Product_ID]],Eproduct_DB[Product_ID],Eproduct_DB[Product_Name])</f>
        <v>Hydrating Face Cleanser</v>
      </c>
      <c r="Q274" s="2" t="str">
        <f>_xlfn.XLOOKUP(ESales_DB[[#This Row],[Store_ID]],Estore_DB[Store_ID],Estore_DB[Region])</f>
        <v>North</v>
      </c>
      <c r="R274" t="str">
        <f>VLOOKUP(ESales_DB[[#This Row],[Customer_ID]],Ecustom_DB[],10,FALSE)</f>
        <v>Platinum</v>
      </c>
      <c r="S274" t="str">
        <f>IF(ESales_DB[[#This Row],[Quantity1]]&gt;3,"Bulk order","Normal order")</f>
        <v>Normal order</v>
      </c>
    </row>
    <row r="275" spans="1:19" x14ac:dyDescent="0.3">
      <c r="A275" t="s">
        <v>3069</v>
      </c>
      <c r="B275" s="4">
        <v>45677</v>
      </c>
      <c r="C275" s="4" t="str">
        <f>TEXT(ESales_DB[[#This Row],[Order_Date]],"mmm")</f>
        <v>Jan</v>
      </c>
      <c r="D275" t="s">
        <v>335</v>
      </c>
      <c r="E275" t="s">
        <v>1644</v>
      </c>
      <c r="F275" t="s">
        <v>1797</v>
      </c>
      <c r="G275">
        <v>1</v>
      </c>
      <c r="H275" s="10">
        <f>IF(ISBLANK(ESales_DB[[#This Row],[Quantity]]),AVERAGEIF(ESales_DB[Product_ID],ESales_DB[[#This Row],[Product_ID]],ESales_DB[Quantity]),ESales_DB[[#This Row],[Quantity]])</f>
        <v>1</v>
      </c>
      <c r="I275" s="2">
        <v>161.80000000000001</v>
      </c>
      <c r="J275">
        <v>0.24</v>
      </c>
      <c r="K275" t="s">
        <v>1826</v>
      </c>
      <c r="L275" s="2">
        <v>122.968</v>
      </c>
      <c r="M275" s="2" t="str">
        <f>IF(ESales_DB[[#This Row],[Total_Amount]]&gt;1000,"High","Low")</f>
        <v>Low</v>
      </c>
      <c r="N275" s="2" t="str">
        <f>VLOOKUP(ESales_DB[[#This Row],[Customer_ID]],Ecustom_DB[],3,FALSE)</f>
        <v>Christy Vasquez</v>
      </c>
      <c r="O275" s="2" t="str">
        <f>_xlfn.XLOOKUP(ESales_DB[[#This Row],[Product_ID]],Eproduct_DB[Product_ID],Eproduct_DB[Category])</f>
        <v>Electronics</v>
      </c>
      <c r="P275" s="2" t="str">
        <f>_xlfn.XLOOKUP(ESales_DB[[#This Row],[Product_ID]],Eproduct_DB[Product_ID],Eproduct_DB[Product_Name])</f>
        <v>Car Dashboard Phone Holder</v>
      </c>
      <c r="Q275" s="2" t="str">
        <f>_xlfn.XLOOKUP(ESales_DB[[#This Row],[Store_ID]],Estore_DB[Store_ID],Estore_DB[Region])</f>
        <v>East</v>
      </c>
      <c r="R275" t="str">
        <f>VLOOKUP(ESales_DB[[#This Row],[Customer_ID]],Ecustom_DB[],10,FALSE)</f>
        <v>Gold</v>
      </c>
      <c r="S275" t="str">
        <f>IF(ESales_DB[[#This Row],[Quantity1]]&gt;3,"Bulk order","Normal order")</f>
        <v>Normal order</v>
      </c>
    </row>
    <row r="276" spans="1:19" x14ac:dyDescent="0.3">
      <c r="A276" t="s">
        <v>3070</v>
      </c>
      <c r="B276" s="4">
        <v>45669</v>
      </c>
      <c r="C276" s="4" t="str">
        <f>TEXT(ESales_DB[[#This Row],[Order_Date]],"mmm")</f>
        <v>Jan</v>
      </c>
      <c r="D276" t="s">
        <v>1202</v>
      </c>
      <c r="E276" t="s">
        <v>1624</v>
      </c>
      <c r="F276" t="s">
        <v>1807</v>
      </c>
      <c r="G276">
        <v>4</v>
      </c>
      <c r="H276" s="10">
        <f>IF(ISBLANK(ESales_DB[[#This Row],[Quantity]]),AVERAGEIF(ESales_DB[Product_ID],ESales_DB[[#This Row],[Product_ID]],ESales_DB[Quantity]),ESales_DB[[#This Row],[Quantity]])</f>
        <v>4</v>
      </c>
      <c r="I276" s="2">
        <v>347.82</v>
      </c>
      <c r="J276">
        <v>0.02</v>
      </c>
      <c r="K276" t="s">
        <v>1829</v>
      </c>
      <c r="L276" s="2">
        <v>1363.4544000000001</v>
      </c>
      <c r="M276" s="2" t="str">
        <f>IF(ESales_DB[[#This Row],[Total_Amount]]&gt;1000,"High","Low")</f>
        <v>High</v>
      </c>
      <c r="N276" s="2" t="str">
        <f>VLOOKUP(ESales_DB[[#This Row],[Customer_ID]],Ecustom_DB[],3,FALSE)</f>
        <v>Tammy Brennan</v>
      </c>
      <c r="O276" s="2" t="str">
        <f>_xlfn.XLOOKUP(ESales_DB[[#This Row],[Product_ID]],Eproduct_DB[Product_ID],Eproduct_DB[Category])</f>
        <v>Sports</v>
      </c>
      <c r="P276" s="2" t="str">
        <f>_xlfn.XLOOKUP(ESales_DB[[#This Row],[Product_ID]],Eproduct_DB[Product_ID],Eproduct_DB[Product_Name])</f>
        <v>Sports Water Hydration Pack</v>
      </c>
      <c r="Q276" s="2" t="str">
        <f>_xlfn.XLOOKUP(ESales_DB[[#This Row],[Store_ID]],Estore_DB[Store_ID],Estore_DB[Region])</f>
        <v>North</v>
      </c>
      <c r="R276" t="str">
        <f>VLOOKUP(ESales_DB[[#This Row],[Customer_ID]],Ecustom_DB[],10,FALSE)</f>
        <v>Gold</v>
      </c>
      <c r="S276" t="str">
        <f>IF(ESales_DB[[#This Row],[Quantity1]]&gt;3,"Bulk order","Normal order")</f>
        <v>Bulk order</v>
      </c>
    </row>
    <row r="277" spans="1:19" x14ac:dyDescent="0.3">
      <c r="A277" t="s">
        <v>3071</v>
      </c>
      <c r="B277" s="4">
        <v>45299</v>
      </c>
      <c r="C277" s="4" t="str">
        <f>TEXT(ESales_DB[[#This Row],[Order_Date]],"mmm")</f>
        <v>Jan</v>
      </c>
      <c r="D277" t="s">
        <v>1400</v>
      </c>
      <c r="E277" t="s">
        <v>1718</v>
      </c>
      <c r="F277" t="s">
        <v>1804</v>
      </c>
      <c r="G277">
        <v>3</v>
      </c>
      <c r="H277" s="10">
        <f>IF(ISBLANK(ESales_DB[[#This Row],[Quantity]]),AVERAGEIF(ESales_DB[Product_ID],ESales_DB[[#This Row],[Product_ID]],ESales_DB[Quantity]),ESales_DB[[#This Row],[Quantity]])</f>
        <v>3</v>
      </c>
      <c r="I277" s="2">
        <v>416.44</v>
      </c>
      <c r="J277">
        <v>0.27</v>
      </c>
      <c r="K277" t="s">
        <v>1824</v>
      </c>
      <c r="L277" s="2">
        <v>912.00359999999989</v>
      </c>
      <c r="M277" s="2" t="str">
        <f>IF(ESales_DB[[#This Row],[Total_Amount]]&gt;1000,"High","Low")</f>
        <v>Low</v>
      </c>
      <c r="N277" s="2" t="str">
        <f>VLOOKUP(ESales_DB[[#This Row],[Customer_ID]],Ecustom_DB[],3,FALSE)</f>
        <v>April Phillips</v>
      </c>
      <c r="O277" s="2" t="str">
        <f>_xlfn.XLOOKUP(ESales_DB[[#This Row],[Product_ID]],Eproduct_DB[Product_ID],Eproduct_DB[Category])</f>
        <v>Clothing</v>
      </c>
      <c r="P277" s="2" t="str">
        <f>_xlfn.XLOOKUP(ESales_DB[[#This Row],[Product_ID]],Eproduct_DB[Product_ID],Eproduct_DB[Product_Name])</f>
        <v>Women's Beanie Hat</v>
      </c>
      <c r="Q277" s="2" t="str">
        <f>_xlfn.XLOOKUP(ESales_DB[[#This Row],[Store_ID]],Estore_DB[Store_ID],Estore_DB[Region])</f>
        <v>West</v>
      </c>
      <c r="R277" t="str">
        <f>VLOOKUP(ESales_DB[[#This Row],[Customer_ID]],Ecustom_DB[],10,FALSE)</f>
        <v>Platinum</v>
      </c>
      <c r="S277" t="str">
        <f>IF(ESales_DB[[#This Row],[Quantity1]]&gt;3,"Bulk order","Normal order")</f>
        <v>Normal order</v>
      </c>
    </row>
    <row r="278" spans="1:19" x14ac:dyDescent="0.3">
      <c r="A278" t="s">
        <v>3072</v>
      </c>
      <c r="B278" s="4">
        <v>45893</v>
      </c>
      <c r="C278" s="4" t="str">
        <f>TEXT(ESales_DB[[#This Row],[Order_Date]],"mmm")</f>
        <v>Aug</v>
      </c>
      <c r="D278" t="s">
        <v>32</v>
      </c>
      <c r="E278" t="s">
        <v>1672</v>
      </c>
      <c r="F278" t="s">
        <v>1752</v>
      </c>
      <c r="G278">
        <v>1</v>
      </c>
      <c r="H278" s="10">
        <f>IF(ISBLANK(ESales_DB[[#This Row],[Quantity]]),AVERAGEIF(ESales_DB[Product_ID],ESales_DB[[#This Row],[Product_ID]],ESales_DB[Quantity]),ESales_DB[[#This Row],[Quantity]])</f>
        <v>1</v>
      </c>
      <c r="I278" s="2">
        <v>147.96</v>
      </c>
      <c r="J278">
        <v>0.24</v>
      </c>
      <c r="K278" t="s">
        <v>1829</v>
      </c>
      <c r="L278" s="2">
        <v>112.4496</v>
      </c>
      <c r="M278" s="2" t="str">
        <f>IF(ESales_DB[[#This Row],[Total_Amount]]&gt;1000,"High","Low")</f>
        <v>Low</v>
      </c>
      <c r="N278" s="2" t="str">
        <f>VLOOKUP(ESales_DB[[#This Row],[Customer_ID]],Ecustom_DB[],3,FALSE)</f>
        <v>Christine Vaughn</v>
      </c>
      <c r="O278" s="2" t="str">
        <f>_xlfn.XLOOKUP(ESales_DB[[#This Row],[Product_ID]],Eproduct_DB[Product_ID],Eproduct_DB[Category])</f>
        <v>Electronics</v>
      </c>
      <c r="P278" s="2" t="str">
        <f>_xlfn.XLOOKUP(ESales_DB[[#This Row],[Product_ID]],Eproduct_DB[Product_ID],Eproduct_DB[Product_Name])</f>
        <v>Laptop Cooling Pad</v>
      </c>
      <c r="Q278" s="2" t="str">
        <f>_xlfn.XLOOKUP(ESales_DB[[#This Row],[Store_ID]],Estore_DB[Store_ID],Estore_DB[Region])</f>
        <v>East</v>
      </c>
      <c r="R278" t="str">
        <f>VLOOKUP(ESales_DB[[#This Row],[Customer_ID]],Ecustom_DB[],10,FALSE)</f>
        <v>Bronze</v>
      </c>
      <c r="S278" t="str">
        <f>IF(ESales_DB[[#This Row],[Quantity1]]&gt;3,"Bulk order","Normal order")</f>
        <v>Normal order</v>
      </c>
    </row>
    <row r="279" spans="1:19" x14ac:dyDescent="0.3">
      <c r="A279" t="s">
        <v>3073</v>
      </c>
      <c r="B279" s="4">
        <v>45560</v>
      </c>
      <c r="C279" s="4" t="str">
        <f>TEXT(ESales_DB[[#This Row],[Order_Date]],"mmm")</f>
        <v>Sep</v>
      </c>
      <c r="D279" t="s">
        <v>1377</v>
      </c>
      <c r="E279" t="s">
        <v>1584</v>
      </c>
      <c r="F279" t="s">
        <v>1782</v>
      </c>
      <c r="G279">
        <v>3</v>
      </c>
      <c r="H279" s="10">
        <f>IF(ISBLANK(ESales_DB[[#This Row],[Quantity]]),AVERAGEIF(ESales_DB[Product_ID],ESales_DB[[#This Row],[Product_ID]],ESales_DB[Quantity]),ESales_DB[[#This Row],[Quantity]])</f>
        <v>3</v>
      </c>
      <c r="I279" s="2">
        <v>550.26</v>
      </c>
      <c r="J279">
        <v>0.22</v>
      </c>
      <c r="K279" t="s">
        <v>1824</v>
      </c>
      <c r="L279" s="2">
        <v>1287.6084000000001</v>
      </c>
      <c r="M279" s="2" t="str">
        <f>IF(ESales_DB[[#This Row],[Total_Amount]]&gt;1000,"High","Low")</f>
        <v>High</v>
      </c>
      <c r="N279" s="2" t="str">
        <f>VLOOKUP(ESales_DB[[#This Row],[Customer_ID]],Ecustom_DB[],3,FALSE)</f>
        <v>Gene Lee</v>
      </c>
      <c r="O279" s="2" t="str">
        <f>_xlfn.XLOOKUP(ESales_DB[[#This Row],[Product_ID]],Eproduct_DB[Product_ID],Eproduct_DB[Category])</f>
        <v>Clothing</v>
      </c>
      <c r="P279" s="2" t="str">
        <f>_xlfn.XLOOKUP(ESales_DB[[#This Row],[Product_ID]],Eproduct_DB[Product_ID],Eproduct_DB[Product_Name])</f>
        <v>Women's Denim Jeans</v>
      </c>
      <c r="Q279" s="2" t="str">
        <f>_xlfn.XLOOKUP(ESales_DB[[#This Row],[Store_ID]],Estore_DB[Store_ID],Estore_DB[Region])</f>
        <v>West</v>
      </c>
      <c r="R279" t="str">
        <f>VLOOKUP(ESales_DB[[#This Row],[Customer_ID]],Ecustom_DB[],10,FALSE)</f>
        <v>Platinum</v>
      </c>
      <c r="S279" t="str">
        <f>IF(ESales_DB[[#This Row],[Quantity1]]&gt;3,"Bulk order","Normal order")</f>
        <v>Normal order</v>
      </c>
    </row>
    <row r="280" spans="1:19" x14ac:dyDescent="0.3">
      <c r="A280" t="s">
        <v>3074</v>
      </c>
      <c r="B280" s="4">
        <v>45267</v>
      </c>
      <c r="C280" s="4" t="str">
        <f>TEXT(ESales_DB[[#This Row],[Order_Date]],"mmm")</f>
        <v>Dec</v>
      </c>
      <c r="D280" t="s">
        <v>1160</v>
      </c>
      <c r="E280" t="s">
        <v>1742</v>
      </c>
      <c r="F280" t="s">
        <v>1779</v>
      </c>
      <c r="G280">
        <v>4</v>
      </c>
      <c r="H280" s="10">
        <f>IF(ISBLANK(ESales_DB[[#This Row],[Quantity]]),AVERAGEIF(ESales_DB[Product_ID],ESales_DB[[#This Row],[Product_ID]],ESales_DB[Quantity]),ESales_DB[[#This Row],[Quantity]])</f>
        <v>4</v>
      </c>
      <c r="I280" s="2">
        <v>938.21</v>
      </c>
      <c r="J280">
        <v>0.04</v>
      </c>
      <c r="K280" t="s">
        <v>1826</v>
      </c>
      <c r="L280" s="2">
        <v>3602.7264</v>
      </c>
      <c r="M280" s="2" t="str">
        <f>IF(ESales_DB[[#This Row],[Total_Amount]]&gt;1000,"High","Low")</f>
        <v>High</v>
      </c>
      <c r="N280" s="2" t="str">
        <f>VLOOKUP(ESales_DB[[#This Row],[Customer_ID]],Ecustom_DB[],3,FALSE)</f>
        <v>Michael Garner</v>
      </c>
      <c r="O280" s="2" t="str">
        <f>_xlfn.XLOOKUP(ESales_DB[[#This Row],[Product_ID]],Eproduct_DB[Product_ID],Eproduct_DB[Category])</f>
        <v>Sports</v>
      </c>
      <c r="P280" s="2" t="str">
        <f>_xlfn.XLOOKUP(ESales_DB[[#This Row],[Product_ID]],Eproduct_DB[Product_ID],Eproduct_DB[Product_Name])</f>
        <v>Cricket Bat</v>
      </c>
      <c r="Q280" s="2" t="str">
        <f>_xlfn.XLOOKUP(ESales_DB[[#This Row],[Store_ID]],Estore_DB[Store_ID],Estore_DB[Region])</f>
        <v>South</v>
      </c>
      <c r="R280" t="str">
        <f>VLOOKUP(ESales_DB[[#This Row],[Customer_ID]],Ecustom_DB[],10,FALSE)</f>
        <v>Platinum</v>
      </c>
      <c r="S280" t="str">
        <f>IF(ESales_DB[[#This Row],[Quantity1]]&gt;3,"Bulk order","Normal order")</f>
        <v>Bulk order</v>
      </c>
    </row>
    <row r="281" spans="1:19" x14ac:dyDescent="0.3">
      <c r="A281" t="s">
        <v>3075</v>
      </c>
      <c r="B281" s="4">
        <v>45467</v>
      </c>
      <c r="C281" s="4" t="str">
        <f>TEXT(ESales_DB[[#This Row],[Order_Date]],"mmm")</f>
        <v>Jun</v>
      </c>
      <c r="D281" t="s">
        <v>458</v>
      </c>
      <c r="E281" t="s">
        <v>1736</v>
      </c>
      <c r="F281" t="s">
        <v>1804</v>
      </c>
      <c r="G281">
        <v>3</v>
      </c>
      <c r="H281" s="10">
        <f>IF(ISBLANK(ESales_DB[[#This Row],[Quantity]]),AVERAGEIF(ESales_DB[Product_ID],ESales_DB[[#This Row],[Product_ID]],ESales_DB[Quantity]),ESales_DB[[#This Row],[Quantity]])</f>
        <v>3</v>
      </c>
      <c r="I281" s="2">
        <v>517.98</v>
      </c>
      <c r="J281">
        <v>0.01</v>
      </c>
      <c r="K281" t="s">
        <v>1826</v>
      </c>
      <c r="L281" s="2">
        <v>1538.4005999999999</v>
      </c>
      <c r="M281" s="2" t="str">
        <f>IF(ESales_DB[[#This Row],[Total_Amount]]&gt;1000,"High","Low")</f>
        <v>High</v>
      </c>
      <c r="N281" s="2" t="str">
        <f>VLOOKUP(ESales_DB[[#This Row],[Customer_ID]],Ecustom_DB[],3,FALSE)</f>
        <v>Morgan Bowen</v>
      </c>
      <c r="O281" s="2" t="str">
        <f>_xlfn.XLOOKUP(ESales_DB[[#This Row],[Product_ID]],Eproduct_DB[Product_ID],Eproduct_DB[Category])</f>
        <v>Beauty</v>
      </c>
      <c r="P281" s="2" t="str">
        <f>_xlfn.XLOOKUP(ESales_DB[[#This Row],[Product_ID]],Eproduct_DB[Product_ID],Eproduct_DB[Product_Name])</f>
        <v>Vitamin E Body Lotion</v>
      </c>
      <c r="Q281" s="2" t="str">
        <f>_xlfn.XLOOKUP(ESales_DB[[#This Row],[Store_ID]],Estore_DB[Store_ID],Estore_DB[Region])</f>
        <v>West</v>
      </c>
      <c r="R281" t="str">
        <f>VLOOKUP(ESales_DB[[#This Row],[Customer_ID]],Ecustom_DB[],10,FALSE)</f>
        <v>Gold</v>
      </c>
      <c r="S281" t="str">
        <f>IF(ESales_DB[[#This Row],[Quantity1]]&gt;3,"Bulk order","Normal order")</f>
        <v>Normal order</v>
      </c>
    </row>
    <row r="282" spans="1:19" x14ac:dyDescent="0.3">
      <c r="A282" t="s">
        <v>1951</v>
      </c>
      <c r="B282" s="4">
        <v>45598</v>
      </c>
      <c r="C282" s="4" t="str">
        <f>TEXT(ESales_DB[[#This Row],[Order_Date]],"mmm")</f>
        <v>Nov</v>
      </c>
      <c r="D282" t="s">
        <v>1530</v>
      </c>
      <c r="E282" t="s">
        <v>1562</v>
      </c>
      <c r="F282" t="s">
        <v>1776</v>
      </c>
      <c r="G282">
        <v>1</v>
      </c>
      <c r="H282" s="10">
        <f>IF(ISBLANK(ESales_DB[[#This Row],[Quantity]]),AVERAGEIF(ESales_DB[Product_ID],ESales_DB[[#This Row],[Product_ID]],ESales_DB[Quantity]),ESales_DB[[#This Row],[Quantity]])</f>
        <v>1</v>
      </c>
      <c r="I282" s="2">
        <v>846.31</v>
      </c>
      <c r="J282">
        <v>0.05</v>
      </c>
      <c r="K282" t="s">
        <v>1826</v>
      </c>
      <c r="L282" s="2">
        <v>803.9944999999999</v>
      </c>
      <c r="M282" s="2" t="str">
        <f>IF(ESales_DB[[#This Row],[Total_Amount]]&gt;1000,"High","Low")</f>
        <v>Low</v>
      </c>
      <c r="N282" s="2" t="str">
        <f>VLOOKUP(ESales_DB[[#This Row],[Customer_ID]],Ecustom_DB[],3,FALSE)</f>
        <v>Traci Gonzalez</v>
      </c>
      <c r="O282" s="2" t="str">
        <f>_xlfn.XLOOKUP(ESales_DB[[#This Row],[Product_ID]],Eproduct_DB[Product_ID],Eproduct_DB[Category])</f>
        <v>Electronics</v>
      </c>
      <c r="P282" s="2" t="str">
        <f>_xlfn.XLOOKUP(ESales_DB[[#This Row],[Product_ID]],Eproduct_DB[Product_ID],Eproduct_DB[Product_Name])</f>
        <v>Wireless Bluetooth Earbuds</v>
      </c>
      <c r="Q282" s="2" t="str">
        <f>_xlfn.XLOOKUP(ESales_DB[[#This Row],[Store_ID]],Estore_DB[Store_ID],Estore_DB[Region])</f>
        <v>East</v>
      </c>
      <c r="R282" t="str">
        <f>VLOOKUP(ESales_DB[[#This Row],[Customer_ID]],Ecustom_DB[],10,FALSE)</f>
        <v>Silver</v>
      </c>
      <c r="S282" t="str">
        <f>IF(ESales_DB[[#This Row],[Quantity1]]&gt;3,"Bulk order","Normal order")</f>
        <v>Normal order</v>
      </c>
    </row>
    <row r="283" spans="1:19" x14ac:dyDescent="0.3">
      <c r="A283" t="s">
        <v>3076</v>
      </c>
      <c r="B283" s="4">
        <v>45847</v>
      </c>
      <c r="C283" s="4" t="str">
        <f>TEXT(ESales_DB[[#This Row],[Order_Date]],"mmm")</f>
        <v>Jul</v>
      </c>
      <c r="D283" t="s">
        <v>144</v>
      </c>
      <c r="E283" t="s">
        <v>1557</v>
      </c>
      <c r="F283" t="s">
        <v>1782</v>
      </c>
      <c r="G283">
        <v>1</v>
      </c>
      <c r="H283" s="10">
        <f>IF(ISBLANK(ESales_DB[[#This Row],[Quantity]]),AVERAGEIF(ESales_DB[Product_ID],ESales_DB[[#This Row],[Product_ID]],ESales_DB[Quantity]),ESales_DB[[#This Row],[Quantity]])</f>
        <v>1</v>
      </c>
      <c r="I283" s="2">
        <v>98.27</v>
      </c>
      <c r="J283">
        <v>0.16</v>
      </c>
      <c r="K283" t="s">
        <v>1826</v>
      </c>
      <c r="L283" s="2">
        <v>82.54679999999999</v>
      </c>
      <c r="M283" s="2" t="str">
        <f>IF(ESales_DB[[#This Row],[Total_Amount]]&gt;1000,"High","Low")</f>
        <v>Low</v>
      </c>
      <c r="N283" s="2" t="str">
        <f>VLOOKUP(ESales_DB[[#This Row],[Customer_ID]],Ecustom_DB[],3,FALSE)</f>
        <v>Thomas Phillips</v>
      </c>
      <c r="O283" s="2" t="str">
        <f>_xlfn.XLOOKUP(ESales_DB[[#This Row],[Product_ID]],Eproduct_DB[Product_ID],Eproduct_DB[Category])</f>
        <v>Beauty</v>
      </c>
      <c r="P283" s="2" t="str">
        <f>_xlfn.XLOOKUP(ESales_DB[[#This Row],[Product_ID]],Eproduct_DB[Product_ID],Eproduct_DB[Product_Name])</f>
        <v>Herbal Face Moisturizer</v>
      </c>
      <c r="Q283" s="2" t="str">
        <f>_xlfn.XLOOKUP(ESales_DB[[#This Row],[Store_ID]],Estore_DB[Store_ID],Estore_DB[Region])</f>
        <v>West</v>
      </c>
      <c r="R283" t="str">
        <f>VLOOKUP(ESales_DB[[#This Row],[Customer_ID]],Ecustom_DB[],10,FALSE)</f>
        <v>Gold</v>
      </c>
      <c r="S283" t="str">
        <f>IF(ESales_DB[[#This Row],[Quantity1]]&gt;3,"Bulk order","Normal order")</f>
        <v>Normal order</v>
      </c>
    </row>
    <row r="284" spans="1:19" x14ac:dyDescent="0.3">
      <c r="A284" t="s">
        <v>3077</v>
      </c>
      <c r="B284" s="4">
        <v>45480</v>
      </c>
      <c r="C284" s="4" t="str">
        <f>TEXT(ESales_DB[[#This Row],[Order_Date]],"mmm")</f>
        <v>Jul</v>
      </c>
      <c r="D284" t="s">
        <v>803</v>
      </c>
      <c r="E284" t="s">
        <v>1644</v>
      </c>
      <c r="F284" t="s">
        <v>1792</v>
      </c>
      <c r="G284">
        <v>2</v>
      </c>
      <c r="H284" s="10">
        <f>IF(ISBLANK(ESales_DB[[#This Row],[Quantity]]),AVERAGEIF(ESales_DB[Product_ID],ESales_DB[[#This Row],[Product_ID]],ESales_DB[Quantity]),ESales_DB[[#This Row],[Quantity]])</f>
        <v>2</v>
      </c>
      <c r="I284" s="2">
        <v>875.2</v>
      </c>
      <c r="J284">
        <v>0.19</v>
      </c>
      <c r="K284" t="s">
        <v>1824</v>
      </c>
      <c r="L284" s="2">
        <v>1417.8240000000001</v>
      </c>
      <c r="M284" s="2" t="str">
        <f>IF(ESales_DB[[#This Row],[Total_Amount]]&gt;1000,"High","Low")</f>
        <v>High</v>
      </c>
      <c r="N284" s="2" t="str">
        <f>VLOOKUP(ESales_DB[[#This Row],[Customer_ID]],Ecustom_DB[],3,FALSE)</f>
        <v>Tyler Garner</v>
      </c>
      <c r="O284" s="2" t="str">
        <f>_xlfn.XLOOKUP(ESales_DB[[#This Row],[Product_ID]],Eproduct_DB[Product_ID],Eproduct_DB[Category])</f>
        <v>Electronics</v>
      </c>
      <c r="P284" s="2" t="str">
        <f>_xlfn.XLOOKUP(ESales_DB[[#This Row],[Product_ID]],Eproduct_DB[Product_ID],Eproduct_DB[Product_Name])</f>
        <v>Car Dashboard Phone Holder</v>
      </c>
      <c r="Q284" s="2" t="str">
        <f>_xlfn.XLOOKUP(ESales_DB[[#This Row],[Store_ID]],Estore_DB[Store_ID],Estore_DB[Region])</f>
        <v>South</v>
      </c>
      <c r="R284" t="str">
        <f>VLOOKUP(ESales_DB[[#This Row],[Customer_ID]],Ecustom_DB[],10,FALSE)</f>
        <v>Silver</v>
      </c>
      <c r="S284" t="str">
        <f>IF(ESales_DB[[#This Row],[Quantity1]]&gt;3,"Bulk order","Normal order")</f>
        <v>Normal order</v>
      </c>
    </row>
    <row r="285" spans="1:19" x14ac:dyDescent="0.3">
      <c r="A285" t="s">
        <v>3078</v>
      </c>
      <c r="B285" s="4">
        <v>45345</v>
      </c>
      <c r="C285" s="4" t="str">
        <f>TEXT(ESales_DB[[#This Row],[Order_Date]],"mmm")</f>
        <v>Feb</v>
      </c>
      <c r="D285" t="s">
        <v>963</v>
      </c>
      <c r="E285" t="s">
        <v>1720</v>
      </c>
      <c r="F285" t="s">
        <v>1752</v>
      </c>
      <c r="G285">
        <v>1</v>
      </c>
      <c r="H285" s="10">
        <f>IF(ISBLANK(ESales_DB[[#This Row],[Quantity]]),AVERAGEIF(ESales_DB[Product_ID],ESales_DB[[#This Row],[Product_ID]],ESales_DB[Quantity]),ESales_DB[[#This Row],[Quantity]])</f>
        <v>1</v>
      </c>
      <c r="I285" s="2">
        <v>227.35</v>
      </c>
      <c r="J285">
        <v>0.06</v>
      </c>
      <c r="K285" t="s">
        <v>1829</v>
      </c>
      <c r="L285" s="2">
        <v>213.709</v>
      </c>
      <c r="M285" s="2" t="str">
        <f>IF(ESales_DB[[#This Row],[Total_Amount]]&gt;1000,"High","Low")</f>
        <v>Low</v>
      </c>
      <c r="N285" s="2" t="str">
        <f>VLOOKUP(ESales_DB[[#This Row],[Customer_ID]],Ecustom_DB[],3,FALSE)</f>
        <v>Roberta Green</v>
      </c>
      <c r="O285" s="2" t="str">
        <f>_xlfn.XLOOKUP(ESales_DB[[#This Row],[Product_ID]],Eproduct_DB[Product_ID],Eproduct_DB[Category])</f>
        <v>Home</v>
      </c>
      <c r="P285" s="2" t="str">
        <f>_xlfn.XLOOKUP(ESales_DB[[#This Row],[Product_ID]],Eproduct_DB[Product_ID],Eproduct_DB[Product_Name])</f>
        <v>Kitchen Cutting Board</v>
      </c>
      <c r="Q285" s="2" t="str">
        <f>_xlfn.XLOOKUP(ESales_DB[[#This Row],[Store_ID]],Estore_DB[Store_ID],Estore_DB[Region])</f>
        <v>East</v>
      </c>
      <c r="R285" t="str">
        <f>VLOOKUP(ESales_DB[[#This Row],[Customer_ID]],Ecustom_DB[],10,FALSE)</f>
        <v>Platinum</v>
      </c>
      <c r="S285" t="str">
        <f>IF(ESales_DB[[#This Row],[Quantity1]]&gt;3,"Bulk order","Normal order")</f>
        <v>Normal order</v>
      </c>
    </row>
    <row r="286" spans="1:19" x14ac:dyDescent="0.3">
      <c r="A286" t="s">
        <v>3079</v>
      </c>
      <c r="B286" s="4">
        <v>45235</v>
      </c>
      <c r="C286" s="4" t="str">
        <f>TEXT(ESales_DB[[#This Row],[Order_Date]],"mmm")</f>
        <v>Nov</v>
      </c>
      <c r="D286" t="s">
        <v>684</v>
      </c>
      <c r="E286" t="s">
        <v>1696</v>
      </c>
      <c r="F286" t="s">
        <v>1757</v>
      </c>
      <c r="G286">
        <v>1</v>
      </c>
      <c r="H286" s="10">
        <f>IF(ISBLANK(ESales_DB[[#This Row],[Quantity]]),AVERAGEIF(ESales_DB[Product_ID],ESales_DB[[#This Row],[Product_ID]],ESales_DB[Quantity]),ESales_DB[[#This Row],[Quantity]])</f>
        <v>1</v>
      </c>
      <c r="I286" s="2">
        <v>842.46</v>
      </c>
      <c r="J286">
        <v>0.05</v>
      </c>
      <c r="K286" t="s">
        <v>1829</v>
      </c>
      <c r="L286" s="2">
        <v>800.33699999999999</v>
      </c>
      <c r="M286" s="2" t="str">
        <f>IF(ESales_DB[[#This Row],[Total_Amount]]&gt;1000,"High","Low")</f>
        <v>Low</v>
      </c>
      <c r="N286" s="2" t="str">
        <f>VLOOKUP(ESales_DB[[#This Row],[Customer_ID]],Ecustom_DB[],3,FALSE)</f>
        <v>Antonio Jones</v>
      </c>
      <c r="O286" s="2" t="str">
        <f>_xlfn.XLOOKUP(ESales_DB[[#This Row],[Product_ID]],Eproduct_DB[Product_ID],Eproduct_DB[Category])</f>
        <v>Electronics</v>
      </c>
      <c r="P286" s="2" t="str">
        <f>_xlfn.XLOOKUP(ESales_DB[[#This Row],[Product_ID]],Eproduct_DB[Product_ID],Eproduct_DB[Product_Name])</f>
        <v>Bluetooth Car Audio System</v>
      </c>
      <c r="Q286" s="2" t="str">
        <f>_xlfn.XLOOKUP(ESales_DB[[#This Row],[Store_ID]],Estore_DB[Store_ID],Estore_DB[Region])</f>
        <v>North</v>
      </c>
      <c r="R286" t="str">
        <f>VLOOKUP(ESales_DB[[#This Row],[Customer_ID]],Ecustom_DB[],10,FALSE)</f>
        <v>Silver</v>
      </c>
      <c r="S286" t="str">
        <f>IF(ESales_DB[[#This Row],[Quantity1]]&gt;3,"Bulk order","Normal order")</f>
        <v>Normal order</v>
      </c>
    </row>
    <row r="287" spans="1:19" x14ac:dyDescent="0.3">
      <c r="A287" t="s">
        <v>3080</v>
      </c>
      <c r="B287" s="4">
        <v>45543</v>
      </c>
      <c r="C287" s="4" t="str">
        <f>TEXT(ESales_DB[[#This Row],[Order_Date]],"mmm")</f>
        <v>Sep</v>
      </c>
      <c r="D287" t="s">
        <v>690</v>
      </c>
      <c r="E287" t="s">
        <v>1620</v>
      </c>
      <c r="F287" t="s">
        <v>1792</v>
      </c>
      <c r="G287">
        <v>3</v>
      </c>
      <c r="H287" s="10">
        <f>IF(ISBLANK(ESales_DB[[#This Row],[Quantity]]),AVERAGEIF(ESales_DB[Product_ID],ESales_DB[[#This Row],[Product_ID]],ESales_DB[Quantity]),ESales_DB[[#This Row],[Quantity]])</f>
        <v>3</v>
      </c>
      <c r="I287" s="2">
        <v>120.67</v>
      </c>
      <c r="J287">
        <v>0.08</v>
      </c>
      <c r="K287" t="s">
        <v>1829</v>
      </c>
      <c r="L287" s="2">
        <v>333.04919999999998</v>
      </c>
      <c r="M287" s="2" t="str">
        <f>IF(ESales_DB[[#This Row],[Total_Amount]]&gt;1000,"High","Low")</f>
        <v>Low</v>
      </c>
      <c r="N287" s="2" t="str">
        <f>VLOOKUP(ESales_DB[[#This Row],[Customer_ID]],Ecustom_DB[],3,FALSE)</f>
        <v>Blake Harrison</v>
      </c>
      <c r="O287" s="2" t="str">
        <f>_xlfn.XLOOKUP(ESales_DB[[#This Row],[Product_ID]],Eproduct_DB[Product_ID],Eproduct_DB[Category])</f>
        <v>Clothing</v>
      </c>
      <c r="P287" s="2" t="str">
        <f>_xlfn.XLOOKUP(ESales_DB[[#This Row],[Product_ID]],Eproduct_DB[Product_ID],Eproduct_DB[Product_Name])</f>
        <v>Women's Summer Dress</v>
      </c>
      <c r="Q287" s="2" t="str">
        <f>_xlfn.XLOOKUP(ESales_DB[[#This Row],[Store_ID]],Estore_DB[Store_ID],Estore_DB[Region])</f>
        <v>South</v>
      </c>
      <c r="R287" t="str">
        <f>VLOOKUP(ESales_DB[[#This Row],[Customer_ID]],Ecustom_DB[],10,FALSE)</f>
        <v>Platinum</v>
      </c>
      <c r="S287" t="str">
        <f>IF(ESales_DB[[#This Row],[Quantity1]]&gt;3,"Bulk order","Normal order")</f>
        <v>Normal order</v>
      </c>
    </row>
    <row r="288" spans="1:19" x14ac:dyDescent="0.3">
      <c r="A288" t="s">
        <v>3081</v>
      </c>
      <c r="B288" s="4">
        <v>45402</v>
      </c>
      <c r="C288" s="4" t="str">
        <f>TEXT(ESales_DB[[#This Row],[Order_Date]],"mmm")</f>
        <v>Apr</v>
      </c>
      <c r="D288" t="s">
        <v>1527</v>
      </c>
      <c r="E288" t="s">
        <v>1588</v>
      </c>
      <c r="F288" t="s">
        <v>1766</v>
      </c>
      <c r="G288">
        <v>4</v>
      </c>
      <c r="H288" s="10">
        <f>IF(ISBLANK(ESales_DB[[#This Row],[Quantity]]),AVERAGEIF(ESales_DB[Product_ID],ESales_DB[[#This Row],[Product_ID]],ESales_DB[Quantity]),ESales_DB[[#This Row],[Quantity]])</f>
        <v>4</v>
      </c>
      <c r="I288" s="2">
        <v>176.13</v>
      </c>
      <c r="J288">
        <v>0.27</v>
      </c>
      <c r="K288" t="s">
        <v>1826</v>
      </c>
      <c r="L288" s="2">
        <v>514.29959999999994</v>
      </c>
      <c r="M288" s="2" t="str">
        <f>IF(ESales_DB[[#This Row],[Total_Amount]]&gt;1000,"High","Low")</f>
        <v>Low</v>
      </c>
      <c r="N288" s="2" t="str">
        <f>VLOOKUP(ESales_DB[[#This Row],[Customer_ID]],Ecustom_DB[],3,FALSE)</f>
        <v>Sarah Marsh</v>
      </c>
      <c r="O288" s="2" t="str">
        <f>_xlfn.XLOOKUP(ESales_DB[[#This Row],[Product_ID]],Eproduct_DB[Product_ID],Eproduct_DB[Category])</f>
        <v>Sports</v>
      </c>
      <c r="P288" s="2" t="str">
        <f>_xlfn.XLOOKUP(ESales_DB[[#This Row],[Product_ID]],Eproduct_DB[Product_ID],Eproduct_DB[Product_Name])</f>
        <v>Outdoor Sports Water Bottle</v>
      </c>
      <c r="Q288" s="2" t="str">
        <f>_xlfn.XLOOKUP(ESales_DB[[#This Row],[Store_ID]],Estore_DB[Store_ID],Estore_DB[Region])</f>
        <v>North</v>
      </c>
      <c r="R288" t="str">
        <f>VLOOKUP(ESales_DB[[#This Row],[Customer_ID]],Ecustom_DB[],10,FALSE)</f>
        <v>Gold</v>
      </c>
      <c r="S288" t="str">
        <f>IF(ESales_DB[[#This Row],[Quantity1]]&gt;3,"Bulk order","Normal order")</f>
        <v>Bulk order</v>
      </c>
    </row>
    <row r="289" spans="1:19" x14ac:dyDescent="0.3">
      <c r="A289" t="s">
        <v>3082</v>
      </c>
      <c r="B289" s="4">
        <v>45671</v>
      </c>
      <c r="C289" s="4" t="str">
        <f>TEXT(ESales_DB[[#This Row],[Order_Date]],"mmm")</f>
        <v>Jan</v>
      </c>
      <c r="D289" t="s">
        <v>1392</v>
      </c>
      <c r="E289" t="s">
        <v>1674</v>
      </c>
      <c r="F289" t="s">
        <v>1792</v>
      </c>
      <c r="G289">
        <v>4</v>
      </c>
      <c r="H289" s="10">
        <f>IF(ISBLANK(ESales_DB[[#This Row],[Quantity]]),AVERAGEIF(ESales_DB[Product_ID],ESales_DB[[#This Row],[Product_ID]],ESales_DB[Quantity]),ESales_DB[[#This Row],[Quantity]])</f>
        <v>4</v>
      </c>
      <c r="I289" s="2">
        <v>592.67999999999995</v>
      </c>
      <c r="J289">
        <v>0.03</v>
      </c>
      <c r="K289" t="s">
        <v>1824</v>
      </c>
      <c r="L289" s="2">
        <v>2299.5983999999999</v>
      </c>
      <c r="M289" s="2" t="str">
        <f>IF(ESales_DB[[#This Row],[Total_Amount]]&gt;1000,"High","Low")</f>
        <v>High</v>
      </c>
      <c r="N289" s="2" t="str">
        <f>VLOOKUP(ESales_DB[[#This Row],[Customer_ID]],Ecustom_DB[],3,FALSE)</f>
        <v>Shane Mills</v>
      </c>
      <c r="O289" s="2" t="str">
        <f>_xlfn.XLOOKUP(ESales_DB[[#This Row],[Product_ID]],Eproduct_DB[Product_ID],Eproduct_DB[Category])</f>
        <v>Beauty</v>
      </c>
      <c r="P289" s="2" t="str">
        <f>_xlfn.XLOOKUP(ESales_DB[[#This Row],[Product_ID]],Eproduct_DB[Product_ID],Eproduct_DB[Product_Name])</f>
        <v>Organic Sunscreen Lotion</v>
      </c>
      <c r="Q289" s="2" t="str">
        <f>_xlfn.XLOOKUP(ESales_DB[[#This Row],[Store_ID]],Estore_DB[Store_ID],Estore_DB[Region])</f>
        <v>South</v>
      </c>
      <c r="R289" t="str">
        <f>VLOOKUP(ESales_DB[[#This Row],[Customer_ID]],Ecustom_DB[],10,FALSE)</f>
        <v>Bronze</v>
      </c>
      <c r="S289" t="str">
        <f>IF(ESales_DB[[#This Row],[Quantity1]]&gt;3,"Bulk order","Normal order")</f>
        <v>Bulk order</v>
      </c>
    </row>
    <row r="290" spans="1:19" x14ac:dyDescent="0.3">
      <c r="A290" t="s">
        <v>3083</v>
      </c>
      <c r="B290" s="4">
        <v>45367</v>
      </c>
      <c r="C290" s="4" t="str">
        <f>TEXT(ESales_DB[[#This Row],[Order_Date]],"mmm")</f>
        <v>Mar</v>
      </c>
      <c r="D290" t="s">
        <v>582</v>
      </c>
      <c r="E290" t="s">
        <v>1688</v>
      </c>
      <c r="F290" t="s">
        <v>1769</v>
      </c>
      <c r="G290">
        <v>4</v>
      </c>
      <c r="H290" s="10">
        <f>IF(ISBLANK(ESales_DB[[#This Row],[Quantity]]),AVERAGEIF(ESales_DB[Product_ID],ESales_DB[[#This Row],[Product_ID]],ESales_DB[Quantity]),ESales_DB[[#This Row],[Quantity]])</f>
        <v>4</v>
      </c>
      <c r="I290" s="2">
        <v>662.43</v>
      </c>
      <c r="J290">
        <v>0.24</v>
      </c>
      <c r="K290" t="s">
        <v>1826</v>
      </c>
      <c r="L290" s="2">
        <v>2013.7872</v>
      </c>
      <c r="M290" s="2" t="str">
        <f>IF(ESales_DB[[#This Row],[Total_Amount]]&gt;1000,"High","Low")</f>
        <v>High</v>
      </c>
      <c r="N290" s="2" t="str">
        <f>VLOOKUP(ESales_DB[[#This Row],[Customer_ID]],Ecustom_DB[],3,FALSE)</f>
        <v>John Bradford</v>
      </c>
      <c r="O290" s="2" t="str">
        <f>_xlfn.XLOOKUP(ESales_DB[[#This Row],[Product_ID]],Eproduct_DB[Product_ID],Eproduct_DB[Category])</f>
        <v>Home</v>
      </c>
      <c r="P290" s="2" t="str">
        <f>_xlfn.XLOOKUP(ESales_DB[[#This Row],[Product_ID]],Eproduct_DB[Product_ID],Eproduct_DB[Product_Name])</f>
        <v>Kitchen Storage Rack</v>
      </c>
      <c r="Q290" s="2" t="str">
        <f>_xlfn.XLOOKUP(ESales_DB[[#This Row],[Store_ID]],Estore_DB[Store_ID],Estore_DB[Region])</f>
        <v>South</v>
      </c>
      <c r="R290" t="str">
        <f>VLOOKUP(ESales_DB[[#This Row],[Customer_ID]],Ecustom_DB[],10,FALSE)</f>
        <v>Silver</v>
      </c>
      <c r="S290" t="str">
        <f>IF(ESales_DB[[#This Row],[Quantity1]]&gt;3,"Bulk order","Normal order")</f>
        <v>Bulk order</v>
      </c>
    </row>
    <row r="291" spans="1:19" x14ac:dyDescent="0.3">
      <c r="A291" t="s">
        <v>3084</v>
      </c>
      <c r="B291" s="4">
        <v>45488</v>
      </c>
      <c r="C291" s="4" t="str">
        <f>TEXT(ESales_DB[[#This Row],[Order_Date]],"mmm")</f>
        <v>Jul</v>
      </c>
      <c r="D291" t="s">
        <v>441</v>
      </c>
      <c r="E291" t="s">
        <v>1634</v>
      </c>
      <c r="F291" t="s">
        <v>1782</v>
      </c>
      <c r="G291">
        <v>3</v>
      </c>
      <c r="H291" s="10">
        <f>IF(ISBLANK(ESales_DB[[#This Row],[Quantity]]),AVERAGEIF(ESales_DB[Product_ID],ESales_DB[[#This Row],[Product_ID]],ESales_DB[Quantity]),ESales_DB[[#This Row],[Quantity]])</f>
        <v>3</v>
      </c>
      <c r="I291" s="2">
        <v>518.35</v>
      </c>
      <c r="J291">
        <v>0.21</v>
      </c>
      <c r="K291" t="s">
        <v>1829</v>
      </c>
      <c r="L291" s="2">
        <v>1228.4894999999999</v>
      </c>
      <c r="M291" s="2" t="str">
        <f>IF(ESales_DB[[#This Row],[Total_Amount]]&gt;1000,"High","Low")</f>
        <v>High</v>
      </c>
      <c r="N291" s="2" t="str">
        <f>VLOOKUP(ESales_DB[[#This Row],[Customer_ID]],Ecustom_DB[],3,FALSE)</f>
        <v>Susan Mcdonald</v>
      </c>
      <c r="O291" s="2" t="str">
        <f>_xlfn.XLOOKUP(ESales_DB[[#This Row],[Product_ID]],Eproduct_DB[Product_ID],Eproduct_DB[Category])</f>
        <v>Electronics</v>
      </c>
      <c r="P291" s="2" t="str">
        <f>_xlfn.XLOOKUP(ESales_DB[[#This Row],[Product_ID]],Eproduct_DB[Product_ID],Eproduct_DB[Product_Name])</f>
        <v>USB External Hard Drive</v>
      </c>
      <c r="Q291" s="2" t="str">
        <f>_xlfn.XLOOKUP(ESales_DB[[#This Row],[Store_ID]],Estore_DB[Store_ID],Estore_DB[Region])</f>
        <v>West</v>
      </c>
      <c r="R291" t="str">
        <f>VLOOKUP(ESales_DB[[#This Row],[Customer_ID]],Ecustom_DB[],10,FALSE)</f>
        <v>Silver</v>
      </c>
      <c r="S291" t="str">
        <f>IF(ESales_DB[[#This Row],[Quantity1]]&gt;3,"Bulk order","Normal order")</f>
        <v>Normal order</v>
      </c>
    </row>
    <row r="292" spans="1:19" x14ac:dyDescent="0.3">
      <c r="A292" t="s">
        <v>3085</v>
      </c>
      <c r="B292" s="4">
        <v>45509</v>
      </c>
      <c r="C292" s="4" t="str">
        <f>TEXT(ESales_DB[[#This Row],[Order_Date]],"mmm")</f>
        <v>Aug</v>
      </c>
      <c r="D292" t="s">
        <v>978</v>
      </c>
      <c r="E292" t="s">
        <v>1670</v>
      </c>
      <c r="F292" t="s">
        <v>1773</v>
      </c>
      <c r="G292">
        <v>1</v>
      </c>
      <c r="H292" s="10">
        <f>IF(ISBLANK(ESales_DB[[#This Row],[Quantity]]),AVERAGEIF(ESales_DB[Product_ID],ESales_DB[[#This Row],[Product_ID]],ESales_DB[Quantity]),ESales_DB[[#This Row],[Quantity]])</f>
        <v>1</v>
      </c>
      <c r="I292" s="2">
        <v>85.58</v>
      </c>
      <c r="J292">
        <v>0.1</v>
      </c>
      <c r="K292" t="s">
        <v>1829</v>
      </c>
      <c r="L292" s="2">
        <v>77.022000000000006</v>
      </c>
      <c r="M292" s="2" t="str">
        <f>IF(ESales_DB[[#This Row],[Total_Amount]]&gt;1000,"High","Low")</f>
        <v>Low</v>
      </c>
      <c r="N292" s="2" t="str">
        <f>VLOOKUP(ESales_DB[[#This Row],[Customer_ID]],Ecustom_DB[],3,FALSE)</f>
        <v>Kara Dodson</v>
      </c>
      <c r="O292" s="2" t="str">
        <f>_xlfn.XLOOKUP(ESales_DB[[#This Row],[Product_ID]],Eproduct_DB[Product_ID],Eproduct_DB[Category])</f>
        <v>Sports</v>
      </c>
      <c r="P292" s="2" t="str">
        <f>_xlfn.XLOOKUP(ESales_DB[[#This Row],[Product_ID]],Eproduct_DB[Product_ID],Eproduct_DB[Product_Name])</f>
        <v>Tennis Ball 3-Pack</v>
      </c>
      <c r="Q292" s="2" t="str">
        <f>_xlfn.XLOOKUP(ESales_DB[[#This Row],[Store_ID]],Estore_DB[Store_ID],Estore_DB[Region])</f>
        <v>North</v>
      </c>
      <c r="R292" t="str">
        <f>VLOOKUP(ESales_DB[[#This Row],[Customer_ID]],Ecustom_DB[],10,FALSE)</f>
        <v>Silver</v>
      </c>
      <c r="S292" t="str">
        <f>IF(ESales_DB[[#This Row],[Quantity1]]&gt;3,"Bulk order","Normal order")</f>
        <v>Normal order</v>
      </c>
    </row>
    <row r="293" spans="1:19" x14ac:dyDescent="0.3">
      <c r="A293" t="s">
        <v>1952</v>
      </c>
      <c r="B293" s="4">
        <v>45884</v>
      </c>
      <c r="C293" s="4" t="str">
        <f>TEXT(ESales_DB[[#This Row],[Order_Date]],"mmm")</f>
        <v>Aug</v>
      </c>
      <c r="D293" t="s">
        <v>449</v>
      </c>
      <c r="E293" t="s">
        <v>1618</v>
      </c>
      <c r="F293" t="s">
        <v>1794</v>
      </c>
      <c r="G293">
        <v>1</v>
      </c>
      <c r="H293" s="10">
        <f>IF(ISBLANK(ESales_DB[[#This Row],[Quantity]]),AVERAGEIF(ESales_DB[Product_ID],ESales_DB[[#This Row],[Product_ID]],ESales_DB[Quantity]),ESales_DB[[#This Row],[Quantity]])</f>
        <v>1</v>
      </c>
      <c r="I293" s="2">
        <v>996.48</v>
      </c>
      <c r="J293">
        <v>7.0000000000000007E-2</v>
      </c>
      <c r="K293" t="s">
        <v>1829</v>
      </c>
      <c r="L293" s="2">
        <v>926.7263999999999</v>
      </c>
      <c r="M293" s="2" t="str">
        <f>IF(ESales_DB[[#This Row],[Total_Amount]]&gt;1000,"High","Low")</f>
        <v>Low</v>
      </c>
      <c r="N293" s="2" t="str">
        <f>VLOOKUP(ESales_DB[[#This Row],[Customer_ID]],Ecustom_DB[],3,FALSE)</f>
        <v>Joseph Richards</v>
      </c>
      <c r="O293" s="2" t="str">
        <f>_xlfn.XLOOKUP(ESales_DB[[#This Row],[Product_ID]],Eproduct_DB[Product_ID],Eproduct_DB[Category])</f>
        <v>Home</v>
      </c>
      <c r="P293" s="2" t="str">
        <f>_xlfn.XLOOKUP(ESales_DB[[#This Row],[Product_ID]],Eproduct_DB[Product_ID],Eproduct_DB[Product_Name])</f>
        <v>Bedroom Table Lamp</v>
      </c>
      <c r="Q293" s="2" t="str">
        <f>_xlfn.XLOOKUP(ESales_DB[[#This Row],[Store_ID]],Estore_DB[Store_ID],Estore_DB[Region])</f>
        <v>North</v>
      </c>
      <c r="R293" t="str">
        <f>VLOOKUP(ESales_DB[[#This Row],[Customer_ID]],Ecustom_DB[],10,FALSE)</f>
        <v>Bronze</v>
      </c>
      <c r="S293" t="str">
        <f>IF(ESales_DB[[#This Row],[Quantity1]]&gt;3,"Bulk order","Normal order")</f>
        <v>Normal order</v>
      </c>
    </row>
    <row r="294" spans="1:19" x14ac:dyDescent="0.3">
      <c r="A294" t="s">
        <v>3086</v>
      </c>
      <c r="B294" s="4">
        <v>45323</v>
      </c>
      <c r="C294" s="4" t="str">
        <f>TEXT(ESales_DB[[#This Row],[Order_Date]],"mmm")</f>
        <v>Feb</v>
      </c>
      <c r="D294" t="s">
        <v>1136</v>
      </c>
      <c r="E294" t="s">
        <v>1722</v>
      </c>
      <c r="F294" t="s">
        <v>1757</v>
      </c>
      <c r="G294">
        <v>4</v>
      </c>
      <c r="H294" s="10">
        <f>IF(ISBLANK(ESales_DB[[#This Row],[Quantity]]),AVERAGEIF(ESales_DB[Product_ID],ESales_DB[[#This Row],[Product_ID]],ESales_DB[Quantity]),ESales_DB[[#This Row],[Quantity]])</f>
        <v>4</v>
      </c>
      <c r="I294" s="2">
        <v>800</v>
      </c>
      <c r="J294">
        <v>0.2</v>
      </c>
      <c r="K294" t="s">
        <v>1824</v>
      </c>
      <c r="L294" s="2">
        <v>2560</v>
      </c>
      <c r="M294" s="2" t="str">
        <f>IF(ESales_DB[[#This Row],[Total_Amount]]&gt;1000,"High","Low")</f>
        <v>High</v>
      </c>
      <c r="N294" s="2" t="str">
        <f>VLOOKUP(ESales_DB[[#This Row],[Customer_ID]],Ecustom_DB[],3,FALSE)</f>
        <v>Elizabeth Smith</v>
      </c>
      <c r="O294" s="2" t="str">
        <f>_xlfn.XLOOKUP(ESales_DB[[#This Row],[Product_ID]],Eproduct_DB[Product_ID],Eproduct_DB[Category])</f>
        <v>Home</v>
      </c>
      <c r="P294" s="2" t="str">
        <f>_xlfn.XLOOKUP(ESales_DB[[#This Row],[Product_ID]],Eproduct_DB[Product_ID],Eproduct_DB[Product_Name])</f>
        <v>LED Bedside Lamp</v>
      </c>
      <c r="Q294" s="2" t="str">
        <f>_xlfn.XLOOKUP(ESales_DB[[#This Row],[Store_ID]],Estore_DB[Store_ID],Estore_DB[Region])</f>
        <v>North</v>
      </c>
      <c r="R294" t="str">
        <f>VLOOKUP(ESales_DB[[#This Row],[Customer_ID]],Ecustom_DB[],10,FALSE)</f>
        <v>Bronze</v>
      </c>
      <c r="S294" t="str">
        <f>IF(ESales_DB[[#This Row],[Quantity1]]&gt;3,"Bulk order","Normal order")</f>
        <v>Bulk order</v>
      </c>
    </row>
    <row r="295" spans="1:19" x14ac:dyDescent="0.3">
      <c r="A295" t="s">
        <v>3087</v>
      </c>
      <c r="B295" s="4">
        <v>45889</v>
      </c>
      <c r="C295" s="4" t="str">
        <f>TEXT(ESales_DB[[#This Row],[Order_Date]],"mmm")</f>
        <v>Aug</v>
      </c>
      <c r="D295" t="s">
        <v>520</v>
      </c>
      <c r="E295" t="s">
        <v>1668</v>
      </c>
      <c r="F295" t="s">
        <v>1789</v>
      </c>
      <c r="G295">
        <v>3</v>
      </c>
      <c r="H295" s="10">
        <f>IF(ISBLANK(ESales_DB[[#This Row],[Quantity]]),AVERAGEIF(ESales_DB[Product_ID],ESales_DB[[#This Row],[Product_ID]],ESales_DB[Quantity]),ESales_DB[[#This Row],[Quantity]])</f>
        <v>3</v>
      </c>
      <c r="I295" s="2">
        <v>118.25</v>
      </c>
      <c r="J295">
        <v>0.26</v>
      </c>
      <c r="K295" t="s">
        <v>1826</v>
      </c>
      <c r="L295" s="2">
        <v>262.51499999999999</v>
      </c>
      <c r="M295" s="2" t="str">
        <f>IF(ESales_DB[[#This Row],[Total_Amount]]&gt;1000,"High","Low")</f>
        <v>Low</v>
      </c>
      <c r="N295" s="2" t="str">
        <f>VLOOKUP(ESales_DB[[#This Row],[Customer_ID]],Ecustom_DB[],3,FALSE)</f>
        <v>Curtis Haynes</v>
      </c>
      <c r="O295" s="2" t="str">
        <f>_xlfn.XLOOKUP(ESales_DB[[#This Row],[Product_ID]],Eproduct_DB[Product_ID],Eproduct_DB[Category])</f>
        <v>Beauty</v>
      </c>
      <c r="P295" s="2" t="str">
        <f>_xlfn.XLOOKUP(ESales_DB[[#This Row],[Product_ID]],Eproduct_DB[Product_ID],Eproduct_DB[Product_Name])</f>
        <v>Luxury Perfume Spray</v>
      </c>
      <c r="Q295" s="2" t="str">
        <f>_xlfn.XLOOKUP(ESales_DB[[#This Row],[Store_ID]],Estore_DB[Store_ID],Estore_DB[Region])</f>
        <v>East</v>
      </c>
      <c r="R295" t="str">
        <f>VLOOKUP(ESales_DB[[#This Row],[Customer_ID]],Ecustom_DB[],10,FALSE)</f>
        <v>Gold</v>
      </c>
      <c r="S295" t="str">
        <f>IF(ESales_DB[[#This Row],[Quantity1]]&gt;3,"Bulk order","Normal order")</f>
        <v>Normal order</v>
      </c>
    </row>
    <row r="296" spans="1:19" x14ac:dyDescent="0.3">
      <c r="A296" t="s">
        <v>3088</v>
      </c>
      <c r="B296" s="4">
        <v>45253</v>
      </c>
      <c r="C296" s="4" t="str">
        <f>TEXT(ESales_DB[[#This Row],[Order_Date]],"mmm")</f>
        <v>Nov</v>
      </c>
      <c r="D296" t="s">
        <v>1307</v>
      </c>
      <c r="E296" t="s">
        <v>1612</v>
      </c>
      <c r="F296" t="s">
        <v>1801</v>
      </c>
      <c r="G296">
        <v>1</v>
      </c>
      <c r="H296" s="10">
        <f>IF(ISBLANK(ESales_DB[[#This Row],[Quantity]]),AVERAGEIF(ESales_DB[Product_ID],ESales_DB[[#This Row],[Product_ID]],ESales_DB[Quantity]),ESales_DB[[#This Row],[Quantity]])</f>
        <v>1</v>
      </c>
      <c r="I296" s="2">
        <v>223.25</v>
      </c>
      <c r="J296">
        <v>0.28999999999999998</v>
      </c>
      <c r="K296" t="s">
        <v>1824</v>
      </c>
      <c r="L296" s="2">
        <v>158.50749999999999</v>
      </c>
      <c r="M296" s="2" t="str">
        <f>IF(ESales_DB[[#This Row],[Total_Amount]]&gt;1000,"High","Low")</f>
        <v>Low</v>
      </c>
      <c r="N296" s="2" t="str">
        <f>VLOOKUP(ESales_DB[[#This Row],[Customer_ID]],Ecustom_DB[],3,FALSE)</f>
        <v>Holly Robinson</v>
      </c>
      <c r="O296" s="2" t="str">
        <f>_xlfn.XLOOKUP(ESales_DB[[#This Row],[Product_ID]],Eproduct_DB[Product_ID],Eproduct_DB[Category])</f>
        <v>Beauty</v>
      </c>
      <c r="P296" s="2" t="str">
        <f>_xlfn.XLOOKUP(ESales_DB[[#This Row],[Product_ID]],Eproduct_DB[Product_ID],Eproduct_DB[Product_Name])</f>
        <v>Vitamin C Face Serum</v>
      </c>
      <c r="Q296" s="2" t="str">
        <f>_xlfn.XLOOKUP(ESales_DB[[#This Row],[Store_ID]],Estore_DB[Store_ID],Estore_DB[Region])</f>
        <v>North</v>
      </c>
      <c r="R296" t="str">
        <f>VLOOKUP(ESales_DB[[#This Row],[Customer_ID]],Ecustom_DB[],10,FALSE)</f>
        <v>Platinum</v>
      </c>
      <c r="S296" t="str">
        <f>IF(ESales_DB[[#This Row],[Quantity1]]&gt;3,"Bulk order","Normal order")</f>
        <v>Normal order</v>
      </c>
    </row>
    <row r="297" spans="1:19" x14ac:dyDescent="0.3">
      <c r="A297" t="s">
        <v>3089</v>
      </c>
      <c r="B297" s="4">
        <v>45530</v>
      </c>
      <c r="C297" s="4" t="str">
        <f>TEXT(ESales_DB[[#This Row],[Order_Date]],"mmm")</f>
        <v>Aug</v>
      </c>
      <c r="D297" t="s">
        <v>1325</v>
      </c>
      <c r="E297" t="s">
        <v>1612</v>
      </c>
      <c r="F297" t="s">
        <v>1769</v>
      </c>
      <c r="G297">
        <v>3</v>
      </c>
      <c r="H297" s="10">
        <f>IF(ISBLANK(ESales_DB[[#This Row],[Quantity]]),AVERAGEIF(ESales_DB[Product_ID],ESales_DB[[#This Row],[Product_ID]],ESales_DB[Quantity]),ESales_DB[[#This Row],[Quantity]])</f>
        <v>3</v>
      </c>
      <c r="I297" s="2">
        <v>918.76</v>
      </c>
      <c r="J297">
        <v>0.2</v>
      </c>
      <c r="K297" t="s">
        <v>1826</v>
      </c>
      <c r="L297" s="2">
        <v>2205.0239999999999</v>
      </c>
      <c r="M297" s="2" t="str">
        <f>IF(ESales_DB[[#This Row],[Total_Amount]]&gt;1000,"High","Low")</f>
        <v>High</v>
      </c>
      <c r="N297" s="2" t="str">
        <f>VLOOKUP(ESales_DB[[#This Row],[Customer_ID]],Ecustom_DB[],3,FALSE)</f>
        <v>Jose Stewart</v>
      </c>
      <c r="O297" s="2" t="str">
        <f>_xlfn.XLOOKUP(ESales_DB[[#This Row],[Product_ID]],Eproduct_DB[Product_ID],Eproduct_DB[Category])</f>
        <v>Beauty</v>
      </c>
      <c r="P297" s="2" t="str">
        <f>_xlfn.XLOOKUP(ESales_DB[[#This Row],[Product_ID]],Eproduct_DB[Product_ID],Eproduct_DB[Product_Name])</f>
        <v>Vitamin C Face Serum</v>
      </c>
      <c r="Q297" s="2" t="str">
        <f>_xlfn.XLOOKUP(ESales_DB[[#This Row],[Store_ID]],Estore_DB[Store_ID],Estore_DB[Region])</f>
        <v>South</v>
      </c>
      <c r="R297" t="str">
        <f>VLOOKUP(ESales_DB[[#This Row],[Customer_ID]],Ecustom_DB[],10,FALSE)</f>
        <v>Gold</v>
      </c>
      <c r="S297" t="str">
        <f>IF(ESales_DB[[#This Row],[Quantity1]]&gt;3,"Bulk order","Normal order")</f>
        <v>Normal order</v>
      </c>
    </row>
    <row r="298" spans="1:19" x14ac:dyDescent="0.3">
      <c r="A298" t="s">
        <v>3090</v>
      </c>
      <c r="B298" s="4">
        <v>45491</v>
      </c>
      <c r="C298" s="4" t="str">
        <f>TEXT(ESales_DB[[#This Row],[Order_Date]],"mmm")</f>
        <v>Jul</v>
      </c>
      <c r="D298" t="s">
        <v>890</v>
      </c>
      <c r="E298" t="s">
        <v>1716</v>
      </c>
      <c r="F298" t="s">
        <v>1797</v>
      </c>
      <c r="G298">
        <v>2</v>
      </c>
      <c r="H298" s="10">
        <f>IF(ISBLANK(ESales_DB[[#This Row],[Quantity]]),AVERAGEIF(ESales_DB[Product_ID],ESales_DB[[#This Row],[Product_ID]],ESales_DB[Quantity]),ESales_DB[[#This Row],[Quantity]])</f>
        <v>2</v>
      </c>
      <c r="I298" s="2">
        <v>905.26</v>
      </c>
      <c r="J298">
        <v>0.15</v>
      </c>
      <c r="K298" t="s">
        <v>1829</v>
      </c>
      <c r="L298" s="2">
        <v>1538.942</v>
      </c>
      <c r="M298" s="2" t="str">
        <f>IF(ESales_DB[[#This Row],[Total_Amount]]&gt;1000,"High","Low")</f>
        <v>High</v>
      </c>
      <c r="N298" s="2" t="str">
        <f>VLOOKUP(ESales_DB[[#This Row],[Customer_ID]],Ecustom_DB[],3,FALSE)</f>
        <v>Antonio Leon</v>
      </c>
      <c r="O298" s="2" t="str">
        <f>_xlfn.XLOOKUP(ESales_DB[[#This Row],[Product_ID]],Eproduct_DB[Product_ID],Eproduct_DB[Category])</f>
        <v>Home</v>
      </c>
      <c r="P298" s="2" t="str">
        <f>_xlfn.XLOOKUP(ESales_DB[[#This Row],[Product_ID]],Eproduct_DB[Product_ID],Eproduct_DB[Product_Name])</f>
        <v>Wooden Bookshelf</v>
      </c>
      <c r="Q298" s="2" t="str">
        <f>_xlfn.XLOOKUP(ESales_DB[[#This Row],[Store_ID]],Estore_DB[Store_ID],Estore_DB[Region])</f>
        <v>East</v>
      </c>
      <c r="R298" t="str">
        <f>VLOOKUP(ESales_DB[[#This Row],[Customer_ID]],Ecustom_DB[],10,FALSE)</f>
        <v>Bronze</v>
      </c>
      <c r="S298" t="str">
        <f>IF(ESales_DB[[#This Row],[Quantity1]]&gt;3,"Bulk order","Normal order")</f>
        <v>Normal order</v>
      </c>
    </row>
    <row r="299" spans="1:19" x14ac:dyDescent="0.3">
      <c r="A299" t="s">
        <v>3091</v>
      </c>
      <c r="B299" s="4">
        <v>45628</v>
      </c>
      <c r="C299" s="4" t="str">
        <f>TEXT(ESales_DB[[#This Row],[Order_Date]],"mmm")</f>
        <v>Dec</v>
      </c>
      <c r="D299" t="s">
        <v>984</v>
      </c>
      <c r="E299" t="s">
        <v>1580</v>
      </c>
      <c r="F299" t="s">
        <v>1813</v>
      </c>
      <c r="G299">
        <v>4</v>
      </c>
      <c r="H299" s="10">
        <f>IF(ISBLANK(ESales_DB[[#This Row],[Quantity]]),AVERAGEIF(ESales_DB[Product_ID],ESales_DB[[#This Row],[Product_ID]],ESales_DB[Quantity]),ESales_DB[[#This Row],[Quantity]])</f>
        <v>4</v>
      </c>
      <c r="I299" s="2">
        <v>295.39999999999998</v>
      </c>
      <c r="J299">
        <v>0.23</v>
      </c>
      <c r="K299" t="s">
        <v>1826</v>
      </c>
      <c r="L299" s="2">
        <v>909.83199999999999</v>
      </c>
      <c r="M299" s="2" t="str">
        <f>IF(ESales_DB[[#This Row],[Total_Amount]]&gt;1000,"High","Low")</f>
        <v>Low</v>
      </c>
      <c r="N299" s="2" t="str">
        <f>VLOOKUP(ESales_DB[[#This Row],[Customer_ID]],Ecustom_DB[],3,FALSE)</f>
        <v>Jason Mullins</v>
      </c>
      <c r="O299" s="2" t="str">
        <f>_xlfn.XLOOKUP(ESales_DB[[#This Row],[Product_ID]],Eproduct_DB[Product_ID],Eproduct_DB[Category])</f>
        <v>Beauty</v>
      </c>
      <c r="P299" s="2" t="str">
        <f>_xlfn.XLOOKUP(ESales_DB[[#This Row],[Product_ID]],Eproduct_DB[Product_ID],Eproduct_DB[Product_Name])</f>
        <v>Beard Grooming Kit</v>
      </c>
      <c r="Q299" s="2" t="str">
        <f>_xlfn.XLOOKUP(ESales_DB[[#This Row],[Store_ID]],Estore_DB[Store_ID],Estore_DB[Region])</f>
        <v>East</v>
      </c>
      <c r="R299" t="str">
        <f>VLOOKUP(ESales_DB[[#This Row],[Customer_ID]],Ecustom_DB[],10,FALSE)</f>
        <v>Silver</v>
      </c>
      <c r="S299" t="str">
        <f>IF(ESales_DB[[#This Row],[Quantity1]]&gt;3,"Bulk order","Normal order")</f>
        <v>Bulk order</v>
      </c>
    </row>
    <row r="300" spans="1:19" x14ac:dyDescent="0.3">
      <c r="A300" t="s">
        <v>3092</v>
      </c>
      <c r="B300" s="4">
        <v>45861</v>
      </c>
      <c r="C300" s="4" t="str">
        <f>TEXT(ESales_DB[[#This Row],[Order_Date]],"mmm")</f>
        <v>Jul</v>
      </c>
      <c r="D300" t="s">
        <v>314</v>
      </c>
      <c r="E300" t="s">
        <v>1736</v>
      </c>
      <c r="F300" t="s">
        <v>1773</v>
      </c>
      <c r="G300">
        <v>1</v>
      </c>
      <c r="H300" s="10">
        <f>IF(ISBLANK(ESales_DB[[#This Row],[Quantity]]),AVERAGEIF(ESales_DB[Product_ID],ESales_DB[[#This Row],[Product_ID]],ESales_DB[Quantity]),ESales_DB[[#This Row],[Quantity]])</f>
        <v>1</v>
      </c>
      <c r="I300" s="2">
        <v>252.18</v>
      </c>
      <c r="J300">
        <v>0.23</v>
      </c>
      <c r="K300" t="s">
        <v>1826</v>
      </c>
      <c r="L300" s="2">
        <v>194.17859999999999</v>
      </c>
      <c r="M300" s="2" t="str">
        <f>IF(ESales_DB[[#This Row],[Total_Amount]]&gt;1000,"High","Low")</f>
        <v>Low</v>
      </c>
      <c r="N300" s="2" t="str">
        <f>VLOOKUP(ESales_DB[[#This Row],[Customer_ID]],Ecustom_DB[],3,FALSE)</f>
        <v>Melissa Duffy Md</v>
      </c>
      <c r="O300" s="2" t="str">
        <f>_xlfn.XLOOKUP(ESales_DB[[#This Row],[Product_ID]],Eproduct_DB[Product_ID],Eproduct_DB[Category])</f>
        <v>Beauty</v>
      </c>
      <c r="P300" s="2" t="str">
        <f>_xlfn.XLOOKUP(ESales_DB[[#This Row],[Product_ID]],Eproduct_DB[Product_ID],Eproduct_DB[Product_Name])</f>
        <v>Vitamin E Body Lotion</v>
      </c>
      <c r="Q300" s="2" t="str">
        <f>_xlfn.XLOOKUP(ESales_DB[[#This Row],[Store_ID]],Estore_DB[Store_ID],Estore_DB[Region])</f>
        <v>North</v>
      </c>
      <c r="R300" t="str">
        <f>VLOOKUP(ESales_DB[[#This Row],[Customer_ID]],Ecustom_DB[],10,FALSE)</f>
        <v>Bronze</v>
      </c>
      <c r="S300" t="str">
        <f>IF(ESales_DB[[#This Row],[Quantity1]]&gt;3,"Bulk order","Normal order")</f>
        <v>Normal order</v>
      </c>
    </row>
    <row r="301" spans="1:19" x14ac:dyDescent="0.3">
      <c r="A301" t="s">
        <v>3093</v>
      </c>
      <c r="B301" s="4">
        <v>45878</v>
      </c>
      <c r="C301" s="4" t="str">
        <f>TEXT(ESales_DB[[#This Row],[Order_Date]],"mmm")</f>
        <v>Aug</v>
      </c>
      <c r="D301" t="s">
        <v>511</v>
      </c>
      <c r="E301" t="s">
        <v>1742</v>
      </c>
      <c r="F301" t="s">
        <v>1794</v>
      </c>
      <c r="G301">
        <v>4</v>
      </c>
      <c r="H301" s="10">
        <f>IF(ISBLANK(ESales_DB[[#This Row],[Quantity]]),AVERAGEIF(ESales_DB[Product_ID],ESales_DB[[#This Row],[Product_ID]],ESales_DB[Quantity]),ESales_DB[[#This Row],[Quantity]])</f>
        <v>4</v>
      </c>
      <c r="I301" s="2">
        <v>792.1</v>
      </c>
      <c r="J301">
        <v>0.19</v>
      </c>
      <c r="K301" t="s">
        <v>1829</v>
      </c>
      <c r="L301" s="2">
        <v>2566.404</v>
      </c>
      <c r="M301" s="2" t="str">
        <f>IF(ESales_DB[[#This Row],[Total_Amount]]&gt;1000,"High","Low")</f>
        <v>High</v>
      </c>
      <c r="N301" s="2" t="str">
        <f>VLOOKUP(ESales_DB[[#This Row],[Customer_ID]],Ecustom_DB[],3,FALSE)</f>
        <v>Patrick Roberts</v>
      </c>
      <c r="O301" s="2" t="str">
        <f>_xlfn.XLOOKUP(ESales_DB[[#This Row],[Product_ID]],Eproduct_DB[Product_ID],Eproduct_DB[Category])</f>
        <v>Sports</v>
      </c>
      <c r="P301" s="2" t="str">
        <f>_xlfn.XLOOKUP(ESales_DB[[#This Row],[Product_ID]],Eproduct_DB[Product_ID],Eproduct_DB[Product_Name])</f>
        <v>Cricket Bat</v>
      </c>
      <c r="Q301" s="2" t="str">
        <f>_xlfn.XLOOKUP(ESales_DB[[#This Row],[Store_ID]],Estore_DB[Store_ID],Estore_DB[Region])</f>
        <v>North</v>
      </c>
      <c r="R301" t="str">
        <f>VLOOKUP(ESales_DB[[#This Row],[Customer_ID]],Ecustom_DB[],10,FALSE)</f>
        <v>Platinum</v>
      </c>
      <c r="S301" t="str">
        <f>IF(ESales_DB[[#This Row],[Quantity1]]&gt;3,"Bulk order","Normal order")</f>
        <v>Bulk order</v>
      </c>
    </row>
    <row r="302" spans="1:19" x14ac:dyDescent="0.3">
      <c r="A302" t="s">
        <v>3094</v>
      </c>
      <c r="B302" s="4">
        <v>45426</v>
      </c>
      <c r="C302" s="4" t="str">
        <f>TEXT(ESales_DB[[#This Row],[Order_Date]],"mmm")</f>
        <v>May</v>
      </c>
      <c r="D302" t="s">
        <v>278</v>
      </c>
      <c r="E302" t="s">
        <v>1724</v>
      </c>
      <c r="F302" t="s">
        <v>1799</v>
      </c>
      <c r="G302">
        <v>1</v>
      </c>
      <c r="H302" s="10">
        <f>IF(ISBLANK(ESales_DB[[#This Row],[Quantity]]),AVERAGEIF(ESales_DB[Product_ID],ESales_DB[[#This Row],[Product_ID]],ESales_DB[Quantity]),ESales_DB[[#This Row],[Quantity]])</f>
        <v>1</v>
      </c>
      <c r="I302" s="2">
        <v>883.36</v>
      </c>
      <c r="J302">
        <v>0.11</v>
      </c>
      <c r="K302" t="s">
        <v>1826</v>
      </c>
      <c r="L302" s="2">
        <v>786.19040000000007</v>
      </c>
      <c r="M302" s="2" t="str">
        <f>IF(ESales_DB[[#This Row],[Total_Amount]]&gt;1000,"High","Low")</f>
        <v>Low</v>
      </c>
      <c r="N302" s="2" t="str">
        <f>VLOOKUP(ESales_DB[[#This Row],[Customer_ID]],Ecustom_DB[],3,FALSE)</f>
        <v>Nathan Campbell</v>
      </c>
      <c r="O302" s="2" t="str">
        <f>_xlfn.XLOOKUP(ESales_DB[[#This Row],[Product_ID]],Eproduct_DB[Product_ID],Eproduct_DB[Category])</f>
        <v>Sports</v>
      </c>
      <c r="P302" s="2" t="str">
        <f>_xlfn.XLOOKUP(ESales_DB[[#This Row],[Product_ID]],Eproduct_DB[Product_ID],Eproduct_DB[Product_Name])</f>
        <v>Sports Wrist Sweatbands</v>
      </c>
      <c r="Q302" s="2" t="str">
        <f>_xlfn.XLOOKUP(ESales_DB[[#This Row],[Store_ID]],Estore_DB[Store_ID],Estore_DB[Region])</f>
        <v>South</v>
      </c>
      <c r="R302" t="str">
        <f>VLOOKUP(ESales_DB[[#This Row],[Customer_ID]],Ecustom_DB[],10,FALSE)</f>
        <v>Gold</v>
      </c>
      <c r="S302" t="str">
        <f>IF(ESales_DB[[#This Row],[Quantity1]]&gt;3,"Bulk order","Normal order")</f>
        <v>Normal order</v>
      </c>
    </row>
    <row r="303" spans="1:19" x14ac:dyDescent="0.3">
      <c r="A303" t="s">
        <v>3095</v>
      </c>
      <c r="B303" s="4">
        <v>45231</v>
      </c>
      <c r="C303" s="4" t="str">
        <f>TEXT(ESales_DB[[#This Row],[Order_Date]],"mmm")</f>
        <v>Nov</v>
      </c>
      <c r="D303" t="s">
        <v>878</v>
      </c>
      <c r="E303" t="s">
        <v>1686</v>
      </c>
      <c r="F303" t="s">
        <v>1752</v>
      </c>
      <c r="G303">
        <v>4</v>
      </c>
      <c r="H303" s="10">
        <f>IF(ISBLANK(ESales_DB[[#This Row],[Quantity]]),AVERAGEIF(ESales_DB[Product_ID],ESales_DB[[#This Row],[Product_ID]],ESales_DB[Quantity]),ESales_DB[[#This Row],[Quantity]])</f>
        <v>4</v>
      </c>
      <c r="I303" s="2">
        <v>305.95</v>
      </c>
      <c r="J303">
        <v>0.08</v>
      </c>
      <c r="K303" t="s">
        <v>1826</v>
      </c>
      <c r="L303" s="2">
        <v>1125.896</v>
      </c>
      <c r="M303" s="2" t="str">
        <f>IF(ESales_DB[[#This Row],[Total_Amount]]&gt;1000,"High","Low")</f>
        <v>High</v>
      </c>
      <c r="N303" s="2" t="str">
        <f>VLOOKUP(ESales_DB[[#This Row],[Customer_ID]],Ecustom_DB[],3,FALSE)</f>
        <v>Arthur Warren</v>
      </c>
      <c r="O303" s="2" t="str">
        <f>_xlfn.XLOOKUP(ESales_DB[[#This Row],[Product_ID]],Eproduct_DB[Product_ID],Eproduct_DB[Category])</f>
        <v>Clothing</v>
      </c>
      <c r="P303" s="2" t="str">
        <f>_xlfn.XLOOKUP(ESales_DB[[#This Row],[Product_ID]],Eproduct_DB[Product_ID],Eproduct_DB[Product_Name])</f>
        <v>Men's Sports Shorts</v>
      </c>
      <c r="Q303" s="2" t="str">
        <f>_xlfn.XLOOKUP(ESales_DB[[#This Row],[Store_ID]],Estore_DB[Store_ID],Estore_DB[Region])</f>
        <v>East</v>
      </c>
      <c r="R303" t="str">
        <f>VLOOKUP(ESales_DB[[#This Row],[Customer_ID]],Ecustom_DB[],10,FALSE)</f>
        <v>Gold</v>
      </c>
      <c r="S303" t="str">
        <f>IF(ESales_DB[[#This Row],[Quantity1]]&gt;3,"Bulk order","Normal order")</f>
        <v>Bulk order</v>
      </c>
    </row>
    <row r="304" spans="1:19" x14ac:dyDescent="0.3">
      <c r="A304" t="s">
        <v>1953</v>
      </c>
      <c r="B304" s="4">
        <v>45916</v>
      </c>
      <c r="C304" s="4" t="str">
        <f>TEXT(ESales_DB[[#This Row],[Order_Date]],"mmm")</f>
        <v>Sep</v>
      </c>
      <c r="D304" t="s">
        <v>881</v>
      </c>
      <c r="E304" t="s">
        <v>1734</v>
      </c>
      <c r="F304" t="s">
        <v>1776</v>
      </c>
      <c r="G304">
        <v>3</v>
      </c>
      <c r="H304" s="10">
        <f>IF(ISBLANK(ESales_DB[[#This Row],[Quantity]]),AVERAGEIF(ESales_DB[Product_ID],ESales_DB[[#This Row],[Product_ID]],ESales_DB[Quantity]),ESales_DB[[#This Row],[Quantity]])</f>
        <v>3</v>
      </c>
      <c r="I304" s="2">
        <v>949.19</v>
      </c>
      <c r="J304">
        <v>0.03</v>
      </c>
      <c r="K304" t="s">
        <v>1829</v>
      </c>
      <c r="L304" s="2">
        <v>2762.1428999999998</v>
      </c>
      <c r="M304" s="2" t="str">
        <f>IF(ESales_DB[[#This Row],[Total_Amount]]&gt;1000,"High","Low")</f>
        <v>High</v>
      </c>
      <c r="N304" s="2" t="str">
        <f>VLOOKUP(ESales_DB[[#This Row],[Customer_ID]],Ecustom_DB[],3,FALSE)</f>
        <v>Jeffrey Gomez</v>
      </c>
      <c r="O304" s="2" t="str">
        <f>_xlfn.XLOOKUP(ESales_DB[[#This Row],[Product_ID]],Eproduct_DB[Product_ID],Eproduct_DB[Category])</f>
        <v>Electronics</v>
      </c>
      <c r="P304" s="2" t="str">
        <f>_xlfn.XLOOKUP(ESales_DB[[#This Row],[Product_ID]],Eproduct_DB[Product_ID],Eproduct_DB[Product_Name])</f>
        <v>USB-C Laptop Charger</v>
      </c>
      <c r="Q304" s="2" t="str">
        <f>_xlfn.XLOOKUP(ESales_DB[[#This Row],[Store_ID]],Estore_DB[Store_ID],Estore_DB[Region])</f>
        <v>East</v>
      </c>
      <c r="R304" t="str">
        <f>VLOOKUP(ESales_DB[[#This Row],[Customer_ID]],Ecustom_DB[],10,FALSE)</f>
        <v>Platinum</v>
      </c>
      <c r="S304" t="str">
        <f>IF(ESales_DB[[#This Row],[Quantity1]]&gt;3,"Bulk order","Normal order")</f>
        <v>Normal order</v>
      </c>
    </row>
    <row r="305" spans="1:19" x14ac:dyDescent="0.3">
      <c r="A305" t="s">
        <v>3096</v>
      </c>
      <c r="B305" s="4">
        <v>45609</v>
      </c>
      <c r="C305" s="4" t="str">
        <f>TEXT(ESales_DB[[#This Row],[Order_Date]],"mmm")</f>
        <v>Nov</v>
      </c>
      <c r="D305" t="s">
        <v>1249</v>
      </c>
      <c r="E305" t="s">
        <v>1664</v>
      </c>
      <c r="F305" t="s">
        <v>1779</v>
      </c>
      <c r="G305">
        <v>3</v>
      </c>
      <c r="H305" s="10">
        <f>IF(ISBLANK(ESales_DB[[#This Row],[Quantity]]),AVERAGEIF(ESales_DB[Product_ID],ESales_DB[[#This Row],[Product_ID]],ESales_DB[Quantity]),ESales_DB[[#This Row],[Quantity]])</f>
        <v>3</v>
      </c>
      <c r="I305" s="2">
        <v>742.45</v>
      </c>
      <c r="J305">
        <v>0.23</v>
      </c>
      <c r="K305" t="s">
        <v>1829</v>
      </c>
      <c r="L305" s="2">
        <v>1715.0595000000001</v>
      </c>
      <c r="M305" s="2" t="str">
        <f>IF(ESales_DB[[#This Row],[Total_Amount]]&gt;1000,"High","Low")</f>
        <v>High</v>
      </c>
      <c r="N305" s="2" t="str">
        <f>VLOOKUP(ESales_DB[[#This Row],[Customer_ID]],Ecustom_DB[],3,FALSE)</f>
        <v>Terry Moses</v>
      </c>
      <c r="O305" s="2" t="str">
        <f>_xlfn.XLOOKUP(ESales_DB[[#This Row],[Product_ID]],Eproduct_DB[Product_ID],Eproduct_DB[Category])</f>
        <v>Clothing</v>
      </c>
      <c r="P305" s="2" t="str">
        <f>_xlfn.XLOOKUP(ESales_DB[[#This Row],[Product_ID]],Eproduct_DB[Product_ID],Eproduct_DB[Product_Name])</f>
        <v>Womens Cotton Scarf</v>
      </c>
      <c r="Q305" s="2" t="str">
        <f>_xlfn.XLOOKUP(ESales_DB[[#This Row],[Store_ID]],Estore_DB[Store_ID],Estore_DB[Region])</f>
        <v>South</v>
      </c>
      <c r="R305" t="str">
        <f>VLOOKUP(ESales_DB[[#This Row],[Customer_ID]],Ecustom_DB[],10,FALSE)</f>
        <v>Platinum</v>
      </c>
      <c r="S305" t="str">
        <f>IF(ESales_DB[[#This Row],[Quantity1]]&gt;3,"Bulk order","Normal order")</f>
        <v>Normal order</v>
      </c>
    </row>
    <row r="306" spans="1:19" x14ac:dyDescent="0.3">
      <c r="A306" t="s">
        <v>3097</v>
      </c>
      <c r="B306" s="4">
        <v>45392</v>
      </c>
      <c r="C306" s="4" t="str">
        <f>TEXT(ESales_DB[[#This Row],[Order_Date]],"mmm")</f>
        <v>Apr</v>
      </c>
      <c r="D306" t="s">
        <v>1112</v>
      </c>
      <c r="E306" t="s">
        <v>1598</v>
      </c>
      <c r="F306" t="s">
        <v>1810</v>
      </c>
      <c r="G306">
        <v>3</v>
      </c>
      <c r="H306" s="10">
        <f>IF(ISBLANK(ESales_DB[[#This Row],[Quantity]]),AVERAGEIF(ESales_DB[Product_ID],ESales_DB[[#This Row],[Product_ID]],ESales_DB[Quantity]),ESales_DB[[#This Row],[Quantity]])</f>
        <v>3</v>
      </c>
      <c r="I306" s="2">
        <v>336.1</v>
      </c>
      <c r="J306">
        <v>0.12</v>
      </c>
      <c r="K306" t="s">
        <v>1829</v>
      </c>
      <c r="L306" s="2">
        <v>887.30400000000009</v>
      </c>
      <c r="M306" s="2" t="str">
        <f>IF(ESales_DB[[#This Row],[Total_Amount]]&gt;1000,"High","Low")</f>
        <v>Low</v>
      </c>
      <c r="N306" s="2" t="str">
        <f>VLOOKUP(ESales_DB[[#This Row],[Customer_ID]],Ecustom_DB[],3,FALSE)</f>
        <v>Carlos Flores</v>
      </c>
      <c r="O306" s="2" t="str">
        <f>_xlfn.XLOOKUP(ESales_DB[[#This Row],[Product_ID]],Eproduct_DB[Product_ID],Eproduct_DB[Category])</f>
        <v>Clothing</v>
      </c>
      <c r="P306" s="2" t="str">
        <f>_xlfn.XLOOKUP(ESales_DB[[#This Row],[Product_ID]],Eproduct_DB[Product_ID],Eproduct_DB[Product_Name])</f>
        <v>Women's Scarf Set</v>
      </c>
      <c r="Q306" s="2" t="str">
        <f>_xlfn.XLOOKUP(ESales_DB[[#This Row],[Store_ID]],Estore_DB[Store_ID],Estore_DB[Region])</f>
        <v>East</v>
      </c>
      <c r="R306" t="str">
        <f>VLOOKUP(ESales_DB[[#This Row],[Customer_ID]],Ecustom_DB[],10,FALSE)</f>
        <v>Gold</v>
      </c>
      <c r="S306" t="str">
        <f>IF(ESales_DB[[#This Row],[Quantity1]]&gt;3,"Bulk order","Normal order")</f>
        <v>Normal order</v>
      </c>
    </row>
    <row r="307" spans="1:19" x14ac:dyDescent="0.3">
      <c r="A307" t="s">
        <v>3098</v>
      </c>
      <c r="B307" s="4">
        <v>45876</v>
      </c>
      <c r="C307" s="4" t="str">
        <f>TEXT(ESales_DB[[#This Row],[Order_Date]],"mmm")</f>
        <v>Aug</v>
      </c>
      <c r="D307" t="s">
        <v>1281</v>
      </c>
      <c r="E307" t="s">
        <v>1606</v>
      </c>
      <c r="F307" t="s">
        <v>1779</v>
      </c>
      <c r="G307">
        <v>3</v>
      </c>
      <c r="H307" s="10">
        <f>IF(ISBLANK(ESales_DB[[#This Row],[Quantity]]),AVERAGEIF(ESales_DB[Product_ID],ESales_DB[[#This Row],[Product_ID]],ESales_DB[Quantity]),ESales_DB[[#This Row],[Quantity]])</f>
        <v>3</v>
      </c>
      <c r="I307" s="2">
        <v>310.36</v>
      </c>
      <c r="J307">
        <v>0.14000000000000001</v>
      </c>
      <c r="K307" t="s">
        <v>1829</v>
      </c>
      <c r="L307" s="2">
        <v>800.72879999999998</v>
      </c>
      <c r="M307" s="2" t="str">
        <f>IF(ESales_DB[[#This Row],[Total_Amount]]&gt;1000,"High","Low")</f>
        <v>Low</v>
      </c>
      <c r="N307" s="2" t="str">
        <f>VLOOKUP(ESales_DB[[#This Row],[Customer_ID]],Ecustom_DB[],3,FALSE)</f>
        <v>Shane Brown</v>
      </c>
      <c r="O307" s="2" t="str">
        <f>_xlfn.XLOOKUP(ESales_DB[[#This Row],[Product_ID]],Eproduct_DB[Product_ID],Eproduct_DB[Category])</f>
        <v>Home</v>
      </c>
      <c r="P307" s="2" t="str">
        <f>_xlfn.XLOOKUP(ESales_DB[[#This Row],[Product_ID]],Eproduct_DB[Product_ID],Eproduct_DB[Product_Name])</f>
        <v>Fabric Sofa Throw Blanket</v>
      </c>
      <c r="Q307" s="2" t="str">
        <f>_xlfn.XLOOKUP(ESales_DB[[#This Row],[Store_ID]],Estore_DB[Store_ID],Estore_DB[Region])</f>
        <v>South</v>
      </c>
      <c r="R307" t="str">
        <f>VLOOKUP(ESales_DB[[#This Row],[Customer_ID]],Ecustom_DB[],10,FALSE)</f>
        <v>Gold</v>
      </c>
      <c r="S307" t="str">
        <f>IF(ESales_DB[[#This Row],[Quantity1]]&gt;3,"Bulk order","Normal order")</f>
        <v>Normal order</v>
      </c>
    </row>
    <row r="308" spans="1:19" x14ac:dyDescent="0.3">
      <c r="A308" t="s">
        <v>3099</v>
      </c>
      <c r="B308" s="4">
        <v>45772</v>
      </c>
      <c r="C308" s="4" t="str">
        <f>TEXT(ESales_DB[[#This Row],[Order_Date]],"mmm")</f>
        <v>Apr</v>
      </c>
      <c r="D308" t="s">
        <v>887</v>
      </c>
      <c r="E308" t="s">
        <v>1744</v>
      </c>
      <c r="F308" t="s">
        <v>1782</v>
      </c>
      <c r="G308">
        <v>3</v>
      </c>
      <c r="H308" s="10">
        <f>IF(ISBLANK(ESales_DB[[#This Row],[Quantity]]),AVERAGEIF(ESales_DB[Product_ID],ESales_DB[[#This Row],[Product_ID]],ESales_DB[Quantity]),ESales_DB[[#This Row],[Quantity]])</f>
        <v>3</v>
      </c>
      <c r="I308" s="2">
        <v>992.81</v>
      </c>
      <c r="J308">
        <v>0.04</v>
      </c>
      <c r="K308" t="s">
        <v>1826</v>
      </c>
      <c r="L308" s="2">
        <v>2859.2928000000002</v>
      </c>
      <c r="M308" s="2" t="str">
        <f>IF(ESales_DB[[#This Row],[Total_Amount]]&gt;1000,"High","Low")</f>
        <v>High</v>
      </c>
      <c r="N308" s="2" t="str">
        <f>VLOOKUP(ESales_DB[[#This Row],[Customer_ID]],Ecustom_DB[],3,FALSE)</f>
        <v>Aaron Luna</v>
      </c>
      <c r="O308" s="2" t="str">
        <f>_xlfn.XLOOKUP(ESales_DB[[#This Row],[Product_ID]],Eproduct_DB[Product_ID],Eproduct_DB[Category])</f>
        <v>Electronics</v>
      </c>
      <c r="P308" s="2" t="str">
        <f>_xlfn.XLOOKUP(ESales_DB[[#This Row],[Product_ID]],Eproduct_DB[Product_ID],Eproduct_DB[Product_Name])</f>
        <v>Portable Bluetooth Speaker</v>
      </c>
      <c r="Q308" s="2" t="str">
        <f>_xlfn.XLOOKUP(ESales_DB[[#This Row],[Store_ID]],Estore_DB[Store_ID],Estore_DB[Region])</f>
        <v>West</v>
      </c>
      <c r="R308" t="str">
        <f>VLOOKUP(ESales_DB[[#This Row],[Customer_ID]],Ecustom_DB[],10,FALSE)</f>
        <v>Bronze</v>
      </c>
      <c r="S308" t="str">
        <f>IF(ESales_DB[[#This Row],[Quantity1]]&gt;3,"Bulk order","Normal order")</f>
        <v>Normal order</v>
      </c>
    </row>
    <row r="309" spans="1:19" x14ac:dyDescent="0.3">
      <c r="A309" t="s">
        <v>3100</v>
      </c>
      <c r="B309" s="4">
        <v>45217</v>
      </c>
      <c r="C309" s="4" t="str">
        <f>TEXT(ESales_DB[[#This Row],[Order_Date]],"mmm")</f>
        <v>Oct</v>
      </c>
      <c r="D309" t="s">
        <v>648</v>
      </c>
      <c r="E309" t="s">
        <v>1668</v>
      </c>
      <c r="F309" t="s">
        <v>1792</v>
      </c>
      <c r="G309">
        <v>3</v>
      </c>
      <c r="H309" s="10">
        <f>IF(ISBLANK(ESales_DB[[#This Row],[Quantity]]),AVERAGEIF(ESales_DB[Product_ID],ESales_DB[[#This Row],[Product_ID]],ESales_DB[Quantity]),ESales_DB[[#This Row],[Quantity]])</f>
        <v>3</v>
      </c>
      <c r="I309" s="2">
        <v>257.11</v>
      </c>
      <c r="J309">
        <v>0.26</v>
      </c>
      <c r="K309" t="s">
        <v>1829</v>
      </c>
      <c r="L309" s="2">
        <v>570.78420000000006</v>
      </c>
      <c r="M309" s="2" t="str">
        <f>IF(ESales_DB[[#This Row],[Total_Amount]]&gt;1000,"High","Low")</f>
        <v>Low</v>
      </c>
      <c r="N309" s="2" t="str">
        <f>VLOOKUP(ESales_DB[[#This Row],[Customer_ID]],Ecustom_DB[],3,FALSE)</f>
        <v>Wanda Snyder</v>
      </c>
      <c r="O309" s="2" t="str">
        <f>_xlfn.XLOOKUP(ESales_DB[[#This Row],[Product_ID]],Eproduct_DB[Product_ID],Eproduct_DB[Category])</f>
        <v>Beauty</v>
      </c>
      <c r="P309" s="2" t="str">
        <f>_xlfn.XLOOKUP(ESales_DB[[#This Row],[Product_ID]],Eproduct_DB[Product_ID],Eproduct_DB[Product_Name])</f>
        <v>Luxury Perfume Spray</v>
      </c>
      <c r="Q309" s="2" t="str">
        <f>_xlfn.XLOOKUP(ESales_DB[[#This Row],[Store_ID]],Estore_DB[Store_ID],Estore_DB[Region])</f>
        <v>South</v>
      </c>
      <c r="R309" t="str">
        <f>VLOOKUP(ESales_DB[[#This Row],[Customer_ID]],Ecustom_DB[],10,FALSE)</f>
        <v>Bronze</v>
      </c>
      <c r="S309" t="str">
        <f>IF(ESales_DB[[#This Row],[Quantity1]]&gt;3,"Bulk order","Normal order")</f>
        <v>Normal order</v>
      </c>
    </row>
    <row r="310" spans="1:19" x14ac:dyDescent="0.3">
      <c r="A310" t="s">
        <v>3101</v>
      </c>
      <c r="B310" s="4">
        <v>45739</v>
      </c>
      <c r="C310" s="4" t="str">
        <f>TEXT(ESales_DB[[#This Row],[Order_Date]],"mmm")</f>
        <v>Mar</v>
      </c>
      <c r="D310" t="s">
        <v>713</v>
      </c>
      <c r="E310" t="s">
        <v>1738</v>
      </c>
      <c r="F310" t="s">
        <v>1794</v>
      </c>
      <c r="G310">
        <v>4</v>
      </c>
      <c r="H310" s="10">
        <f>IF(ISBLANK(ESales_DB[[#This Row],[Quantity]]),AVERAGEIF(ESales_DB[Product_ID],ESales_DB[[#This Row],[Product_ID]],ESales_DB[Quantity]),ESales_DB[[#This Row],[Quantity]])</f>
        <v>4</v>
      </c>
      <c r="I310" s="2">
        <v>816.29</v>
      </c>
      <c r="J310">
        <v>0.24</v>
      </c>
      <c r="K310" t="s">
        <v>1826</v>
      </c>
      <c r="L310" s="2">
        <v>2481.5216</v>
      </c>
      <c r="M310" s="2" t="str">
        <f>IF(ESales_DB[[#This Row],[Total_Amount]]&gt;1000,"High","Low")</f>
        <v>High</v>
      </c>
      <c r="N310" s="2" t="str">
        <f>VLOOKUP(ESales_DB[[#This Row],[Customer_ID]],Ecustom_DB[],3,FALSE)</f>
        <v>George Davis</v>
      </c>
      <c r="O310" s="2" t="str">
        <f>_xlfn.XLOOKUP(ESales_DB[[#This Row],[Product_ID]],Eproduct_DB[Product_ID],Eproduct_DB[Category])</f>
        <v>Sports</v>
      </c>
      <c r="P310" s="2" t="str">
        <f>_xlfn.XLOOKUP(ESales_DB[[#This Row],[Product_ID]],Eproduct_DB[Product_ID],Eproduct_DB[Product_Name])</f>
        <v>Sports Stopwatch Basic</v>
      </c>
      <c r="Q310" s="2" t="str">
        <f>_xlfn.XLOOKUP(ESales_DB[[#This Row],[Store_ID]],Estore_DB[Store_ID],Estore_DB[Region])</f>
        <v>North</v>
      </c>
      <c r="R310" t="str">
        <f>VLOOKUP(ESales_DB[[#This Row],[Customer_ID]],Ecustom_DB[],10,FALSE)</f>
        <v>Bronze</v>
      </c>
      <c r="S310" t="str">
        <f>IF(ESales_DB[[#This Row],[Quantity1]]&gt;3,"Bulk order","Normal order")</f>
        <v>Bulk order</v>
      </c>
    </row>
    <row r="311" spans="1:19" x14ac:dyDescent="0.3">
      <c r="A311" t="s">
        <v>3102</v>
      </c>
      <c r="B311" s="4">
        <v>45272</v>
      </c>
      <c r="C311" s="4" t="str">
        <f>TEXT(ESales_DB[[#This Row],[Order_Date]],"mmm")</f>
        <v>Dec</v>
      </c>
      <c r="D311" t="s">
        <v>422</v>
      </c>
      <c r="E311" t="s">
        <v>1668</v>
      </c>
      <c r="F311" t="s">
        <v>1794</v>
      </c>
      <c r="G311">
        <v>4</v>
      </c>
      <c r="H311" s="10">
        <f>IF(ISBLANK(ESales_DB[[#This Row],[Quantity]]),AVERAGEIF(ESales_DB[Product_ID],ESales_DB[[#This Row],[Product_ID]],ESales_DB[Quantity]),ESales_DB[[#This Row],[Quantity]])</f>
        <v>4</v>
      </c>
      <c r="I311" s="2">
        <v>755.82</v>
      </c>
      <c r="J311">
        <v>0.22</v>
      </c>
      <c r="K311" t="s">
        <v>1829</v>
      </c>
      <c r="L311" s="2">
        <v>2358.1583999999998</v>
      </c>
      <c r="M311" s="2" t="str">
        <f>IF(ESales_DB[[#This Row],[Total_Amount]]&gt;1000,"High","Low")</f>
        <v>High</v>
      </c>
      <c r="N311" s="2" t="str">
        <f>VLOOKUP(ESales_DB[[#This Row],[Customer_ID]],Ecustom_DB[],3,FALSE)</f>
        <v>Michael Chang</v>
      </c>
      <c r="O311" s="2" t="str">
        <f>_xlfn.XLOOKUP(ESales_DB[[#This Row],[Product_ID]],Eproduct_DB[Product_ID],Eproduct_DB[Category])</f>
        <v>Beauty</v>
      </c>
      <c r="P311" s="2" t="str">
        <f>_xlfn.XLOOKUP(ESales_DB[[#This Row],[Product_ID]],Eproduct_DB[Product_ID],Eproduct_DB[Product_Name])</f>
        <v>Luxury Perfume Spray</v>
      </c>
      <c r="Q311" s="2" t="str">
        <f>_xlfn.XLOOKUP(ESales_DB[[#This Row],[Store_ID]],Estore_DB[Store_ID],Estore_DB[Region])</f>
        <v>North</v>
      </c>
      <c r="R311" t="str">
        <f>VLOOKUP(ESales_DB[[#This Row],[Customer_ID]],Ecustom_DB[],10,FALSE)</f>
        <v>Platinum</v>
      </c>
      <c r="S311" t="str">
        <f>IF(ESales_DB[[#This Row],[Quantity1]]&gt;3,"Bulk order","Normal order")</f>
        <v>Bulk order</v>
      </c>
    </row>
    <row r="312" spans="1:19" x14ac:dyDescent="0.3">
      <c r="A312" t="s">
        <v>3103</v>
      </c>
      <c r="B312" s="4">
        <v>45524</v>
      </c>
      <c r="C312" s="4" t="str">
        <f>TEXT(ESales_DB[[#This Row],[Order_Date]],"mmm")</f>
        <v>Aug</v>
      </c>
      <c r="D312" t="s">
        <v>23</v>
      </c>
      <c r="E312" t="s">
        <v>1543</v>
      </c>
      <c r="F312" t="s">
        <v>1799</v>
      </c>
      <c r="G312">
        <v>1</v>
      </c>
      <c r="H312" s="10">
        <f>IF(ISBLANK(ESales_DB[[#This Row],[Quantity]]),AVERAGEIF(ESales_DB[Product_ID],ESales_DB[[#This Row],[Product_ID]],ESales_DB[Quantity]),ESales_DB[[#This Row],[Quantity]])</f>
        <v>1</v>
      </c>
      <c r="I312" s="2">
        <v>449.6</v>
      </c>
      <c r="J312">
        <v>0.01</v>
      </c>
      <c r="K312" t="s">
        <v>1826</v>
      </c>
      <c r="L312" s="2">
        <v>445.10399999999998</v>
      </c>
      <c r="M312" s="2" t="str">
        <f>IF(ESales_DB[[#This Row],[Total_Amount]]&gt;1000,"High","Low")</f>
        <v>Low</v>
      </c>
      <c r="N312" s="2" t="str">
        <f>VLOOKUP(ESales_DB[[#This Row],[Customer_ID]],Ecustom_DB[],3,FALSE)</f>
        <v>Jeremy Harris</v>
      </c>
      <c r="O312" s="2" t="str">
        <f>_xlfn.XLOOKUP(ESales_DB[[#This Row],[Product_ID]],Eproduct_DB[Product_ID],Eproduct_DB[Category])</f>
        <v>Electronics</v>
      </c>
      <c r="P312" s="2" t="str">
        <f>_xlfn.XLOOKUP(ESales_DB[[#This Row],[Product_ID]],Eproduct_DB[Product_ID],Eproduct_DB[Product_Name])</f>
        <v>Brother Laser Printer</v>
      </c>
      <c r="Q312" s="2" t="str">
        <f>_xlfn.XLOOKUP(ESales_DB[[#This Row],[Store_ID]],Estore_DB[Store_ID],Estore_DB[Region])</f>
        <v>South</v>
      </c>
      <c r="R312" t="str">
        <f>VLOOKUP(ESales_DB[[#This Row],[Customer_ID]],Ecustom_DB[],10,FALSE)</f>
        <v>Bronze</v>
      </c>
      <c r="S312" t="str">
        <f>IF(ESales_DB[[#This Row],[Quantity1]]&gt;3,"Bulk order","Normal order")</f>
        <v>Normal order</v>
      </c>
    </row>
    <row r="313" spans="1:19" x14ac:dyDescent="0.3">
      <c r="A313" t="s">
        <v>3104</v>
      </c>
      <c r="B313" s="4">
        <v>45481</v>
      </c>
      <c r="C313" s="4" t="str">
        <f>TEXT(ESales_DB[[#This Row],[Order_Date]],"mmm")</f>
        <v>Jul</v>
      </c>
      <c r="D313" t="s">
        <v>1101</v>
      </c>
      <c r="E313" t="s">
        <v>1576</v>
      </c>
      <c r="F313" t="s">
        <v>1752</v>
      </c>
      <c r="G313">
        <v>2</v>
      </c>
      <c r="H313" s="10">
        <f>IF(ISBLANK(ESales_DB[[#This Row],[Quantity]]),AVERAGEIF(ESales_DB[Product_ID],ESales_DB[[#This Row],[Product_ID]],ESales_DB[Quantity]),ESales_DB[[#This Row],[Quantity]])</f>
        <v>2</v>
      </c>
      <c r="I313" s="2">
        <v>779.29</v>
      </c>
      <c r="J313">
        <v>0.12</v>
      </c>
      <c r="K313" t="s">
        <v>1829</v>
      </c>
      <c r="L313" s="2">
        <v>1371.5504000000001</v>
      </c>
      <c r="M313" s="2" t="str">
        <f>IF(ESales_DB[[#This Row],[Total_Amount]]&gt;1000,"High","Low")</f>
        <v>High</v>
      </c>
      <c r="N313" s="2" t="str">
        <f>VLOOKUP(ESales_DB[[#This Row],[Customer_ID]],Ecustom_DB[],3,FALSE)</f>
        <v>Jeffrey Mccarthy</v>
      </c>
      <c r="O313" s="2" t="str">
        <f>_xlfn.XLOOKUP(ESales_DB[[#This Row],[Product_ID]],Eproduct_DB[Product_ID],Eproduct_DB[Category])</f>
        <v>Home</v>
      </c>
      <c r="P313" s="2" t="str">
        <f>_xlfn.XLOOKUP(ESales_DB[[#This Row],[Product_ID]],Eproduct_DB[Product_ID],Eproduct_DB[Product_Name])</f>
        <v>Decorative Wall Mirror</v>
      </c>
      <c r="Q313" s="2" t="str">
        <f>_xlfn.XLOOKUP(ESales_DB[[#This Row],[Store_ID]],Estore_DB[Store_ID],Estore_DB[Region])</f>
        <v>East</v>
      </c>
      <c r="R313" t="str">
        <f>VLOOKUP(ESales_DB[[#This Row],[Customer_ID]],Ecustom_DB[],10,FALSE)</f>
        <v>Bronze</v>
      </c>
      <c r="S313" t="str">
        <f>IF(ESales_DB[[#This Row],[Quantity1]]&gt;3,"Bulk order","Normal order")</f>
        <v>Normal order</v>
      </c>
    </row>
    <row r="314" spans="1:19" x14ac:dyDescent="0.3">
      <c r="A314" t="s">
        <v>3105</v>
      </c>
      <c r="B314" s="4">
        <v>45267</v>
      </c>
      <c r="C314" s="4" t="str">
        <f>TEXT(ESales_DB[[#This Row],[Order_Date]],"mmm")</f>
        <v>Dec</v>
      </c>
      <c r="D314" t="s">
        <v>1431</v>
      </c>
      <c r="E314" t="s">
        <v>1702</v>
      </c>
      <c r="F314" t="s">
        <v>1807</v>
      </c>
      <c r="G314">
        <v>1</v>
      </c>
      <c r="H314" s="10">
        <f>IF(ISBLANK(ESales_DB[[#This Row],[Quantity]]),AVERAGEIF(ESales_DB[Product_ID],ESales_DB[[#This Row],[Product_ID]],ESales_DB[Quantity]),ESales_DB[[#This Row],[Quantity]])</f>
        <v>1</v>
      </c>
      <c r="I314" s="2">
        <v>748.75</v>
      </c>
      <c r="J314">
        <v>0.1</v>
      </c>
      <c r="K314" t="s">
        <v>1829</v>
      </c>
      <c r="L314" s="2">
        <v>673.875</v>
      </c>
      <c r="M314" s="2" t="str">
        <f>IF(ESales_DB[[#This Row],[Total_Amount]]&gt;1000,"High","Low")</f>
        <v>Low</v>
      </c>
      <c r="N314" s="2" t="str">
        <f>VLOOKUP(ESales_DB[[#This Row],[Customer_ID]],Ecustom_DB[],3,FALSE)</f>
        <v>David Pierce</v>
      </c>
      <c r="O314" s="2" t="str">
        <f>_xlfn.XLOOKUP(ESales_DB[[#This Row],[Product_ID]],Eproduct_DB[Product_ID],Eproduct_DB[Category])</f>
        <v>Electronics</v>
      </c>
      <c r="P314" s="2" t="str">
        <f>_xlfn.XLOOKUP(ESales_DB[[#This Row],[Product_ID]],Eproduct_DB[Product_ID],Eproduct_DB[Product_Name])</f>
        <v>WiFi Mesh Router</v>
      </c>
      <c r="Q314" s="2" t="str">
        <f>_xlfn.XLOOKUP(ESales_DB[[#This Row],[Store_ID]],Estore_DB[Store_ID],Estore_DB[Region])</f>
        <v>North</v>
      </c>
      <c r="R314" t="str">
        <f>VLOOKUP(ESales_DB[[#This Row],[Customer_ID]],Ecustom_DB[],10,FALSE)</f>
        <v>Platinum</v>
      </c>
      <c r="S314" t="str">
        <f>IF(ESales_DB[[#This Row],[Quantity1]]&gt;3,"Bulk order","Normal order")</f>
        <v>Normal order</v>
      </c>
    </row>
    <row r="315" spans="1:19" x14ac:dyDescent="0.3">
      <c r="A315" t="s">
        <v>1954</v>
      </c>
      <c r="B315" s="4">
        <v>45347</v>
      </c>
      <c r="C315" s="4" t="str">
        <f>TEXT(ESales_DB[[#This Row],[Order_Date]],"mmm")</f>
        <v>Feb</v>
      </c>
      <c r="D315" t="s">
        <v>1238</v>
      </c>
      <c r="E315" t="s">
        <v>1736</v>
      </c>
      <c r="F315" t="s">
        <v>1786</v>
      </c>
      <c r="G315">
        <v>2</v>
      </c>
      <c r="H315" s="10">
        <f>IF(ISBLANK(ESales_DB[[#This Row],[Quantity]]),AVERAGEIF(ESales_DB[Product_ID],ESales_DB[[#This Row],[Product_ID]],ESales_DB[Quantity]),ESales_DB[[#This Row],[Quantity]])</f>
        <v>2</v>
      </c>
      <c r="I315" s="2">
        <v>724.97</v>
      </c>
      <c r="J315">
        <v>0.1</v>
      </c>
      <c r="K315" t="s">
        <v>1824</v>
      </c>
      <c r="L315" s="2">
        <v>1304.9459999999999</v>
      </c>
      <c r="M315" s="2" t="str">
        <f>IF(ESales_DB[[#This Row],[Total_Amount]]&gt;1000,"High","Low")</f>
        <v>High</v>
      </c>
      <c r="N315" s="2" t="str">
        <f>VLOOKUP(ESales_DB[[#This Row],[Customer_ID]],Ecustom_DB[],3,FALSE)</f>
        <v>Charles Norman Phd</v>
      </c>
      <c r="O315" s="2" t="str">
        <f>_xlfn.XLOOKUP(ESales_DB[[#This Row],[Product_ID]],Eproduct_DB[Product_ID],Eproduct_DB[Category])</f>
        <v>Beauty</v>
      </c>
      <c r="P315" s="2" t="str">
        <f>_xlfn.XLOOKUP(ESales_DB[[#This Row],[Product_ID]],Eproduct_DB[Product_ID],Eproduct_DB[Product_Name])</f>
        <v>Vitamin E Body Lotion</v>
      </c>
      <c r="Q315" s="2" t="str">
        <f>_xlfn.XLOOKUP(ESales_DB[[#This Row],[Store_ID]],Estore_DB[Store_ID],Estore_DB[Region])</f>
        <v>South</v>
      </c>
      <c r="R315" t="str">
        <f>VLOOKUP(ESales_DB[[#This Row],[Customer_ID]],Ecustom_DB[],10,FALSE)</f>
        <v>Platinum</v>
      </c>
      <c r="S315" t="str">
        <f>IF(ESales_DB[[#This Row],[Quantity1]]&gt;3,"Bulk order","Normal order")</f>
        <v>Normal order</v>
      </c>
    </row>
    <row r="316" spans="1:19" x14ac:dyDescent="0.3">
      <c r="A316" t="s">
        <v>3106</v>
      </c>
      <c r="B316" s="4">
        <v>45328</v>
      </c>
      <c r="C316" s="4" t="str">
        <f>TEXT(ESales_DB[[#This Row],[Order_Date]],"mmm")</f>
        <v>Feb</v>
      </c>
      <c r="D316" t="s">
        <v>598</v>
      </c>
      <c r="E316" t="s">
        <v>1726</v>
      </c>
      <c r="F316" t="s">
        <v>1752</v>
      </c>
      <c r="G316">
        <v>2</v>
      </c>
      <c r="H316" s="10">
        <f>IF(ISBLANK(ESales_DB[[#This Row],[Quantity]]),AVERAGEIF(ESales_DB[Product_ID],ESales_DB[[#This Row],[Product_ID]],ESales_DB[Quantity]),ESales_DB[[#This Row],[Quantity]])</f>
        <v>2</v>
      </c>
      <c r="I316" s="2">
        <v>121.67</v>
      </c>
      <c r="J316">
        <v>0.08</v>
      </c>
      <c r="K316" t="s">
        <v>1829</v>
      </c>
      <c r="L316" s="2">
        <v>223.87280000000001</v>
      </c>
      <c r="M316" s="2" t="str">
        <f>IF(ESales_DB[[#This Row],[Total_Amount]]&gt;1000,"High","Low")</f>
        <v>Low</v>
      </c>
      <c r="N316" s="2" t="str">
        <f>VLOOKUP(ESales_DB[[#This Row],[Customer_ID]],Ecustom_DB[],3,FALSE)</f>
        <v>Erin Ward</v>
      </c>
      <c r="O316" s="2" t="str">
        <f>_xlfn.XLOOKUP(ESales_DB[[#This Row],[Product_ID]],Eproduct_DB[Product_ID],Eproduct_DB[Category])</f>
        <v>Beauty</v>
      </c>
      <c r="P316" s="2" t="str">
        <f>_xlfn.XLOOKUP(ESales_DB[[#This Row],[Product_ID]],Eproduct_DB[Product_ID],Eproduct_DB[Product_Name])</f>
        <v>Face Foundation Kit</v>
      </c>
      <c r="Q316" s="2" t="str">
        <f>_xlfn.XLOOKUP(ESales_DB[[#This Row],[Store_ID]],Estore_DB[Store_ID],Estore_DB[Region])</f>
        <v>East</v>
      </c>
      <c r="R316" t="str">
        <f>VLOOKUP(ESales_DB[[#This Row],[Customer_ID]],Ecustom_DB[],10,FALSE)</f>
        <v>Bronze</v>
      </c>
      <c r="S316" t="str">
        <f>IF(ESales_DB[[#This Row],[Quantity1]]&gt;3,"Bulk order","Normal order")</f>
        <v>Normal order</v>
      </c>
    </row>
    <row r="317" spans="1:19" x14ac:dyDescent="0.3">
      <c r="A317" t="s">
        <v>3107</v>
      </c>
      <c r="B317" s="4">
        <v>45787</v>
      </c>
      <c r="C317" s="4" t="str">
        <f>TEXT(ESales_DB[[#This Row],[Order_Date]],"mmm")</f>
        <v>May</v>
      </c>
      <c r="D317" t="s">
        <v>1513</v>
      </c>
      <c r="E317" t="s">
        <v>1646</v>
      </c>
      <c r="F317" t="s">
        <v>1801</v>
      </c>
      <c r="G317">
        <v>3</v>
      </c>
      <c r="H317" s="10">
        <f>IF(ISBLANK(ESales_DB[[#This Row],[Quantity]]),AVERAGEIF(ESales_DB[Product_ID],ESales_DB[[#This Row],[Product_ID]],ESales_DB[Quantity]),ESales_DB[[#This Row],[Quantity]])</f>
        <v>3</v>
      </c>
      <c r="I317" s="2">
        <v>225.14</v>
      </c>
      <c r="J317">
        <v>0.15</v>
      </c>
      <c r="K317" t="s">
        <v>1829</v>
      </c>
      <c r="L317" s="2">
        <v>574.10699999999997</v>
      </c>
      <c r="M317" s="2" t="str">
        <f>IF(ESales_DB[[#This Row],[Total_Amount]]&gt;1000,"High","Low")</f>
        <v>Low</v>
      </c>
      <c r="N317" s="2" t="str">
        <f>VLOOKUP(ESales_DB[[#This Row],[Customer_ID]],Ecustom_DB[],3,FALSE)</f>
        <v>Darrell Miller</v>
      </c>
      <c r="O317" s="2" t="str">
        <f>_xlfn.XLOOKUP(ESales_DB[[#This Row],[Product_ID]],Eproduct_DB[Product_ID],Eproduct_DB[Category])</f>
        <v>Beauty</v>
      </c>
      <c r="P317" s="2" t="str">
        <f>_xlfn.XLOOKUP(ESales_DB[[#This Row],[Product_ID]],Eproduct_DB[Product_ID],Eproduct_DB[Product_Name])</f>
        <v>Men's Roll-On Perfume</v>
      </c>
      <c r="Q317" s="2" t="str">
        <f>_xlfn.XLOOKUP(ESales_DB[[#This Row],[Store_ID]],Estore_DB[Store_ID],Estore_DB[Region])</f>
        <v>North</v>
      </c>
      <c r="R317" t="str">
        <f>VLOOKUP(ESales_DB[[#This Row],[Customer_ID]],Ecustom_DB[],10,FALSE)</f>
        <v>Platinum</v>
      </c>
      <c r="S317" t="str">
        <f>IF(ESales_DB[[#This Row],[Quantity1]]&gt;3,"Bulk order","Normal order")</f>
        <v>Normal order</v>
      </c>
    </row>
    <row r="318" spans="1:19" x14ac:dyDescent="0.3">
      <c r="A318" t="s">
        <v>3108</v>
      </c>
      <c r="B318" s="4">
        <v>45876</v>
      </c>
      <c r="C318" s="4" t="str">
        <f>TEXT(ESales_DB[[#This Row],[Order_Date]],"mmm")</f>
        <v>Aug</v>
      </c>
      <c r="D318" t="s">
        <v>1011</v>
      </c>
      <c r="E318" t="s">
        <v>1606</v>
      </c>
      <c r="F318" t="s">
        <v>1813</v>
      </c>
      <c r="G318">
        <v>1</v>
      </c>
      <c r="H318" s="10">
        <f>IF(ISBLANK(ESales_DB[[#This Row],[Quantity]]),AVERAGEIF(ESales_DB[Product_ID],ESales_DB[[#This Row],[Product_ID]],ESales_DB[Quantity]),ESales_DB[[#This Row],[Quantity]])</f>
        <v>1</v>
      </c>
      <c r="I318" s="2">
        <v>654.17999999999995</v>
      </c>
      <c r="J318">
        <v>0.19</v>
      </c>
      <c r="K318" t="s">
        <v>1826</v>
      </c>
      <c r="L318" s="2">
        <v>529.88580000000002</v>
      </c>
      <c r="M318" s="2" t="str">
        <f>IF(ESales_DB[[#This Row],[Total_Amount]]&gt;1000,"High","Low")</f>
        <v>Low</v>
      </c>
      <c r="N318" s="2" t="str">
        <f>VLOOKUP(ESales_DB[[#This Row],[Customer_ID]],Ecustom_DB[],3,FALSE)</f>
        <v>Darren Burton</v>
      </c>
      <c r="O318" s="2" t="str">
        <f>_xlfn.XLOOKUP(ESales_DB[[#This Row],[Product_ID]],Eproduct_DB[Product_ID],Eproduct_DB[Category])</f>
        <v>Home</v>
      </c>
      <c r="P318" s="2" t="str">
        <f>_xlfn.XLOOKUP(ESales_DB[[#This Row],[Product_ID]],Eproduct_DB[Product_ID],Eproduct_DB[Product_Name])</f>
        <v>Fabric Sofa Throw Blanket</v>
      </c>
      <c r="Q318" s="2" t="str">
        <f>_xlfn.XLOOKUP(ESales_DB[[#This Row],[Store_ID]],Estore_DB[Store_ID],Estore_DB[Region])</f>
        <v>East</v>
      </c>
      <c r="R318" t="str">
        <f>VLOOKUP(ESales_DB[[#This Row],[Customer_ID]],Ecustom_DB[],10,FALSE)</f>
        <v>Bronze</v>
      </c>
      <c r="S318" t="str">
        <f>IF(ESales_DB[[#This Row],[Quantity1]]&gt;3,"Bulk order","Normal order")</f>
        <v>Normal order</v>
      </c>
    </row>
    <row r="319" spans="1:19" x14ac:dyDescent="0.3">
      <c r="A319" t="s">
        <v>3109</v>
      </c>
      <c r="B319" s="4">
        <v>45552</v>
      </c>
      <c r="C319" s="4" t="str">
        <f>TEXT(ESales_DB[[#This Row],[Order_Date]],"mmm")</f>
        <v>Sep</v>
      </c>
      <c r="D319" t="s">
        <v>218</v>
      </c>
      <c r="E319" t="s">
        <v>1690</v>
      </c>
      <c r="F319" t="s">
        <v>1773</v>
      </c>
      <c r="G319">
        <v>2</v>
      </c>
      <c r="H319" s="10">
        <f>IF(ISBLANK(ESales_DB[[#This Row],[Quantity]]),AVERAGEIF(ESales_DB[Product_ID],ESales_DB[[#This Row],[Product_ID]],ESales_DB[Quantity]),ESales_DB[[#This Row],[Quantity]])</f>
        <v>2</v>
      </c>
      <c r="I319" s="2">
        <v>504.98</v>
      </c>
      <c r="J319">
        <v>0.08</v>
      </c>
      <c r="K319" t="s">
        <v>1829</v>
      </c>
      <c r="L319" s="2">
        <v>929.16320000000007</v>
      </c>
      <c r="M319" s="2" t="str">
        <f>IF(ESales_DB[[#This Row],[Total_Amount]]&gt;1000,"High","Low")</f>
        <v>Low</v>
      </c>
      <c r="N319" s="2" t="str">
        <f>VLOOKUP(ESales_DB[[#This Row],[Customer_ID]],Ecustom_DB[],3,FALSE)</f>
        <v>Cheryl Copeland</v>
      </c>
      <c r="O319" s="2" t="str">
        <f>_xlfn.XLOOKUP(ESales_DB[[#This Row],[Product_ID]],Eproduct_DB[Product_ID],Eproduct_DB[Category])</f>
        <v>Beauty</v>
      </c>
      <c r="P319" s="2" t="str">
        <f>_xlfn.XLOOKUP(ESales_DB[[#This Row],[Product_ID]],Eproduct_DB[Product_ID],Eproduct_DB[Product_Name])</f>
        <v>Hair Repair Oil Treatment</v>
      </c>
      <c r="Q319" s="2" t="str">
        <f>_xlfn.XLOOKUP(ESales_DB[[#This Row],[Store_ID]],Estore_DB[Store_ID],Estore_DB[Region])</f>
        <v>North</v>
      </c>
      <c r="R319" t="str">
        <f>VLOOKUP(ESales_DB[[#This Row],[Customer_ID]],Ecustom_DB[],10,FALSE)</f>
        <v>Platinum</v>
      </c>
      <c r="S319" t="str">
        <f>IF(ESales_DB[[#This Row],[Quantity1]]&gt;3,"Bulk order","Normal order")</f>
        <v>Normal order</v>
      </c>
    </row>
    <row r="320" spans="1:19" x14ac:dyDescent="0.3">
      <c r="A320" t="s">
        <v>3110</v>
      </c>
      <c r="B320" s="4">
        <v>45823</v>
      </c>
      <c r="C320" s="4" t="str">
        <f>TEXT(ESales_DB[[#This Row],[Order_Date]],"mmm")</f>
        <v>Jun</v>
      </c>
      <c r="D320" t="s">
        <v>1181</v>
      </c>
      <c r="E320" t="s">
        <v>1656</v>
      </c>
      <c r="F320" t="s">
        <v>1782</v>
      </c>
      <c r="G320">
        <v>2</v>
      </c>
      <c r="H320" s="10">
        <f>IF(ISBLANK(ESales_DB[[#This Row],[Quantity]]),AVERAGEIF(ESales_DB[Product_ID],ESales_DB[[#This Row],[Product_ID]],ESales_DB[Quantity]),ESales_DB[[#This Row],[Quantity]])</f>
        <v>2</v>
      </c>
      <c r="I320" s="2">
        <v>623.20000000000005</v>
      </c>
      <c r="J320">
        <v>0.14000000000000001</v>
      </c>
      <c r="K320" t="s">
        <v>1829</v>
      </c>
      <c r="L320" s="2">
        <v>1071.904</v>
      </c>
      <c r="M320" s="2" t="str">
        <f>IF(ESales_DB[[#This Row],[Total_Amount]]&gt;1000,"High","Low")</f>
        <v>High</v>
      </c>
      <c r="N320" s="2" t="str">
        <f>VLOOKUP(ESales_DB[[#This Row],[Customer_ID]],Ecustom_DB[],3,FALSE)</f>
        <v>Frank Stewart</v>
      </c>
      <c r="O320" s="2" t="str">
        <f>_xlfn.XLOOKUP(ESales_DB[[#This Row],[Product_ID]],Eproduct_DB[Product_ID],Eproduct_DB[Category])</f>
        <v>Sports</v>
      </c>
      <c r="P320" s="2" t="str">
        <f>_xlfn.XLOOKUP(ESales_DB[[#This Row],[Product_ID]],Eproduct_DB[Product_ID],Eproduct_DB[Product_Name])</f>
        <v>Sports Stopwatch Pro</v>
      </c>
      <c r="Q320" s="2" t="str">
        <f>_xlfn.XLOOKUP(ESales_DB[[#This Row],[Store_ID]],Estore_DB[Store_ID],Estore_DB[Region])</f>
        <v>West</v>
      </c>
      <c r="R320" t="str">
        <f>VLOOKUP(ESales_DB[[#This Row],[Customer_ID]],Ecustom_DB[],10,FALSE)</f>
        <v>Bronze</v>
      </c>
      <c r="S320" t="str">
        <f>IF(ESales_DB[[#This Row],[Quantity1]]&gt;3,"Bulk order","Normal order")</f>
        <v>Normal order</v>
      </c>
    </row>
    <row r="321" spans="1:19" x14ac:dyDescent="0.3">
      <c r="A321" t="s">
        <v>3111</v>
      </c>
      <c r="B321" s="4">
        <v>45622</v>
      </c>
      <c r="C321" s="4" t="str">
        <f>TEXT(ESales_DB[[#This Row],[Order_Date]],"mmm")</f>
        <v>Nov</v>
      </c>
      <c r="D321" t="s">
        <v>1023</v>
      </c>
      <c r="E321" t="s">
        <v>1555</v>
      </c>
      <c r="F321" t="s">
        <v>1804</v>
      </c>
      <c r="G321">
        <v>2</v>
      </c>
      <c r="H321" s="10">
        <f>IF(ISBLANK(ESales_DB[[#This Row],[Quantity]]),AVERAGEIF(ESales_DB[Product_ID],ESales_DB[[#This Row],[Product_ID]],ESales_DB[Quantity]),ESales_DB[[#This Row],[Quantity]])</f>
        <v>2</v>
      </c>
      <c r="I321" s="2">
        <v>530.54</v>
      </c>
      <c r="J321">
        <v>0.28000000000000003</v>
      </c>
      <c r="K321" t="s">
        <v>1829</v>
      </c>
      <c r="L321" s="2">
        <v>763.97759999999994</v>
      </c>
      <c r="M321" s="2" t="str">
        <f>IF(ESales_DB[[#This Row],[Total_Amount]]&gt;1000,"High","Low")</f>
        <v>Low</v>
      </c>
      <c r="N321" s="2" t="str">
        <f>VLOOKUP(ESales_DB[[#This Row],[Customer_ID]],Ecustom_DB[],3,FALSE)</f>
        <v>Andrew Smith</v>
      </c>
      <c r="O321" s="2" t="str">
        <f>_xlfn.XLOOKUP(ESales_DB[[#This Row],[Product_ID]],Eproduct_DB[Product_ID],Eproduct_DB[Category])</f>
        <v>Clothing</v>
      </c>
      <c r="P321" s="2" t="str">
        <f>_xlfn.XLOOKUP(ESales_DB[[#This Row],[Product_ID]],Eproduct_DB[Product_ID],Eproduct_DB[Product_Name])</f>
        <v>Men's Leather Belt</v>
      </c>
      <c r="Q321" s="2" t="str">
        <f>_xlfn.XLOOKUP(ESales_DB[[#This Row],[Store_ID]],Estore_DB[Store_ID],Estore_DB[Region])</f>
        <v>West</v>
      </c>
      <c r="R321" t="str">
        <f>VLOOKUP(ESales_DB[[#This Row],[Customer_ID]],Ecustom_DB[],10,FALSE)</f>
        <v>Bronze</v>
      </c>
      <c r="S321" t="str">
        <f>IF(ESales_DB[[#This Row],[Quantity1]]&gt;3,"Bulk order","Normal order")</f>
        <v>Normal order</v>
      </c>
    </row>
    <row r="322" spans="1:19" x14ac:dyDescent="0.3">
      <c r="A322" t="s">
        <v>3112</v>
      </c>
      <c r="B322" s="4">
        <v>45810</v>
      </c>
      <c r="C322" s="4" t="str">
        <f>TEXT(ESales_DB[[#This Row],[Order_Date]],"mmm")</f>
        <v>Jun</v>
      </c>
      <c r="D322" t="s">
        <v>1142</v>
      </c>
      <c r="E322" t="s">
        <v>1543</v>
      </c>
      <c r="F322" t="s">
        <v>1804</v>
      </c>
      <c r="G322">
        <v>3</v>
      </c>
      <c r="H322" s="10">
        <f>IF(ISBLANK(ESales_DB[[#This Row],[Quantity]]),AVERAGEIF(ESales_DB[Product_ID],ESales_DB[[#This Row],[Product_ID]],ESales_DB[Quantity]),ESales_DB[[#This Row],[Quantity]])</f>
        <v>3</v>
      </c>
      <c r="I322" s="2">
        <v>279.45</v>
      </c>
      <c r="J322">
        <v>0.15</v>
      </c>
      <c r="K322" t="s">
        <v>1829</v>
      </c>
      <c r="L322" s="2">
        <v>712.59749999999985</v>
      </c>
      <c r="M322" s="2" t="str">
        <f>IF(ESales_DB[[#This Row],[Total_Amount]]&gt;1000,"High","Low")</f>
        <v>Low</v>
      </c>
      <c r="N322" s="2" t="str">
        <f>VLOOKUP(ESales_DB[[#This Row],[Customer_ID]],Ecustom_DB[],3,FALSE)</f>
        <v>Brandon Mcbride</v>
      </c>
      <c r="O322" s="2" t="str">
        <f>_xlfn.XLOOKUP(ESales_DB[[#This Row],[Product_ID]],Eproduct_DB[Product_ID],Eproduct_DB[Category])</f>
        <v>Electronics</v>
      </c>
      <c r="P322" s="2" t="str">
        <f>_xlfn.XLOOKUP(ESales_DB[[#This Row],[Product_ID]],Eproduct_DB[Product_ID],Eproduct_DB[Product_Name])</f>
        <v>Brother Laser Printer</v>
      </c>
      <c r="Q322" s="2" t="str">
        <f>_xlfn.XLOOKUP(ESales_DB[[#This Row],[Store_ID]],Estore_DB[Store_ID],Estore_DB[Region])</f>
        <v>West</v>
      </c>
      <c r="R322" t="str">
        <f>VLOOKUP(ESales_DB[[#This Row],[Customer_ID]],Ecustom_DB[],10,FALSE)</f>
        <v>Platinum</v>
      </c>
      <c r="S322" t="str">
        <f>IF(ESales_DB[[#This Row],[Quantity1]]&gt;3,"Bulk order","Normal order")</f>
        <v>Normal order</v>
      </c>
    </row>
    <row r="323" spans="1:19" x14ac:dyDescent="0.3">
      <c r="A323" t="s">
        <v>3113</v>
      </c>
      <c r="B323" s="4">
        <v>45645</v>
      </c>
      <c r="C323" s="4" t="str">
        <f>TEXT(ESales_DB[[#This Row],[Order_Date]],"mmm")</f>
        <v>Dec</v>
      </c>
      <c r="D323" t="s">
        <v>849</v>
      </c>
      <c r="E323" t="s">
        <v>1572</v>
      </c>
      <c r="F323" t="s">
        <v>1782</v>
      </c>
      <c r="G323">
        <v>3</v>
      </c>
      <c r="H323" s="10">
        <f>IF(ISBLANK(ESales_DB[[#This Row],[Quantity]]),AVERAGEIF(ESales_DB[Product_ID],ESales_DB[[#This Row],[Product_ID]],ESales_DB[Quantity]),ESales_DB[[#This Row],[Quantity]])</f>
        <v>3</v>
      </c>
      <c r="I323" s="2">
        <v>906.99</v>
      </c>
      <c r="J323">
        <v>0.26</v>
      </c>
      <c r="K323" t="s">
        <v>1829</v>
      </c>
      <c r="L323" s="2">
        <v>2013.5178000000001</v>
      </c>
      <c r="M323" s="2" t="str">
        <f>IF(ESales_DB[[#This Row],[Total_Amount]]&gt;1000,"High","Low")</f>
        <v>High</v>
      </c>
      <c r="N323" s="2" t="str">
        <f>VLOOKUP(ESales_DB[[#This Row],[Customer_ID]],Ecustom_DB[],3,FALSE)</f>
        <v>Cynthia Payne</v>
      </c>
      <c r="O323" s="2" t="str">
        <f>_xlfn.XLOOKUP(ESales_DB[[#This Row],[Product_ID]],Eproduct_DB[Product_ID],Eproduct_DB[Category])</f>
        <v>Beauty</v>
      </c>
      <c r="P323" s="2" t="str">
        <f>_xlfn.XLOOKUP(ESales_DB[[#This Row],[Product_ID]],Eproduct_DB[Product_ID],Eproduct_DB[Product_Name])</f>
        <v>Hair Strengthening Shampoo</v>
      </c>
      <c r="Q323" s="2" t="str">
        <f>_xlfn.XLOOKUP(ESales_DB[[#This Row],[Store_ID]],Estore_DB[Store_ID],Estore_DB[Region])</f>
        <v>West</v>
      </c>
      <c r="R323" t="str">
        <f>VLOOKUP(ESales_DB[[#This Row],[Customer_ID]],Ecustom_DB[],10,FALSE)</f>
        <v>Bronze</v>
      </c>
      <c r="S323" t="str">
        <f>IF(ESales_DB[[#This Row],[Quantity1]]&gt;3,"Bulk order","Normal order")</f>
        <v>Normal order</v>
      </c>
    </row>
    <row r="324" spans="1:19" x14ac:dyDescent="0.3">
      <c r="A324" t="s">
        <v>3114</v>
      </c>
      <c r="B324" s="4">
        <v>45749</v>
      </c>
      <c r="C324" s="4" t="str">
        <f>TEXT(ESales_DB[[#This Row],[Order_Date]],"mmm")</f>
        <v>Apr</v>
      </c>
      <c r="D324" t="s">
        <v>258</v>
      </c>
      <c r="E324" t="s">
        <v>1708</v>
      </c>
      <c r="F324" t="s">
        <v>1807</v>
      </c>
      <c r="G324">
        <v>4</v>
      </c>
      <c r="H324" s="10">
        <f>IF(ISBLANK(ESales_DB[[#This Row],[Quantity]]),AVERAGEIF(ESales_DB[Product_ID],ESales_DB[[#This Row],[Product_ID]],ESales_DB[Quantity]),ESales_DB[[#This Row],[Quantity]])</f>
        <v>4</v>
      </c>
      <c r="I324" s="2">
        <v>408.76</v>
      </c>
      <c r="J324">
        <v>0.12</v>
      </c>
      <c r="K324" t="s">
        <v>1829</v>
      </c>
      <c r="L324" s="2">
        <v>1438.8352</v>
      </c>
      <c r="M324" s="2" t="str">
        <f>IF(ESales_DB[[#This Row],[Total_Amount]]&gt;1000,"High","Low")</f>
        <v>High</v>
      </c>
      <c r="N324" s="2" t="str">
        <f>VLOOKUP(ESales_DB[[#This Row],[Customer_ID]],Ecustom_DB[],3,FALSE)</f>
        <v>Eric Singh</v>
      </c>
      <c r="O324" s="2" t="str">
        <f>_xlfn.XLOOKUP(ESales_DB[[#This Row],[Product_ID]],Eproduct_DB[Product_ID],Eproduct_DB[Category])</f>
        <v>Home</v>
      </c>
      <c r="P324" s="2" t="str">
        <f>_xlfn.XLOOKUP(ESales_DB[[#This Row],[Product_ID]],Eproduct_DB[Product_ID],Eproduct_DB[Product_Name])</f>
        <v>Wall-Mounted Spice Rack</v>
      </c>
      <c r="Q324" s="2" t="str">
        <f>_xlfn.XLOOKUP(ESales_DB[[#This Row],[Store_ID]],Estore_DB[Store_ID],Estore_DB[Region])</f>
        <v>North</v>
      </c>
      <c r="R324" t="str">
        <f>VLOOKUP(ESales_DB[[#This Row],[Customer_ID]],Ecustom_DB[],10,FALSE)</f>
        <v>Gold</v>
      </c>
      <c r="S324" t="str">
        <f>IF(ESales_DB[[#This Row],[Quantity1]]&gt;3,"Bulk order","Normal order")</f>
        <v>Bulk order</v>
      </c>
    </row>
    <row r="325" spans="1:19" x14ac:dyDescent="0.3">
      <c r="A325" t="s">
        <v>3115</v>
      </c>
      <c r="B325" s="4">
        <v>45537</v>
      </c>
      <c r="C325" s="4" t="str">
        <f>TEXT(ESales_DB[[#This Row],[Order_Date]],"mmm")</f>
        <v>Sep</v>
      </c>
      <c r="D325" t="s">
        <v>585</v>
      </c>
      <c r="E325" t="s">
        <v>1620</v>
      </c>
      <c r="F325" t="s">
        <v>1786</v>
      </c>
      <c r="G325">
        <v>2</v>
      </c>
      <c r="H325" s="10">
        <f>IF(ISBLANK(ESales_DB[[#This Row],[Quantity]]),AVERAGEIF(ESales_DB[Product_ID],ESales_DB[[#This Row],[Product_ID]],ESales_DB[Quantity]),ESales_DB[[#This Row],[Quantity]])</f>
        <v>2</v>
      </c>
      <c r="I325" s="2">
        <v>117.34</v>
      </c>
      <c r="J325">
        <v>0.09</v>
      </c>
      <c r="K325" t="s">
        <v>1826</v>
      </c>
      <c r="L325" s="2">
        <v>213.55879999999999</v>
      </c>
      <c r="M325" s="2" t="str">
        <f>IF(ESales_DB[[#This Row],[Total_Amount]]&gt;1000,"High","Low")</f>
        <v>Low</v>
      </c>
      <c r="N325" s="2" t="str">
        <f>VLOOKUP(ESales_DB[[#This Row],[Customer_ID]],Ecustom_DB[],3,FALSE)</f>
        <v>Curtis Lam</v>
      </c>
      <c r="O325" s="2" t="str">
        <f>_xlfn.XLOOKUP(ESales_DB[[#This Row],[Product_ID]],Eproduct_DB[Product_ID],Eproduct_DB[Category])</f>
        <v>Clothing</v>
      </c>
      <c r="P325" s="2" t="str">
        <f>_xlfn.XLOOKUP(ESales_DB[[#This Row],[Product_ID]],Eproduct_DB[Product_ID],Eproduct_DB[Product_Name])</f>
        <v>Women's Summer Dress</v>
      </c>
      <c r="Q325" s="2" t="str">
        <f>_xlfn.XLOOKUP(ESales_DB[[#This Row],[Store_ID]],Estore_DB[Store_ID],Estore_DB[Region])</f>
        <v>South</v>
      </c>
      <c r="R325" t="str">
        <f>VLOOKUP(ESales_DB[[#This Row],[Customer_ID]],Ecustom_DB[],10,FALSE)</f>
        <v>Platinum</v>
      </c>
      <c r="S325" t="str">
        <f>IF(ESales_DB[[#This Row],[Quantity1]]&gt;3,"Bulk order","Normal order")</f>
        <v>Normal order</v>
      </c>
    </row>
    <row r="326" spans="1:19" x14ac:dyDescent="0.3">
      <c r="A326" t="s">
        <v>1955</v>
      </c>
      <c r="B326" s="4">
        <v>45723</v>
      </c>
      <c r="C326" s="4" t="str">
        <f>TEXT(ESales_DB[[#This Row],[Order_Date]],"mmm")</f>
        <v>Mar</v>
      </c>
      <c r="D326" t="s">
        <v>993</v>
      </c>
      <c r="E326" t="s">
        <v>1546</v>
      </c>
      <c r="F326" t="s">
        <v>1804</v>
      </c>
      <c r="G326">
        <v>1</v>
      </c>
      <c r="H326" s="10">
        <f>IF(ISBLANK(ESales_DB[[#This Row],[Quantity]]),AVERAGEIF(ESales_DB[Product_ID],ESales_DB[[#This Row],[Product_ID]],ESales_DB[Quantity]),ESales_DB[[#This Row],[Quantity]])</f>
        <v>1</v>
      </c>
      <c r="I326" s="2">
        <v>783.25</v>
      </c>
      <c r="J326">
        <v>0.3</v>
      </c>
      <c r="K326" t="s">
        <v>1824</v>
      </c>
      <c r="L326" s="2">
        <v>548.27499999999998</v>
      </c>
      <c r="M326" s="2" t="str">
        <f>IF(ESales_DB[[#This Row],[Total_Amount]]&gt;1000,"High","Low")</f>
        <v>Low</v>
      </c>
      <c r="N326" s="2" t="str">
        <f>VLOOKUP(ESales_DB[[#This Row],[Customer_ID]],Ecustom_DB[],3,FALSE)</f>
        <v>William Rodriguez</v>
      </c>
      <c r="O326" s="2" t="str">
        <f>_xlfn.XLOOKUP(ESales_DB[[#This Row],[Product_ID]],Eproduct_DB[Product_ID],Eproduct_DB[Category])</f>
        <v>Clothing</v>
      </c>
      <c r="P326" s="2" t="str">
        <f>_xlfn.XLOOKUP(ESales_DB[[#This Row],[Product_ID]],Eproduct_DB[Product_ID],Eproduct_DB[Product_Name])</f>
        <v>Men's Graphic T-Shirt</v>
      </c>
      <c r="Q326" s="2" t="str">
        <f>_xlfn.XLOOKUP(ESales_DB[[#This Row],[Store_ID]],Estore_DB[Store_ID],Estore_DB[Region])</f>
        <v>West</v>
      </c>
      <c r="R326" t="str">
        <f>VLOOKUP(ESales_DB[[#This Row],[Customer_ID]],Ecustom_DB[],10,FALSE)</f>
        <v>Silver</v>
      </c>
      <c r="S326" t="str">
        <f>IF(ESales_DB[[#This Row],[Quantity1]]&gt;3,"Bulk order","Normal order")</f>
        <v>Normal order</v>
      </c>
    </row>
    <row r="327" spans="1:19" x14ac:dyDescent="0.3">
      <c r="A327" t="s">
        <v>3116</v>
      </c>
      <c r="B327" s="4">
        <v>45376</v>
      </c>
      <c r="C327" s="4" t="str">
        <f>TEXT(ESales_DB[[#This Row],[Order_Date]],"mmm")</f>
        <v>Mar</v>
      </c>
      <c r="D327" t="s">
        <v>559</v>
      </c>
      <c r="E327" t="s">
        <v>1730</v>
      </c>
      <c r="F327" t="s">
        <v>1799</v>
      </c>
      <c r="G327">
        <v>3</v>
      </c>
      <c r="H327" s="10">
        <f>IF(ISBLANK(ESales_DB[[#This Row],[Quantity]]),AVERAGEIF(ESales_DB[Product_ID],ESales_DB[[#This Row],[Product_ID]],ESales_DB[Quantity]),ESales_DB[[#This Row],[Quantity]])</f>
        <v>3</v>
      </c>
      <c r="I327" s="2">
        <v>690.27</v>
      </c>
      <c r="J327">
        <v>7.0000000000000007E-2</v>
      </c>
      <c r="K327" t="s">
        <v>1826</v>
      </c>
      <c r="L327" s="2">
        <v>1925.8533</v>
      </c>
      <c r="M327" s="2" t="str">
        <f>IF(ESales_DB[[#This Row],[Total_Amount]]&gt;1000,"High","Low")</f>
        <v>High</v>
      </c>
      <c r="N327" s="2" t="str">
        <f>VLOOKUP(ESales_DB[[#This Row],[Customer_ID]],Ecustom_DB[],3,FALSE)</f>
        <v>Daniel Contreras</v>
      </c>
      <c r="O327" s="2" t="str">
        <f>_xlfn.XLOOKUP(ESales_DB[[#This Row],[Product_ID]],Eproduct_DB[Product_ID],Eproduct_DB[Category])</f>
        <v>Clothing</v>
      </c>
      <c r="P327" s="2" t="str">
        <f>_xlfn.XLOOKUP(ESales_DB[[#This Row],[Product_ID]],Eproduct_DB[Product_ID],Eproduct_DB[Product_Name])</f>
        <v>Women's High Heels</v>
      </c>
      <c r="Q327" s="2" t="str">
        <f>_xlfn.XLOOKUP(ESales_DB[[#This Row],[Store_ID]],Estore_DB[Store_ID],Estore_DB[Region])</f>
        <v>South</v>
      </c>
      <c r="R327" t="str">
        <f>VLOOKUP(ESales_DB[[#This Row],[Customer_ID]],Ecustom_DB[],10,FALSE)</f>
        <v>Platinum</v>
      </c>
      <c r="S327" t="str">
        <f>IF(ESales_DB[[#This Row],[Quantity1]]&gt;3,"Bulk order","Normal order")</f>
        <v>Normal order</v>
      </c>
    </row>
    <row r="328" spans="1:19" x14ac:dyDescent="0.3">
      <c r="A328" t="s">
        <v>3117</v>
      </c>
      <c r="B328" s="4">
        <v>45709</v>
      </c>
      <c r="C328" s="4" t="str">
        <f>TEXT(ESales_DB[[#This Row],[Order_Date]],"mmm")</f>
        <v>Feb</v>
      </c>
      <c r="D328" t="s">
        <v>381</v>
      </c>
      <c r="E328" t="s">
        <v>1604</v>
      </c>
      <c r="F328" t="s">
        <v>1807</v>
      </c>
      <c r="G328">
        <v>4</v>
      </c>
      <c r="H328" s="10">
        <f>IF(ISBLANK(ESales_DB[[#This Row],[Quantity]]),AVERAGEIF(ESales_DB[Product_ID],ESales_DB[[#This Row],[Product_ID]],ESales_DB[Quantity]),ESales_DB[[#This Row],[Quantity]])</f>
        <v>4</v>
      </c>
      <c r="I328" s="2">
        <v>377.18</v>
      </c>
      <c r="J328">
        <v>0.24</v>
      </c>
      <c r="K328" t="s">
        <v>1826</v>
      </c>
      <c r="L328" s="2">
        <v>1146.6271999999999</v>
      </c>
      <c r="M328" s="2" t="str">
        <f>IF(ESales_DB[[#This Row],[Total_Amount]]&gt;1000,"High","Low")</f>
        <v>High</v>
      </c>
      <c r="N328" s="2" t="str">
        <f>VLOOKUP(ESales_DB[[#This Row],[Customer_ID]],Ecustom_DB[],3,FALSE)</f>
        <v>Travis Holland</v>
      </c>
      <c r="O328" s="2" t="str">
        <f>_xlfn.XLOOKUP(ESales_DB[[#This Row],[Product_ID]],Eproduct_DB[Product_ID],Eproduct_DB[Category])</f>
        <v>Sports</v>
      </c>
      <c r="P328" s="2" t="str">
        <f>_xlfn.XLOOKUP(ESales_DB[[#This Row],[Product_ID]],Eproduct_DB[Product_ID],Eproduct_DB[Product_Name])</f>
        <v>Sports Stopwatch Timer</v>
      </c>
      <c r="Q328" s="2" t="str">
        <f>_xlfn.XLOOKUP(ESales_DB[[#This Row],[Store_ID]],Estore_DB[Store_ID],Estore_DB[Region])</f>
        <v>North</v>
      </c>
      <c r="R328" t="str">
        <f>VLOOKUP(ESales_DB[[#This Row],[Customer_ID]],Ecustom_DB[],10,FALSE)</f>
        <v>Bronze</v>
      </c>
      <c r="S328" t="str">
        <f>IF(ESales_DB[[#This Row],[Quantity1]]&gt;3,"Bulk order","Normal order")</f>
        <v>Bulk order</v>
      </c>
    </row>
    <row r="329" spans="1:19" x14ac:dyDescent="0.3">
      <c r="A329" t="s">
        <v>3118</v>
      </c>
      <c r="B329" s="4">
        <v>45446</v>
      </c>
      <c r="C329" s="4" t="str">
        <f>TEXT(ESales_DB[[#This Row],[Order_Date]],"mmm")</f>
        <v>Jun</v>
      </c>
      <c r="D329" t="s">
        <v>393</v>
      </c>
      <c r="E329" t="s">
        <v>1628</v>
      </c>
      <c r="F329" t="s">
        <v>1752</v>
      </c>
      <c r="G329">
        <v>1</v>
      </c>
      <c r="H329" s="10">
        <f>IF(ISBLANK(ESales_DB[[#This Row],[Quantity]]),AVERAGEIF(ESales_DB[Product_ID],ESales_DB[[#This Row],[Product_ID]],ESales_DB[Quantity]),ESales_DB[[#This Row],[Quantity]])</f>
        <v>1</v>
      </c>
      <c r="I329" s="2">
        <v>70.52</v>
      </c>
      <c r="J329">
        <v>0.08</v>
      </c>
      <c r="K329" t="s">
        <v>1829</v>
      </c>
      <c r="L329" s="2">
        <v>64.878399999999999</v>
      </c>
      <c r="M329" s="2" t="str">
        <f>IF(ESales_DB[[#This Row],[Total_Amount]]&gt;1000,"High","Low")</f>
        <v>Low</v>
      </c>
      <c r="N329" s="2" t="str">
        <f>VLOOKUP(ESales_DB[[#This Row],[Customer_ID]],Ecustom_DB[],3,FALSE)</f>
        <v>David Cole</v>
      </c>
      <c r="O329" s="2" t="str">
        <f>_xlfn.XLOOKUP(ESales_DB[[#This Row],[Product_ID]],Eproduct_DB[Product_ID],Eproduct_DB[Category])</f>
        <v>Electronics</v>
      </c>
      <c r="P329" s="2" t="str">
        <f>_xlfn.XLOOKUP(ESales_DB[[#This Row],[Product_ID]],Eproduct_DB[Product_ID],Eproduct_DB[Product_Name])</f>
        <v>Noise-Canceling Headphones</v>
      </c>
      <c r="Q329" s="2" t="str">
        <f>_xlfn.XLOOKUP(ESales_DB[[#This Row],[Store_ID]],Estore_DB[Store_ID],Estore_DB[Region])</f>
        <v>East</v>
      </c>
      <c r="R329" t="str">
        <f>VLOOKUP(ESales_DB[[#This Row],[Customer_ID]],Ecustom_DB[],10,FALSE)</f>
        <v>Silver</v>
      </c>
      <c r="S329" t="str">
        <f>IF(ESales_DB[[#This Row],[Quantity1]]&gt;3,"Bulk order","Normal order")</f>
        <v>Normal order</v>
      </c>
    </row>
    <row r="330" spans="1:19" x14ac:dyDescent="0.3">
      <c r="A330" t="s">
        <v>3119</v>
      </c>
      <c r="B330" s="4">
        <v>45330</v>
      </c>
      <c r="C330" s="4" t="str">
        <f>TEXT(ESales_DB[[#This Row],[Order_Date]],"mmm")</f>
        <v>Feb</v>
      </c>
      <c r="D330" t="s">
        <v>875</v>
      </c>
      <c r="E330" t="s">
        <v>1624</v>
      </c>
      <c r="F330" t="s">
        <v>1786</v>
      </c>
      <c r="G330">
        <v>1</v>
      </c>
      <c r="H330" s="10">
        <f>IF(ISBLANK(ESales_DB[[#This Row],[Quantity]]),AVERAGEIF(ESales_DB[Product_ID],ESales_DB[[#This Row],[Product_ID]],ESales_DB[Quantity]),ESales_DB[[#This Row],[Quantity]])</f>
        <v>1</v>
      </c>
      <c r="I330" s="2">
        <v>40.25</v>
      </c>
      <c r="J330">
        <v>0.1</v>
      </c>
      <c r="K330" t="s">
        <v>1826</v>
      </c>
      <c r="L330" s="2">
        <v>36.225000000000001</v>
      </c>
      <c r="M330" s="2" t="str">
        <f>IF(ESales_DB[[#This Row],[Total_Amount]]&gt;1000,"High","Low")</f>
        <v>Low</v>
      </c>
      <c r="N330" s="2" t="str">
        <f>VLOOKUP(ESales_DB[[#This Row],[Customer_ID]],Ecustom_DB[],3,FALSE)</f>
        <v>Shannon Miller</v>
      </c>
      <c r="O330" s="2" t="str">
        <f>_xlfn.XLOOKUP(ESales_DB[[#This Row],[Product_ID]],Eproduct_DB[Product_ID],Eproduct_DB[Category])</f>
        <v>Sports</v>
      </c>
      <c r="P330" s="2" t="str">
        <f>_xlfn.XLOOKUP(ESales_DB[[#This Row],[Product_ID]],Eproduct_DB[Product_ID],Eproduct_DB[Product_Name])</f>
        <v>Sports Water Hydration Pack</v>
      </c>
      <c r="Q330" s="2" t="str">
        <f>_xlfn.XLOOKUP(ESales_DB[[#This Row],[Store_ID]],Estore_DB[Store_ID],Estore_DB[Region])</f>
        <v>South</v>
      </c>
      <c r="R330" t="str">
        <f>VLOOKUP(ESales_DB[[#This Row],[Customer_ID]],Ecustom_DB[],10,FALSE)</f>
        <v>Gold</v>
      </c>
      <c r="S330" t="str">
        <f>IF(ESales_DB[[#This Row],[Quantity1]]&gt;3,"Bulk order","Normal order")</f>
        <v>Normal order</v>
      </c>
    </row>
    <row r="331" spans="1:19" x14ac:dyDescent="0.3">
      <c r="A331" t="s">
        <v>3120</v>
      </c>
      <c r="B331" s="4">
        <v>45388</v>
      </c>
      <c r="C331" s="4" t="str">
        <f>TEXT(ESales_DB[[#This Row],[Order_Date]],"mmm")</f>
        <v>Apr</v>
      </c>
      <c r="D331" t="s">
        <v>746</v>
      </c>
      <c r="E331" t="s">
        <v>1726</v>
      </c>
      <c r="F331" t="s">
        <v>1792</v>
      </c>
      <c r="G331">
        <v>3</v>
      </c>
      <c r="H331" s="10">
        <f>IF(ISBLANK(ESales_DB[[#This Row],[Quantity]]),AVERAGEIF(ESales_DB[Product_ID],ESales_DB[[#This Row],[Product_ID]],ESales_DB[Quantity]),ESales_DB[[#This Row],[Quantity]])</f>
        <v>3</v>
      </c>
      <c r="I331" s="2">
        <v>539.44000000000005</v>
      </c>
      <c r="J331">
        <v>0.05</v>
      </c>
      <c r="K331" t="s">
        <v>1829</v>
      </c>
      <c r="L331" s="2">
        <v>1537.404</v>
      </c>
      <c r="M331" s="2" t="str">
        <f>IF(ESales_DB[[#This Row],[Total_Amount]]&gt;1000,"High","Low")</f>
        <v>High</v>
      </c>
      <c r="N331" s="2" t="str">
        <f>VLOOKUP(ESales_DB[[#This Row],[Customer_ID]],Ecustom_DB[],3,FALSE)</f>
        <v>Christy Hill</v>
      </c>
      <c r="O331" s="2" t="str">
        <f>_xlfn.XLOOKUP(ESales_DB[[#This Row],[Product_ID]],Eproduct_DB[Product_ID],Eproduct_DB[Category])</f>
        <v>Beauty</v>
      </c>
      <c r="P331" s="2" t="str">
        <f>_xlfn.XLOOKUP(ESales_DB[[#This Row],[Product_ID]],Eproduct_DB[Product_ID],Eproduct_DB[Product_Name])</f>
        <v>Face Foundation Kit</v>
      </c>
      <c r="Q331" s="2" t="str">
        <f>_xlfn.XLOOKUP(ESales_DB[[#This Row],[Store_ID]],Estore_DB[Store_ID],Estore_DB[Region])</f>
        <v>South</v>
      </c>
      <c r="R331" t="str">
        <f>VLOOKUP(ESales_DB[[#This Row],[Customer_ID]],Ecustom_DB[],10,FALSE)</f>
        <v>Platinum</v>
      </c>
      <c r="S331" t="str">
        <f>IF(ESales_DB[[#This Row],[Quantity1]]&gt;3,"Bulk order","Normal order")</f>
        <v>Normal order</v>
      </c>
    </row>
    <row r="332" spans="1:19" x14ac:dyDescent="0.3">
      <c r="A332" t="s">
        <v>3121</v>
      </c>
      <c r="B332" s="4">
        <v>45313</v>
      </c>
      <c r="C332" s="4" t="str">
        <f>TEXT(ESales_DB[[#This Row],[Order_Date]],"mmm")</f>
        <v>Jan</v>
      </c>
      <c r="D332" t="s">
        <v>791</v>
      </c>
      <c r="E332" t="s">
        <v>1668</v>
      </c>
      <c r="F332" t="s">
        <v>1769</v>
      </c>
      <c r="G332">
        <v>3</v>
      </c>
      <c r="H332" s="10">
        <f>IF(ISBLANK(ESales_DB[[#This Row],[Quantity]]),AVERAGEIF(ESales_DB[Product_ID],ESales_DB[[#This Row],[Product_ID]],ESales_DB[Quantity]),ESales_DB[[#This Row],[Quantity]])</f>
        <v>3</v>
      </c>
      <c r="I332" s="2">
        <v>543.49</v>
      </c>
      <c r="J332">
        <v>0.05</v>
      </c>
      <c r="K332" t="s">
        <v>1826</v>
      </c>
      <c r="L332" s="2">
        <v>1548.9465</v>
      </c>
      <c r="M332" s="2" t="str">
        <f>IF(ESales_DB[[#This Row],[Total_Amount]]&gt;1000,"High","Low")</f>
        <v>High</v>
      </c>
      <c r="N332" s="2" t="str">
        <f>VLOOKUP(ESales_DB[[#This Row],[Customer_ID]],Ecustom_DB[],3,FALSE)</f>
        <v>Douglas Rhodes</v>
      </c>
      <c r="O332" s="2" t="str">
        <f>_xlfn.XLOOKUP(ESales_DB[[#This Row],[Product_ID]],Eproduct_DB[Product_ID],Eproduct_DB[Category])</f>
        <v>Beauty</v>
      </c>
      <c r="P332" s="2" t="str">
        <f>_xlfn.XLOOKUP(ESales_DB[[#This Row],[Product_ID]],Eproduct_DB[Product_ID],Eproduct_DB[Product_Name])</f>
        <v>Luxury Perfume Spray</v>
      </c>
      <c r="Q332" s="2" t="str">
        <f>_xlfn.XLOOKUP(ESales_DB[[#This Row],[Store_ID]],Estore_DB[Store_ID],Estore_DB[Region])</f>
        <v>South</v>
      </c>
      <c r="R332" t="str">
        <f>VLOOKUP(ESales_DB[[#This Row],[Customer_ID]],Ecustom_DB[],10,FALSE)</f>
        <v>Platinum</v>
      </c>
      <c r="S332" t="str">
        <f>IF(ESales_DB[[#This Row],[Quantity1]]&gt;3,"Bulk order","Normal order")</f>
        <v>Normal order</v>
      </c>
    </row>
    <row r="333" spans="1:19" x14ac:dyDescent="0.3">
      <c r="A333" t="s">
        <v>3122</v>
      </c>
      <c r="B333" s="4">
        <v>45221</v>
      </c>
      <c r="C333" s="4" t="str">
        <f>TEXT(ESales_DB[[#This Row],[Order_Date]],"mmm")</f>
        <v>Oct</v>
      </c>
      <c r="D333" t="s">
        <v>1020</v>
      </c>
      <c r="E333" t="s">
        <v>1560</v>
      </c>
      <c r="F333" t="s">
        <v>1776</v>
      </c>
      <c r="G333">
        <v>4</v>
      </c>
      <c r="H333" s="10">
        <f>IF(ISBLANK(ESales_DB[[#This Row],[Quantity]]),AVERAGEIF(ESales_DB[Product_ID],ESales_DB[[#This Row],[Product_ID]],ESales_DB[Quantity]),ESales_DB[[#This Row],[Quantity]])</f>
        <v>4</v>
      </c>
      <c r="I333" s="2">
        <v>547.21</v>
      </c>
      <c r="J333">
        <v>0.1</v>
      </c>
      <c r="K333" t="s">
        <v>1829</v>
      </c>
      <c r="L333" s="2">
        <v>1969.9559999999999</v>
      </c>
      <c r="M333" s="2" t="str">
        <f>IF(ESales_DB[[#This Row],[Total_Amount]]&gt;1000,"High","Low")</f>
        <v>High</v>
      </c>
      <c r="N333" s="2" t="str">
        <f>VLOOKUP(ESales_DB[[#This Row],[Customer_ID]],Ecustom_DB[],3,FALSE)</f>
        <v>Alex Mann Ii</v>
      </c>
      <c r="O333" s="2" t="str">
        <f>_xlfn.XLOOKUP(ESales_DB[[#This Row],[Product_ID]],Eproduct_DB[Product_ID],Eproduct_DB[Category])</f>
        <v>Home</v>
      </c>
      <c r="P333" s="2" t="str">
        <f>_xlfn.XLOOKUP(ESales_DB[[#This Row],[Product_ID]],Eproduct_DB[Product_ID],Eproduct_DB[Product_Name])</f>
        <v>LED Table Lamp</v>
      </c>
      <c r="Q333" s="2" t="str">
        <f>_xlfn.XLOOKUP(ESales_DB[[#This Row],[Store_ID]],Estore_DB[Store_ID],Estore_DB[Region])</f>
        <v>East</v>
      </c>
      <c r="R333" t="str">
        <f>VLOOKUP(ESales_DB[[#This Row],[Customer_ID]],Ecustom_DB[],10,FALSE)</f>
        <v>Bronze</v>
      </c>
      <c r="S333" t="str">
        <f>IF(ESales_DB[[#This Row],[Quantity1]]&gt;3,"Bulk order","Normal order")</f>
        <v>Bulk order</v>
      </c>
    </row>
    <row r="334" spans="1:19" x14ac:dyDescent="0.3">
      <c r="A334" t="s">
        <v>3123</v>
      </c>
      <c r="B334" s="4">
        <v>45619</v>
      </c>
      <c r="C334" s="4" t="str">
        <f>TEXT(ESales_DB[[#This Row],[Order_Date]],"mmm")</f>
        <v>Nov</v>
      </c>
      <c r="D334" t="s">
        <v>773</v>
      </c>
      <c r="E334" t="s">
        <v>1678</v>
      </c>
      <c r="F334" t="s">
        <v>1757</v>
      </c>
      <c r="G334">
        <v>2</v>
      </c>
      <c r="H334" s="10">
        <f>IF(ISBLANK(ESales_DB[[#This Row],[Quantity]]),AVERAGEIF(ESales_DB[Product_ID],ESales_DB[[#This Row],[Product_ID]],ESales_DB[Quantity]),ESales_DB[[#This Row],[Quantity]])</f>
        <v>2</v>
      </c>
      <c r="I334" s="2">
        <v>892.46</v>
      </c>
      <c r="J334">
        <v>7.0000000000000007E-2</v>
      </c>
      <c r="K334" t="s">
        <v>1826</v>
      </c>
      <c r="L334" s="2">
        <v>1659.9756</v>
      </c>
      <c r="M334" s="2" t="str">
        <f>IF(ESales_DB[[#This Row],[Total_Amount]]&gt;1000,"High","Low")</f>
        <v>High</v>
      </c>
      <c r="N334" s="2" t="str">
        <f>VLOOKUP(ESales_DB[[#This Row],[Customer_ID]],Ecustom_DB[],3,FALSE)</f>
        <v>Mr. William Horton</v>
      </c>
      <c r="O334" s="2" t="str">
        <f>_xlfn.XLOOKUP(ESales_DB[[#This Row],[Product_ID]],Eproduct_DB[Product_ID],Eproduct_DB[Category])</f>
        <v>Sports</v>
      </c>
      <c r="P334" s="2" t="str">
        <f>_xlfn.XLOOKUP(ESales_DB[[#This Row],[Product_ID]],Eproduct_DB[Product_ID],Eproduct_DB[Product_Name])</f>
        <v>Adjustable Dumbbells 20kg</v>
      </c>
      <c r="Q334" s="2" t="str">
        <f>_xlfn.XLOOKUP(ESales_DB[[#This Row],[Store_ID]],Estore_DB[Store_ID],Estore_DB[Region])</f>
        <v>North</v>
      </c>
      <c r="R334" t="str">
        <f>VLOOKUP(ESales_DB[[#This Row],[Customer_ID]],Ecustom_DB[],10,FALSE)</f>
        <v>Platinum</v>
      </c>
      <c r="S334" t="str">
        <f>IF(ESales_DB[[#This Row],[Quantity1]]&gt;3,"Bulk order","Normal order")</f>
        <v>Normal order</v>
      </c>
    </row>
    <row r="335" spans="1:19" x14ac:dyDescent="0.3">
      <c r="A335" t="s">
        <v>3124</v>
      </c>
      <c r="B335" s="4">
        <v>45286</v>
      </c>
      <c r="C335" s="4" t="str">
        <f>TEXT(ESales_DB[[#This Row],[Order_Date]],"mmm")</f>
        <v>Dec</v>
      </c>
      <c r="D335" t="s">
        <v>1208</v>
      </c>
      <c r="E335" t="s">
        <v>1600</v>
      </c>
      <c r="F335" t="s">
        <v>1782</v>
      </c>
      <c r="G335">
        <v>2</v>
      </c>
      <c r="H335" s="10">
        <f>IF(ISBLANK(ESales_DB[[#This Row],[Quantity]]),AVERAGEIF(ESales_DB[Product_ID],ESales_DB[[#This Row],[Product_ID]],ESales_DB[Quantity]),ESales_DB[[#This Row],[Quantity]])</f>
        <v>2</v>
      </c>
      <c r="I335" s="2">
        <v>853.41</v>
      </c>
      <c r="J335">
        <v>0.25</v>
      </c>
      <c r="K335" t="s">
        <v>1824</v>
      </c>
      <c r="L335" s="2">
        <v>1280.115</v>
      </c>
      <c r="M335" s="2" t="str">
        <f>IF(ESales_DB[[#This Row],[Total_Amount]]&gt;1000,"High","Low")</f>
        <v>High</v>
      </c>
      <c r="N335" s="2" t="str">
        <f>VLOOKUP(ESales_DB[[#This Row],[Customer_ID]],Ecustom_DB[],3,FALSE)</f>
        <v>Timothy Gardner</v>
      </c>
      <c r="O335" s="2" t="str">
        <f>_xlfn.XLOOKUP(ESales_DB[[#This Row],[Product_ID]],Eproduct_DB[Product_ID],Eproduct_DB[Category])</f>
        <v>Electronics</v>
      </c>
      <c r="P335" s="2" t="str">
        <f>_xlfn.XLOOKUP(ESales_DB[[#This Row],[Product_ID]],Eproduct_DB[Product_ID],Eproduct_DB[Product_Name])</f>
        <v>Wireless Bluetooth Speaker</v>
      </c>
      <c r="Q335" s="2" t="str">
        <f>_xlfn.XLOOKUP(ESales_DB[[#This Row],[Store_ID]],Estore_DB[Store_ID],Estore_DB[Region])</f>
        <v>West</v>
      </c>
      <c r="R335" t="str">
        <f>VLOOKUP(ESales_DB[[#This Row],[Customer_ID]],Ecustom_DB[],10,FALSE)</f>
        <v>Silver</v>
      </c>
      <c r="S335" t="str">
        <f>IF(ESales_DB[[#This Row],[Quantity1]]&gt;3,"Bulk order","Normal order")</f>
        <v>Normal order</v>
      </c>
    </row>
    <row r="336" spans="1:19" x14ac:dyDescent="0.3">
      <c r="A336" t="s">
        <v>3125</v>
      </c>
      <c r="B336" s="4">
        <v>45451</v>
      </c>
      <c r="C336" s="4" t="str">
        <f>TEXT(ESales_DB[[#This Row],[Order_Date]],"mmm")</f>
        <v>Jun</v>
      </c>
      <c r="D336" t="s">
        <v>387</v>
      </c>
      <c r="E336" t="s">
        <v>1712</v>
      </c>
      <c r="F336" t="s">
        <v>1779</v>
      </c>
      <c r="G336">
        <v>1</v>
      </c>
      <c r="H336" s="10">
        <f>IF(ISBLANK(ESales_DB[[#This Row],[Quantity]]),AVERAGEIF(ESales_DB[Product_ID],ESales_DB[[#This Row],[Product_ID]],ESales_DB[Quantity]),ESales_DB[[#This Row],[Quantity]])</f>
        <v>1</v>
      </c>
      <c r="I336" s="2">
        <v>162.13999999999999</v>
      </c>
      <c r="J336">
        <v>7.0000000000000007E-2</v>
      </c>
      <c r="K336" t="s">
        <v>1826</v>
      </c>
      <c r="L336" s="2">
        <v>150.7902</v>
      </c>
      <c r="M336" s="2" t="str">
        <f>IF(ESales_DB[[#This Row],[Total_Amount]]&gt;1000,"High","Low")</f>
        <v>Low</v>
      </c>
      <c r="N336" s="2" t="str">
        <f>VLOOKUP(ESales_DB[[#This Row],[Customer_ID]],Ecustom_DB[],3,FALSE)</f>
        <v>Ashley Griffin</v>
      </c>
      <c r="O336" s="2" t="str">
        <f>_xlfn.XLOOKUP(ESales_DB[[#This Row],[Product_ID]],Eproduct_DB[Product_ID],Eproduct_DB[Category])</f>
        <v>Sports</v>
      </c>
      <c r="P336" s="2" t="str">
        <f>_xlfn.XLOOKUP(ESales_DB[[#This Row],[Product_ID]],Eproduct_DB[Product_ID],Eproduct_DB[Product_Name])</f>
        <v>Fitness Resistance Bands</v>
      </c>
      <c r="Q336" s="2" t="str">
        <f>_xlfn.XLOOKUP(ESales_DB[[#This Row],[Store_ID]],Estore_DB[Store_ID],Estore_DB[Region])</f>
        <v>South</v>
      </c>
      <c r="R336" t="str">
        <f>VLOOKUP(ESales_DB[[#This Row],[Customer_ID]],Ecustom_DB[],10,FALSE)</f>
        <v>Gold</v>
      </c>
      <c r="S336" t="str">
        <f>IF(ESales_DB[[#This Row],[Quantity1]]&gt;3,"Bulk order","Normal order")</f>
        <v>Normal order</v>
      </c>
    </row>
    <row r="337" spans="1:19" x14ac:dyDescent="0.3">
      <c r="A337" t="s">
        <v>1839</v>
      </c>
      <c r="B337" s="4">
        <v>45875</v>
      </c>
      <c r="C337" s="4" t="str">
        <f>TEXT(ESales_DB[[#This Row],[Order_Date]],"mmm")</f>
        <v>Aug</v>
      </c>
      <c r="D337" t="s">
        <v>1371</v>
      </c>
      <c r="E337" t="s">
        <v>1616</v>
      </c>
      <c r="F337" t="s">
        <v>1804</v>
      </c>
      <c r="G337">
        <v>2</v>
      </c>
      <c r="H337" s="10">
        <f>IF(ISBLANK(ESales_DB[[#This Row],[Quantity]]),AVERAGEIF(ESales_DB[Product_ID],ESales_DB[[#This Row],[Product_ID]],ESales_DB[Quantity]),ESales_DB[[#This Row],[Quantity]])</f>
        <v>2</v>
      </c>
      <c r="I337" s="2">
        <v>316.89999999999998</v>
      </c>
      <c r="J337">
        <v>0.3</v>
      </c>
      <c r="K337" t="s">
        <v>1826</v>
      </c>
      <c r="L337" s="2">
        <v>443.66</v>
      </c>
      <c r="M337" s="2" t="str">
        <f>IF(ESales_DB[[#This Row],[Total_Amount]]&gt;1000,"High","Low")</f>
        <v>Low</v>
      </c>
      <c r="N337" s="2" t="str">
        <f>VLOOKUP(ESales_DB[[#This Row],[Customer_ID]],Ecustom_DB[],3,FALSE)</f>
        <v>Adam Castro</v>
      </c>
      <c r="O337" s="2" t="str">
        <f>_xlfn.XLOOKUP(ESales_DB[[#This Row],[Product_ID]],Eproduct_DB[Product_ID],Eproduct_DB[Category])</f>
        <v>Electronics</v>
      </c>
      <c r="P337" s="2" t="str">
        <f>_xlfn.XLOOKUP(ESales_DB[[#This Row],[Product_ID]],Eproduct_DB[Product_ID],Eproduct_DB[Product_Name])</f>
        <v>Gaming Mechanical Keyboard</v>
      </c>
      <c r="Q337" s="2" t="str">
        <f>_xlfn.XLOOKUP(ESales_DB[[#This Row],[Store_ID]],Estore_DB[Store_ID],Estore_DB[Region])</f>
        <v>West</v>
      </c>
      <c r="R337" t="str">
        <f>VLOOKUP(ESales_DB[[#This Row],[Customer_ID]],Ecustom_DB[],10,FALSE)</f>
        <v>Silver</v>
      </c>
      <c r="S337" t="str">
        <f>IF(ESales_DB[[#This Row],[Quantity1]]&gt;3,"Bulk order","Normal order")</f>
        <v>Normal order</v>
      </c>
    </row>
    <row r="338" spans="1:19" x14ac:dyDescent="0.3">
      <c r="A338" t="s">
        <v>1956</v>
      </c>
      <c r="B338" s="4">
        <v>45495</v>
      </c>
      <c r="C338" s="4" t="str">
        <f>TEXT(ESales_DB[[#This Row],[Order_Date]],"mmm")</f>
        <v>Jul</v>
      </c>
      <c r="D338" t="s">
        <v>1077</v>
      </c>
      <c r="E338" t="s">
        <v>1582</v>
      </c>
      <c r="F338" t="s">
        <v>1766</v>
      </c>
      <c r="G338">
        <v>1</v>
      </c>
      <c r="H338" s="10">
        <f>IF(ISBLANK(ESales_DB[[#This Row],[Quantity]]),AVERAGEIF(ESales_DB[Product_ID],ESales_DB[[#This Row],[Product_ID]],ESales_DB[Quantity]),ESales_DB[[#This Row],[Quantity]])</f>
        <v>1</v>
      </c>
      <c r="I338" s="2">
        <v>942.38</v>
      </c>
      <c r="J338">
        <v>0.17</v>
      </c>
      <c r="K338" t="s">
        <v>1824</v>
      </c>
      <c r="L338" s="2">
        <v>782.17539999999997</v>
      </c>
      <c r="M338" s="2" t="str">
        <f>IF(ESales_DB[[#This Row],[Total_Amount]]&gt;1000,"High","Low")</f>
        <v>Low</v>
      </c>
      <c r="N338" s="2" t="str">
        <f>VLOOKUP(ESales_DB[[#This Row],[Customer_ID]],Ecustom_DB[],3,FALSE)</f>
        <v>Ryan Moore</v>
      </c>
      <c r="O338" s="2" t="str">
        <f>_xlfn.XLOOKUP(ESales_DB[[#This Row],[Product_ID]],Eproduct_DB[Product_ID],Eproduct_DB[Category])</f>
        <v>Sports</v>
      </c>
      <c r="P338" s="2" t="str">
        <f>_xlfn.XLOOKUP(ESales_DB[[#This Row],[Product_ID]],Eproduct_DB[Product_ID],Eproduct_DB[Product_Name])</f>
        <v>Soccer Training Cone Set</v>
      </c>
      <c r="Q338" s="2" t="str">
        <f>_xlfn.XLOOKUP(ESales_DB[[#This Row],[Store_ID]],Estore_DB[Store_ID],Estore_DB[Region])</f>
        <v>North</v>
      </c>
      <c r="R338" t="str">
        <f>VLOOKUP(ESales_DB[[#This Row],[Customer_ID]],Ecustom_DB[],10,FALSE)</f>
        <v>Bronze</v>
      </c>
      <c r="S338" t="str">
        <f>IF(ESales_DB[[#This Row],[Quantity1]]&gt;3,"Bulk order","Normal order")</f>
        <v>Normal order</v>
      </c>
    </row>
    <row r="339" spans="1:19" x14ac:dyDescent="0.3">
      <c r="A339" t="s">
        <v>3126</v>
      </c>
      <c r="B339" s="4">
        <v>45478</v>
      </c>
      <c r="C339" s="4" t="str">
        <f>TEXT(ESales_DB[[#This Row],[Order_Date]],"mmm")</f>
        <v>Jul</v>
      </c>
      <c r="D339" t="s">
        <v>496</v>
      </c>
      <c r="E339" t="s">
        <v>1740</v>
      </c>
      <c r="F339" t="s">
        <v>1804</v>
      </c>
      <c r="G339">
        <v>1</v>
      </c>
      <c r="H339" s="10">
        <f>IF(ISBLANK(ESales_DB[[#This Row],[Quantity]]),AVERAGEIF(ESales_DB[Product_ID],ESales_DB[[#This Row],[Product_ID]],ESales_DB[Quantity]),ESales_DB[[#This Row],[Quantity]])</f>
        <v>1</v>
      </c>
      <c r="I339" s="2">
        <v>893.14</v>
      </c>
      <c r="J339">
        <v>0.09</v>
      </c>
      <c r="K339" t="s">
        <v>1824</v>
      </c>
      <c r="L339" s="2">
        <v>812.75739999999996</v>
      </c>
      <c r="M339" s="2" t="str">
        <f>IF(ESales_DB[[#This Row],[Total_Amount]]&gt;1000,"High","Low")</f>
        <v>Low</v>
      </c>
      <c r="N339" s="2" t="str">
        <f>VLOOKUP(ESales_DB[[#This Row],[Customer_ID]],Ecustom_DB[],3,FALSE)</f>
        <v>Rhonda Young</v>
      </c>
      <c r="O339" s="2" t="str">
        <f>_xlfn.XLOOKUP(ESales_DB[[#This Row],[Product_ID]],Eproduct_DB[Product_ID],Eproduct_DB[Category])</f>
        <v>Clothing</v>
      </c>
      <c r="P339" s="2" t="str">
        <f>_xlfn.XLOOKUP(ESales_DB[[#This Row],[Product_ID]],Eproduct_DB[Product_ID],Eproduct_DB[Product_Name])</f>
        <v>Women's Formal Blazer</v>
      </c>
      <c r="Q339" s="2" t="str">
        <f>_xlfn.XLOOKUP(ESales_DB[[#This Row],[Store_ID]],Estore_DB[Store_ID],Estore_DB[Region])</f>
        <v>West</v>
      </c>
      <c r="R339" t="str">
        <f>VLOOKUP(ESales_DB[[#This Row],[Customer_ID]],Ecustom_DB[],10,FALSE)</f>
        <v>Platinum</v>
      </c>
      <c r="S339" t="str">
        <f>IF(ESales_DB[[#This Row],[Quantity1]]&gt;3,"Bulk order","Normal order")</f>
        <v>Normal order</v>
      </c>
    </row>
    <row r="340" spans="1:19" x14ac:dyDescent="0.3">
      <c r="A340" t="s">
        <v>3127</v>
      </c>
      <c r="B340" s="4">
        <v>45528</v>
      </c>
      <c r="C340" s="4" t="str">
        <f>TEXT(ESales_DB[[#This Row],[Order_Date]],"mmm")</f>
        <v>Aug</v>
      </c>
      <c r="D340" t="s">
        <v>366</v>
      </c>
      <c r="E340" t="s">
        <v>1616</v>
      </c>
      <c r="F340" t="s">
        <v>1782</v>
      </c>
      <c r="G340">
        <v>4</v>
      </c>
      <c r="H340" s="10">
        <f>IF(ISBLANK(ESales_DB[[#This Row],[Quantity]]),AVERAGEIF(ESales_DB[Product_ID],ESales_DB[[#This Row],[Product_ID]],ESales_DB[Quantity]),ESales_DB[[#This Row],[Quantity]])</f>
        <v>4</v>
      </c>
      <c r="I340" s="2">
        <v>349.07</v>
      </c>
      <c r="J340">
        <v>0.28000000000000003</v>
      </c>
      <c r="K340" t="s">
        <v>1824</v>
      </c>
      <c r="L340" s="2">
        <v>1005.3216</v>
      </c>
      <c r="M340" s="2" t="str">
        <f>IF(ESales_DB[[#This Row],[Total_Amount]]&gt;1000,"High","Low")</f>
        <v>High</v>
      </c>
      <c r="N340" s="2" t="str">
        <f>VLOOKUP(ESales_DB[[#This Row],[Customer_ID]],Ecustom_DB[],3,FALSE)</f>
        <v>Steven Stein</v>
      </c>
      <c r="O340" s="2" t="str">
        <f>_xlfn.XLOOKUP(ESales_DB[[#This Row],[Product_ID]],Eproduct_DB[Product_ID],Eproduct_DB[Category])</f>
        <v>Electronics</v>
      </c>
      <c r="P340" s="2" t="str">
        <f>_xlfn.XLOOKUP(ESales_DB[[#This Row],[Product_ID]],Eproduct_DB[Product_ID],Eproduct_DB[Product_Name])</f>
        <v>Gaming Mechanical Keyboard</v>
      </c>
      <c r="Q340" s="2" t="str">
        <f>_xlfn.XLOOKUP(ESales_DB[[#This Row],[Store_ID]],Estore_DB[Store_ID],Estore_DB[Region])</f>
        <v>West</v>
      </c>
      <c r="R340" t="str">
        <f>VLOOKUP(ESales_DB[[#This Row],[Customer_ID]],Ecustom_DB[],10,FALSE)</f>
        <v>Bronze</v>
      </c>
      <c r="S340" t="str">
        <f>IF(ESales_DB[[#This Row],[Quantity1]]&gt;3,"Bulk order","Normal order")</f>
        <v>Bulk order</v>
      </c>
    </row>
    <row r="341" spans="1:19" x14ac:dyDescent="0.3">
      <c r="A341" t="s">
        <v>3128</v>
      </c>
      <c r="B341" s="4">
        <v>45418</v>
      </c>
      <c r="C341" s="4" t="str">
        <f>TEXT(ESales_DB[[#This Row],[Order_Date]],"mmm")</f>
        <v>May</v>
      </c>
      <c r="D341" t="s">
        <v>899</v>
      </c>
      <c r="E341" t="s">
        <v>1710</v>
      </c>
      <c r="F341" t="s">
        <v>1797</v>
      </c>
      <c r="G341">
        <v>1</v>
      </c>
      <c r="H341" s="10">
        <f>IF(ISBLANK(ESales_DB[[#This Row],[Quantity]]),AVERAGEIF(ESales_DB[Product_ID],ESales_DB[[#This Row],[Product_ID]],ESales_DB[Quantity]),ESales_DB[[#This Row],[Quantity]])</f>
        <v>1</v>
      </c>
      <c r="I341" s="2">
        <v>747.9</v>
      </c>
      <c r="J341">
        <v>0.21</v>
      </c>
      <c r="K341" t="s">
        <v>1829</v>
      </c>
      <c r="L341" s="2">
        <v>590.84100000000001</v>
      </c>
      <c r="M341" s="2" t="str">
        <f>IF(ESales_DB[[#This Row],[Total_Amount]]&gt;1000,"High","Low")</f>
        <v>Low</v>
      </c>
      <c r="N341" s="2" t="str">
        <f>VLOOKUP(ESales_DB[[#This Row],[Customer_ID]],Ecustom_DB[],3,FALSE)</f>
        <v>Bryan Garcia</v>
      </c>
      <c r="O341" s="2" t="str">
        <f>_xlfn.XLOOKUP(ESales_DB[[#This Row],[Product_ID]],Eproduct_DB[Product_ID],Eproduct_DB[Category])</f>
        <v>Sports</v>
      </c>
      <c r="P341" s="2" t="str">
        <f>_xlfn.XLOOKUP(ESales_DB[[#This Row],[Product_ID]],Eproduct_DB[Product_ID],Eproduct_DB[Product_Name])</f>
        <v>Badminton Racket Set</v>
      </c>
      <c r="Q341" s="2" t="str">
        <f>_xlfn.XLOOKUP(ESales_DB[[#This Row],[Store_ID]],Estore_DB[Store_ID],Estore_DB[Region])</f>
        <v>East</v>
      </c>
      <c r="R341" t="str">
        <f>VLOOKUP(ESales_DB[[#This Row],[Customer_ID]],Ecustom_DB[],10,FALSE)</f>
        <v>Silver</v>
      </c>
      <c r="S341" t="str">
        <f>IF(ESales_DB[[#This Row],[Quantity1]]&gt;3,"Bulk order","Normal order")</f>
        <v>Normal order</v>
      </c>
    </row>
    <row r="342" spans="1:19" x14ac:dyDescent="0.3">
      <c r="A342" t="s">
        <v>3129</v>
      </c>
      <c r="B342" s="4">
        <v>45478</v>
      </c>
      <c r="C342" s="4" t="str">
        <f>TEXT(ESales_DB[[#This Row],[Order_Date]],"mmm")</f>
        <v>Jul</v>
      </c>
      <c r="D342" t="s">
        <v>127</v>
      </c>
      <c r="E342" t="s">
        <v>1710</v>
      </c>
      <c r="F342" t="s">
        <v>1776</v>
      </c>
      <c r="G342">
        <v>3</v>
      </c>
      <c r="H342" s="10">
        <f>IF(ISBLANK(ESales_DB[[#This Row],[Quantity]]),AVERAGEIF(ESales_DB[Product_ID],ESales_DB[[#This Row],[Product_ID]],ESales_DB[Quantity]),ESales_DB[[#This Row],[Quantity]])</f>
        <v>3</v>
      </c>
      <c r="I342" s="2">
        <v>438.92</v>
      </c>
      <c r="J342">
        <v>0.21</v>
      </c>
      <c r="K342" t="s">
        <v>1824</v>
      </c>
      <c r="L342" s="2">
        <v>1040.2403999999999</v>
      </c>
      <c r="M342" s="2" t="str">
        <f>IF(ESales_DB[[#This Row],[Total_Amount]]&gt;1000,"High","Low")</f>
        <v>High</v>
      </c>
      <c r="N342" s="2" t="str">
        <f>VLOOKUP(ESales_DB[[#This Row],[Customer_ID]],Ecustom_DB[],3,FALSE)</f>
        <v>Sarah Vance</v>
      </c>
      <c r="O342" s="2" t="str">
        <f>_xlfn.XLOOKUP(ESales_DB[[#This Row],[Product_ID]],Eproduct_DB[Product_ID],Eproduct_DB[Category])</f>
        <v>Sports</v>
      </c>
      <c r="P342" s="2" t="str">
        <f>_xlfn.XLOOKUP(ESales_DB[[#This Row],[Product_ID]],Eproduct_DB[Product_ID],Eproduct_DB[Product_Name])</f>
        <v>Badminton Racket Set</v>
      </c>
      <c r="Q342" s="2" t="str">
        <f>_xlfn.XLOOKUP(ESales_DB[[#This Row],[Store_ID]],Estore_DB[Store_ID],Estore_DB[Region])</f>
        <v>East</v>
      </c>
      <c r="R342" t="str">
        <f>VLOOKUP(ESales_DB[[#This Row],[Customer_ID]],Ecustom_DB[],10,FALSE)</f>
        <v>Silver</v>
      </c>
      <c r="S342" t="str">
        <f>IF(ESales_DB[[#This Row],[Quantity1]]&gt;3,"Bulk order","Normal order")</f>
        <v>Normal order</v>
      </c>
    </row>
    <row r="343" spans="1:19" x14ac:dyDescent="0.3">
      <c r="A343" t="s">
        <v>3130</v>
      </c>
      <c r="B343" s="4">
        <v>45232</v>
      </c>
      <c r="C343" s="4" t="str">
        <f>TEXT(ESales_DB[[#This Row],[Order_Date]],"mmm")</f>
        <v>Nov</v>
      </c>
      <c r="D343" t="s">
        <v>425</v>
      </c>
      <c r="E343" t="s">
        <v>1702</v>
      </c>
      <c r="F343" t="s">
        <v>1769</v>
      </c>
      <c r="G343">
        <v>4</v>
      </c>
      <c r="H343" s="10">
        <f>IF(ISBLANK(ESales_DB[[#This Row],[Quantity]]),AVERAGEIF(ESales_DB[Product_ID],ESales_DB[[#This Row],[Product_ID]],ESales_DB[Quantity]),ESales_DB[[#This Row],[Quantity]])</f>
        <v>4</v>
      </c>
      <c r="I343" s="2">
        <v>665.38</v>
      </c>
      <c r="J343">
        <v>0.18</v>
      </c>
      <c r="K343" t="s">
        <v>1824</v>
      </c>
      <c r="L343" s="2">
        <v>2182.4463999999998</v>
      </c>
      <c r="M343" s="2" t="str">
        <f>IF(ESales_DB[[#This Row],[Total_Amount]]&gt;1000,"High","Low")</f>
        <v>High</v>
      </c>
      <c r="N343" s="2" t="str">
        <f>VLOOKUP(ESales_DB[[#This Row],[Customer_ID]],Ecustom_DB[],3,FALSE)</f>
        <v>Erin Hopkins</v>
      </c>
      <c r="O343" s="2" t="str">
        <f>_xlfn.XLOOKUP(ESales_DB[[#This Row],[Product_ID]],Eproduct_DB[Product_ID],Eproduct_DB[Category])</f>
        <v>Electronics</v>
      </c>
      <c r="P343" s="2" t="str">
        <f>_xlfn.XLOOKUP(ESales_DB[[#This Row],[Product_ID]],Eproduct_DB[Product_ID],Eproduct_DB[Product_Name])</f>
        <v>WiFi Mesh Router</v>
      </c>
      <c r="Q343" s="2" t="str">
        <f>_xlfn.XLOOKUP(ESales_DB[[#This Row],[Store_ID]],Estore_DB[Store_ID],Estore_DB[Region])</f>
        <v>South</v>
      </c>
      <c r="R343" t="str">
        <f>VLOOKUP(ESales_DB[[#This Row],[Customer_ID]],Ecustom_DB[],10,FALSE)</f>
        <v>Silver</v>
      </c>
      <c r="S343" t="str">
        <f>IF(ESales_DB[[#This Row],[Quantity1]]&gt;3,"Bulk order","Normal order")</f>
        <v>Bulk order</v>
      </c>
    </row>
    <row r="344" spans="1:19" x14ac:dyDescent="0.3">
      <c r="A344" t="s">
        <v>3131</v>
      </c>
      <c r="B344" s="4">
        <v>45616</v>
      </c>
      <c r="C344" s="4" t="str">
        <f>TEXT(ESales_DB[[#This Row],[Order_Date]],"mmm")</f>
        <v>Nov</v>
      </c>
      <c r="D344" t="s">
        <v>23</v>
      </c>
      <c r="E344" t="s">
        <v>1668</v>
      </c>
      <c r="F344" t="s">
        <v>1810</v>
      </c>
      <c r="G344">
        <v>1</v>
      </c>
      <c r="H344" s="10">
        <f>IF(ISBLANK(ESales_DB[[#This Row],[Quantity]]),AVERAGEIF(ESales_DB[Product_ID],ESales_DB[[#This Row],[Product_ID]],ESales_DB[Quantity]),ESales_DB[[#This Row],[Quantity]])</f>
        <v>1</v>
      </c>
      <c r="I344" s="2">
        <v>146.49</v>
      </c>
      <c r="J344">
        <v>0.28000000000000003</v>
      </c>
      <c r="K344" t="s">
        <v>1824</v>
      </c>
      <c r="L344" s="2">
        <v>105.47280000000001</v>
      </c>
      <c r="M344" s="2" t="str">
        <f>IF(ESales_DB[[#This Row],[Total_Amount]]&gt;1000,"High","Low")</f>
        <v>Low</v>
      </c>
      <c r="N344" s="2" t="str">
        <f>VLOOKUP(ESales_DB[[#This Row],[Customer_ID]],Ecustom_DB[],3,FALSE)</f>
        <v>Jeremy Harris</v>
      </c>
      <c r="O344" s="2" t="str">
        <f>_xlfn.XLOOKUP(ESales_DB[[#This Row],[Product_ID]],Eproduct_DB[Product_ID],Eproduct_DB[Category])</f>
        <v>Beauty</v>
      </c>
      <c r="P344" s="2" t="str">
        <f>_xlfn.XLOOKUP(ESales_DB[[#This Row],[Product_ID]],Eproduct_DB[Product_ID],Eproduct_DB[Product_Name])</f>
        <v>Luxury Perfume Spray</v>
      </c>
      <c r="Q344" s="2" t="str">
        <f>_xlfn.XLOOKUP(ESales_DB[[#This Row],[Store_ID]],Estore_DB[Store_ID],Estore_DB[Region])</f>
        <v>East</v>
      </c>
      <c r="R344" t="str">
        <f>VLOOKUP(ESales_DB[[#This Row],[Customer_ID]],Ecustom_DB[],10,FALSE)</f>
        <v>Bronze</v>
      </c>
      <c r="S344" t="str">
        <f>IF(ESales_DB[[#This Row],[Quantity1]]&gt;3,"Bulk order","Normal order")</f>
        <v>Normal order</v>
      </c>
    </row>
    <row r="345" spans="1:19" x14ac:dyDescent="0.3">
      <c r="A345" t="s">
        <v>3132</v>
      </c>
      <c r="B345" s="4">
        <v>45774</v>
      </c>
      <c r="C345" s="4" t="str">
        <f>TEXT(ESales_DB[[#This Row],[Order_Date]],"mmm")</f>
        <v>Apr</v>
      </c>
      <c r="D345" t="s">
        <v>472</v>
      </c>
      <c r="E345" t="s">
        <v>1624</v>
      </c>
      <c r="F345" t="s">
        <v>1801</v>
      </c>
      <c r="G345">
        <v>2</v>
      </c>
      <c r="H345" s="10">
        <f>IF(ISBLANK(ESales_DB[[#This Row],[Quantity]]),AVERAGEIF(ESales_DB[Product_ID],ESales_DB[[#This Row],[Product_ID]],ESales_DB[Quantity]),ESales_DB[[#This Row],[Quantity]])</f>
        <v>2</v>
      </c>
      <c r="I345" s="2">
        <v>235.39</v>
      </c>
      <c r="J345">
        <v>0.27</v>
      </c>
      <c r="K345" t="s">
        <v>1829</v>
      </c>
      <c r="L345" s="2">
        <v>343.6694</v>
      </c>
      <c r="M345" s="2" t="str">
        <f>IF(ESales_DB[[#This Row],[Total_Amount]]&gt;1000,"High","Low")</f>
        <v>Low</v>
      </c>
      <c r="N345" s="2" t="str">
        <f>VLOOKUP(ESales_DB[[#This Row],[Customer_ID]],Ecustom_DB[],3,FALSE)</f>
        <v>Brian Holder</v>
      </c>
      <c r="O345" s="2" t="str">
        <f>_xlfn.XLOOKUP(ESales_DB[[#This Row],[Product_ID]],Eproduct_DB[Product_ID],Eproduct_DB[Category])</f>
        <v>Sports</v>
      </c>
      <c r="P345" s="2" t="str">
        <f>_xlfn.XLOOKUP(ESales_DB[[#This Row],[Product_ID]],Eproduct_DB[Product_ID],Eproduct_DB[Product_Name])</f>
        <v>Sports Water Hydration Pack</v>
      </c>
      <c r="Q345" s="2" t="str">
        <f>_xlfn.XLOOKUP(ESales_DB[[#This Row],[Store_ID]],Estore_DB[Store_ID],Estore_DB[Region])</f>
        <v>North</v>
      </c>
      <c r="R345" t="str">
        <f>VLOOKUP(ESales_DB[[#This Row],[Customer_ID]],Ecustom_DB[],10,FALSE)</f>
        <v>Bronze</v>
      </c>
      <c r="S345" t="str">
        <f>IF(ESales_DB[[#This Row],[Quantity1]]&gt;3,"Bulk order","Normal order")</f>
        <v>Normal order</v>
      </c>
    </row>
    <row r="346" spans="1:19" x14ac:dyDescent="0.3">
      <c r="A346" t="s">
        <v>3133</v>
      </c>
      <c r="B346" s="4">
        <v>45651</v>
      </c>
      <c r="C346" s="4" t="str">
        <f>TEXT(ESales_DB[[#This Row],[Order_Date]],"mmm")</f>
        <v>Dec</v>
      </c>
      <c r="D346" t="s">
        <v>118</v>
      </c>
      <c r="E346" t="s">
        <v>1670</v>
      </c>
      <c r="F346" t="s">
        <v>1773</v>
      </c>
      <c r="G346">
        <v>3</v>
      </c>
      <c r="H346" s="10">
        <f>IF(ISBLANK(ESales_DB[[#This Row],[Quantity]]),AVERAGEIF(ESales_DB[Product_ID],ESales_DB[[#This Row],[Product_ID]],ESales_DB[Quantity]),ESales_DB[[#This Row],[Quantity]])</f>
        <v>3</v>
      </c>
      <c r="I346" s="2">
        <v>38.07</v>
      </c>
      <c r="J346">
        <v>0.09</v>
      </c>
      <c r="K346" t="s">
        <v>1826</v>
      </c>
      <c r="L346" s="2">
        <v>103.9311</v>
      </c>
      <c r="M346" s="2" t="str">
        <f>IF(ESales_DB[[#This Row],[Total_Amount]]&gt;1000,"High","Low")</f>
        <v>Low</v>
      </c>
      <c r="N346" s="2" t="str">
        <f>VLOOKUP(ESales_DB[[#This Row],[Customer_ID]],Ecustom_DB[],3,FALSE)</f>
        <v>Joshua Ryan</v>
      </c>
      <c r="O346" s="2" t="str">
        <f>_xlfn.XLOOKUP(ESales_DB[[#This Row],[Product_ID]],Eproduct_DB[Product_ID],Eproduct_DB[Category])</f>
        <v>Sports</v>
      </c>
      <c r="P346" s="2" t="str">
        <f>_xlfn.XLOOKUP(ESales_DB[[#This Row],[Product_ID]],Eproduct_DB[Product_ID],Eproduct_DB[Product_Name])</f>
        <v>Tennis Ball 3-Pack</v>
      </c>
      <c r="Q346" s="2" t="str">
        <f>_xlfn.XLOOKUP(ESales_DB[[#This Row],[Store_ID]],Estore_DB[Store_ID],Estore_DB[Region])</f>
        <v>North</v>
      </c>
      <c r="R346" t="str">
        <f>VLOOKUP(ESales_DB[[#This Row],[Customer_ID]],Ecustom_DB[],10,FALSE)</f>
        <v>Platinum</v>
      </c>
      <c r="S346" t="str">
        <f>IF(ESales_DB[[#This Row],[Quantity1]]&gt;3,"Bulk order","Normal order")</f>
        <v>Normal order</v>
      </c>
    </row>
    <row r="347" spans="1:19" x14ac:dyDescent="0.3">
      <c r="A347" t="s">
        <v>3134</v>
      </c>
      <c r="B347" s="4">
        <v>45902</v>
      </c>
      <c r="C347" s="4" t="str">
        <f>TEXT(ESales_DB[[#This Row],[Order_Date]],"mmm")</f>
        <v>Sep</v>
      </c>
      <c r="D347" t="s">
        <v>1254</v>
      </c>
      <c r="E347" t="s">
        <v>1616</v>
      </c>
      <c r="F347" t="s">
        <v>1769</v>
      </c>
      <c r="G347">
        <v>2</v>
      </c>
      <c r="H347" s="10">
        <f>IF(ISBLANK(ESales_DB[[#This Row],[Quantity]]),AVERAGEIF(ESales_DB[Product_ID],ESales_DB[[#This Row],[Product_ID]],ESales_DB[Quantity]),ESales_DB[[#This Row],[Quantity]])</f>
        <v>2</v>
      </c>
      <c r="I347" s="2">
        <v>511.7</v>
      </c>
      <c r="J347">
        <v>0.12</v>
      </c>
      <c r="K347" t="s">
        <v>1829</v>
      </c>
      <c r="L347" s="2">
        <v>900.59199999999998</v>
      </c>
      <c r="M347" s="2" t="str">
        <f>IF(ESales_DB[[#This Row],[Total_Amount]]&gt;1000,"High","Low")</f>
        <v>Low</v>
      </c>
      <c r="N347" s="2" t="str">
        <f>VLOOKUP(ESales_DB[[#This Row],[Customer_ID]],Ecustom_DB[],3,FALSE)</f>
        <v>Justin Ingram</v>
      </c>
      <c r="O347" s="2" t="str">
        <f>_xlfn.XLOOKUP(ESales_DB[[#This Row],[Product_ID]],Eproduct_DB[Product_ID],Eproduct_DB[Category])</f>
        <v>Electronics</v>
      </c>
      <c r="P347" s="2" t="str">
        <f>_xlfn.XLOOKUP(ESales_DB[[#This Row],[Product_ID]],Eproduct_DB[Product_ID],Eproduct_DB[Product_Name])</f>
        <v>Gaming Mechanical Keyboard</v>
      </c>
      <c r="Q347" s="2" t="str">
        <f>_xlfn.XLOOKUP(ESales_DB[[#This Row],[Store_ID]],Estore_DB[Store_ID],Estore_DB[Region])</f>
        <v>South</v>
      </c>
      <c r="R347" t="str">
        <f>VLOOKUP(ESales_DB[[#This Row],[Customer_ID]],Ecustom_DB[],10,FALSE)</f>
        <v>Bronze</v>
      </c>
      <c r="S347" t="str">
        <f>IF(ESales_DB[[#This Row],[Quantity1]]&gt;3,"Bulk order","Normal order")</f>
        <v>Normal order</v>
      </c>
    </row>
    <row r="348" spans="1:19" x14ac:dyDescent="0.3">
      <c r="A348" t="s">
        <v>3135</v>
      </c>
      <c r="B348" s="4">
        <v>45401</v>
      </c>
      <c r="C348" s="4" t="str">
        <f>TEXT(ESales_DB[[#This Row],[Order_Date]],"mmm")</f>
        <v>Apr</v>
      </c>
      <c r="D348" t="s">
        <v>332</v>
      </c>
      <c r="E348" t="s">
        <v>1698</v>
      </c>
      <c r="F348" t="s">
        <v>1782</v>
      </c>
      <c r="G348">
        <v>4</v>
      </c>
      <c r="H348" s="10">
        <f>IF(ISBLANK(ESales_DB[[#This Row],[Quantity]]),AVERAGEIF(ESales_DB[Product_ID],ESales_DB[[#This Row],[Product_ID]],ESales_DB[Quantity]),ESales_DB[[#This Row],[Quantity]])</f>
        <v>4</v>
      </c>
      <c r="I348" s="2">
        <v>488.72</v>
      </c>
      <c r="J348">
        <v>0.23</v>
      </c>
      <c r="K348" t="s">
        <v>1826</v>
      </c>
      <c r="L348" s="2">
        <v>1505.2575999999999</v>
      </c>
      <c r="M348" s="2" t="str">
        <f>IF(ESales_DB[[#This Row],[Total_Amount]]&gt;1000,"High","Low")</f>
        <v>High</v>
      </c>
      <c r="N348" s="2" t="str">
        <f>VLOOKUP(ESales_DB[[#This Row],[Customer_ID]],Ecustom_DB[],3,FALSE)</f>
        <v>Robert Jackson</v>
      </c>
      <c r="O348" s="2" t="str">
        <f>_xlfn.XLOOKUP(ESales_DB[[#This Row],[Product_ID]],Eproduct_DB[Product_ID],Eproduct_DB[Category])</f>
        <v>Clothing</v>
      </c>
      <c r="P348" s="2" t="str">
        <f>_xlfn.XLOOKUP(ESales_DB[[#This Row],[Product_ID]],Eproduct_DB[Product_ID],Eproduct_DB[Product_Name])</f>
        <v>Women's Ankle Boots</v>
      </c>
      <c r="Q348" s="2" t="str">
        <f>_xlfn.XLOOKUP(ESales_DB[[#This Row],[Store_ID]],Estore_DB[Store_ID],Estore_DB[Region])</f>
        <v>West</v>
      </c>
      <c r="R348" t="str">
        <f>VLOOKUP(ESales_DB[[#This Row],[Customer_ID]],Ecustom_DB[],10,FALSE)</f>
        <v>Platinum</v>
      </c>
      <c r="S348" t="str">
        <f>IF(ESales_DB[[#This Row],[Quantity1]]&gt;3,"Bulk order","Normal order")</f>
        <v>Bulk order</v>
      </c>
    </row>
    <row r="349" spans="1:19" x14ac:dyDescent="0.3">
      <c r="A349" t="s">
        <v>1957</v>
      </c>
      <c r="B349" s="4">
        <v>45444</v>
      </c>
      <c r="C349" s="4" t="str">
        <f>TEXT(ESales_DB[[#This Row],[Order_Date]],"mmm")</f>
        <v>Jun</v>
      </c>
      <c r="D349" t="s">
        <v>1524</v>
      </c>
      <c r="E349" t="s">
        <v>1650</v>
      </c>
      <c r="F349" t="s">
        <v>1792</v>
      </c>
      <c r="G349">
        <v>3</v>
      </c>
      <c r="H349" s="10">
        <f>IF(ISBLANK(ESales_DB[[#This Row],[Quantity]]),AVERAGEIF(ESales_DB[Product_ID],ESales_DB[[#This Row],[Product_ID]],ESales_DB[Quantity]),ESales_DB[[#This Row],[Quantity]])</f>
        <v>3</v>
      </c>
      <c r="I349" s="2">
        <v>298.35000000000002</v>
      </c>
      <c r="J349">
        <v>0.05</v>
      </c>
      <c r="K349" t="s">
        <v>1829</v>
      </c>
      <c r="L349" s="2">
        <v>850.29750000000001</v>
      </c>
      <c r="M349" s="2" t="str">
        <f>IF(ESales_DB[[#This Row],[Total_Amount]]&gt;1000,"High","Low")</f>
        <v>Low</v>
      </c>
      <c r="N349" s="2" t="str">
        <f>VLOOKUP(ESales_DB[[#This Row],[Customer_ID]],Ecustom_DB[],3,FALSE)</f>
        <v>Christopher Ford</v>
      </c>
      <c r="O349" s="2" t="str">
        <f>_xlfn.XLOOKUP(ESales_DB[[#This Row],[Product_ID]],Eproduct_DB[Product_ID],Eproduct_DB[Category])</f>
        <v>Electronics</v>
      </c>
      <c r="P349" s="2" t="str">
        <f>_xlfn.XLOOKUP(ESales_DB[[#This Row],[Product_ID]],Eproduct_DB[Product_ID],Eproduct_DB[Product_Name])</f>
        <v>HDMI Cable – 2m</v>
      </c>
      <c r="Q349" s="2" t="str">
        <f>_xlfn.XLOOKUP(ESales_DB[[#This Row],[Store_ID]],Estore_DB[Store_ID],Estore_DB[Region])</f>
        <v>South</v>
      </c>
      <c r="R349" t="str">
        <f>VLOOKUP(ESales_DB[[#This Row],[Customer_ID]],Ecustom_DB[],10,FALSE)</f>
        <v>Bronze</v>
      </c>
      <c r="S349" t="str">
        <f>IF(ESales_DB[[#This Row],[Quantity1]]&gt;3,"Bulk order","Normal order")</f>
        <v>Normal order</v>
      </c>
    </row>
    <row r="350" spans="1:19" x14ac:dyDescent="0.3">
      <c r="A350" t="s">
        <v>3136</v>
      </c>
      <c r="B350" s="4">
        <v>45717</v>
      </c>
      <c r="C350" s="4" t="str">
        <f>TEXT(ESales_DB[[#This Row],[Order_Date]],"mmm")</f>
        <v>Mar</v>
      </c>
      <c r="D350" t="s">
        <v>1220</v>
      </c>
      <c r="E350" t="s">
        <v>1648</v>
      </c>
      <c r="F350" t="s">
        <v>1794</v>
      </c>
      <c r="G350">
        <v>2</v>
      </c>
      <c r="H350" s="10">
        <f>IF(ISBLANK(ESales_DB[[#This Row],[Quantity]]),AVERAGEIF(ESales_DB[Product_ID],ESales_DB[[#This Row],[Product_ID]],ESales_DB[Quantity]),ESales_DB[[#This Row],[Quantity]])</f>
        <v>2</v>
      </c>
      <c r="I350" s="2">
        <v>520.45000000000005</v>
      </c>
      <c r="J350">
        <v>0.11</v>
      </c>
      <c r="K350" t="s">
        <v>1829</v>
      </c>
      <c r="L350" s="2">
        <v>926.40100000000007</v>
      </c>
      <c r="M350" s="2" t="str">
        <f>IF(ESales_DB[[#This Row],[Total_Amount]]&gt;1000,"High","Low")</f>
        <v>Low</v>
      </c>
      <c r="N350" s="2" t="str">
        <f>VLOOKUP(ESales_DB[[#This Row],[Customer_ID]],Ecustom_DB[],3,FALSE)</f>
        <v>Heidi Tyler</v>
      </c>
      <c r="O350" s="2" t="str">
        <f>_xlfn.XLOOKUP(ESales_DB[[#This Row],[Product_ID]],Eproduct_DB[Product_ID],Eproduct_DB[Category])</f>
        <v>Sports</v>
      </c>
      <c r="P350" s="2" t="str">
        <f>_xlfn.XLOOKUP(ESales_DB[[#This Row],[Product_ID]],Eproduct_DB[Product_ID],Eproduct_DB[Product_Name])</f>
        <v>Boxing Hand Wraps</v>
      </c>
      <c r="Q350" s="2" t="str">
        <f>_xlfn.XLOOKUP(ESales_DB[[#This Row],[Store_ID]],Estore_DB[Store_ID],Estore_DB[Region])</f>
        <v>North</v>
      </c>
      <c r="R350" t="str">
        <f>VLOOKUP(ESales_DB[[#This Row],[Customer_ID]],Ecustom_DB[],10,FALSE)</f>
        <v>Bronze</v>
      </c>
      <c r="S350" t="str">
        <f>IF(ESales_DB[[#This Row],[Quantity1]]&gt;3,"Bulk order","Normal order")</f>
        <v>Normal order</v>
      </c>
    </row>
    <row r="351" spans="1:19" x14ac:dyDescent="0.3">
      <c r="A351" t="s">
        <v>3137</v>
      </c>
      <c r="B351" s="4">
        <v>45376</v>
      </c>
      <c r="C351" s="4" t="str">
        <f>TEXT(ESales_DB[[#This Row],[Order_Date]],"mmm")</f>
        <v>Mar</v>
      </c>
      <c r="D351" t="s">
        <v>1340</v>
      </c>
      <c r="E351" t="s">
        <v>1644</v>
      </c>
      <c r="F351" t="s">
        <v>1773</v>
      </c>
      <c r="G351">
        <v>1</v>
      </c>
      <c r="H351" s="10">
        <f>IF(ISBLANK(ESales_DB[[#This Row],[Quantity]]),AVERAGEIF(ESales_DB[Product_ID],ESales_DB[[#This Row],[Product_ID]],ESales_DB[Quantity]),ESales_DB[[#This Row],[Quantity]])</f>
        <v>1</v>
      </c>
      <c r="I351" s="2">
        <v>340.9</v>
      </c>
      <c r="J351">
        <v>0.28999999999999998</v>
      </c>
      <c r="K351" t="s">
        <v>1824</v>
      </c>
      <c r="L351" s="2">
        <v>242.03899999999999</v>
      </c>
      <c r="M351" s="2" t="str">
        <f>IF(ESales_DB[[#This Row],[Total_Amount]]&gt;1000,"High","Low")</f>
        <v>Low</v>
      </c>
      <c r="N351" s="2" t="str">
        <f>VLOOKUP(ESales_DB[[#This Row],[Customer_ID]],Ecustom_DB[],3,FALSE)</f>
        <v>Summer Weiss</v>
      </c>
      <c r="O351" s="2" t="str">
        <f>_xlfn.XLOOKUP(ESales_DB[[#This Row],[Product_ID]],Eproduct_DB[Product_ID],Eproduct_DB[Category])</f>
        <v>Electronics</v>
      </c>
      <c r="P351" s="2" t="str">
        <f>_xlfn.XLOOKUP(ESales_DB[[#This Row],[Product_ID]],Eproduct_DB[Product_ID],Eproduct_DB[Product_Name])</f>
        <v>Car Dashboard Phone Holder</v>
      </c>
      <c r="Q351" s="2" t="str">
        <f>_xlfn.XLOOKUP(ESales_DB[[#This Row],[Store_ID]],Estore_DB[Store_ID],Estore_DB[Region])</f>
        <v>North</v>
      </c>
      <c r="R351" t="str">
        <f>VLOOKUP(ESales_DB[[#This Row],[Customer_ID]],Ecustom_DB[],10,FALSE)</f>
        <v>Bronze</v>
      </c>
      <c r="S351" t="str">
        <f>IF(ESales_DB[[#This Row],[Quantity1]]&gt;3,"Bulk order","Normal order")</f>
        <v>Normal order</v>
      </c>
    </row>
    <row r="352" spans="1:19" x14ac:dyDescent="0.3">
      <c r="A352" t="s">
        <v>3138</v>
      </c>
      <c r="B352" s="4">
        <v>45576</v>
      </c>
      <c r="C352" s="4" t="str">
        <f>TEXT(ESales_DB[[#This Row],[Order_Date]],"mmm")</f>
        <v>Oct</v>
      </c>
      <c r="D352" t="s">
        <v>1086</v>
      </c>
      <c r="E352" t="s">
        <v>1610</v>
      </c>
      <c r="F352" t="s">
        <v>1782</v>
      </c>
      <c r="G352">
        <v>3</v>
      </c>
      <c r="H352" s="10">
        <f>IF(ISBLANK(ESales_DB[[#This Row],[Quantity]]),AVERAGEIF(ESales_DB[Product_ID],ESales_DB[[#This Row],[Product_ID]],ESales_DB[Quantity]),ESales_DB[[#This Row],[Quantity]])</f>
        <v>3</v>
      </c>
      <c r="I352" s="2">
        <v>653.59</v>
      </c>
      <c r="J352">
        <v>0.17</v>
      </c>
      <c r="K352" t="s">
        <v>1829</v>
      </c>
      <c r="L352" s="2">
        <v>1627.4391000000001</v>
      </c>
      <c r="M352" s="2" t="str">
        <f>IF(ESales_DB[[#This Row],[Total_Amount]]&gt;1000,"High","Low")</f>
        <v>High</v>
      </c>
      <c r="N352" s="2" t="str">
        <f>VLOOKUP(ESales_DB[[#This Row],[Customer_ID]],Ecustom_DB[],3,FALSE)</f>
        <v>John Jordan</v>
      </c>
      <c r="O352" s="2" t="str">
        <f>_xlfn.XLOOKUP(ESales_DB[[#This Row],[Product_ID]],Eproduct_DB[Product_ID],Eproduct_DB[Category])</f>
        <v>Sports</v>
      </c>
      <c r="P352" s="2" t="str">
        <f>_xlfn.XLOOKUP(ESales_DB[[#This Row],[Product_ID]],Eproduct_DB[Product_ID],Eproduct_DB[Product_Name])</f>
        <v>Basketball</v>
      </c>
      <c r="Q352" s="2" t="str">
        <f>_xlfn.XLOOKUP(ESales_DB[[#This Row],[Store_ID]],Estore_DB[Store_ID],Estore_DB[Region])</f>
        <v>West</v>
      </c>
      <c r="R352" t="str">
        <f>VLOOKUP(ESales_DB[[#This Row],[Customer_ID]],Ecustom_DB[],10,FALSE)</f>
        <v>Platinum</v>
      </c>
      <c r="S352" t="str">
        <f>IF(ESales_DB[[#This Row],[Quantity1]]&gt;3,"Bulk order","Normal order")</f>
        <v>Normal order</v>
      </c>
    </row>
    <row r="353" spans="1:19" x14ac:dyDescent="0.3">
      <c r="A353" t="s">
        <v>3139</v>
      </c>
      <c r="B353" s="4">
        <v>45906</v>
      </c>
      <c r="C353" s="4" t="str">
        <f>TEXT(ESales_DB[[#This Row],[Order_Date]],"mmm")</f>
        <v>Sep</v>
      </c>
      <c r="D353" t="s">
        <v>93</v>
      </c>
      <c r="E353" t="s">
        <v>1600</v>
      </c>
      <c r="F353" t="s">
        <v>1810</v>
      </c>
      <c r="G353">
        <v>1</v>
      </c>
      <c r="H353" s="10">
        <f>IF(ISBLANK(ESales_DB[[#This Row],[Quantity]]),AVERAGEIF(ESales_DB[Product_ID],ESales_DB[[#This Row],[Product_ID]],ESales_DB[Quantity]),ESales_DB[[#This Row],[Quantity]])</f>
        <v>1</v>
      </c>
      <c r="I353" s="2">
        <v>179.77</v>
      </c>
      <c r="J353">
        <v>0.23</v>
      </c>
      <c r="K353" t="s">
        <v>1829</v>
      </c>
      <c r="L353" s="2">
        <v>138.4229</v>
      </c>
      <c r="M353" s="2" t="str">
        <f>IF(ESales_DB[[#This Row],[Total_Amount]]&gt;1000,"High","Low")</f>
        <v>Low</v>
      </c>
      <c r="N353" s="2" t="str">
        <f>VLOOKUP(ESales_DB[[#This Row],[Customer_ID]],Ecustom_DB[],3,FALSE)</f>
        <v>Jeff Martinez</v>
      </c>
      <c r="O353" s="2" t="str">
        <f>_xlfn.XLOOKUP(ESales_DB[[#This Row],[Product_ID]],Eproduct_DB[Product_ID],Eproduct_DB[Category])</f>
        <v>Electronics</v>
      </c>
      <c r="P353" s="2" t="str">
        <f>_xlfn.XLOOKUP(ESales_DB[[#This Row],[Product_ID]],Eproduct_DB[Product_ID],Eproduct_DB[Product_Name])</f>
        <v>Wireless Bluetooth Speaker</v>
      </c>
      <c r="Q353" s="2" t="str">
        <f>_xlfn.XLOOKUP(ESales_DB[[#This Row],[Store_ID]],Estore_DB[Store_ID],Estore_DB[Region])</f>
        <v>East</v>
      </c>
      <c r="R353" t="str">
        <f>VLOOKUP(ESales_DB[[#This Row],[Customer_ID]],Ecustom_DB[],10,FALSE)</f>
        <v>Gold</v>
      </c>
      <c r="S353" t="str">
        <f>IF(ESales_DB[[#This Row],[Quantity1]]&gt;3,"Bulk order","Normal order")</f>
        <v>Normal order</v>
      </c>
    </row>
    <row r="354" spans="1:19" x14ac:dyDescent="0.3">
      <c r="A354" t="s">
        <v>3140</v>
      </c>
      <c r="B354" s="4">
        <v>45523</v>
      </c>
      <c r="C354" s="4" t="str">
        <f>TEXT(ESales_DB[[#This Row],[Order_Date]],"mmm")</f>
        <v>Aug</v>
      </c>
      <c r="D354" t="s">
        <v>44</v>
      </c>
      <c r="E354" t="s">
        <v>1543</v>
      </c>
      <c r="F354" t="s">
        <v>1786</v>
      </c>
      <c r="G354">
        <v>2</v>
      </c>
      <c r="H354" s="10">
        <f>IF(ISBLANK(ESales_DB[[#This Row],[Quantity]]),AVERAGEIF(ESales_DB[Product_ID],ESales_DB[[#This Row],[Product_ID]],ESales_DB[Quantity]),ESales_DB[[#This Row],[Quantity]])</f>
        <v>2</v>
      </c>
      <c r="I354" s="2">
        <v>943.8</v>
      </c>
      <c r="J354">
        <v>0.06</v>
      </c>
      <c r="K354" t="s">
        <v>1824</v>
      </c>
      <c r="L354" s="2">
        <v>1774.3440000000001</v>
      </c>
      <c r="M354" s="2" t="str">
        <f>IF(ESales_DB[[#This Row],[Total_Amount]]&gt;1000,"High","Low")</f>
        <v>High</v>
      </c>
      <c r="N354" s="2" t="str">
        <f>VLOOKUP(ESales_DB[[#This Row],[Customer_ID]],Ecustom_DB[],3,FALSE)</f>
        <v>Melissa Howard</v>
      </c>
      <c r="O354" s="2" t="str">
        <f>_xlfn.XLOOKUP(ESales_DB[[#This Row],[Product_ID]],Eproduct_DB[Product_ID],Eproduct_DB[Category])</f>
        <v>Electronics</v>
      </c>
      <c r="P354" s="2" t="str">
        <f>_xlfn.XLOOKUP(ESales_DB[[#This Row],[Product_ID]],Eproduct_DB[Product_ID],Eproduct_DB[Product_Name])</f>
        <v>Brother Laser Printer</v>
      </c>
      <c r="Q354" s="2" t="str">
        <f>_xlfn.XLOOKUP(ESales_DB[[#This Row],[Store_ID]],Estore_DB[Store_ID],Estore_DB[Region])</f>
        <v>South</v>
      </c>
      <c r="R354" t="str">
        <f>VLOOKUP(ESales_DB[[#This Row],[Customer_ID]],Ecustom_DB[],10,FALSE)</f>
        <v>Gold</v>
      </c>
      <c r="S354" t="str">
        <f>IF(ESales_DB[[#This Row],[Quantity1]]&gt;3,"Bulk order","Normal order")</f>
        <v>Normal order</v>
      </c>
    </row>
    <row r="355" spans="1:19" x14ac:dyDescent="0.3">
      <c r="A355" t="s">
        <v>3141</v>
      </c>
      <c r="B355" s="4">
        <v>45234</v>
      </c>
      <c r="C355" s="4" t="str">
        <f>TEXT(ESales_DB[[#This Row],[Order_Date]],"mmm")</f>
        <v>Nov</v>
      </c>
      <c r="D355" t="s">
        <v>1272</v>
      </c>
      <c r="E355" t="s">
        <v>1690</v>
      </c>
      <c r="F355" t="s">
        <v>1801</v>
      </c>
      <c r="G355">
        <v>2</v>
      </c>
      <c r="H355" s="10">
        <f>IF(ISBLANK(ESales_DB[[#This Row],[Quantity]]),AVERAGEIF(ESales_DB[Product_ID],ESales_DB[[#This Row],[Product_ID]],ESales_DB[Quantity]),ESales_DB[[#This Row],[Quantity]])</f>
        <v>2</v>
      </c>
      <c r="I355" s="2">
        <v>985</v>
      </c>
      <c r="J355">
        <v>0.25</v>
      </c>
      <c r="K355" t="s">
        <v>1824</v>
      </c>
      <c r="L355" s="2">
        <v>1477.5</v>
      </c>
      <c r="M355" s="2" t="str">
        <f>IF(ESales_DB[[#This Row],[Total_Amount]]&gt;1000,"High","Low")</f>
        <v>High</v>
      </c>
      <c r="N355" s="2" t="str">
        <f>VLOOKUP(ESales_DB[[#This Row],[Customer_ID]],Ecustom_DB[],3,FALSE)</f>
        <v>Sarah Smith</v>
      </c>
      <c r="O355" s="2" t="str">
        <f>_xlfn.XLOOKUP(ESales_DB[[#This Row],[Product_ID]],Eproduct_DB[Product_ID],Eproduct_DB[Category])</f>
        <v>Beauty</v>
      </c>
      <c r="P355" s="2" t="str">
        <f>_xlfn.XLOOKUP(ESales_DB[[#This Row],[Product_ID]],Eproduct_DB[Product_ID],Eproduct_DB[Product_Name])</f>
        <v>Hair Repair Oil Treatment</v>
      </c>
      <c r="Q355" s="2" t="str">
        <f>_xlfn.XLOOKUP(ESales_DB[[#This Row],[Store_ID]],Estore_DB[Store_ID],Estore_DB[Region])</f>
        <v>North</v>
      </c>
      <c r="R355" t="str">
        <f>VLOOKUP(ESales_DB[[#This Row],[Customer_ID]],Ecustom_DB[],10,FALSE)</f>
        <v>Gold</v>
      </c>
      <c r="S355" t="str">
        <f>IF(ESales_DB[[#This Row],[Quantity1]]&gt;3,"Bulk order","Normal order")</f>
        <v>Normal order</v>
      </c>
    </row>
    <row r="356" spans="1:19" x14ac:dyDescent="0.3">
      <c r="A356" t="s">
        <v>3142</v>
      </c>
      <c r="B356" s="4">
        <v>45405</v>
      </c>
      <c r="C356" s="4" t="str">
        <f>TEXT(ESales_DB[[#This Row],[Order_Date]],"mmm")</f>
        <v>Apr</v>
      </c>
      <c r="D356" t="s">
        <v>1492</v>
      </c>
      <c r="E356" t="s">
        <v>1724</v>
      </c>
      <c r="F356" t="s">
        <v>1789</v>
      </c>
      <c r="G356">
        <v>4</v>
      </c>
      <c r="H356" s="10">
        <f>IF(ISBLANK(ESales_DB[[#This Row],[Quantity]]),AVERAGEIF(ESales_DB[Product_ID],ESales_DB[[#This Row],[Product_ID]],ESales_DB[Quantity]),ESales_DB[[#This Row],[Quantity]])</f>
        <v>4</v>
      </c>
      <c r="I356" s="2">
        <v>216.81</v>
      </c>
      <c r="J356">
        <v>0.28999999999999998</v>
      </c>
      <c r="K356" t="s">
        <v>1824</v>
      </c>
      <c r="L356" s="2">
        <v>615.74040000000002</v>
      </c>
      <c r="M356" s="2" t="str">
        <f>IF(ESales_DB[[#This Row],[Total_Amount]]&gt;1000,"High","Low")</f>
        <v>Low</v>
      </c>
      <c r="N356" s="2" t="str">
        <f>VLOOKUP(ESales_DB[[#This Row],[Customer_ID]],Ecustom_DB[],3,FALSE)</f>
        <v>Sara Ingram</v>
      </c>
      <c r="O356" s="2" t="str">
        <f>_xlfn.XLOOKUP(ESales_DB[[#This Row],[Product_ID]],Eproduct_DB[Product_ID],Eproduct_DB[Category])</f>
        <v>Sports</v>
      </c>
      <c r="P356" s="2" t="str">
        <f>_xlfn.XLOOKUP(ESales_DB[[#This Row],[Product_ID]],Eproduct_DB[Product_ID],Eproduct_DB[Product_Name])</f>
        <v>Sports Wrist Sweatbands</v>
      </c>
      <c r="Q356" s="2" t="str">
        <f>_xlfn.XLOOKUP(ESales_DB[[#This Row],[Store_ID]],Estore_DB[Store_ID],Estore_DB[Region])</f>
        <v>East</v>
      </c>
      <c r="R356" t="str">
        <f>VLOOKUP(ESales_DB[[#This Row],[Customer_ID]],Ecustom_DB[],10,FALSE)</f>
        <v>Bronze</v>
      </c>
      <c r="S356" t="str">
        <f>IF(ESales_DB[[#This Row],[Quantity1]]&gt;3,"Bulk order","Normal order")</f>
        <v>Bulk order</v>
      </c>
    </row>
    <row r="357" spans="1:19" x14ac:dyDescent="0.3">
      <c r="A357" t="s">
        <v>3143</v>
      </c>
      <c r="B357" s="4">
        <v>45223</v>
      </c>
      <c r="C357" s="4" t="str">
        <f>TEXT(ESales_DB[[#This Row],[Order_Date]],"mmm")</f>
        <v>Oct</v>
      </c>
      <c r="D357" t="s">
        <v>408</v>
      </c>
      <c r="E357" t="s">
        <v>1676</v>
      </c>
      <c r="F357" t="s">
        <v>1761</v>
      </c>
      <c r="G357">
        <v>4</v>
      </c>
      <c r="H357" s="10">
        <f>IF(ISBLANK(ESales_DB[[#This Row],[Quantity]]),AVERAGEIF(ESales_DB[Product_ID],ESales_DB[[#This Row],[Product_ID]],ESales_DB[Quantity]),ESales_DB[[#This Row],[Quantity]])</f>
        <v>4</v>
      </c>
      <c r="I357" s="2">
        <v>950.21</v>
      </c>
      <c r="J357">
        <v>0.27</v>
      </c>
      <c r="K357" t="s">
        <v>1829</v>
      </c>
      <c r="L357" s="2">
        <v>2774.6131999999998</v>
      </c>
      <c r="M357" s="2" t="str">
        <f>IF(ESales_DB[[#This Row],[Total_Amount]]&gt;1000,"High","Low")</f>
        <v>High</v>
      </c>
      <c r="N357" s="2" t="str">
        <f>VLOOKUP(ESales_DB[[#This Row],[Customer_ID]],Ecustom_DB[],3,FALSE)</f>
        <v>Colleen Mccarthy</v>
      </c>
      <c r="O357" s="2" t="str">
        <f>_xlfn.XLOOKUP(ESales_DB[[#This Row],[Product_ID]],Eproduct_DB[Product_ID],Eproduct_DB[Category])</f>
        <v>Beauty</v>
      </c>
      <c r="P357" s="2" t="str">
        <f>_xlfn.XLOOKUP(ESales_DB[[#This Row],[Product_ID]],Eproduct_DB[Product_ID],Eproduct_DB[Product_Name])</f>
        <v>Matte Lipstick Set</v>
      </c>
      <c r="Q357" s="2" t="str">
        <f>_xlfn.XLOOKUP(ESales_DB[[#This Row],[Store_ID]],Estore_DB[Store_ID],Estore_DB[Region])</f>
        <v>South</v>
      </c>
      <c r="R357" t="str">
        <f>VLOOKUP(ESales_DB[[#This Row],[Customer_ID]],Ecustom_DB[],10,FALSE)</f>
        <v>Platinum</v>
      </c>
      <c r="S357" t="str">
        <f>IF(ESales_DB[[#This Row],[Quantity1]]&gt;3,"Bulk order","Normal order")</f>
        <v>Bulk order</v>
      </c>
    </row>
    <row r="358" spans="1:19" x14ac:dyDescent="0.3">
      <c r="A358" t="s">
        <v>3144</v>
      </c>
      <c r="B358" s="4">
        <v>45838</v>
      </c>
      <c r="C358" s="4" t="str">
        <f>TEXT(ESales_DB[[#This Row],[Order_Date]],"mmm")</f>
        <v>Jun</v>
      </c>
      <c r="D358" t="s">
        <v>818</v>
      </c>
      <c r="E358" t="s">
        <v>1644</v>
      </c>
      <c r="F358" t="s">
        <v>1779</v>
      </c>
      <c r="G358">
        <v>2</v>
      </c>
      <c r="H358" s="10">
        <f>IF(ISBLANK(ESales_DB[[#This Row],[Quantity]]),AVERAGEIF(ESales_DB[Product_ID],ESales_DB[[#This Row],[Product_ID]],ESales_DB[Quantity]),ESales_DB[[#This Row],[Quantity]])</f>
        <v>2</v>
      </c>
      <c r="I358" s="2">
        <v>271.39999999999998</v>
      </c>
      <c r="J358">
        <v>0.17</v>
      </c>
      <c r="K358" t="s">
        <v>1826</v>
      </c>
      <c r="L358" s="2">
        <v>450.52399999999989</v>
      </c>
      <c r="M358" s="2" t="str">
        <f>IF(ESales_DB[[#This Row],[Total_Amount]]&gt;1000,"High","Low")</f>
        <v>Low</v>
      </c>
      <c r="N358" s="2" t="str">
        <f>VLOOKUP(ESales_DB[[#This Row],[Customer_ID]],Ecustom_DB[],3,FALSE)</f>
        <v>Kristen Fischer</v>
      </c>
      <c r="O358" s="2" t="str">
        <f>_xlfn.XLOOKUP(ESales_DB[[#This Row],[Product_ID]],Eproduct_DB[Product_ID],Eproduct_DB[Category])</f>
        <v>Electronics</v>
      </c>
      <c r="P358" s="2" t="str">
        <f>_xlfn.XLOOKUP(ESales_DB[[#This Row],[Product_ID]],Eproduct_DB[Product_ID],Eproduct_DB[Product_Name])</f>
        <v>Car Dashboard Phone Holder</v>
      </c>
      <c r="Q358" s="2" t="str">
        <f>_xlfn.XLOOKUP(ESales_DB[[#This Row],[Store_ID]],Estore_DB[Store_ID],Estore_DB[Region])</f>
        <v>South</v>
      </c>
      <c r="R358" t="str">
        <f>VLOOKUP(ESales_DB[[#This Row],[Customer_ID]],Ecustom_DB[],10,FALSE)</f>
        <v>Platinum</v>
      </c>
      <c r="S358" t="str">
        <f>IF(ESales_DB[[#This Row],[Quantity1]]&gt;3,"Bulk order","Normal order")</f>
        <v>Normal order</v>
      </c>
    </row>
    <row r="359" spans="1:19" x14ac:dyDescent="0.3">
      <c r="A359" t="s">
        <v>3145</v>
      </c>
      <c r="B359" s="4">
        <v>45883</v>
      </c>
      <c r="C359" s="4" t="str">
        <f>TEXT(ESales_DB[[#This Row],[Order_Date]],"mmm")</f>
        <v>Aug</v>
      </c>
      <c r="D359" t="s">
        <v>559</v>
      </c>
      <c r="E359" t="s">
        <v>1626</v>
      </c>
      <c r="F359" t="s">
        <v>1782</v>
      </c>
      <c r="G359">
        <v>4</v>
      </c>
      <c r="H359" s="10">
        <f>IF(ISBLANK(ESales_DB[[#This Row],[Quantity]]),AVERAGEIF(ESales_DB[Product_ID],ESales_DB[[#This Row],[Product_ID]],ESales_DB[Quantity]),ESales_DB[[#This Row],[Quantity]])</f>
        <v>4</v>
      </c>
      <c r="I359" s="2">
        <v>708.19</v>
      </c>
      <c r="J359">
        <v>0.1</v>
      </c>
      <c r="K359" t="s">
        <v>1826</v>
      </c>
      <c r="L359" s="2">
        <v>2549.4839999999999</v>
      </c>
      <c r="M359" s="2" t="str">
        <f>IF(ESales_DB[[#This Row],[Total_Amount]]&gt;1000,"High","Low")</f>
        <v>High</v>
      </c>
      <c r="N359" s="2" t="str">
        <f>VLOOKUP(ESales_DB[[#This Row],[Customer_ID]],Ecustom_DB[],3,FALSE)</f>
        <v>Daniel Contreras</v>
      </c>
      <c r="O359" s="2" t="str">
        <f>_xlfn.XLOOKUP(ESales_DB[[#This Row],[Product_ID]],Eproduct_DB[Product_ID],Eproduct_DB[Category])</f>
        <v>Electronics</v>
      </c>
      <c r="P359" s="2" t="str">
        <f>_xlfn.XLOOKUP(ESales_DB[[#This Row],[Product_ID]],Eproduct_DB[Product_ID],Eproduct_DB[Product_Name])</f>
        <v>Portable Power Bank</v>
      </c>
      <c r="Q359" s="2" t="str">
        <f>_xlfn.XLOOKUP(ESales_DB[[#This Row],[Store_ID]],Estore_DB[Store_ID],Estore_DB[Region])</f>
        <v>West</v>
      </c>
      <c r="R359" t="str">
        <f>VLOOKUP(ESales_DB[[#This Row],[Customer_ID]],Ecustom_DB[],10,FALSE)</f>
        <v>Platinum</v>
      </c>
      <c r="S359" t="str">
        <f>IF(ESales_DB[[#This Row],[Quantity1]]&gt;3,"Bulk order","Normal order")</f>
        <v>Bulk order</v>
      </c>
    </row>
    <row r="360" spans="1:19" x14ac:dyDescent="0.3">
      <c r="A360" t="s">
        <v>1958</v>
      </c>
      <c r="B360" s="4">
        <v>45662</v>
      </c>
      <c r="C360" s="4" t="str">
        <f>TEXT(ESales_DB[[#This Row],[Order_Date]],"mmm")</f>
        <v>Jan</v>
      </c>
      <c r="D360" t="s">
        <v>547</v>
      </c>
      <c r="E360" t="s">
        <v>1644</v>
      </c>
      <c r="F360" t="s">
        <v>1794</v>
      </c>
      <c r="G360">
        <v>4</v>
      </c>
      <c r="H360" s="10">
        <f>IF(ISBLANK(ESales_DB[[#This Row],[Quantity]]),AVERAGEIF(ESales_DB[Product_ID],ESales_DB[[#This Row],[Product_ID]],ESales_DB[Quantity]),ESales_DB[[#This Row],[Quantity]])</f>
        <v>4</v>
      </c>
      <c r="I360" s="2">
        <v>950.04</v>
      </c>
      <c r="J360">
        <v>0.13</v>
      </c>
      <c r="K360" t="s">
        <v>1826</v>
      </c>
      <c r="L360" s="2">
        <v>3306.1392000000001</v>
      </c>
      <c r="M360" s="2" t="str">
        <f>IF(ESales_DB[[#This Row],[Total_Amount]]&gt;1000,"High","Low")</f>
        <v>High</v>
      </c>
      <c r="N360" s="2" t="str">
        <f>VLOOKUP(ESales_DB[[#This Row],[Customer_ID]],Ecustom_DB[],3,FALSE)</f>
        <v>Daniel Rivas</v>
      </c>
      <c r="O360" s="2" t="str">
        <f>_xlfn.XLOOKUP(ESales_DB[[#This Row],[Product_ID]],Eproduct_DB[Product_ID],Eproduct_DB[Category])</f>
        <v>Electronics</v>
      </c>
      <c r="P360" s="2" t="str">
        <f>_xlfn.XLOOKUP(ESales_DB[[#This Row],[Product_ID]],Eproduct_DB[Product_ID],Eproduct_DB[Product_Name])</f>
        <v>Car Dashboard Phone Holder</v>
      </c>
      <c r="Q360" s="2" t="str">
        <f>_xlfn.XLOOKUP(ESales_DB[[#This Row],[Store_ID]],Estore_DB[Store_ID],Estore_DB[Region])</f>
        <v>North</v>
      </c>
      <c r="R360" t="str">
        <f>VLOOKUP(ESales_DB[[#This Row],[Customer_ID]],Ecustom_DB[],10,FALSE)</f>
        <v>Silver</v>
      </c>
      <c r="S360" t="str">
        <f>IF(ESales_DB[[#This Row],[Quantity1]]&gt;3,"Bulk order","Normal order")</f>
        <v>Bulk order</v>
      </c>
    </row>
    <row r="361" spans="1:19" x14ac:dyDescent="0.3">
      <c r="A361" t="s">
        <v>3146</v>
      </c>
      <c r="B361" s="4">
        <v>45788</v>
      </c>
      <c r="C361" s="4" t="str">
        <f>TEXT(ESales_DB[[#This Row],[Order_Date]],"mmm")</f>
        <v>May</v>
      </c>
      <c r="D361" t="s">
        <v>1374</v>
      </c>
      <c r="E361" t="s">
        <v>1656</v>
      </c>
      <c r="F361" t="s">
        <v>1766</v>
      </c>
      <c r="G361">
        <v>3</v>
      </c>
      <c r="H361" s="10">
        <f>IF(ISBLANK(ESales_DB[[#This Row],[Quantity]]),AVERAGEIF(ESales_DB[Product_ID],ESales_DB[[#This Row],[Product_ID]],ESales_DB[Quantity]),ESales_DB[[#This Row],[Quantity]])</f>
        <v>3</v>
      </c>
      <c r="I361" s="2">
        <v>477.05</v>
      </c>
      <c r="J361">
        <v>0.05</v>
      </c>
      <c r="K361" t="s">
        <v>1826</v>
      </c>
      <c r="L361" s="2">
        <v>1359.5925</v>
      </c>
      <c r="M361" s="2" t="str">
        <f>IF(ESales_DB[[#This Row],[Total_Amount]]&gt;1000,"High","Low")</f>
        <v>High</v>
      </c>
      <c r="N361" s="2" t="str">
        <f>VLOOKUP(ESales_DB[[#This Row],[Customer_ID]],Ecustom_DB[],3,FALSE)</f>
        <v>Cheryl Carr</v>
      </c>
      <c r="O361" s="2" t="str">
        <f>_xlfn.XLOOKUP(ESales_DB[[#This Row],[Product_ID]],Eproduct_DB[Product_ID],Eproduct_DB[Category])</f>
        <v>Sports</v>
      </c>
      <c r="P361" s="2" t="str">
        <f>_xlfn.XLOOKUP(ESales_DB[[#This Row],[Product_ID]],Eproduct_DB[Product_ID],Eproduct_DB[Product_Name])</f>
        <v>Sports Stopwatch Pro</v>
      </c>
      <c r="Q361" s="2" t="str">
        <f>_xlfn.XLOOKUP(ESales_DB[[#This Row],[Store_ID]],Estore_DB[Store_ID],Estore_DB[Region])</f>
        <v>North</v>
      </c>
      <c r="R361" t="str">
        <f>VLOOKUP(ESales_DB[[#This Row],[Customer_ID]],Ecustom_DB[],10,FALSE)</f>
        <v>Gold</v>
      </c>
      <c r="S361" t="str">
        <f>IF(ESales_DB[[#This Row],[Quantity1]]&gt;3,"Bulk order","Normal order")</f>
        <v>Normal order</v>
      </c>
    </row>
    <row r="362" spans="1:19" x14ac:dyDescent="0.3">
      <c r="A362" t="s">
        <v>3147</v>
      </c>
      <c r="B362" s="4">
        <v>45383</v>
      </c>
      <c r="C362" s="4" t="str">
        <f>TEXT(ESales_DB[[#This Row],[Order_Date]],"mmm")</f>
        <v>Apr</v>
      </c>
      <c r="D362" t="s">
        <v>969</v>
      </c>
      <c r="E362" t="s">
        <v>1696</v>
      </c>
      <c r="F362" t="s">
        <v>1786</v>
      </c>
      <c r="G362">
        <v>3</v>
      </c>
      <c r="H362" s="10">
        <f>IF(ISBLANK(ESales_DB[[#This Row],[Quantity]]),AVERAGEIF(ESales_DB[Product_ID],ESales_DB[[#This Row],[Product_ID]],ESales_DB[Quantity]),ESales_DB[[#This Row],[Quantity]])</f>
        <v>3</v>
      </c>
      <c r="I362" s="2">
        <v>627.29</v>
      </c>
      <c r="J362">
        <v>0.27</v>
      </c>
      <c r="K362" t="s">
        <v>1829</v>
      </c>
      <c r="L362" s="2">
        <v>1373.7651000000001</v>
      </c>
      <c r="M362" s="2" t="str">
        <f>IF(ESales_DB[[#This Row],[Total_Amount]]&gt;1000,"High","Low")</f>
        <v>High</v>
      </c>
      <c r="N362" s="2" t="str">
        <f>VLOOKUP(ESales_DB[[#This Row],[Customer_ID]],Ecustom_DB[],3,FALSE)</f>
        <v>Brandy Thompson</v>
      </c>
      <c r="O362" s="2" t="str">
        <f>_xlfn.XLOOKUP(ESales_DB[[#This Row],[Product_ID]],Eproduct_DB[Product_ID],Eproduct_DB[Category])</f>
        <v>Electronics</v>
      </c>
      <c r="P362" s="2" t="str">
        <f>_xlfn.XLOOKUP(ESales_DB[[#This Row],[Product_ID]],Eproduct_DB[Product_ID],Eproduct_DB[Product_Name])</f>
        <v>Bluetooth Car Audio System</v>
      </c>
      <c r="Q362" s="2" t="str">
        <f>_xlfn.XLOOKUP(ESales_DB[[#This Row],[Store_ID]],Estore_DB[Store_ID],Estore_DB[Region])</f>
        <v>South</v>
      </c>
      <c r="R362" t="str">
        <f>VLOOKUP(ESales_DB[[#This Row],[Customer_ID]],Ecustom_DB[],10,FALSE)</f>
        <v>Bronze</v>
      </c>
      <c r="S362" t="str">
        <f>IF(ESales_DB[[#This Row],[Quantity1]]&gt;3,"Bulk order","Normal order")</f>
        <v>Normal order</v>
      </c>
    </row>
    <row r="363" spans="1:19" x14ac:dyDescent="0.3">
      <c r="A363" t="s">
        <v>3148</v>
      </c>
      <c r="B363" s="4">
        <v>45335</v>
      </c>
      <c r="C363" s="4" t="str">
        <f>TEXT(ESales_DB[[#This Row],[Order_Date]],"mmm")</f>
        <v>Feb</v>
      </c>
      <c r="D363" t="s">
        <v>960</v>
      </c>
      <c r="E363" t="s">
        <v>1736</v>
      </c>
      <c r="F363" t="s">
        <v>1792</v>
      </c>
      <c r="G363">
        <v>3</v>
      </c>
      <c r="H363" s="10">
        <f>IF(ISBLANK(ESales_DB[[#This Row],[Quantity]]),AVERAGEIF(ESales_DB[Product_ID],ESales_DB[[#This Row],[Product_ID]],ESales_DB[Quantity]),ESales_DB[[#This Row],[Quantity]])</f>
        <v>3</v>
      </c>
      <c r="I363" s="2">
        <v>206.84</v>
      </c>
      <c r="J363">
        <v>0.19</v>
      </c>
      <c r="K363" t="s">
        <v>1826</v>
      </c>
      <c r="L363" s="2">
        <v>502.62119999999999</v>
      </c>
      <c r="M363" s="2" t="str">
        <f>IF(ESales_DB[[#This Row],[Total_Amount]]&gt;1000,"High","Low")</f>
        <v>Low</v>
      </c>
      <c r="N363" s="2" t="str">
        <f>VLOOKUP(ESales_DB[[#This Row],[Customer_ID]],Ecustom_DB[],3,FALSE)</f>
        <v>Miss Alexandria Li Dvm</v>
      </c>
      <c r="O363" s="2" t="str">
        <f>_xlfn.XLOOKUP(ESales_DB[[#This Row],[Product_ID]],Eproduct_DB[Product_ID],Eproduct_DB[Category])</f>
        <v>Beauty</v>
      </c>
      <c r="P363" s="2" t="str">
        <f>_xlfn.XLOOKUP(ESales_DB[[#This Row],[Product_ID]],Eproduct_DB[Product_ID],Eproduct_DB[Product_Name])</f>
        <v>Vitamin E Body Lotion</v>
      </c>
      <c r="Q363" s="2" t="str">
        <f>_xlfn.XLOOKUP(ESales_DB[[#This Row],[Store_ID]],Estore_DB[Store_ID],Estore_DB[Region])</f>
        <v>South</v>
      </c>
      <c r="R363" t="str">
        <f>VLOOKUP(ESales_DB[[#This Row],[Customer_ID]],Ecustom_DB[],10,FALSE)</f>
        <v>Silver</v>
      </c>
      <c r="S363" t="str">
        <f>IF(ESales_DB[[#This Row],[Quantity1]]&gt;3,"Bulk order","Normal order")</f>
        <v>Normal order</v>
      </c>
    </row>
    <row r="364" spans="1:19" x14ac:dyDescent="0.3">
      <c r="A364" t="s">
        <v>3149</v>
      </c>
      <c r="B364" s="4">
        <v>45304</v>
      </c>
      <c r="C364" s="4" t="str">
        <f>TEXT(ESales_DB[[#This Row],[Order_Date]],"mmm")</f>
        <v>Jan</v>
      </c>
      <c r="D364" t="s">
        <v>803</v>
      </c>
      <c r="E364" t="s">
        <v>1608</v>
      </c>
      <c r="F364" t="s">
        <v>1757</v>
      </c>
      <c r="G364">
        <v>4</v>
      </c>
      <c r="H364" s="10">
        <f>IF(ISBLANK(ESales_DB[[#This Row],[Quantity]]),AVERAGEIF(ESales_DB[Product_ID],ESales_DB[[#This Row],[Product_ID]],ESales_DB[Quantity]),ESales_DB[[#This Row],[Quantity]])</f>
        <v>4</v>
      </c>
      <c r="I364" s="2">
        <v>629.04999999999995</v>
      </c>
      <c r="J364">
        <v>0.26</v>
      </c>
      <c r="K364" t="s">
        <v>1824</v>
      </c>
      <c r="L364" s="2">
        <v>1861.9880000000001</v>
      </c>
      <c r="M364" s="2" t="str">
        <f>IF(ESales_DB[[#This Row],[Total_Amount]]&gt;1000,"High","Low")</f>
        <v>High</v>
      </c>
      <c r="N364" s="2" t="str">
        <f>VLOOKUP(ESales_DB[[#This Row],[Customer_ID]],Ecustom_DB[],3,FALSE)</f>
        <v>Tyler Garner</v>
      </c>
      <c r="O364" s="2" t="str">
        <f>_xlfn.XLOOKUP(ESales_DB[[#This Row],[Product_ID]],Eproduct_DB[Product_ID],Eproduct_DB[Category])</f>
        <v>Home</v>
      </c>
      <c r="P364" s="2" t="str">
        <f>_xlfn.XLOOKUP(ESales_DB[[#This Row],[Product_ID]],Eproduct_DB[Product_ID],Eproduct_DB[Product_Name])</f>
        <v>Stainless Steel Cutlery Set</v>
      </c>
      <c r="Q364" s="2" t="str">
        <f>_xlfn.XLOOKUP(ESales_DB[[#This Row],[Store_ID]],Estore_DB[Store_ID],Estore_DB[Region])</f>
        <v>North</v>
      </c>
      <c r="R364" t="str">
        <f>VLOOKUP(ESales_DB[[#This Row],[Customer_ID]],Ecustom_DB[],10,FALSE)</f>
        <v>Silver</v>
      </c>
      <c r="S364" t="str">
        <f>IF(ESales_DB[[#This Row],[Quantity1]]&gt;3,"Bulk order","Normal order")</f>
        <v>Bulk order</v>
      </c>
    </row>
    <row r="365" spans="1:19" x14ac:dyDescent="0.3">
      <c r="A365" t="s">
        <v>3150</v>
      </c>
      <c r="B365" s="4">
        <v>45543</v>
      </c>
      <c r="C365" s="4" t="str">
        <f>TEXT(ESales_DB[[#This Row],[Order_Date]],"mmm")</f>
        <v>Sep</v>
      </c>
      <c r="D365" t="s">
        <v>1357</v>
      </c>
      <c r="E365" t="s">
        <v>1696</v>
      </c>
      <c r="F365" t="s">
        <v>1807</v>
      </c>
      <c r="G365">
        <v>4</v>
      </c>
      <c r="H365" s="10">
        <f>IF(ISBLANK(ESales_DB[[#This Row],[Quantity]]),AVERAGEIF(ESales_DB[Product_ID],ESales_DB[[#This Row],[Product_ID]],ESales_DB[Quantity]),ESales_DB[[#This Row],[Quantity]])</f>
        <v>4</v>
      </c>
      <c r="I365" s="2">
        <v>529.04</v>
      </c>
      <c r="J365">
        <v>0.1</v>
      </c>
      <c r="K365" t="s">
        <v>1826</v>
      </c>
      <c r="L365" s="2">
        <v>1904.5440000000001</v>
      </c>
      <c r="M365" s="2" t="str">
        <f>IF(ESales_DB[[#This Row],[Total_Amount]]&gt;1000,"High","Low")</f>
        <v>High</v>
      </c>
      <c r="N365" s="2" t="str">
        <f>VLOOKUP(ESales_DB[[#This Row],[Customer_ID]],Ecustom_DB[],3,FALSE)</f>
        <v>Monica Flynn</v>
      </c>
      <c r="O365" s="2" t="str">
        <f>_xlfn.XLOOKUP(ESales_DB[[#This Row],[Product_ID]],Eproduct_DB[Product_ID],Eproduct_DB[Category])</f>
        <v>Electronics</v>
      </c>
      <c r="P365" s="2" t="str">
        <f>_xlfn.XLOOKUP(ESales_DB[[#This Row],[Product_ID]],Eproduct_DB[Product_ID],Eproduct_DB[Product_Name])</f>
        <v>Bluetooth Car Audio System</v>
      </c>
      <c r="Q365" s="2" t="str">
        <f>_xlfn.XLOOKUP(ESales_DB[[#This Row],[Store_ID]],Estore_DB[Store_ID],Estore_DB[Region])</f>
        <v>North</v>
      </c>
      <c r="R365" t="str">
        <f>VLOOKUP(ESales_DB[[#This Row],[Customer_ID]],Ecustom_DB[],10,FALSE)</f>
        <v>Platinum</v>
      </c>
      <c r="S365" t="str">
        <f>IF(ESales_DB[[#This Row],[Quantity1]]&gt;3,"Bulk order","Normal order")</f>
        <v>Bulk order</v>
      </c>
    </row>
    <row r="366" spans="1:19" x14ac:dyDescent="0.3">
      <c r="A366" t="s">
        <v>3151</v>
      </c>
      <c r="B366" s="4">
        <v>45326</v>
      </c>
      <c r="C366" s="4" t="str">
        <f>TEXT(ESales_DB[[#This Row],[Order_Date]],"mmm")</f>
        <v>Feb</v>
      </c>
      <c r="D366" t="s">
        <v>1095</v>
      </c>
      <c r="E366" t="s">
        <v>1608</v>
      </c>
      <c r="F366" t="s">
        <v>1807</v>
      </c>
      <c r="G366">
        <v>1</v>
      </c>
      <c r="H366" s="10">
        <f>IF(ISBLANK(ESales_DB[[#This Row],[Quantity]]),AVERAGEIF(ESales_DB[Product_ID],ESales_DB[[#This Row],[Product_ID]],ESales_DB[Quantity]),ESales_DB[[#This Row],[Quantity]])</f>
        <v>1</v>
      </c>
      <c r="I366" s="2">
        <v>350.67</v>
      </c>
      <c r="J366">
        <v>0.22</v>
      </c>
      <c r="K366" t="s">
        <v>1826</v>
      </c>
      <c r="L366" s="2">
        <v>273.52260000000001</v>
      </c>
      <c r="M366" s="2" t="str">
        <f>IF(ESales_DB[[#This Row],[Total_Amount]]&gt;1000,"High","Low")</f>
        <v>Low</v>
      </c>
      <c r="N366" s="2" t="str">
        <f>VLOOKUP(ESales_DB[[#This Row],[Customer_ID]],Ecustom_DB[],3,FALSE)</f>
        <v>Heather Valenzuela</v>
      </c>
      <c r="O366" s="2" t="str">
        <f>_xlfn.XLOOKUP(ESales_DB[[#This Row],[Product_ID]],Eproduct_DB[Product_ID],Eproduct_DB[Category])</f>
        <v>Home</v>
      </c>
      <c r="P366" s="2" t="str">
        <f>_xlfn.XLOOKUP(ESales_DB[[#This Row],[Product_ID]],Eproduct_DB[Product_ID],Eproduct_DB[Product_Name])</f>
        <v>Stainless Steel Cutlery Set</v>
      </c>
      <c r="Q366" s="2" t="str">
        <f>_xlfn.XLOOKUP(ESales_DB[[#This Row],[Store_ID]],Estore_DB[Store_ID],Estore_DB[Region])</f>
        <v>North</v>
      </c>
      <c r="R366" t="str">
        <f>VLOOKUP(ESales_DB[[#This Row],[Customer_ID]],Ecustom_DB[],10,FALSE)</f>
        <v>Bronze</v>
      </c>
      <c r="S366" t="str">
        <f>IF(ESales_DB[[#This Row],[Quantity1]]&gt;3,"Bulk order","Normal order")</f>
        <v>Normal order</v>
      </c>
    </row>
    <row r="367" spans="1:19" x14ac:dyDescent="0.3">
      <c r="A367" t="s">
        <v>3152</v>
      </c>
      <c r="B367" s="4">
        <v>45498</v>
      </c>
      <c r="C367" s="4" t="str">
        <f>TEXT(ESales_DB[[#This Row],[Order_Date]],"mmm")</f>
        <v>Jul</v>
      </c>
      <c r="D367" t="s">
        <v>1160</v>
      </c>
      <c r="E367" t="s">
        <v>1738</v>
      </c>
      <c r="F367" t="s">
        <v>1757</v>
      </c>
      <c r="G367">
        <v>1</v>
      </c>
      <c r="H367" s="10">
        <f>IF(ISBLANK(ESales_DB[[#This Row],[Quantity]]),AVERAGEIF(ESales_DB[Product_ID],ESales_DB[[#This Row],[Product_ID]],ESales_DB[Quantity]),ESales_DB[[#This Row],[Quantity]])</f>
        <v>1</v>
      </c>
      <c r="I367" s="2">
        <v>128.93</v>
      </c>
      <c r="J367">
        <v>0.26</v>
      </c>
      <c r="K367" t="s">
        <v>1824</v>
      </c>
      <c r="L367" s="2">
        <v>95.408200000000008</v>
      </c>
      <c r="M367" s="2" t="str">
        <f>IF(ESales_DB[[#This Row],[Total_Amount]]&gt;1000,"High","Low")</f>
        <v>Low</v>
      </c>
      <c r="N367" s="2" t="str">
        <f>VLOOKUP(ESales_DB[[#This Row],[Customer_ID]],Ecustom_DB[],3,FALSE)</f>
        <v>Michael Garner</v>
      </c>
      <c r="O367" s="2" t="str">
        <f>_xlfn.XLOOKUP(ESales_DB[[#This Row],[Product_ID]],Eproduct_DB[Product_ID],Eproduct_DB[Category])</f>
        <v>Sports</v>
      </c>
      <c r="P367" s="2" t="str">
        <f>_xlfn.XLOOKUP(ESales_DB[[#This Row],[Product_ID]],Eproduct_DB[Product_ID],Eproduct_DB[Product_Name])</f>
        <v>Sports Stopwatch Basic</v>
      </c>
      <c r="Q367" s="2" t="str">
        <f>_xlfn.XLOOKUP(ESales_DB[[#This Row],[Store_ID]],Estore_DB[Store_ID],Estore_DB[Region])</f>
        <v>North</v>
      </c>
      <c r="R367" t="str">
        <f>VLOOKUP(ESales_DB[[#This Row],[Customer_ID]],Ecustom_DB[],10,FALSE)</f>
        <v>Platinum</v>
      </c>
      <c r="S367" t="str">
        <f>IF(ESales_DB[[#This Row],[Quantity1]]&gt;3,"Bulk order","Normal order")</f>
        <v>Normal order</v>
      </c>
    </row>
    <row r="368" spans="1:19" x14ac:dyDescent="0.3">
      <c r="A368" t="s">
        <v>3153</v>
      </c>
      <c r="B368" s="4">
        <v>45544</v>
      </c>
      <c r="C368" s="4" t="str">
        <f>TEXT(ESales_DB[[#This Row],[Order_Date]],"mmm")</f>
        <v>Sep</v>
      </c>
      <c r="D368" t="s">
        <v>490</v>
      </c>
      <c r="E368" t="s">
        <v>1720</v>
      </c>
      <c r="F368" t="s">
        <v>1801</v>
      </c>
      <c r="G368">
        <v>2</v>
      </c>
      <c r="H368" s="10">
        <f>IF(ISBLANK(ESales_DB[[#This Row],[Quantity]]),AVERAGEIF(ESales_DB[Product_ID],ESales_DB[[#This Row],[Product_ID]],ESales_DB[Quantity]),ESales_DB[[#This Row],[Quantity]])</f>
        <v>2</v>
      </c>
      <c r="I368" s="2">
        <v>384.92</v>
      </c>
      <c r="J368">
        <v>0.09</v>
      </c>
      <c r="K368" t="s">
        <v>1824</v>
      </c>
      <c r="L368" s="2">
        <v>700.5544000000001</v>
      </c>
      <c r="M368" s="2" t="str">
        <f>IF(ESales_DB[[#This Row],[Total_Amount]]&gt;1000,"High","Low")</f>
        <v>Low</v>
      </c>
      <c r="N368" s="2" t="str">
        <f>VLOOKUP(ESales_DB[[#This Row],[Customer_ID]],Ecustom_DB[],3,FALSE)</f>
        <v>Cameron Simpson</v>
      </c>
      <c r="O368" s="2" t="str">
        <f>_xlfn.XLOOKUP(ESales_DB[[#This Row],[Product_ID]],Eproduct_DB[Product_ID],Eproduct_DB[Category])</f>
        <v>Home</v>
      </c>
      <c r="P368" s="2" t="str">
        <f>_xlfn.XLOOKUP(ESales_DB[[#This Row],[Product_ID]],Eproduct_DB[Product_ID],Eproduct_DB[Product_Name])</f>
        <v>Kitchen Cutting Board</v>
      </c>
      <c r="Q368" s="2" t="str">
        <f>_xlfn.XLOOKUP(ESales_DB[[#This Row],[Store_ID]],Estore_DB[Store_ID],Estore_DB[Region])</f>
        <v>North</v>
      </c>
      <c r="R368" t="str">
        <f>VLOOKUP(ESales_DB[[#This Row],[Customer_ID]],Ecustom_DB[],10,FALSE)</f>
        <v>Platinum</v>
      </c>
      <c r="S368" t="str">
        <f>IF(ESales_DB[[#This Row],[Quantity1]]&gt;3,"Bulk order","Normal order")</f>
        <v>Normal order</v>
      </c>
    </row>
    <row r="369" spans="1:19" x14ac:dyDescent="0.3">
      <c r="A369" t="s">
        <v>3154</v>
      </c>
      <c r="B369" s="4">
        <v>45268</v>
      </c>
      <c r="C369" s="4" t="str">
        <f>TEXT(ESales_DB[[#This Row],[Order_Date]],"mmm")</f>
        <v>Dec</v>
      </c>
      <c r="D369" t="s">
        <v>1050</v>
      </c>
      <c r="E369" t="s">
        <v>1555</v>
      </c>
      <c r="F369" t="s">
        <v>1782</v>
      </c>
      <c r="G369">
        <v>3</v>
      </c>
      <c r="H369" s="10">
        <f>IF(ISBLANK(ESales_DB[[#This Row],[Quantity]]),AVERAGEIF(ESales_DB[Product_ID],ESales_DB[[#This Row],[Product_ID]],ESales_DB[Quantity]),ESales_DB[[#This Row],[Quantity]])</f>
        <v>3</v>
      </c>
      <c r="I369" s="2">
        <v>120.77</v>
      </c>
      <c r="J369">
        <v>0.28999999999999998</v>
      </c>
      <c r="K369" t="s">
        <v>1826</v>
      </c>
      <c r="L369" s="2">
        <v>257.24009999999998</v>
      </c>
      <c r="M369" s="2" t="str">
        <f>IF(ESales_DB[[#This Row],[Total_Amount]]&gt;1000,"High","Low")</f>
        <v>Low</v>
      </c>
      <c r="N369" s="2" t="str">
        <f>VLOOKUP(ESales_DB[[#This Row],[Customer_ID]],Ecustom_DB[],3,FALSE)</f>
        <v>Mr. Christopher Sims</v>
      </c>
      <c r="O369" s="2" t="str">
        <f>_xlfn.XLOOKUP(ESales_DB[[#This Row],[Product_ID]],Eproduct_DB[Product_ID],Eproduct_DB[Category])</f>
        <v>Clothing</v>
      </c>
      <c r="P369" s="2" t="str">
        <f>_xlfn.XLOOKUP(ESales_DB[[#This Row],[Product_ID]],Eproduct_DB[Product_ID],Eproduct_DB[Product_Name])</f>
        <v>Men's Leather Belt</v>
      </c>
      <c r="Q369" s="2" t="str">
        <f>_xlfn.XLOOKUP(ESales_DB[[#This Row],[Store_ID]],Estore_DB[Store_ID],Estore_DB[Region])</f>
        <v>West</v>
      </c>
      <c r="R369" t="str">
        <f>VLOOKUP(ESales_DB[[#This Row],[Customer_ID]],Ecustom_DB[],10,FALSE)</f>
        <v>Silver</v>
      </c>
      <c r="S369" t="str">
        <f>IF(ESales_DB[[#This Row],[Quantity1]]&gt;3,"Bulk order","Normal order")</f>
        <v>Normal order</v>
      </c>
    </row>
    <row r="370" spans="1:19" x14ac:dyDescent="0.3">
      <c r="A370" t="s">
        <v>3155</v>
      </c>
      <c r="B370" s="4">
        <v>45824</v>
      </c>
      <c r="C370" s="4" t="str">
        <f>TEXT(ESales_DB[[#This Row],[Order_Date]],"mmm")</f>
        <v>Jun</v>
      </c>
      <c r="D370" t="s">
        <v>719</v>
      </c>
      <c r="E370" t="s">
        <v>1700</v>
      </c>
      <c r="F370" t="s">
        <v>1807</v>
      </c>
      <c r="G370">
        <v>4</v>
      </c>
      <c r="H370" s="10">
        <f>IF(ISBLANK(ESales_DB[[#This Row],[Quantity]]),AVERAGEIF(ESales_DB[Product_ID],ESales_DB[[#This Row],[Product_ID]],ESales_DB[Quantity]),ESales_DB[[#This Row],[Quantity]])</f>
        <v>4</v>
      </c>
      <c r="I370" s="2">
        <v>661.39</v>
      </c>
      <c r="J370">
        <v>7.0000000000000007E-2</v>
      </c>
      <c r="K370" t="s">
        <v>1824</v>
      </c>
      <c r="L370" s="2">
        <v>2460.3708000000001</v>
      </c>
      <c r="M370" s="2" t="str">
        <f>IF(ESales_DB[[#This Row],[Total_Amount]]&gt;1000,"High","Low")</f>
        <v>High</v>
      </c>
      <c r="N370" s="2" t="str">
        <f>VLOOKUP(ESales_DB[[#This Row],[Customer_ID]],Ecustom_DB[],3,FALSE)</f>
        <v>Alejandro Doyle</v>
      </c>
      <c r="O370" s="2" t="str">
        <f>_xlfn.XLOOKUP(ESales_DB[[#This Row],[Product_ID]],Eproduct_DB[Product_ID],Eproduct_DB[Category])</f>
        <v>Electronics</v>
      </c>
      <c r="P370" s="2" t="str">
        <f>_xlfn.XLOOKUP(ESales_DB[[#This Row],[Product_ID]],Eproduct_DB[Product_ID],Eproduct_DB[Product_Name])</f>
        <v>Wireless Mouse</v>
      </c>
      <c r="Q370" s="2" t="str">
        <f>_xlfn.XLOOKUP(ESales_DB[[#This Row],[Store_ID]],Estore_DB[Store_ID],Estore_DB[Region])</f>
        <v>North</v>
      </c>
      <c r="R370" t="str">
        <f>VLOOKUP(ESales_DB[[#This Row],[Customer_ID]],Ecustom_DB[],10,FALSE)</f>
        <v>Platinum</v>
      </c>
      <c r="S370" t="str">
        <f>IF(ESales_DB[[#This Row],[Quantity1]]&gt;3,"Bulk order","Normal order")</f>
        <v>Bulk order</v>
      </c>
    </row>
    <row r="371" spans="1:19" x14ac:dyDescent="0.3">
      <c r="A371" t="s">
        <v>1959</v>
      </c>
      <c r="B371" s="4">
        <v>45910</v>
      </c>
      <c r="C371" s="4" t="str">
        <f>TEXT(ESales_DB[[#This Row],[Order_Date]],"mmm")</f>
        <v>Sep</v>
      </c>
      <c r="D371" t="s">
        <v>1035</v>
      </c>
      <c r="E371" t="s">
        <v>1662</v>
      </c>
      <c r="F371" t="s">
        <v>1769</v>
      </c>
      <c r="G371">
        <v>2</v>
      </c>
      <c r="H371" s="10">
        <f>IF(ISBLANK(ESales_DB[[#This Row],[Quantity]]),AVERAGEIF(ESales_DB[Product_ID],ESales_DB[[#This Row],[Product_ID]],ESales_DB[Quantity]),ESales_DB[[#This Row],[Quantity]])</f>
        <v>2</v>
      </c>
      <c r="I371" s="2">
        <v>267.19</v>
      </c>
      <c r="J371">
        <v>7.0000000000000007E-2</v>
      </c>
      <c r="K371" t="s">
        <v>1824</v>
      </c>
      <c r="L371" s="2">
        <v>496.97340000000003</v>
      </c>
      <c r="M371" s="2" t="str">
        <f>IF(ESales_DB[[#This Row],[Total_Amount]]&gt;1000,"High","Low")</f>
        <v>Low</v>
      </c>
      <c r="N371" s="2" t="str">
        <f>VLOOKUP(ESales_DB[[#This Row],[Customer_ID]],Ecustom_DB[],3,FALSE)</f>
        <v>Victor Mcintosh</v>
      </c>
      <c r="O371" s="2" t="str">
        <f>_xlfn.XLOOKUP(ESales_DB[[#This Row],[Product_ID]],Eproduct_DB[Product_ID],Eproduct_DB[Category])</f>
        <v>Sports</v>
      </c>
      <c r="P371" s="2" t="str">
        <f>_xlfn.XLOOKUP(ESales_DB[[#This Row],[Product_ID]],Eproduct_DB[Product_ID],Eproduct_DB[Product_Name])</f>
        <v>Foam Roller</v>
      </c>
      <c r="Q371" s="2" t="str">
        <f>_xlfn.XLOOKUP(ESales_DB[[#This Row],[Store_ID]],Estore_DB[Store_ID],Estore_DB[Region])</f>
        <v>South</v>
      </c>
      <c r="R371" t="str">
        <f>VLOOKUP(ESales_DB[[#This Row],[Customer_ID]],Ecustom_DB[],10,FALSE)</f>
        <v>Bronze</v>
      </c>
      <c r="S371" t="str">
        <f>IF(ESales_DB[[#This Row],[Quantity1]]&gt;3,"Bulk order","Normal order")</f>
        <v>Normal order</v>
      </c>
    </row>
    <row r="372" spans="1:19" x14ac:dyDescent="0.3">
      <c r="A372" t="s">
        <v>3156</v>
      </c>
      <c r="B372" s="4">
        <v>45261</v>
      </c>
      <c r="C372" s="4" t="str">
        <f>TEXT(ESales_DB[[#This Row],[Order_Date]],"mmm")</f>
        <v>Dec</v>
      </c>
      <c r="D372" t="s">
        <v>1389</v>
      </c>
      <c r="E372" t="s">
        <v>1672</v>
      </c>
      <c r="F372" t="s">
        <v>1761</v>
      </c>
      <c r="G372">
        <v>1</v>
      </c>
      <c r="H372" s="10">
        <f>IF(ISBLANK(ESales_DB[[#This Row],[Quantity]]),AVERAGEIF(ESales_DB[Product_ID],ESales_DB[[#This Row],[Product_ID]],ESales_DB[Quantity]),ESales_DB[[#This Row],[Quantity]])</f>
        <v>1</v>
      </c>
      <c r="I372" s="2">
        <v>195.24</v>
      </c>
      <c r="J372">
        <v>0.27</v>
      </c>
      <c r="K372" t="s">
        <v>1826</v>
      </c>
      <c r="L372" s="2">
        <v>142.52520000000001</v>
      </c>
      <c r="M372" s="2" t="str">
        <f>IF(ESales_DB[[#This Row],[Total_Amount]]&gt;1000,"High","Low")</f>
        <v>Low</v>
      </c>
      <c r="N372" s="2" t="str">
        <f>VLOOKUP(ESales_DB[[#This Row],[Customer_ID]],Ecustom_DB[],3,FALSE)</f>
        <v>William Cortez</v>
      </c>
      <c r="O372" s="2" t="str">
        <f>_xlfn.XLOOKUP(ESales_DB[[#This Row],[Product_ID]],Eproduct_DB[Product_ID],Eproduct_DB[Category])</f>
        <v>Electronics</v>
      </c>
      <c r="P372" s="2" t="str">
        <f>_xlfn.XLOOKUP(ESales_DB[[#This Row],[Product_ID]],Eproduct_DB[Product_ID],Eproduct_DB[Product_Name])</f>
        <v>Laptop Cooling Pad</v>
      </c>
      <c r="Q372" s="2" t="str">
        <f>_xlfn.XLOOKUP(ESales_DB[[#This Row],[Store_ID]],Estore_DB[Store_ID],Estore_DB[Region])</f>
        <v>South</v>
      </c>
      <c r="R372" t="str">
        <f>VLOOKUP(ESales_DB[[#This Row],[Customer_ID]],Ecustom_DB[],10,FALSE)</f>
        <v>Bronze</v>
      </c>
      <c r="S372" t="str">
        <f>IF(ESales_DB[[#This Row],[Quantity1]]&gt;3,"Bulk order","Normal order")</f>
        <v>Normal order</v>
      </c>
    </row>
    <row r="373" spans="1:19" x14ac:dyDescent="0.3">
      <c r="A373" t="s">
        <v>3157</v>
      </c>
      <c r="B373" s="4">
        <v>45233</v>
      </c>
      <c r="C373" s="4" t="str">
        <f>TEXT(ESales_DB[[#This Row],[Order_Date]],"mmm")</f>
        <v>Nov</v>
      </c>
      <c r="D373" t="s">
        <v>27</v>
      </c>
      <c r="E373" t="s">
        <v>1732</v>
      </c>
      <c r="F373" t="s">
        <v>1810</v>
      </c>
      <c r="G373">
        <v>2</v>
      </c>
      <c r="H373" s="10">
        <f>IF(ISBLANK(ESales_DB[[#This Row],[Quantity]]),AVERAGEIF(ESales_DB[Product_ID],ESales_DB[[#This Row],[Product_ID]],ESales_DB[Quantity]),ESales_DB[[#This Row],[Quantity]])</f>
        <v>2</v>
      </c>
      <c r="I373" s="2">
        <v>177.4</v>
      </c>
      <c r="J373">
        <v>0.19</v>
      </c>
      <c r="K373" t="s">
        <v>1826</v>
      </c>
      <c r="L373" s="2">
        <v>287.38799999999998</v>
      </c>
      <c r="M373" s="2" t="str">
        <f>IF(ESales_DB[[#This Row],[Total_Amount]]&gt;1000,"High","Low")</f>
        <v>Low</v>
      </c>
      <c r="N373" s="2" t="str">
        <f>VLOOKUP(ESales_DB[[#This Row],[Customer_ID]],Ecustom_DB[],3,FALSE)</f>
        <v>Caroline Collins</v>
      </c>
      <c r="O373" s="2" t="str">
        <f>_xlfn.XLOOKUP(ESales_DB[[#This Row],[Product_ID]],Eproduct_DB[Product_ID],Eproduct_DB[Category])</f>
        <v>Home</v>
      </c>
      <c r="P373" s="2" t="str">
        <f>_xlfn.XLOOKUP(ESales_DB[[#This Row],[Product_ID]],Eproduct_DB[Product_ID],Eproduct_DB[Product_Name])</f>
        <v>Microwave Oven</v>
      </c>
      <c r="Q373" s="2" t="str">
        <f>_xlfn.XLOOKUP(ESales_DB[[#This Row],[Store_ID]],Estore_DB[Store_ID],Estore_DB[Region])</f>
        <v>East</v>
      </c>
      <c r="R373" t="str">
        <f>VLOOKUP(ESales_DB[[#This Row],[Customer_ID]],Ecustom_DB[],10,FALSE)</f>
        <v>Silver</v>
      </c>
      <c r="S373" t="str">
        <f>IF(ESales_DB[[#This Row],[Quantity1]]&gt;3,"Bulk order","Normal order")</f>
        <v>Normal order</v>
      </c>
    </row>
    <row r="374" spans="1:19" x14ac:dyDescent="0.3">
      <c r="A374" t="s">
        <v>3158</v>
      </c>
      <c r="B374" s="4">
        <v>45673</v>
      </c>
      <c r="C374" s="4" t="str">
        <f>TEXT(ESales_DB[[#This Row],[Order_Date]],"mmm")</f>
        <v>Jan</v>
      </c>
      <c r="D374" t="s">
        <v>214</v>
      </c>
      <c r="E374" t="s">
        <v>1744</v>
      </c>
      <c r="F374" t="s">
        <v>1792</v>
      </c>
      <c r="G374">
        <v>4</v>
      </c>
      <c r="H374" s="10">
        <f>IF(ISBLANK(ESales_DB[[#This Row],[Quantity]]),AVERAGEIF(ESales_DB[Product_ID],ESales_DB[[#This Row],[Product_ID]],ESales_DB[Quantity]),ESales_DB[[#This Row],[Quantity]])</f>
        <v>4</v>
      </c>
      <c r="I374" s="2">
        <v>862.67</v>
      </c>
      <c r="J374">
        <v>0.2</v>
      </c>
      <c r="K374" t="s">
        <v>1826</v>
      </c>
      <c r="L374" s="2">
        <v>2760.5439999999999</v>
      </c>
      <c r="M374" s="2" t="str">
        <f>IF(ESales_DB[[#This Row],[Total_Amount]]&gt;1000,"High","Low")</f>
        <v>High</v>
      </c>
      <c r="N374" s="2" t="str">
        <f>VLOOKUP(ESales_DB[[#This Row],[Customer_ID]],Ecustom_DB[],3,FALSE)</f>
        <v>Jay Patel</v>
      </c>
      <c r="O374" s="2" t="str">
        <f>_xlfn.XLOOKUP(ESales_DB[[#This Row],[Product_ID]],Eproduct_DB[Product_ID],Eproduct_DB[Category])</f>
        <v>Electronics</v>
      </c>
      <c r="P374" s="2" t="str">
        <f>_xlfn.XLOOKUP(ESales_DB[[#This Row],[Product_ID]],Eproduct_DB[Product_ID],Eproduct_DB[Product_Name])</f>
        <v>Portable Bluetooth Speaker</v>
      </c>
      <c r="Q374" s="2" t="str">
        <f>_xlfn.XLOOKUP(ESales_DB[[#This Row],[Store_ID]],Estore_DB[Store_ID],Estore_DB[Region])</f>
        <v>South</v>
      </c>
      <c r="R374" t="str">
        <f>VLOOKUP(ESales_DB[[#This Row],[Customer_ID]],Ecustom_DB[],10,FALSE)</f>
        <v>Platinum</v>
      </c>
      <c r="S374" t="str">
        <f>IF(ESales_DB[[#This Row],[Quantity1]]&gt;3,"Bulk order","Normal order")</f>
        <v>Bulk order</v>
      </c>
    </row>
    <row r="375" spans="1:19" x14ac:dyDescent="0.3">
      <c r="A375" t="s">
        <v>3159</v>
      </c>
      <c r="B375" s="4">
        <v>45565</v>
      </c>
      <c r="C375" s="4" t="str">
        <f>TEXT(ESales_DB[[#This Row],[Order_Date]],"mmm")</f>
        <v>Sep</v>
      </c>
      <c r="D375" t="s">
        <v>1374</v>
      </c>
      <c r="E375" t="s">
        <v>1582</v>
      </c>
      <c r="F375" t="s">
        <v>1776</v>
      </c>
      <c r="G375">
        <v>1</v>
      </c>
      <c r="H375" s="10">
        <f>IF(ISBLANK(ESales_DB[[#This Row],[Quantity]]),AVERAGEIF(ESales_DB[Product_ID],ESales_DB[[#This Row],[Product_ID]],ESales_DB[Quantity]),ESales_DB[[#This Row],[Quantity]])</f>
        <v>1</v>
      </c>
      <c r="I375" s="2">
        <v>55.04</v>
      </c>
      <c r="J375">
        <v>0.01</v>
      </c>
      <c r="K375" t="s">
        <v>1829</v>
      </c>
      <c r="L375" s="2">
        <v>54.489600000000003</v>
      </c>
      <c r="M375" s="2" t="str">
        <f>IF(ESales_DB[[#This Row],[Total_Amount]]&gt;1000,"High","Low")</f>
        <v>Low</v>
      </c>
      <c r="N375" s="2" t="str">
        <f>VLOOKUP(ESales_DB[[#This Row],[Customer_ID]],Ecustom_DB[],3,FALSE)</f>
        <v>Cheryl Carr</v>
      </c>
      <c r="O375" s="2" t="str">
        <f>_xlfn.XLOOKUP(ESales_DB[[#This Row],[Product_ID]],Eproduct_DB[Product_ID],Eproduct_DB[Category])</f>
        <v>Sports</v>
      </c>
      <c r="P375" s="2" t="str">
        <f>_xlfn.XLOOKUP(ESales_DB[[#This Row],[Product_ID]],Eproduct_DB[Product_ID],Eproduct_DB[Product_Name])</f>
        <v>Soccer Training Cone Set</v>
      </c>
      <c r="Q375" s="2" t="str">
        <f>_xlfn.XLOOKUP(ESales_DB[[#This Row],[Store_ID]],Estore_DB[Store_ID],Estore_DB[Region])</f>
        <v>East</v>
      </c>
      <c r="R375" t="str">
        <f>VLOOKUP(ESales_DB[[#This Row],[Customer_ID]],Ecustom_DB[],10,FALSE)</f>
        <v>Gold</v>
      </c>
      <c r="S375" t="str">
        <f>IF(ESales_DB[[#This Row],[Quantity1]]&gt;3,"Bulk order","Normal order")</f>
        <v>Normal order</v>
      </c>
    </row>
    <row r="376" spans="1:19" x14ac:dyDescent="0.3">
      <c r="A376" t="s">
        <v>3160</v>
      </c>
      <c r="B376" s="4">
        <v>45646</v>
      </c>
      <c r="C376" s="4" t="str">
        <f>TEXT(ESales_DB[[#This Row],[Order_Date]],"mmm")</f>
        <v>Dec</v>
      </c>
      <c r="D376" t="s">
        <v>188</v>
      </c>
      <c r="E376" t="s">
        <v>1638</v>
      </c>
      <c r="F376" t="s">
        <v>1752</v>
      </c>
      <c r="G376">
        <v>2</v>
      </c>
      <c r="H376" s="10">
        <f>IF(ISBLANK(ESales_DB[[#This Row],[Quantity]]),AVERAGEIF(ESales_DB[Product_ID],ESales_DB[[#This Row],[Product_ID]],ESales_DB[Quantity]),ESales_DB[[#This Row],[Quantity]])</f>
        <v>2</v>
      </c>
      <c r="I376" s="2">
        <v>905.47</v>
      </c>
      <c r="J376">
        <v>0.2</v>
      </c>
      <c r="K376" t="s">
        <v>1829</v>
      </c>
      <c r="L376" s="2">
        <v>1448.752</v>
      </c>
      <c r="M376" s="2" t="str">
        <f>IF(ESales_DB[[#This Row],[Total_Amount]]&gt;1000,"High","Low")</f>
        <v>High</v>
      </c>
      <c r="N376" s="2" t="str">
        <f>VLOOKUP(ESales_DB[[#This Row],[Customer_ID]],Ecustom_DB[],3,FALSE)</f>
        <v>Timothy Weaver</v>
      </c>
      <c r="O376" s="2" t="str">
        <f>_xlfn.XLOOKUP(ESales_DB[[#This Row],[Product_ID]],Eproduct_DB[Product_ID],Eproduct_DB[Category])</f>
        <v>Sports</v>
      </c>
      <c r="P376" s="2" t="str">
        <f>_xlfn.XLOOKUP(ESales_DB[[#This Row],[Product_ID]],Eproduct_DB[Product_ID],Eproduct_DB[Product_Name])</f>
        <v>High-Grip Football</v>
      </c>
      <c r="Q376" s="2" t="str">
        <f>_xlfn.XLOOKUP(ESales_DB[[#This Row],[Store_ID]],Estore_DB[Store_ID],Estore_DB[Region])</f>
        <v>East</v>
      </c>
      <c r="R376" t="str">
        <f>VLOOKUP(ESales_DB[[#This Row],[Customer_ID]],Ecustom_DB[],10,FALSE)</f>
        <v>Gold</v>
      </c>
      <c r="S376" t="str">
        <f>IF(ESales_DB[[#This Row],[Quantity1]]&gt;3,"Bulk order","Normal order")</f>
        <v>Normal order</v>
      </c>
    </row>
    <row r="377" spans="1:19" x14ac:dyDescent="0.3">
      <c r="A377" t="s">
        <v>3161</v>
      </c>
      <c r="B377" s="4">
        <v>45539</v>
      </c>
      <c r="C377" s="4" t="str">
        <f>TEXT(ESales_DB[[#This Row],[Order_Date]],"mmm")</f>
        <v>Sep</v>
      </c>
      <c r="D377" t="s">
        <v>1422</v>
      </c>
      <c r="E377" t="s">
        <v>1674</v>
      </c>
      <c r="F377" t="s">
        <v>1797</v>
      </c>
      <c r="G377">
        <v>3</v>
      </c>
      <c r="H377" s="10">
        <f>IF(ISBLANK(ESales_DB[[#This Row],[Quantity]]),AVERAGEIF(ESales_DB[Product_ID],ESales_DB[[#This Row],[Product_ID]],ESales_DB[Quantity]),ESales_DB[[#This Row],[Quantity]])</f>
        <v>3</v>
      </c>
      <c r="I377" s="2">
        <v>217.13</v>
      </c>
      <c r="J377">
        <v>0.28000000000000003</v>
      </c>
      <c r="K377" t="s">
        <v>1824</v>
      </c>
      <c r="L377" s="2">
        <v>469.00080000000003</v>
      </c>
      <c r="M377" s="2" t="str">
        <f>IF(ESales_DB[[#This Row],[Total_Amount]]&gt;1000,"High","Low")</f>
        <v>Low</v>
      </c>
      <c r="N377" s="2" t="str">
        <f>VLOOKUP(ESales_DB[[#This Row],[Customer_ID]],Ecustom_DB[],3,FALSE)</f>
        <v>Paul Cox</v>
      </c>
      <c r="O377" s="2" t="str">
        <f>_xlfn.XLOOKUP(ESales_DB[[#This Row],[Product_ID]],Eproduct_DB[Product_ID],Eproduct_DB[Category])</f>
        <v>Beauty</v>
      </c>
      <c r="P377" s="2" t="str">
        <f>_xlfn.XLOOKUP(ESales_DB[[#This Row],[Product_ID]],Eproduct_DB[Product_ID],Eproduct_DB[Product_Name])</f>
        <v>Organic Sunscreen Lotion</v>
      </c>
      <c r="Q377" s="2" t="str">
        <f>_xlfn.XLOOKUP(ESales_DB[[#This Row],[Store_ID]],Estore_DB[Store_ID],Estore_DB[Region])</f>
        <v>East</v>
      </c>
      <c r="R377" t="str">
        <f>VLOOKUP(ESales_DB[[#This Row],[Customer_ID]],Ecustom_DB[],10,FALSE)</f>
        <v>Silver</v>
      </c>
      <c r="S377" t="str">
        <f>IF(ESales_DB[[#This Row],[Quantity1]]&gt;3,"Bulk order","Normal order")</f>
        <v>Normal order</v>
      </c>
    </row>
    <row r="378" spans="1:19" x14ac:dyDescent="0.3">
      <c r="A378" t="s">
        <v>3162</v>
      </c>
      <c r="B378" s="4">
        <v>45936</v>
      </c>
      <c r="C378" s="4" t="str">
        <f>TEXT(ESales_DB[[#This Row],[Order_Date]],"mmm")</f>
        <v>Oct</v>
      </c>
      <c r="D378" t="s">
        <v>1214</v>
      </c>
      <c r="E378" t="s">
        <v>1698</v>
      </c>
      <c r="F378" t="s">
        <v>1752</v>
      </c>
      <c r="G378">
        <v>3</v>
      </c>
      <c r="H378" s="10">
        <f>IF(ISBLANK(ESales_DB[[#This Row],[Quantity]]),AVERAGEIF(ESales_DB[Product_ID],ESales_DB[[#This Row],[Product_ID]],ESales_DB[Quantity]),ESales_DB[[#This Row],[Quantity]])</f>
        <v>3</v>
      </c>
      <c r="I378" s="2">
        <v>580.45000000000005</v>
      </c>
      <c r="J378">
        <v>0</v>
      </c>
      <c r="K378" t="s">
        <v>1826</v>
      </c>
      <c r="L378" s="2">
        <v>1741.35</v>
      </c>
      <c r="M378" s="2" t="str">
        <f>IF(ESales_DB[[#This Row],[Total_Amount]]&gt;1000,"High","Low")</f>
        <v>High</v>
      </c>
      <c r="N378" s="2" t="str">
        <f>VLOOKUP(ESales_DB[[#This Row],[Customer_ID]],Ecustom_DB[],3,FALSE)</f>
        <v>Cynthia Lopez</v>
      </c>
      <c r="O378" s="2" t="str">
        <f>_xlfn.XLOOKUP(ESales_DB[[#This Row],[Product_ID]],Eproduct_DB[Product_ID],Eproduct_DB[Category])</f>
        <v>Clothing</v>
      </c>
      <c r="P378" s="2" t="str">
        <f>_xlfn.XLOOKUP(ESales_DB[[#This Row],[Product_ID]],Eproduct_DB[Product_ID],Eproduct_DB[Product_Name])</f>
        <v>Women's Ankle Boots</v>
      </c>
      <c r="Q378" s="2" t="str">
        <f>_xlfn.XLOOKUP(ESales_DB[[#This Row],[Store_ID]],Estore_DB[Store_ID],Estore_DB[Region])</f>
        <v>East</v>
      </c>
      <c r="R378" t="str">
        <f>VLOOKUP(ESales_DB[[#This Row],[Customer_ID]],Ecustom_DB[],10,FALSE)</f>
        <v>Platinum</v>
      </c>
      <c r="S378" t="str">
        <f>IF(ESales_DB[[#This Row],[Quantity1]]&gt;3,"Bulk order","Normal order")</f>
        <v>Normal order</v>
      </c>
    </row>
    <row r="379" spans="1:19" x14ac:dyDescent="0.3">
      <c r="A379" t="s">
        <v>3163</v>
      </c>
      <c r="B379" s="4">
        <v>45854</v>
      </c>
      <c r="C379" s="4" t="str">
        <f>TEXT(ESales_DB[[#This Row],[Order_Date]],"mmm")</f>
        <v>Jul</v>
      </c>
      <c r="D379" t="s">
        <v>366</v>
      </c>
      <c r="E379" t="s">
        <v>1553</v>
      </c>
      <c r="F379" t="s">
        <v>1807</v>
      </c>
      <c r="G379">
        <v>2</v>
      </c>
      <c r="H379" s="10">
        <f>IF(ISBLANK(ESales_DB[[#This Row],[Quantity]]),AVERAGEIF(ESales_DB[Product_ID],ESales_DB[[#This Row],[Product_ID]],ESales_DB[Quantity]),ESales_DB[[#This Row],[Quantity]])</f>
        <v>2</v>
      </c>
      <c r="I379" s="2">
        <v>892.88</v>
      </c>
      <c r="J379">
        <v>0.17</v>
      </c>
      <c r="K379" t="s">
        <v>1826</v>
      </c>
      <c r="L379" s="2">
        <v>1482.1808000000001</v>
      </c>
      <c r="M379" s="2" t="str">
        <f>IF(ESales_DB[[#This Row],[Total_Amount]]&gt;1000,"High","Low")</f>
        <v>High</v>
      </c>
      <c r="N379" s="2" t="str">
        <f>VLOOKUP(ESales_DB[[#This Row],[Customer_ID]],Ecustom_DB[],3,FALSE)</f>
        <v>Steven Stein</v>
      </c>
      <c r="O379" s="2" t="str">
        <f>_xlfn.XLOOKUP(ESales_DB[[#This Row],[Product_ID]],Eproduct_DB[Product_ID],Eproduct_DB[Category])</f>
        <v>Clothing</v>
      </c>
      <c r="P379" s="2" t="str">
        <f>_xlfn.XLOOKUP(ESales_DB[[#This Row],[Product_ID]],Eproduct_DB[Product_ID],Eproduct_DB[Product_Name])</f>
        <v>Women's Yoga Pants</v>
      </c>
      <c r="Q379" s="2" t="str">
        <f>_xlfn.XLOOKUP(ESales_DB[[#This Row],[Store_ID]],Estore_DB[Store_ID],Estore_DB[Region])</f>
        <v>North</v>
      </c>
      <c r="R379" t="str">
        <f>VLOOKUP(ESales_DB[[#This Row],[Customer_ID]],Ecustom_DB[],10,FALSE)</f>
        <v>Bronze</v>
      </c>
      <c r="S379" t="str">
        <f>IF(ESales_DB[[#This Row],[Quantity1]]&gt;3,"Bulk order","Normal order")</f>
        <v>Normal order</v>
      </c>
    </row>
    <row r="380" spans="1:19" x14ac:dyDescent="0.3">
      <c r="A380" t="s">
        <v>3164</v>
      </c>
      <c r="B380" s="4">
        <v>45936</v>
      </c>
      <c r="C380" s="4" t="str">
        <f>TEXT(ESales_DB[[#This Row],[Order_Date]],"mmm")</f>
        <v>Oct</v>
      </c>
      <c r="D380" t="s">
        <v>329</v>
      </c>
      <c r="E380" t="s">
        <v>1628</v>
      </c>
      <c r="F380" t="s">
        <v>1810</v>
      </c>
      <c r="G380">
        <v>2</v>
      </c>
      <c r="H380" s="10">
        <f>IF(ISBLANK(ESales_DB[[#This Row],[Quantity]]),AVERAGEIF(ESales_DB[Product_ID],ESales_DB[[#This Row],[Product_ID]],ESales_DB[Quantity]),ESales_DB[[#This Row],[Quantity]])</f>
        <v>2</v>
      </c>
      <c r="I380" s="2">
        <v>356.28</v>
      </c>
      <c r="J380">
        <v>0.11</v>
      </c>
      <c r="K380" t="s">
        <v>1829</v>
      </c>
      <c r="L380" s="2">
        <v>634.17840000000001</v>
      </c>
      <c r="M380" s="2" t="str">
        <f>IF(ESales_DB[[#This Row],[Total_Amount]]&gt;1000,"High","Low")</f>
        <v>Low</v>
      </c>
      <c r="N380" s="2" t="str">
        <f>VLOOKUP(ESales_DB[[#This Row],[Customer_ID]],Ecustom_DB[],3,FALSE)</f>
        <v>Donna Gregory</v>
      </c>
      <c r="O380" s="2" t="str">
        <f>_xlfn.XLOOKUP(ESales_DB[[#This Row],[Product_ID]],Eproduct_DB[Product_ID],Eproduct_DB[Category])</f>
        <v>Electronics</v>
      </c>
      <c r="P380" s="2" t="str">
        <f>_xlfn.XLOOKUP(ESales_DB[[#This Row],[Product_ID]],Eproduct_DB[Product_ID],Eproduct_DB[Product_Name])</f>
        <v>Noise-Canceling Headphones</v>
      </c>
      <c r="Q380" s="2" t="str">
        <f>_xlfn.XLOOKUP(ESales_DB[[#This Row],[Store_ID]],Estore_DB[Store_ID],Estore_DB[Region])</f>
        <v>East</v>
      </c>
      <c r="R380" t="str">
        <f>VLOOKUP(ESales_DB[[#This Row],[Customer_ID]],Ecustom_DB[],10,FALSE)</f>
        <v>Silver</v>
      </c>
      <c r="S380" t="str">
        <f>IF(ESales_DB[[#This Row],[Quantity1]]&gt;3,"Bulk order","Normal order")</f>
        <v>Normal order</v>
      </c>
    </row>
    <row r="381" spans="1:19" x14ac:dyDescent="0.3">
      <c r="A381" t="s">
        <v>3165</v>
      </c>
      <c r="B381" s="4">
        <v>45921</v>
      </c>
      <c r="C381" s="4" t="str">
        <f>TEXT(ESales_DB[[#This Row],[Order_Date]],"mmm")</f>
        <v>Sep</v>
      </c>
      <c r="D381" t="s">
        <v>1199</v>
      </c>
      <c r="E381" t="s">
        <v>1708</v>
      </c>
      <c r="F381" t="s">
        <v>1761</v>
      </c>
      <c r="G381">
        <v>4</v>
      </c>
      <c r="H381" s="10">
        <f>IF(ISBLANK(ESales_DB[[#This Row],[Quantity]]),AVERAGEIF(ESales_DB[Product_ID],ESales_DB[[#This Row],[Product_ID]],ESales_DB[Quantity]),ESales_DB[[#This Row],[Quantity]])</f>
        <v>4</v>
      </c>
      <c r="I381" s="2">
        <v>806.99</v>
      </c>
      <c r="J381">
        <v>0.06</v>
      </c>
      <c r="K381" t="s">
        <v>1824</v>
      </c>
      <c r="L381" s="2">
        <v>3034.2824000000001</v>
      </c>
      <c r="M381" s="2" t="str">
        <f>IF(ESales_DB[[#This Row],[Total_Amount]]&gt;1000,"High","Low")</f>
        <v>High</v>
      </c>
      <c r="N381" s="2" t="str">
        <f>VLOOKUP(ESales_DB[[#This Row],[Customer_ID]],Ecustom_DB[],3,FALSE)</f>
        <v>Andrew Mason</v>
      </c>
      <c r="O381" s="2" t="str">
        <f>_xlfn.XLOOKUP(ESales_DB[[#This Row],[Product_ID]],Eproduct_DB[Product_ID],Eproduct_DB[Category])</f>
        <v>Home</v>
      </c>
      <c r="P381" s="2" t="str">
        <f>_xlfn.XLOOKUP(ESales_DB[[#This Row],[Product_ID]],Eproduct_DB[Product_ID],Eproduct_DB[Product_Name])</f>
        <v>Wall-Mounted Spice Rack</v>
      </c>
      <c r="Q381" s="2" t="str">
        <f>_xlfn.XLOOKUP(ESales_DB[[#This Row],[Store_ID]],Estore_DB[Store_ID],Estore_DB[Region])</f>
        <v>South</v>
      </c>
      <c r="R381" t="str">
        <f>VLOOKUP(ESales_DB[[#This Row],[Customer_ID]],Ecustom_DB[],10,FALSE)</f>
        <v>Bronze</v>
      </c>
      <c r="S381" t="str">
        <f>IF(ESales_DB[[#This Row],[Quantity1]]&gt;3,"Bulk order","Normal order")</f>
        <v>Bulk order</v>
      </c>
    </row>
    <row r="382" spans="1:19" x14ac:dyDescent="0.3">
      <c r="A382" t="s">
        <v>1960</v>
      </c>
      <c r="B382" s="4">
        <v>45827</v>
      </c>
      <c r="C382" s="4" t="str">
        <f>TEXT(ESales_DB[[#This Row],[Order_Date]],"mmm")</f>
        <v>Jun</v>
      </c>
      <c r="D382" t="s">
        <v>657</v>
      </c>
      <c r="E382" t="s">
        <v>1722</v>
      </c>
      <c r="F382" t="s">
        <v>1801</v>
      </c>
      <c r="G382">
        <v>4</v>
      </c>
      <c r="H382" s="10">
        <f>IF(ISBLANK(ESales_DB[[#This Row],[Quantity]]),AVERAGEIF(ESales_DB[Product_ID],ESales_DB[[#This Row],[Product_ID]],ESales_DB[Quantity]),ESales_DB[[#This Row],[Quantity]])</f>
        <v>4</v>
      </c>
      <c r="I382" s="2">
        <v>72.63</v>
      </c>
      <c r="J382">
        <v>0.06</v>
      </c>
      <c r="K382" t="s">
        <v>1826</v>
      </c>
      <c r="L382" s="2">
        <v>273.08879999999999</v>
      </c>
      <c r="M382" s="2" t="str">
        <f>IF(ESales_DB[[#This Row],[Total_Amount]]&gt;1000,"High","Low")</f>
        <v>Low</v>
      </c>
      <c r="N382" s="2" t="str">
        <f>VLOOKUP(ESales_DB[[#This Row],[Customer_ID]],Ecustom_DB[],3,FALSE)</f>
        <v>Mary Boyd</v>
      </c>
      <c r="O382" s="2" t="str">
        <f>_xlfn.XLOOKUP(ESales_DB[[#This Row],[Product_ID]],Eproduct_DB[Product_ID],Eproduct_DB[Category])</f>
        <v>Home</v>
      </c>
      <c r="P382" s="2" t="str">
        <f>_xlfn.XLOOKUP(ESales_DB[[#This Row],[Product_ID]],Eproduct_DB[Product_ID],Eproduct_DB[Product_Name])</f>
        <v>LED Bedside Lamp</v>
      </c>
      <c r="Q382" s="2" t="str">
        <f>_xlfn.XLOOKUP(ESales_DB[[#This Row],[Store_ID]],Estore_DB[Store_ID],Estore_DB[Region])</f>
        <v>North</v>
      </c>
      <c r="R382" t="str">
        <f>VLOOKUP(ESales_DB[[#This Row],[Customer_ID]],Ecustom_DB[],10,FALSE)</f>
        <v>Bronze</v>
      </c>
      <c r="S382" t="str">
        <f>IF(ESales_DB[[#This Row],[Quantity1]]&gt;3,"Bulk order","Normal order")</f>
        <v>Bulk order</v>
      </c>
    </row>
    <row r="383" spans="1:19" x14ac:dyDescent="0.3">
      <c r="A383" t="s">
        <v>3166</v>
      </c>
      <c r="B383" s="4">
        <v>45855</v>
      </c>
      <c r="C383" s="4" t="str">
        <f>TEXT(ESales_DB[[#This Row],[Order_Date]],"mmm")</f>
        <v>Jul</v>
      </c>
      <c r="D383" t="s">
        <v>1360</v>
      </c>
      <c r="E383" t="s">
        <v>1588</v>
      </c>
      <c r="F383" t="s">
        <v>1757</v>
      </c>
      <c r="G383">
        <v>3</v>
      </c>
      <c r="H383" s="10">
        <f>IF(ISBLANK(ESales_DB[[#This Row],[Quantity]]),AVERAGEIF(ESales_DB[Product_ID],ESales_DB[[#This Row],[Product_ID]],ESales_DB[Quantity]),ESales_DB[[#This Row],[Quantity]])</f>
        <v>3</v>
      </c>
      <c r="I383" s="2">
        <v>684.22</v>
      </c>
      <c r="J383">
        <v>0.09</v>
      </c>
      <c r="K383" t="s">
        <v>1824</v>
      </c>
      <c r="L383" s="2">
        <v>1867.9205999999999</v>
      </c>
      <c r="M383" s="2" t="str">
        <f>IF(ESales_DB[[#This Row],[Total_Amount]]&gt;1000,"High","Low")</f>
        <v>High</v>
      </c>
      <c r="N383" s="2" t="str">
        <f>VLOOKUP(ESales_DB[[#This Row],[Customer_ID]],Ecustom_DB[],3,FALSE)</f>
        <v>John Compton</v>
      </c>
      <c r="O383" s="2" t="str">
        <f>_xlfn.XLOOKUP(ESales_DB[[#This Row],[Product_ID]],Eproduct_DB[Product_ID],Eproduct_DB[Category])</f>
        <v>Sports</v>
      </c>
      <c r="P383" s="2" t="str">
        <f>_xlfn.XLOOKUP(ESales_DB[[#This Row],[Product_ID]],Eproduct_DB[Product_ID],Eproduct_DB[Product_Name])</f>
        <v>Outdoor Sports Water Bottle</v>
      </c>
      <c r="Q383" s="2" t="str">
        <f>_xlfn.XLOOKUP(ESales_DB[[#This Row],[Store_ID]],Estore_DB[Store_ID],Estore_DB[Region])</f>
        <v>North</v>
      </c>
      <c r="R383" t="str">
        <f>VLOOKUP(ESales_DB[[#This Row],[Customer_ID]],Ecustom_DB[],10,FALSE)</f>
        <v>Silver</v>
      </c>
      <c r="S383" t="str">
        <f>IF(ESales_DB[[#This Row],[Quantity1]]&gt;3,"Bulk order","Normal order")</f>
        <v>Normal order</v>
      </c>
    </row>
    <row r="384" spans="1:19" x14ac:dyDescent="0.3">
      <c r="A384" t="s">
        <v>3167</v>
      </c>
      <c r="B384" s="4">
        <v>45837</v>
      </c>
      <c r="C384" s="4" t="str">
        <f>TEXT(ESales_DB[[#This Row],[Order_Date]],"mmm")</f>
        <v>Jun</v>
      </c>
      <c r="D384" t="s">
        <v>1371</v>
      </c>
      <c r="E384" t="s">
        <v>1734</v>
      </c>
      <c r="F384" t="s">
        <v>1779</v>
      </c>
      <c r="G384">
        <v>4</v>
      </c>
      <c r="H384" s="10">
        <f>IF(ISBLANK(ESales_DB[[#This Row],[Quantity]]),AVERAGEIF(ESales_DB[Product_ID],ESales_DB[[#This Row],[Product_ID]],ESales_DB[Quantity]),ESales_DB[[#This Row],[Quantity]])</f>
        <v>4</v>
      </c>
      <c r="I384" s="2">
        <v>763.34</v>
      </c>
      <c r="J384">
        <v>7.0000000000000007E-2</v>
      </c>
      <c r="K384" t="s">
        <v>1826</v>
      </c>
      <c r="L384" s="2">
        <v>2839.6248000000001</v>
      </c>
      <c r="M384" s="2" t="str">
        <f>IF(ESales_DB[[#This Row],[Total_Amount]]&gt;1000,"High","Low")</f>
        <v>High</v>
      </c>
      <c r="N384" s="2" t="str">
        <f>VLOOKUP(ESales_DB[[#This Row],[Customer_ID]],Ecustom_DB[],3,FALSE)</f>
        <v>Adam Castro</v>
      </c>
      <c r="O384" s="2" t="str">
        <f>_xlfn.XLOOKUP(ESales_DB[[#This Row],[Product_ID]],Eproduct_DB[Product_ID],Eproduct_DB[Category])</f>
        <v>Electronics</v>
      </c>
      <c r="P384" s="2" t="str">
        <f>_xlfn.XLOOKUP(ESales_DB[[#This Row],[Product_ID]],Eproduct_DB[Product_ID],Eproduct_DB[Product_Name])</f>
        <v>USB-C Laptop Charger</v>
      </c>
      <c r="Q384" s="2" t="str">
        <f>_xlfn.XLOOKUP(ESales_DB[[#This Row],[Store_ID]],Estore_DB[Store_ID],Estore_DB[Region])</f>
        <v>South</v>
      </c>
      <c r="R384" t="str">
        <f>VLOOKUP(ESales_DB[[#This Row],[Customer_ID]],Ecustom_DB[],10,FALSE)</f>
        <v>Silver</v>
      </c>
      <c r="S384" t="str">
        <f>IF(ESales_DB[[#This Row],[Quantity1]]&gt;3,"Bulk order","Normal order")</f>
        <v>Bulk order</v>
      </c>
    </row>
    <row r="385" spans="1:19" x14ac:dyDescent="0.3">
      <c r="A385" t="s">
        <v>3168</v>
      </c>
      <c r="B385" s="4">
        <v>45738</v>
      </c>
      <c r="C385" s="4" t="str">
        <f>TEXT(ESales_DB[[#This Row],[Order_Date]],"mmm")</f>
        <v>Mar</v>
      </c>
      <c r="D385" t="s">
        <v>1130</v>
      </c>
      <c r="E385" t="s">
        <v>1648</v>
      </c>
      <c r="F385" t="s">
        <v>1766</v>
      </c>
      <c r="G385">
        <v>3</v>
      </c>
      <c r="H385" s="10">
        <f>IF(ISBLANK(ESales_DB[[#This Row],[Quantity]]),AVERAGEIF(ESales_DB[Product_ID],ESales_DB[[#This Row],[Product_ID]],ESales_DB[Quantity]),ESales_DB[[#This Row],[Quantity]])</f>
        <v>3</v>
      </c>
      <c r="I385" s="2">
        <v>721.94</v>
      </c>
      <c r="J385">
        <v>0.26</v>
      </c>
      <c r="K385" t="s">
        <v>1824</v>
      </c>
      <c r="L385" s="2">
        <v>1602.7067999999999</v>
      </c>
      <c r="M385" s="2" t="str">
        <f>IF(ESales_DB[[#This Row],[Total_Amount]]&gt;1000,"High","Low")</f>
        <v>High</v>
      </c>
      <c r="N385" s="2" t="str">
        <f>VLOOKUP(ESales_DB[[#This Row],[Customer_ID]],Ecustom_DB[],3,FALSE)</f>
        <v>Natalie Johnson</v>
      </c>
      <c r="O385" s="2" t="str">
        <f>_xlfn.XLOOKUP(ESales_DB[[#This Row],[Product_ID]],Eproduct_DB[Product_ID],Eproduct_DB[Category])</f>
        <v>Sports</v>
      </c>
      <c r="P385" s="2" t="str">
        <f>_xlfn.XLOOKUP(ESales_DB[[#This Row],[Product_ID]],Eproduct_DB[Product_ID],Eproduct_DB[Product_Name])</f>
        <v>Boxing Hand Wraps</v>
      </c>
      <c r="Q385" s="2" t="str">
        <f>_xlfn.XLOOKUP(ESales_DB[[#This Row],[Store_ID]],Estore_DB[Store_ID],Estore_DB[Region])</f>
        <v>North</v>
      </c>
      <c r="R385" t="str">
        <f>VLOOKUP(ESales_DB[[#This Row],[Customer_ID]],Ecustom_DB[],10,FALSE)</f>
        <v>Platinum</v>
      </c>
      <c r="S385" t="str">
        <f>IF(ESales_DB[[#This Row],[Quantity1]]&gt;3,"Bulk order","Normal order")</f>
        <v>Normal order</v>
      </c>
    </row>
    <row r="386" spans="1:19" x14ac:dyDescent="0.3">
      <c r="A386" t="s">
        <v>3169</v>
      </c>
      <c r="B386" s="4">
        <v>45323</v>
      </c>
      <c r="C386" s="4" t="str">
        <f>TEXT(ESales_DB[[#This Row],[Order_Date]],"mmm")</f>
        <v>Feb</v>
      </c>
      <c r="D386" t="s">
        <v>1263</v>
      </c>
      <c r="E386" t="s">
        <v>1742</v>
      </c>
      <c r="F386" t="s">
        <v>1757</v>
      </c>
      <c r="G386">
        <v>3</v>
      </c>
      <c r="H386" s="10">
        <f>IF(ISBLANK(ESales_DB[[#This Row],[Quantity]]),AVERAGEIF(ESales_DB[Product_ID],ESales_DB[[#This Row],[Product_ID]],ESales_DB[Quantity]),ESales_DB[[#This Row],[Quantity]])</f>
        <v>3</v>
      </c>
      <c r="I386" s="2">
        <v>760.38</v>
      </c>
      <c r="J386">
        <v>0</v>
      </c>
      <c r="K386" t="s">
        <v>1829</v>
      </c>
      <c r="L386" s="2">
        <v>2281.14</v>
      </c>
      <c r="M386" s="2" t="str">
        <f>IF(ESales_DB[[#This Row],[Total_Amount]]&gt;1000,"High","Low")</f>
        <v>High</v>
      </c>
      <c r="N386" s="2" t="str">
        <f>VLOOKUP(ESales_DB[[#This Row],[Customer_ID]],Ecustom_DB[],3,FALSE)</f>
        <v>David Lozano</v>
      </c>
      <c r="O386" s="2" t="str">
        <f>_xlfn.XLOOKUP(ESales_DB[[#This Row],[Product_ID]],Eproduct_DB[Product_ID],Eproduct_DB[Category])</f>
        <v>Sports</v>
      </c>
      <c r="P386" s="2" t="str">
        <f>_xlfn.XLOOKUP(ESales_DB[[#This Row],[Product_ID]],Eproduct_DB[Product_ID],Eproduct_DB[Product_Name])</f>
        <v>Cricket Bat</v>
      </c>
      <c r="Q386" s="2" t="str">
        <f>_xlfn.XLOOKUP(ESales_DB[[#This Row],[Store_ID]],Estore_DB[Store_ID],Estore_DB[Region])</f>
        <v>North</v>
      </c>
      <c r="R386" t="str">
        <f>VLOOKUP(ESales_DB[[#This Row],[Customer_ID]],Ecustom_DB[],10,FALSE)</f>
        <v>Gold</v>
      </c>
      <c r="S386" t="str">
        <f>IF(ESales_DB[[#This Row],[Quantity1]]&gt;3,"Bulk order","Normal order")</f>
        <v>Normal order</v>
      </c>
    </row>
    <row r="387" spans="1:19" x14ac:dyDescent="0.3">
      <c r="A387" t="s">
        <v>3170</v>
      </c>
      <c r="B387" s="4">
        <v>45362</v>
      </c>
      <c r="C387" s="4" t="str">
        <f>TEXT(ESales_DB[[#This Row],[Order_Date]],"mmm")</f>
        <v>Mar</v>
      </c>
      <c r="D387" t="s">
        <v>942</v>
      </c>
      <c r="E387" t="s">
        <v>1742</v>
      </c>
      <c r="F387" t="s">
        <v>1776</v>
      </c>
      <c r="G387">
        <v>3</v>
      </c>
      <c r="H387" s="10">
        <f>IF(ISBLANK(ESales_DB[[#This Row],[Quantity]]),AVERAGEIF(ESales_DB[Product_ID],ESales_DB[[#This Row],[Product_ID]],ESales_DB[Quantity]),ESales_DB[[#This Row],[Quantity]])</f>
        <v>3</v>
      </c>
      <c r="I387" s="2">
        <v>612.53</v>
      </c>
      <c r="J387">
        <v>0.21</v>
      </c>
      <c r="K387" t="s">
        <v>1829</v>
      </c>
      <c r="L387" s="2">
        <v>1451.6960999999999</v>
      </c>
      <c r="M387" s="2" t="str">
        <f>IF(ESales_DB[[#This Row],[Total_Amount]]&gt;1000,"High","Low")</f>
        <v>High</v>
      </c>
      <c r="N387" s="2" t="str">
        <f>VLOOKUP(ESales_DB[[#This Row],[Customer_ID]],Ecustom_DB[],3,FALSE)</f>
        <v>Tracy Stephens</v>
      </c>
      <c r="O387" s="2" t="str">
        <f>_xlfn.XLOOKUP(ESales_DB[[#This Row],[Product_ID]],Eproduct_DB[Product_ID],Eproduct_DB[Category])</f>
        <v>Sports</v>
      </c>
      <c r="P387" s="2" t="str">
        <f>_xlfn.XLOOKUP(ESales_DB[[#This Row],[Product_ID]],Eproduct_DB[Product_ID],Eproduct_DB[Product_Name])</f>
        <v>Cricket Bat</v>
      </c>
      <c r="Q387" s="2" t="str">
        <f>_xlfn.XLOOKUP(ESales_DB[[#This Row],[Store_ID]],Estore_DB[Store_ID],Estore_DB[Region])</f>
        <v>East</v>
      </c>
      <c r="R387" t="str">
        <f>VLOOKUP(ESales_DB[[#This Row],[Customer_ID]],Ecustom_DB[],10,FALSE)</f>
        <v>Platinum</v>
      </c>
      <c r="S387" t="str">
        <f>IF(ESales_DB[[#This Row],[Quantity1]]&gt;3,"Bulk order","Normal order")</f>
        <v>Normal order</v>
      </c>
    </row>
    <row r="388" spans="1:19" x14ac:dyDescent="0.3">
      <c r="A388" t="s">
        <v>3171</v>
      </c>
      <c r="B388" s="4">
        <v>45544</v>
      </c>
      <c r="C388" s="4" t="str">
        <f>TEXT(ESales_DB[[#This Row],[Order_Date]],"mmm")</f>
        <v>Sep</v>
      </c>
      <c r="D388" t="s">
        <v>160</v>
      </c>
      <c r="E388" t="s">
        <v>1674</v>
      </c>
      <c r="F388" t="s">
        <v>1804</v>
      </c>
      <c r="G388">
        <v>3</v>
      </c>
      <c r="H388" s="10">
        <f>IF(ISBLANK(ESales_DB[[#This Row],[Quantity]]),AVERAGEIF(ESales_DB[Product_ID],ESales_DB[[#This Row],[Product_ID]],ESales_DB[Quantity]),ESales_DB[[#This Row],[Quantity]])</f>
        <v>3</v>
      </c>
      <c r="I388" s="2">
        <v>841.37</v>
      </c>
      <c r="J388">
        <v>0.28999999999999998</v>
      </c>
      <c r="K388" t="s">
        <v>1826</v>
      </c>
      <c r="L388" s="2">
        <v>1792.1180999999999</v>
      </c>
      <c r="M388" s="2" t="str">
        <f>IF(ESales_DB[[#This Row],[Total_Amount]]&gt;1000,"High","Low")</f>
        <v>High</v>
      </c>
      <c r="N388" s="2" t="str">
        <f>VLOOKUP(ESales_DB[[#This Row],[Customer_ID]],Ecustom_DB[],3,FALSE)</f>
        <v>James Gibbs</v>
      </c>
      <c r="O388" s="2" t="str">
        <f>_xlfn.XLOOKUP(ESales_DB[[#This Row],[Product_ID]],Eproduct_DB[Product_ID],Eproduct_DB[Category])</f>
        <v>Beauty</v>
      </c>
      <c r="P388" s="2" t="str">
        <f>_xlfn.XLOOKUP(ESales_DB[[#This Row],[Product_ID]],Eproduct_DB[Product_ID],Eproduct_DB[Product_Name])</f>
        <v>Organic Sunscreen Lotion</v>
      </c>
      <c r="Q388" s="2" t="str">
        <f>_xlfn.XLOOKUP(ESales_DB[[#This Row],[Store_ID]],Estore_DB[Store_ID],Estore_DB[Region])</f>
        <v>West</v>
      </c>
      <c r="R388" t="str">
        <f>VLOOKUP(ESales_DB[[#This Row],[Customer_ID]],Ecustom_DB[],10,FALSE)</f>
        <v>Platinum</v>
      </c>
      <c r="S388" t="str">
        <f>IF(ESales_DB[[#This Row],[Quantity1]]&gt;3,"Bulk order","Normal order")</f>
        <v>Normal order</v>
      </c>
    </row>
    <row r="389" spans="1:19" x14ac:dyDescent="0.3">
      <c r="A389" t="s">
        <v>3172</v>
      </c>
      <c r="B389" s="4">
        <v>45249</v>
      </c>
      <c r="C389" s="4" t="str">
        <f>TEXT(ESales_DB[[#This Row],[Order_Date]],"mmm")</f>
        <v>Nov</v>
      </c>
      <c r="D389" t="s">
        <v>833</v>
      </c>
      <c r="E389" t="s">
        <v>1644</v>
      </c>
      <c r="F389" t="s">
        <v>1786</v>
      </c>
      <c r="G389">
        <v>2</v>
      </c>
      <c r="H389" s="10">
        <f>IF(ISBLANK(ESales_DB[[#This Row],[Quantity]]),AVERAGEIF(ESales_DB[Product_ID],ESales_DB[[#This Row],[Product_ID]],ESales_DB[Quantity]),ESales_DB[[#This Row],[Quantity]])</f>
        <v>2</v>
      </c>
      <c r="I389" s="2">
        <v>636.51</v>
      </c>
      <c r="J389">
        <v>0.25</v>
      </c>
      <c r="K389" t="s">
        <v>1824</v>
      </c>
      <c r="L389" s="2">
        <v>954.76499999999999</v>
      </c>
      <c r="M389" s="2" t="str">
        <f>IF(ESales_DB[[#This Row],[Total_Amount]]&gt;1000,"High","Low")</f>
        <v>Low</v>
      </c>
      <c r="N389" s="2" t="str">
        <f>VLOOKUP(ESales_DB[[#This Row],[Customer_ID]],Ecustom_DB[],3,FALSE)</f>
        <v>Carol Bishop</v>
      </c>
      <c r="O389" s="2" t="str">
        <f>_xlfn.XLOOKUP(ESales_DB[[#This Row],[Product_ID]],Eproduct_DB[Product_ID],Eproduct_DB[Category])</f>
        <v>Electronics</v>
      </c>
      <c r="P389" s="2" t="str">
        <f>_xlfn.XLOOKUP(ESales_DB[[#This Row],[Product_ID]],Eproduct_DB[Product_ID],Eproduct_DB[Product_Name])</f>
        <v>Car Dashboard Phone Holder</v>
      </c>
      <c r="Q389" s="2" t="str">
        <f>_xlfn.XLOOKUP(ESales_DB[[#This Row],[Store_ID]],Estore_DB[Store_ID],Estore_DB[Region])</f>
        <v>South</v>
      </c>
      <c r="R389" t="str">
        <f>VLOOKUP(ESales_DB[[#This Row],[Customer_ID]],Ecustom_DB[],10,FALSE)</f>
        <v>Silver</v>
      </c>
      <c r="S389" t="str">
        <f>IF(ESales_DB[[#This Row],[Quantity1]]&gt;3,"Bulk order","Normal order")</f>
        <v>Normal order</v>
      </c>
    </row>
    <row r="390" spans="1:19" x14ac:dyDescent="0.3">
      <c r="A390" t="s">
        <v>3173</v>
      </c>
      <c r="B390" s="4">
        <v>45659</v>
      </c>
      <c r="C390" s="4" t="str">
        <f>TEXT(ESales_DB[[#This Row],[Order_Date]],"mmm")</f>
        <v>Jan</v>
      </c>
      <c r="D390" t="s">
        <v>329</v>
      </c>
      <c r="E390" t="s">
        <v>1638</v>
      </c>
      <c r="F390" t="s">
        <v>1782</v>
      </c>
      <c r="G390">
        <v>2</v>
      </c>
      <c r="H390" s="10">
        <f>IF(ISBLANK(ESales_DB[[#This Row],[Quantity]]),AVERAGEIF(ESales_DB[Product_ID],ESales_DB[[#This Row],[Product_ID]],ESales_DB[Quantity]),ESales_DB[[#This Row],[Quantity]])</f>
        <v>2</v>
      </c>
      <c r="I390" s="2">
        <v>732.37</v>
      </c>
      <c r="J390">
        <v>0.22</v>
      </c>
      <c r="K390" t="s">
        <v>1829</v>
      </c>
      <c r="L390" s="2">
        <v>1142.4972</v>
      </c>
      <c r="M390" s="2" t="str">
        <f>IF(ESales_DB[[#This Row],[Total_Amount]]&gt;1000,"High","Low")</f>
        <v>High</v>
      </c>
      <c r="N390" s="2" t="str">
        <f>VLOOKUP(ESales_DB[[#This Row],[Customer_ID]],Ecustom_DB[],3,FALSE)</f>
        <v>Donna Gregory</v>
      </c>
      <c r="O390" s="2" t="str">
        <f>_xlfn.XLOOKUP(ESales_DB[[#This Row],[Product_ID]],Eproduct_DB[Product_ID],Eproduct_DB[Category])</f>
        <v>Sports</v>
      </c>
      <c r="P390" s="2" t="str">
        <f>_xlfn.XLOOKUP(ESales_DB[[#This Row],[Product_ID]],Eproduct_DB[Product_ID],Eproduct_DB[Product_Name])</f>
        <v>High-Grip Football</v>
      </c>
      <c r="Q390" s="2" t="str">
        <f>_xlfn.XLOOKUP(ESales_DB[[#This Row],[Store_ID]],Estore_DB[Store_ID],Estore_DB[Region])</f>
        <v>West</v>
      </c>
      <c r="R390" t="str">
        <f>VLOOKUP(ESales_DB[[#This Row],[Customer_ID]],Ecustom_DB[],10,FALSE)</f>
        <v>Silver</v>
      </c>
      <c r="S390" t="str">
        <f>IF(ESales_DB[[#This Row],[Quantity1]]&gt;3,"Bulk order","Normal order")</f>
        <v>Normal order</v>
      </c>
    </row>
    <row r="391" spans="1:19" x14ac:dyDescent="0.3">
      <c r="A391" t="s">
        <v>3174</v>
      </c>
      <c r="B391" s="4">
        <v>45927</v>
      </c>
      <c r="C391" s="4" t="str">
        <f>TEXT(ESales_DB[[#This Row],[Order_Date]],"mmm")</f>
        <v>Sep</v>
      </c>
      <c r="D391" t="s">
        <v>547</v>
      </c>
      <c r="E391" t="s">
        <v>1656</v>
      </c>
      <c r="F391" t="s">
        <v>1804</v>
      </c>
      <c r="G391">
        <v>3</v>
      </c>
      <c r="H391" s="10">
        <f>IF(ISBLANK(ESales_DB[[#This Row],[Quantity]]),AVERAGEIF(ESales_DB[Product_ID],ESales_DB[[#This Row],[Product_ID]],ESales_DB[Quantity]),ESales_DB[[#This Row],[Quantity]])</f>
        <v>3</v>
      </c>
      <c r="I391" s="2">
        <v>183.44</v>
      </c>
      <c r="J391">
        <v>0.28000000000000003</v>
      </c>
      <c r="K391" t="s">
        <v>1829</v>
      </c>
      <c r="L391" s="2">
        <v>396.23039999999992</v>
      </c>
      <c r="M391" s="2" t="str">
        <f>IF(ESales_DB[[#This Row],[Total_Amount]]&gt;1000,"High","Low")</f>
        <v>Low</v>
      </c>
      <c r="N391" s="2" t="str">
        <f>VLOOKUP(ESales_DB[[#This Row],[Customer_ID]],Ecustom_DB[],3,FALSE)</f>
        <v>Daniel Rivas</v>
      </c>
      <c r="O391" s="2" t="str">
        <f>_xlfn.XLOOKUP(ESales_DB[[#This Row],[Product_ID]],Eproduct_DB[Product_ID],Eproduct_DB[Category])</f>
        <v>Sports</v>
      </c>
      <c r="P391" s="2" t="str">
        <f>_xlfn.XLOOKUP(ESales_DB[[#This Row],[Product_ID]],Eproduct_DB[Product_ID],Eproduct_DB[Product_Name])</f>
        <v>Sports Stopwatch Pro</v>
      </c>
      <c r="Q391" s="2" t="str">
        <f>_xlfn.XLOOKUP(ESales_DB[[#This Row],[Store_ID]],Estore_DB[Store_ID],Estore_DB[Region])</f>
        <v>West</v>
      </c>
      <c r="R391" t="str">
        <f>VLOOKUP(ESales_DB[[#This Row],[Customer_ID]],Ecustom_DB[],10,FALSE)</f>
        <v>Silver</v>
      </c>
      <c r="S391" t="str">
        <f>IF(ESales_DB[[#This Row],[Quantity1]]&gt;3,"Bulk order","Normal order")</f>
        <v>Normal order</v>
      </c>
    </row>
    <row r="392" spans="1:19" x14ac:dyDescent="0.3">
      <c r="A392" t="s">
        <v>3175</v>
      </c>
      <c r="B392" s="4">
        <v>45373</v>
      </c>
      <c r="C392" s="4" t="str">
        <f>TEXT(ESales_DB[[#This Row],[Order_Date]],"mmm")</f>
        <v>Mar</v>
      </c>
      <c r="D392" t="s">
        <v>241</v>
      </c>
      <c r="E392" t="s">
        <v>1570</v>
      </c>
      <c r="F392" t="s">
        <v>1797</v>
      </c>
      <c r="G392">
        <v>4</v>
      </c>
      <c r="H392" s="10">
        <f>IF(ISBLANK(ESales_DB[[#This Row],[Quantity]]),AVERAGEIF(ESales_DB[Product_ID],ESales_DB[[#This Row],[Product_ID]],ESales_DB[Quantity]),ESales_DB[[#This Row],[Quantity]])</f>
        <v>4</v>
      </c>
      <c r="I392" s="2">
        <v>898.58</v>
      </c>
      <c r="J392">
        <v>0.16</v>
      </c>
      <c r="K392" t="s">
        <v>1826</v>
      </c>
      <c r="L392" s="2">
        <v>3019.2287999999999</v>
      </c>
      <c r="M392" s="2" t="str">
        <f>IF(ESales_DB[[#This Row],[Total_Amount]]&gt;1000,"High","Low")</f>
        <v>High</v>
      </c>
      <c r="N392" s="2" t="str">
        <f>VLOOKUP(ESales_DB[[#This Row],[Customer_ID]],Ecustom_DB[],3,FALSE)</f>
        <v>Michael Thomas</v>
      </c>
      <c r="O392" s="2" t="str">
        <f>_xlfn.XLOOKUP(ESales_DB[[#This Row],[Product_ID]],Eproduct_DB[Product_ID],Eproduct_DB[Category])</f>
        <v>Electronics</v>
      </c>
      <c r="P392" s="2" t="str">
        <f>_xlfn.XLOOKUP(ESales_DB[[#This Row],[Product_ID]],Eproduct_DB[Product_ID],Eproduct_DB[Product_Name])</f>
        <v>HD Smart TV Stick</v>
      </c>
      <c r="Q392" s="2" t="str">
        <f>_xlfn.XLOOKUP(ESales_DB[[#This Row],[Store_ID]],Estore_DB[Store_ID],Estore_DB[Region])</f>
        <v>East</v>
      </c>
      <c r="R392" t="str">
        <f>VLOOKUP(ESales_DB[[#This Row],[Customer_ID]],Ecustom_DB[],10,FALSE)</f>
        <v>Silver</v>
      </c>
      <c r="S392" t="str">
        <f>IF(ESales_DB[[#This Row],[Quantity1]]&gt;3,"Bulk order","Normal order")</f>
        <v>Bulk order</v>
      </c>
    </row>
    <row r="393" spans="1:19" x14ac:dyDescent="0.3">
      <c r="A393" t="s">
        <v>1961</v>
      </c>
      <c r="B393" s="4">
        <v>45544</v>
      </c>
      <c r="C393" s="4" t="str">
        <f>TEXT(ESales_DB[[#This Row],[Order_Date]],"mmm")</f>
        <v>Sep</v>
      </c>
      <c r="D393" t="s">
        <v>1325</v>
      </c>
      <c r="E393" t="s">
        <v>1654</v>
      </c>
      <c r="F393" t="s">
        <v>1773</v>
      </c>
      <c r="G393">
        <v>3</v>
      </c>
      <c r="H393" s="10">
        <f>IF(ISBLANK(ESales_DB[[#This Row],[Quantity]]),AVERAGEIF(ESales_DB[Product_ID],ESales_DB[[#This Row],[Product_ID]],ESales_DB[Quantity]),ESales_DB[[#This Row],[Quantity]])</f>
        <v>3</v>
      </c>
      <c r="I393" s="2">
        <v>576.52</v>
      </c>
      <c r="J393">
        <v>0.22</v>
      </c>
      <c r="K393" t="s">
        <v>1829</v>
      </c>
      <c r="L393" s="2">
        <v>1349.0568000000001</v>
      </c>
      <c r="M393" s="2" t="str">
        <f>IF(ESales_DB[[#This Row],[Total_Amount]]&gt;1000,"High","Low")</f>
        <v>High</v>
      </c>
      <c r="N393" s="2" t="str">
        <f>VLOOKUP(ESales_DB[[#This Row],[Customer_ID]],Ecustom_DB[],3,FALSE)</f>
        <v>Jose Stewart</v>
      </c>
      <c r="O393" s="2" t="str">
        <f>_xlfn.XLOOKUP(ESales_DB[[#This Row],[Product_ID]],Eproduct_DB[Product_ID],Eproduct_DB[Category])</f>
        <v>Clothing</v>
      </c>
      <c r="P393" s="2" t="str">
        <f>_xlfn.XLOOKUP(ESales_DB[[#This Row],[Product_ID]],Eproduct_DB[Product_ID],Eproduct_DB[Product_Name])</f>
        <v>Men's Track Pants</v>
      </c>
      <c r="Q393" s="2" t="str">
        <f>_xlfn.XLOOKUP(ESales_DB[[#This Row],[Store_ID]],Estore_DB[Store_ID],Estore_DB[Region])</f>
        <v>North</v>
      </c>
      <c r="R393" t="str">
        <f>VLOOKUP(ESales_DB[[#This Row],[Customer_ID]],Ecustom_DB[],10,FALSE)</f>
        <v>Gold</v>
      </c>
      <c r="S393" t="str">
        <f>IF(ESales_DB[[#This Row],[Quantity1]]&gt;3,"Bulk order","Normal order")</f>
        <v>Normal order</v>
      </c>
    </row>
    <row r="394" spans="1:19" x14ac:dyDescent="0.3">
      <c r="A394" t="s">
        <v>3176</v>
      </c>
      <c r="B394" s="4">
        <v>45529</v>
      </c>
      <c r="C394" s="4" t="str">
        <f>TEXT(ESales_DB[[#This Row],[Order_Date]],"mmm")</f>
        <v>Aug</v>
      </c>
      <c r="D394" t="s">
        <v>1217</v>
      </c>
      <c r="E394" t="s">
        <v>1594</v>
      </c>
      <c r="F394" t="s">
        <v>1761</v>
      </c>
      <c r="G394">
        <v>3</v>
      </c>
      <c r="H394" s="10">
        <f>IF(ISBLANK(ESales_DB[[#This Row],[Quantity]]),AVERAGEIF(ESales_DB[Product_ID],ESales_DB[[#This Row],[Product_ID]],ESales_DB[Quantity]),ESales_DB[[#This Row],[Quantity]])</f>
        <v>3</v>
      </c>
      <c r="I394" s="2">
        <v>152.41</v>
      </c>
      <c r="J394">
        <v>0.25</v>
      </c>
      <c r="K394" t="s">
        <v>1824</v>
      </c>
      <c r="L394" s="2">
        <v>342.92250000000001</v>
      </c>
      <c r="M394" s="2" t="str">
        <f>IF(ESales_DB[[#This Row],[Total_Amount]]&gt;1000,"High","Low")</f>
        <v>Low</v>
      </c>
      <c r="N394" s="2" t="str">
        <f>VLOOKUP(ESales_DB[[#This Row],[Customer_ID]],Ecustom_DB[],3,FALSE)</f>
        <v>Daniel Bell</v>
      </c>
      <c r="O394" s="2" t="str">
        <f>_xlfn.XLOOKUP(ESales_DB[[#This Row],[Product_ID]],Eproduct_DB[Product_ID],Eproduct_DB[Category])</f>
        <v>Clothing</v>
      </c>
      <c r="P394" s="2" t="str">
        <f>_xlfn.XLOOKUP(ESales_DB[[#This Row],[Product_ID]],Eproduct_DB[Product_ID],Eproduct_DB[Product_Name])</f>
        <v>Men's Formal Shirt</v>
      </c>
      <c r="Q394" s="2" t="str">
        <f>_xlfn.XLOOKUP(ESales_DB[[#This Row],[Store_ID]],Estore_DB[Store_ID],Estore_DB[Region])</f>
        <v>South</v>
      </c>
      <c r="R394" t="str">
        <f>VLOOKUP(ESales_DB[[#This Row],[Customer_ID]],Ecustom_DB[],10,FALSE)</f>
        <v>Silver</v>
      </c>
      <c r="S394" t="str">
        <f>IF(ESales_DB[[#This Row],[Quantity1]]&gt;3,"Bulk order","Normal order")</f>
        <v>Normal order</v>
      </c>
    </row>
    <row r="395" spans="1:19" x14ac:dyDescent="0.3">
      <c r="A395" t="s">
        <v>3177</v>
      </c>
      <c r="B395" s="4">
        <v>45872</v>
      </c>
      <c r="C395" s="4" t="str">
        <f>TEXT(ESales_DB[[#This Row],[Order_Date]],"mmm")</f>
        <v>Aug</v>
      </c>
      <c r="D395" t="s">
        <v>722</v>
      </c>
      <c r="E395" t="s">
        <v>1732</v>
      </c>
      <c r="F395" t="s">
        <v>1799</v>
      </c>
      <c r="G395">
        <v>3</v>
      </c>
      <c r="H395" s="10">
        <f>IF(ISBLANK(ESales_DB[[#This Row],[Quantity]]),AVERAGEIF(ESales_DB[Product_ID],ESales_DB[[#This Row],[Product_ID]],ESales_DB[Quantity]),ESales_DB[[#This Row],[Quantity]])</f>
        <v>3</v>
      </c>
      <c r="I395" s="2">
        <v>972.58</v>
      </c>
      <c r="J395">
        <v>0.28000000000000003</v>
      </c>
      <c r="K395" t="s">
        <v>1829</v>
      </c>
      <c r="L395" s="2">
        <v>2100.7728000000002</v>
      </c>
      <c r="M395" s="2" t="str">
        <f>IF(ESales_DB[[#This Row],[Total_Amount]]&gt;1000,"High","Low")</f>
        <v>High</v>
      </c>
      <c r="N395" s="2" t="str">
        <f>VLOOKUP(ESales_DB[[#This Row],[Customer_ID]],Ecustom_DB[],3,FALSE)</f>
        <v>Robert Harris</v>
      </c>
      <c r="O395" s="2" t="str">
        <f>_xlfn.XLOOKUP(ESales_DB[[#This Row],[Product_ID]],Eproduct_DB[Product_ID],Eproduct_DB[Category])</f>
        <v>Home</v>
      </c>
      <c r="P395" s="2" t="str">
        <f>_xlfn.XLOOKUP(ESales_DB[[#This Row],[Product_ID]],Eproduct_DB[Product_ID],Eproduct_DB[Product_Name])</f>
        <v>Microwave Oven</v>
      </c>
      <c r="Q395" s="2" t="str">
        <f>_xlfn.XLOOKUP(ESales_DB[[#This Row],[Store_ID]],Estore_DB[Store_ID],Estore_DB[Region])</f>
        <v>South</v>
      </c>
      <c r="R395" t="str">
        <f>VLOOKUP(ESales_DB[[#This Row],[Customer_ID]],Ecustom_DB[],10,FALSE)</f>
        <v>Platinum</v>
      </c>
      <c r="S395" t="str">
        <f>IF(ESales_DB[[#This Row],[Quantity1]]&gt;3,"Bulk order","Normal order")</f>
        <v>Normal order</v>
      </c>
    </row>
    <row r="396" spans="1:19" x14ac:dyDescent="0.3">
      <c r="A396" t="s">
        <v>3178</v>
      </c>
      <c r="B396" s="4">
        <v>45267</v>
      </c>
      <c r="C396" s="4" t="str">
        <f>TEXT(ESales_DB[[#This Row],[Order_Date]],"mmm")</f>
        <v>Dec</v>
      </c>
      <c r="D396" t="s">
        <v>1437</v>
      </c>
      <c r="E396" t="s">
        <v>1686</v>
      </c>
      <c r="F396" t="s">
        <v>1792</v>
      </c>
      <c r="G396">
        <v>4</v>
      </c>
      <c r="H396" s="10">
        <f>IF(ISBLANK(ESales_DB[[#This Row],[Quantity]]),AVERAGEIF(ESales_DB[Product_ID],ESales_DB[[#This Row],[Product_ID]],ESales_DB[Quantity]),ESales_DB[[#This Row],[Quantity]])</f>
        <v>4</v>
      </c>
      <c r="I396" s="2">
        <v>136.4</v>
      </c>
      <c r="J396">
        <v>0.04</v>
      </c>
      <c r="K396" t="s">
        <v>1829</v>
      </c>
      <c r="L396" s="2">
        <v>523.77599999999995</v>
      </c>
      <c r="M396" s="2" t="str">
        <f>IF(ESales_DB[[#This Row],[Total_Amount]]&gt;1000,"High","Low")</f>
        <v>Low</v>
      </c>
      <c r="N396" s="2" t="str">
        <f>VLOOKUP(ESales_DB[[#This Row],[Customer_ID]],Ecustom_DB[],3,FALSE)</f>
        <v>Cynthia Parrish</v>
      </c>
      <c r="O396" s="2" t="str">
        <f>_xlfn.XLOOKUP(ESales_DB[[#This Row],[Product_ID]],Eproduct_DB[Product_ID],Eproduct_DB[Category])</f>
        <v>Clothing</v>
      </c>
      <c r="P396" s="2" t="str">
        <f>_xlfn.XLOOKUP(ESales_DB[[#This Row],[Product_ID]],Eproduct_DB[Product_ID],Eproduct_DB[Product_Name])</f>
        <v>Men's Sports Shorts</v>
      </c>
      <c r="Q396" s="2" t="str">
        <f>_xlfn.XLOOKUP(ESales_DB[[#This Row],[Store_ID]],Estore_DB[Store_ID],Estore_DB[Region])</f>
        <v>South</v>
      </c>
      <c r="R396" t="str">
        <f>VLOOKUP(ESales_DB[[#This Row],[Customer_ID]],Ecustom_DB[],10,FALSE)</f>
        <v>Silver</v>
      </c>
      <c r="S396" t="str">
        <f>IF(ESales_DB[[#This Row],[Quantity1]]&gt;3,"Bulk order","Normal order")</f>
        <v>Bulk order</v>
      </c>
    </row>
    <row r="397" spans="1:19" x14ac:dyDescent="0.3">
      <c r="A397" t="s">
        <v>3179</v>
      </c>
      <c r="B397" s="4">
        <v>45894</v>
      </c>
      <c r="C397" s="4" t="str">
        <f>TEXT(ESales_DB[[#This Row],[Order_Date]],"mmm")</f>
        <v>Aug</v>
      </c>
      <c r="D397" t="s">
        <v>1246</v>
      </c>
      <c r="E397" t="s">
        <v>1736</v>
      </c>
      <c r="F397" t="s">
        <v>1801</v>
      </c>
      <c r="G397">
        <v>1</v>
      </c>
      <c r="H397" s="10">
        <f>IF(ISBLANK(ESales_DB[[#This Row],[Quantity]]),AVERAGEIF(ESales_DB[Product_ID],ESales_DB[[#This Row],[Product_ID]],ESales_DB[Quantity]),ESales_DB[[#This Row],[Quantity]])</f>
        <v>1</v>
      </c>
      <c r="I397" s="2">
        <v>509.63</v>
      </c>
      <c r="J397">
        <v>0.27</v>
      </c>
      <c r="K397" t="s">
        <v>1829</v>
      </c>
      <c r="L397" s="2">
        <v>372.0299</v>
      </c>
      <c r="M397" s="2" t="str">
        <f>IF(ESales_DB[[#This Row],[Total_Amount]]&gt;1000,"High","Low")</f>
        <v>Low</v>
      </c>
      <c r="N397" s="2" t="str">
        <f>VLOOKUP(ESales_DB[[#This Row],[Customer_ID]],Ecustom_DB[],3,FALSE)</f>
        <v>Mark Rogers</v>
      </c>
      <c r="O397" s="2" t="str">
        <f>_xlfn.XLOOKUP(ESales_DB[[#This Row],[Product_ID]],Eproduct_DB[Product_ID],Eproduct_DB[Category])</f>
        <v>Beauty</v>
      </c>
      <c r="P397" s="2" t="str">
        <f>_xlfn.XLOOKUP(ESales_DB[[#This Row],[Product_ID]],Eproduct_DB[Product_ID],Eproduct_DB[Product_Name])</f>
        <v>Vitamin E Body Lotion</v>
      </c>
      <c r="Q397" s="2" t="str">
        <f>_xlfn.XLOOKUP(ESales_DB[[#This Row],[Store_ID]],Estore_DB[Store_ID],Estore_DB[Region])</f>
        <v>North</v>
      </c>
      <c r="R397" t="str">
        <f>VLOOKUP(ESales_DB[[#This Row],[Customer_ID]],Ecustom_DB[],10,FALSE)</f>
        <v>Platinum</v>
      </c>
      <c r="S397" t="str">
        <f>IF(ESales_DB[[#This Row],[Quantity1]]&gt;3,"Bulk order","Normal order")</f>
        <v>Normal order</v>
      </c>
    </row>
    <row r="398" spans="1:19" x14ac:dyDescent="0.3">
      <c r="A398" t="s">
        <v>3180</v>
      </c>
      <c r="B398" s="4">
        <v>45331</v>
      </c>
      <c r="C398" s="4" t="str">
        <f>TEXT(ESales_DB[[#This Row],[Order_Date]],"mmm")</f>
        <v>Feb</v>
      </c>
      <c r="D398" t="s">
        <v>23</v>
      </c>
      <c r="E398" t="s">
        <v>1742</v>
      </c>
      <c r="F398" t="s">
        <v>1766</v>
      </c>
      <c r="G398">
        <v>4</v>
      </c>
      <c r="H398" s="10">
        <f>IF(ISBLANK(ESales_DB[[#This Row],[Quantity]]),AVERAGEIF(ESales_DB[Product_ID],ESales_DB[[#This Row],[Product_ID]],ESales_DB[Quantity]),ESales_DB[[#This Row],[Quantity]])</f>
        <v>4</v>
      </c>
      <c r="I398" s="2">
        <v>360.28</v>
      </c>
      <c r="J398">
        <v>0.09</v>
      </c>
      <c r="K398" t="s">
        <v>1829</v>
      </c>
      <c r="L398" s="2">
        <v>1311.4192</v>
      </c>
      <c r="M398" s="2" t="str">
        <f>IF(ESales_DB[[#This Row],[Total_Amount]]&gt;1000,"High","Low")</f>
        <v>High</v>
      </c>
      <c r="N398" s="2" t="str">
        <f>VLOOKUP(ESales_DB[[#This Row],[Customer_ID]],Ecustom_DB[],3,FALSE)</f>
        <v>Jeremy Harris</v>
      </c>
      <c r="O398" s="2" t="str">
        <f>_xlfn.XLOOKUP(ESales_DB[[#This Row],[Product_ID]],Eproduct_DB[Product_ID],Eproduct_DB[Category])</f>
        <v>Sports</v>
      </c>
      <c r="P398" s="2" t="str">
        <f>_xlfn.XLOOKUP(ESales_DB[[#This Row],[Product_ID]],Eproduct_DB[Product_ID],Eproduct_DB[Product_Name])</f>
        <v>Cricket Bat</v>
      </c>
      <c r="Q398" s="2" t="str">
        <f>_xlfn.XLOOKUP(ESales_DB[[#This Row],[Store_ID]],Estore_DB[Store_ID],Estore_DB[Region])</f>
        <v>North</v>
      </c>
      <c r="R398" t="str">
        <f>VLOOKUP(ESales_DB[[#This Row],[Customer_ID]],Ecustom_DB[],10,FALSE)</f>
        <v>Bronze</v>
      </c>
      <c r="S398" t="str">
        <f>IF(ESales_DB[[#This Row],[Quantity1]]&gt;3,"Bulk order","Normal order")</f>
        <v>Bulk order</v>
      </c>
    </row>
    <row r="399" spans="1:19" x14ac:dyDescent="0.3">
      <c r="A399" t="s">
        <v>3181</v>
      </c>
      <c r="B399" s="4">
        <v>45910</v>
      </c>
      <c r="C399" s="4" t="str">
        <f>TEXT(ESales_DB[[#This Row],[Order_Date]],"mmm")</f>
        <v>Sep</v>
      </c>
      <c r="D399" t="s">
        <v>292</v>
      </c>
      <c r="E399" t="s">
        <v>1726</v>
      </c>
      <c r="F399" t="s">
        <v>1801</v>
      </c>
      <c r="G399">
        <v>3</v>
      </c>
      <c r="H399" s="10">
        <f>IF(ISBLANK(ESales_DB[[#This Row],[Quantity]]),AVERAGEIF(ESales_DB[Product_ID],ESales_DB[[#This Row],[Product_ID]],ESales_DB[Quantity]),ESales_DB[[#This Row],[Quantity]])</f>
        <v>3</v>
      </c>
      <c r="I399" s="2">
        <v>882.05</v>
      </c>
      <c r="J399">
        <v>0.06</v>
      </c>
      <c r="K399" t="s">
        <v>1826</v>
      </c>
      <c r="L399" s="2">
        <v>2487.3809999999989</v>
      </c>
      <c r="M399" s="2" t="str">
        <f>IF(ESales_DB[[#This Row],[Total_Amount]]&gt;1000,"High","Low")</f>
        <v>High</v>
      </c>
      <c r="N399" s="2" t="str">
        <f>VLOOKUP(ESales_DB[[#This Row],[Customer_ID]],Ecustom_DB[],3,FALSE)</f>
        <v>Jennifer Garcia</v>
      </c>
      <c r="O399" s="2" t="str">
        <f>_xlfn.XLOOKUP(ESales_DB[[#This Row],[Product_ID]],Eproduct_DB[Product_ID],Eproduct_DB[Category])</f>
        <v>Beauty</v>
      </c>
      <c r="P399" s="2" t="str">
        <f>_xlfn.XLOOKUP(ESales_DB[[#This Row],[Product_ID]],Eproduct_DB[Product_ID],Eproduct_DB[Product_Name])</f>
        <v>Face Foundation Kit</v>
      </c>
      <c r="Q399" s="2" t="str">
        <f>_xlfn.XLOOKUP(ESales_DB[[#This Row],[Store_ID]],Estore_DB[Store_ID],Estore_DB[Region])</f>
        <v>North</v>
      </c>
      <c r="R399" t="str">
        <f>VLOOKUP(ESales_DB[[#This Row],[Customer_ID]],Ecustom_DB[],10,FALSE)</f>
        <v>Bronze</v>
      </c>
      <c r="S399" t="str">
        <f>IF(ESales_DB[[#This Row],[Quantity1]]&gt;3,"Bulk order","Normal order")</f>
        <v>Normal order</v>
      </c>
    </row>
    <row r="400" spans="1:19" x14ac:dyDescent="0.3">
      <c r="A400" t="s">
        <v>3182</v>
      </c>
      <c r="B400" s="4">
        <v>45564</v>
      </c>
      <c r="C400" s="4" t="str">
        <f>TEXT(ESales_DB[[#This Row],[Order_Date]],"mmm")</f>
        <v>Sep</v>
      </c>
      <c r="D400" t="s">
        <v>640</v>
      </c>
      <c r="E400" t="s">
        <v>1706</v>
      </c>
      <c r="F400" t="s">
        <v>1782</v>
      </c>
      <c r="G400">
        <v>3</v>
      </c>
      <c r="H400" s="10">
        <f>IF(ISBLANK(ESales_DB[[#This Row],[Quantity]]),AVERAGEIF(ESales_DB[Product_ID],ESales_DB[[#This Row],[Product_ID]],ESales_DB[Quantity]),ESales_DB[[#This Row],[Quantity]])</f>
        <v>3</v>
      </c>
      <c r="I400" s="2">
        <v>141.54</v>
      </c>
      <c r="J400">
        <v>0.12</v>
      </c>
      <c r="K400" t="s">
        <v>1826</v>
      </c>
      <c r="L400" s="2">
        <v>373.66559999999998</v>
      </c>
      <c r="M400" s="2" t="str">
        <f>IF(ESales_DB[[#This Row],[Total_Amount]]&gt;1000,"High","Low")</f>
        <v>Low</v>
      </c>
      <c r="N400" s="2" t="str">
        <f>VLOOKUP(ESales_DB[[#This Row],[Customer_ID]],Ecustom_DB[],3,FALSE)</f>
        <v>Anthony Garcia</v>
      </c>
      <c r="O400" s="2" t="str">
        <f>_xlfn.XLOOKUP(ESales_DB[[#This Row],[Product_ID]],Eproduct_DB[Product_ID],Eproduct_DB[Category])</f>
        <v>Home</v>
      </c>
      <c r="P400" s="2" t="str">
        <f>_xlfn.XLOOKUP(ESales_DB[[#This Row],[Product_ID]],Eproduct_DB[Product_ID],Eproduct_DB[Product_Name])</f>
        <v>Decorative Lamp Shade</v>
      </c>
      <c r="Q400" s="2" t="str">
        <f>_xlfn.XLOOKUP(ESales_DB[[#This Row],[Store_ID]],Estore_DB[Store_ID],Estore_DB[Region])</f>
        <v>West</v>
      </c>
      <c r="R400" t="str">
        <f>VLOOKUP(ESales_DB[[#This Row],[Customer_ID]],Ecustom_DB[],10,FALSE)</f>
        <v>Silver</v>
      </c>
      <c r="S400" t="str">
        <f>IF(ESales_DB[[#This Row],[Quantity1]]&gt;3,"Bulk order","Normal order")</f>
        <v>Normal order</v>
      </c>
    </row>
    <row r="401" spans="1:19" x14ac:dyDescent="0.3">
      <c r="A401" t="s">
        <v>3183</v>
      </c>
      <c r="B401" s="4">
        <v>45461</v>
      </c>
      <c r="C401" s="4" t="str">
        <f>TEXT(ESales_DB[[#This Row],[Order_Date]],"mmm")</f>
        <v>Jun</v>
      </c>
      <c r="D401" t="s">
        <v>168</v>
      </c>
      <c r="E401" t="s">
        <v>1578</v>
      </c>
      <c r="F401" t="s">
        <v>1769</v>
      </c>
      <c r="G401">
        <v>3</v>
      </c>
      <c r="H401" s="10">
        <f>IF(ISBLANK(ESales_DB[[#This Row],[Quantity]]),AVERAGEIF(ESales_DB[Product_ID],ESales_DB[[#This Row],[Product_ID]],ESales_DB[Quantity]),ESales_DB[[#This Row],[Quantity]])</f>
        <v>3</v>
      </c>
      <c r="I401" s="2">
        <v>83.5</v>
      </c>
      <c r="J401">
        <v>0.23</v>
      </c>
      <c r="K401" t="s">
        <v>1829</v>
      </c>
      <c r="L401" s="2">
        <v>192.88499999999999</v>
      </c>
      <c r="M401" s="2" t="str">
        <f>IF(ESales_DB[[#This Row],[Total_Amount]]&gt;1000,"High","Low")</f>
        <v>Low</v>
      </c>
      <c r="N401" s="2" t="str">
        <f>VLOOKUP(ESales_DB[[#This Row],[Customer_ID]],Ecustom_DB[],3,FALSE)</f>
        <v>Joseph Snow</v>
      </c>
      <c r="O401" s="2" t="str">
        <f>_xlfn.XLOOKUP(ESales_DB[[#This Row],[Product_ID]],Eproduct_DB[Product_ID],Eproduct_DB[Category])</f>
        <v>Electronics</v>
      </c>
      <c r="P401" s="2" t="str">
        <f>_xlfn.XLOOKUP(ESales_DB[[#This Row],[Product_ID]],Eproduct_DB[Product_ID],Eproduct_DB[Product_Name])</f>
        <v>4K Home Projector</v>
      </c>
      <c r="Q401" s="2" t="str">
        <f>_xlfn.XLOOKUP(ESales_DB[[#This Row],[Store_ID]],Estore_DB[Store_ID],Estore_DB[Region])</f>
        <v>South</v>
      </c>
      <c r="R401" t="str">
        <f>VLOOKUP(ESales_DB[[#This Row],[Customer_ID]],Ecustom_DB[],10,FALSE)</f>
        <v>Gold</v>
      </c>
      <c r="S401" t="str">
        <f>IF(ESales_DB[[#This Row],[Quantity1]]&gt;3,"Bulk order","Normal order")</f>
        <v>Normal order</v>
      </c>
    </row>
    <row r="402" spans="1:19" x14ac:dyDescent="0.3">
      <c r="A402" t="s">
        <v>3184</v>
      </c>
      <c r="B402" s="4">
        <v>45258</v>
      </c>
      <c r="C402" s="4" t="str">
        <f>TEXT(ESales_DB[[#This Row],[Order_Date]],"mmm")</f>
        <v>Nov</v>
      </c>
      <c r="D402" t="s">
        <v>425</v>
      </c>
      <c r="E402" t="s">
        <v>1576</v>
      </c>
      <c r="F402" t="s">
        <v>1776</v>
      </c>
      <c r="G402">
        <v>2</v>
      </c>
      <c r="H402" s="10">
        <f>IF(ISBLANK(ESales_DB[[#This Row],[Quantity]]),AVERAGEIF(ESales_DB[Product_ID],ESales_DB[[#This Row],[Product_ID]],ESales_DB[Quantity]),ESales_DB[[#This Row],[Quantity]])</f>
        <v>2</v>
      </c>
      <c r="I402" s="2">
        <v>629.73</v>
      </c>
      <c r="J402">
        <v>7.0000000000000007E-2</v>
      </c>
      <c r="K402" t="s">
        <v>1826</v>
      </c>
      <c r="L402" s="2">
        <v>1171.2978000000001</v>
      </c>
      <c r="M402" s="2" t="str">
        <f>IF(ESales_DB[[#This Row],[Total_Amount]]&gt;1000,"High","Low")</f>
        <v>High</v>
      </c>
      <c r="N402" s="2" t="str">
        <f>VLOOKUP(ESales_DB[[#This Row],[Customer_ID]],Ecustom_DB[],3,FALSE)</f>
        <v>Erin Hopkins</v>
      </c>
      <c r="O402" s="2" t="str">
        <f>_xlfn.XLOOKUP(ESales_DB[[#This Row],[Product_ID]],Eproduct_DB[Product_ID],Eproduct_DB[Category])</f>
        <v>Home</v>
      </c>
      <c r="P402" s="2" t="str">
        <f>_xlfn.XLOOKUP(ESales_DB[[#This Row],[Product_ID]],Eproduct_DB[Product_ID],Eproduct_DB[Product_Name])</f>
        <v>Decorative Wall Mirror</v>
      </c>
      <c r="Q402" s="2" t="str">
        <f>_xlfn.XLOOKUP(ESales_DB[[#This Row],[Store_ID]],Estore_DB[Store_ID],Estore_DB[Region])</f>
        <v>East</v>
      </c>
      <c r="R402" t="str">
        <f>VLOOKUP(ESales_DB[[#This Row],[Customer_ID]],Ecustom_DB[],10,FALSE)</f>
        <v>Silver</v>
      </c>
      <c r="S402" t="str">
        <f>IF(ESales_DB[[#This Row],[Quantity1]]&gt;3,"Bulk order","Normal order")</f>
        <v>Normal order</v>
      </c>
    </row>
    <row r="403" spans="1:19" x14ac:dyDescent="0.3">
      <c r="A403" t="s">
        <v>3185</v>
      </c>
      <c r="B403" s="4">
        <v>45228</v>
      </c>
      <c r="C403" s="4" t="str">
        <f>TEXT(ESales_DB[[#This Row],[Order_Date]],"mmm")</f>
        <v>Oct</v>
      </c>
      <c r="D403" t="s">
        <v>59</v>
      </c>
      <c r="E403" t="s">
        <v>1614</v>
      </c>
      <c r="F403" t="s">
        <v>1776</v>
      </c>
      <c r="G403">
        <v>2</v>
      </c>
      <c r="H403" s="10">
        <f>IF(ISBLANK(ESales_DB[[#This Row],[Quantity]]),AVERAGEIF(ESales_DB[Product_ID],ESales_DB[[#This Row],[Product_ID]],ESales_DB[Quantity]),ESales_DB[[#This Row],[Quantity]])</f>
        <v>2</v>
      </c>
      <c r="I403" s="2">
        <v>159.93</v>
      </c>
      <c r="J403">
        <v>0.2</v>
      </c>
      <c r="K403" t="s">
        <v>1829</v>
      </c>
      <c r="L403" s="2">
        <v>255.88800000000001</v>
      </c>
      <c r="M403" s="2" t="str">
        <f>IF(ESales_DB[[#This Row],[Total_Amount]]&gt;1000,"High","Low")</f>
        <v>Low</v>
      </c>
      <c r="N403" s="2" t="str">
        <f>VLOOKUP(ESales_DB[[#This Row],[Customer_ID]],Ecustom_DB[],3,FALSE)</f>
        <v>Kenneth Lambert</v>
      </c>
      <c r="O403" s="2" t="str">
        <f>_xlfn.XLOOKUP(ESales_DB[[#This Row],[Product_ID]],Eproduct_DB[Product_ID],Eproduct_DB[Category])</f>
        <v>Home</v>
      </c>
      <c r="P403" s="2" t="str">
        <f>_xlfn.XLOOKUP(ESales_DB[[#This Row],[Product_ID]],Eproduct_DB[Product_ID],Eproduct_DB[Product_Name])</f>
        <v>Modern Wall Clock</v>
      </c>
      <c r="Q403" s="2" t="str">
        <f>_xlfn.XLOOKUP(ESales_DB[[#This Row],[Store_ID]],Estore_DB[Store_ID],Estore_DB[Region])</f>
        <v>East</v>
      </c>
      <c r="R403" t="str">
        <f>VLOOKUP(ESales_DB[[#This Row],[Customer_ID]],Ecustom_DB[],10,FALSE)</f>
        <v>Platinum</v>
      </c>
      <c r="S403" t="str">
        <f>IF(ESales_DB[[#This Row],[Quantity1]]&gt;3,"Bulk order","Normal order")</f>
        <v>Normal order</v>
      </c>
    </row>
    <row r="404" spans="1:19" x14ac:dyDescent="0.3">
      <c r="A404" t="s">
        <v>1962</v>
      </c>
      <c r="B404" s="4">
        <v>45751</v>
      </c>
      <c r="C404" s="4" t="str">
        <f>TEXT(ESales_DB[[#This Row],[Order_Date]],"mmm")</f>
        <v>Apr</v>
      </c>
      <c r="D404" t="s">
        <v>1095</v>
      </c>
      <c r="E404" t="s">
        <v>1690</v>
      </c>
      <c r="F404" t="s">
        <v>1786</v>
      </c>
      <c r="G404">
        <v>3</v>
      </c>
      <c r="H404" s="10">
        <f>IF(ISBLANK(ESales_DB[[#This Row],[Quantity]]),AVERAGEIF(ESales_DB[Product_ID],ESales_DB[[#This Row],[Product_ID]],ESales_DB[Quantity]),ESales_DB[[#This Row],[Quantity]])</f>
        <v>3</v>
      </c>
      <c r="I404" s="2">
        <v>849.36</v>
      </c>
      <c r="J404">
        <v>0.03</v>
      </c>
      <c r="K404" t="s">
        <v>1824</v>
      </c>
      <c r="L404" s="2">
        <v>2471.6376</v>
      </c>
      <c r="M404" s="2" t="str">
        <f>IF(ESales_DB[[#This Row],[Total_Amount]]&gt;1000,"High","Low")</f>
        <v>High</v>
      </c>
      <c r="N404" s="2" t="str">
        <f>VLOOKUP(ESales_DB[[#This Row],[Customer_ID]],Ecustom_DB[],3,FALSE)</f>
        <v>Heather Valenzuela</v>
      </c>
      <c r="O404" s="2" t="str">
        <f>_xlfn.XLOOKUP(ESales_DB[[#This Row],[Product_ID]],Eproduct_DB[Product_ID],Eproduct_DB[Category])</f>
        <v>Beauty</v>
      </c>
      <c r="P404" s="2" t="str">
        <f>_xlfn.XLOOKUP(ESales_DB[[#This Row],[Product_ID]],Eproduct_DB[Product_ID],Eproduct_DB[Product_Name])</f>
        <v>Hair Repair Oil Treatment</v>
      </c>
      <c r="Q404" s="2" t="str">
        <f>_xlfn.XLOOKUP(ESales_DB[[#This Row],[Store_ID]],Estore_DB[Store_ID],Estore_DB[Region])</f>
        <v>South</v>
      </c>
      <c r="R404" t="str">
        <f>VLOOKUP(ESales_DB[[#This Row],[Customer_ID]],Ecustom_DB[],10,FALSE)</f>
        <v>Bronze</v>
      </c>
      <c r="S404" t="str">
        <f>IF(ESales_DB[[#This Row],[Quantity1]]&gt;3,"Bulk order","Normal order")</f>
        <v>Normal order</v>
      </c>
    </row>
    <row r="405" spans="1:19" x14ac:dyDescent="0.3">
      <c r="A405" t="s">
        <v>3186</v>
      </c>
      <c r="B405" s="4">
        <v>45858</v>
      </c>
      <c r="C405" s="4" t="str">
        <f>TEXT(ESales_DB[[#This Row],[Order_Date]],"mmm")</f>
        <v>Jul</v>
      </c>
      <c r="D405" t="s">
        <v>59</v>
      </c>
      <c r="E405" t="s">
        <v>1638</v>
      </c>
      <c r="F405" t="s">
        <v>1810</v>
      </c>
      <c r="G405">
        <v>1</v>
      </c>
      <c r="H405" s="10">
        <f>IF(ISBLANK(ESales_DB[[#This Row],[Quantity]]),AVERAGEIF(ESales_DB[Product_ID],ESales_DB[[#This Row],[Product_ID]],ESales_DB[Quantity]),ESales_DB[[#This Row],[Quantity]])</f>
        <v>1</v>
      </c>
      <c r="I405" s="2">
        <v>459.89</v>
      </c>
      <c r="J405">
        <v>0.18</v>
      </c>
      <c r="K405" t="s">
        <v>1829</v>
      </c>
      <c r="L405" s="2">
        <v>377.10980000000001</v>
      </c>
      <c r="M405" s="2" t="str">
        <f>IF(ESales_DB[[#This Row],[Total_Amount]]&gt;1000,"High","Low")</f>
        <v>Low</v>
      </c>
      <c r="N405" s="2" t="str">
        <f>VLOOKUP(ESales_DB[[#This Row],[Customer_ID]],Ecustom_DB[],3,FALSE)</f>
        <v>Kenneth Lambert</v>
      </c>
      <c r="O405" s="2" t="str">
        <f>_xlfn.XLOOKUP(ESales_DB[[#This Row],[Product_ID]],Eproduct_DB[Product_ID],Eproduct_DB[Category])</f>
        <v>Sports</v>
      </c>
      <c r="P405" s="2" t="str">
        <f>_xlfn.XLOOKUP(ESales_DB[[#This Row],[Product_ID]],Eproduct_DB[Product_ID],Eproduct_DB[Product_Name])</f>
        <v>High-Grip Football</v>
      </c>
      <c r="Q405" s="2" t="str">
        <f>_xlfn.XLOOKUP(ESales_DB[[#This Row],[Store_ID]],Estore_DB[Store_ID],Estore_DB[Region])</f>
        <v>East</v>
      </c>
      <c r="R405" t="str">
        <f>VLOOKUP(ESales_DB[[#This Row],[Customer_ID]],Ecustom_DB[],10,FALSE)</f>
        <v>Platinum</v>
      </c>
      <c r="S405" t="str">
        <f>IF(ESales_DB[[#This Row],[Quantity1]]&gt;3,"Bulk order","Normal order")</f>
        <v>Normal order</v>
      </c>
    </row>
    <row r="406" spans="1:19" x14ac:dyDescent="0.3">
      <c r="A406" t="s">
        <v>3187</v>
      </c>
      <c r="B406" s="4">
        <v>45532</v>
      </c>
      <c r="C406" s="4" t="str">
        <f>TEXT(ESales_DB[[#This Row],[Order_Date]],"mmm")</f>
        <v>Aug</v>
      </c>
      <c r="D406" t="s">
        <v>619</v>
      </c>
      <c r="E406" t="s">
        <v>1614</v>
      </c>
      <c r="F406" t="s">
        <v>1813</v>
      </c>
      <c r="G406">
        <v>4</v>
      </c>
      <c r="H406" s="10">
        <f>IF(ISBLANK(ESales_DB[[#This Row],[Quantity]]),AVERAGEIF(ESales_DB[Product_ID],ESales_DB[[#This Row],[Product_ID]],ESales_DB[Quantity]),ESales_DB[[#This Row],[Quantity]])</f>
        <v>4</v>
      </c>
      <c r="I406" s="2">
        <v>885.57</v>
      </c>
      <c r="J406">
        <v>0.27</v>
      </c>
      <c r="K406" t="s">
        <v>1824</v>
      </c>
      <c r="L406" s="2">
        <v>2585.8643999999999</v>
      </c>
      <c r="M406" s="2" t="str">
        <f>IF(ESales_DB[[#This Row],[Total_Amount]]&gt;1000,"High","Low")</f>
        <v>High</v>
      </c>
      <c r="N406" s="2" t="str">
        <f>VLOOKUP(ESales_DB[[#This Row],[Customer_ID]],Ecustom_DB[],3,FALSE)</f>
        <v>Kimberly Brooks</v>
      </c>
      <c r="O406" s="2" t="str">
        <f>_xlfn.XLOOKUP(ESales_DB[[#This Row],[Product_ID]],Eproduct_DB[Product_ID],Eproduct_DB[Category])</f>
        <v>Home</v>
      </c>
      <c r="P406" s="2" t="str">
        <f>_xlfn.XLOOKUP(ESales_DB[[#This Row],[Product_ID]],Eproduct_DB[Product_ID],Eproduct_DB[Product_Name])</f>
        <v>Modern Wall Clock</v>
      </c>
      <c r="Q406" s="2" t="str">
        <f>_xlfn.XLOOKUP(ESales_DB[[#This Row],[Store_ID]],Estore_DB[Store_ID],Estore_DB[Region])</f>
        <v>East</v>
      </c>
      <c r="R406" t="str">
        <f>VLOOKUP(ESales_DB[[#This Row],[Customer_ID]],Ecustom_DB[],10,FALSE)</f>
        <v>Silver</v>
      </c>
      <c r="S406" t="str">
        <f>IF(ESales_DB[[#This Row],[Quantity1]]&gt;3,"Bulk order","Normal order")</f>
        <v>Bulk order</v>
      </c>
    </row>
    <row r="407" spans="1:19" x14ac:dyDescent="0.3">
      <c r="A407" t="s">
        <v>3188</v>
      </c>
      <c r="B407" s="4">
        <v>45454</v>
      </c>
      <c r="C407" s="4" t="str">
        <f>TEXT(ESales_DB[[#This Row],[Order_Date]],"mmm")</f>
        <v>Jun</v>
      </c>
      <c r="D407" t="s">
        <v>1252</v>
      </c>
      <c r="E407" t="s">
        <v>1656</v>
      </c>
      <c r="F407" t="s">
        <v>1801</v>
      </c>
      <c r="G407">
        <v>3</v>
      </c>
      <c r="H407" s="10">
        <f>IF(ISBLANK(ESales_DB[[#This Row],[Quantity]]),AVERAGEIF(ESales_DB[Product_ID],ESales_DB[[#This Row],[Product_ID]],ESales_DB[Quantity]),ESales_DB[[#This Row],[Quantity]])</f>
        <v>3</v>
      </c>
      <c r="I407" s="2">
        <v>789.05</v>
      </c>
      <c r="J407">
        <v>0</v>
      </c>
      <c r="K407" t="s">
        <v>1826</v>
      </c>
      <c r="L407" s="2">
        <v>2367.15</v>
      </c>
      <c r="M407" s="2" t="str">
        <f>IF(ESales_DB[[#This Row],[Total_Amount]]&gt;1000,"High","Low")</f>
        <v>High</v>
      </c>
      <c r="N407" s="2" t="str">
        <f>VLOOKUP(ESales_DB[[#This Row],[Customer_ID]],Ecustom_DB[],3,FALSE)</f>
        <v>Cassandra Perez</v>
      </c>
      <c r="O407" s="2" t="str">
        <f>_xlfn.XLOOKUP(ESales_DB[[#This Row],[Product_ID]],Eproduct_DB[Product_ID],Eproduct_DB[Category])</f>
        <v>Sports</v>
      </c>
      <c r="P407" s="2" t="str">
        <f>_xlfn.XLOOKUP(ESales_DB[[#This Row],[Product_ID]],Eproduct_DB[Product_ID],Eproduct_DB[Product_Name])</f>
        <v>Sports Stopwatch Pro</v>
      </c>
      <c r="Q407" s="2" t="str">
        <f>_xlfn.XLOOKUP(ESales_DB[[#This Row],[Store_ID]],Estore_DB[Store_ID],Estore_DB[Region])</f>
        <v>North</v>
      </c>
      <c r="R407" t="str">
        <f>VLOOKUP(ESales_DB[[#This Row],[Customer_ID]],Ecustom_DB[],10,FALSE)</f>
        <v>Bronze</v>
      </c>
      <c r="S407" t="str">
        <f>IF(ESales_DB[[#This Row],[Quantity1]]&gt;3,"Bulk order","Normal order")</f>
        <v>Normal order</v>
      </c>
    </row>
    <row r="408" spans="1:19" x14ac:dyDescent="0.3">
      <c r="A408" t="s">
        <v>3189</v>
      </c>
      <c r="B408" s="4">
        <v>45244</v>
      </c>
      <c r="C408" s="4" t="str">
        <f>TEXT(ESales_DB[[#This Row],[Order_Date]],"mmm")</f>
        <v>Nov</v>
      </c>
      <c r="D408" t="s">
        <v>517</v>
      </c>
      <c r="E408" t="s">
        <v>1680</v>
      </c>
      <c r="F408" t="s">
        <v>1752</v>
      </c>
      <c r="G408">
        <v>1</v>
      </c>
      <c r="H408" s="10">
        <f>IF(ISBLANK(ESales_DB[[#This Row],[Quantity]]),AVERAGEIF(ESales_DB[Product_ID],ESales_DB[[#This Row],[Product_ID]],ESales_DB[Quantity]),ESales_DB[[#This Row],[Quantity]])</f>
        <v>1</v>
      </c>
      <c r="I408" s="2">
        <v>570.52</v>
      </c>
      <c r="J408">
        <v>0</v>
      </c>
      <c r="K408" t="s">
        <v>1826</v>
      </c>
      <c r="L408" s="2">
        <v>570.52</v>
      </c>
      <c r="M408" s="2" t="str">
        <f>IF(ESales_DB[[#This Row],[Total_Amount]]&gt;1000,"High","Low")</f>
        <v>Low</v>
      </c>
      <c r="N408" s="2" t="str">
        <f>VLOOKUP(ESales_DB[[#This Row],[Customer_ID]],Ecustom_DB[],3,FALSE)</f>
        <v>Julie Hale</v>
      </c>
      <c r="O408" s="2" t="str">
        <f>_xlfn.XLOOKUP(ESales_DB[[#This Row],[Product_ID]],Eproduct_DB[Product_ID],Eproduct_DB[Category])</f>
        <v>Beauty</v>
      </c>
      <c r="P408" s="2" t="str">
        <f>_xlfn.XLOOKUP(ESales_DB[[#This Row],[Product_ID]],Eproduct_DB[Product_ID],Eproduct_DB[Product_Name])</f>
        <v>Women's Hair Dryer Brush</v>
      </c>
      <c r="Q408" s="2" t="str">
        <f>_xlfn.XLOOKUP(ESales_DB[[#This Row],[Store_ID]],Estore_DB[Store_ID],Estore_DB[Region])</f>
        <v>East</v>
      </c>
      <c r="R408" t="str">
        <f>VLOOKUP(ESales_DB[[#This Row],[Customer_ID]],Ecustom_DB[],10,FALSE)</f>
        <v>Gold</v>
      </c>
      <c r="S408" t="str">
        <f>IF(ESales_DB[[#This Row],[Quantity1]]&gt;3,"Bulk order","Normal order")</f>
        <v>Normal order</v>
      </c>
    </row>
    <row r="409" spans="1:19" x14ac:dyDescent="0.3">
      <c r="A409" t="s">
        <v>3190</v>
      </c>
      <c r="B409" s="4">
        <v>45322</v>
      </c>
      <c r="C409" s="4" t="str">
        <f>TEXT(ESales_DB[[#This Row],[Order_Date]],"mmm")</f>
        <v>Jan</v>
      </c>
      <c r="D409" t="s">
        <v>592</v>
      </c>
      <c r="E409" t="s">
        <v>1602</v>
      </c>
      <c r="F409" t="s">
        <v>1804</v>
      </c>
      <c r="G409">
        <v>4</v>
      </c>
      <c r="H409" s="10">
        <f>IF(ISBLANK(ESales_DB[[#This Row],[Quantity]]),AVERAGEIF(ESales_DB[Product_ID],ESales_DB[[#This Row],[Product_ID]],ESales_DB[Quantity]),ESales_DB[[#This Row],[Quantity]])</f>
        <v>4</v>
      </c>
      <c r="I409" s="2">
        <v>310.79000000000002</v>
      </c>
      <c r="J409">
        <v>0.22</v>
      </c>
      <c r="K409" t="s">
        <v>1829</v>
      </c>
      <c r="L409" s="2">
        <v>969.66480000000013</v>
      </c>
      <c r="M409" s="2" t="str">
        <f>IF(ESales_DB[[#This Row],[Total_Amount]]&gt;1000,"High","Low")</f>
        <v>Low</v>
      </c>
      <c r="N409" s="2" t="str">
        <f>VLOOKUP(ESales_DB[[#This Row],[Customer_ID]],Ecustom_DB[],3,FALSE)</f>
        <v>Nicholas Bradshaw</v>
      </c>
      <c r="O409" s="2" t="str">
        <f>_xlfn.XLOOKUP(ESales_DB[[#This Row],[Product_ID]],Eproduct_DB[Product_ID],Eproduct_DB[Category])</f>
        <v>Home</v>
      </c>
      <c r="P409" s="2" t="str">
        <f>_xlfn.XLOOKUP(ESales_DB[[#This Row],[Product_ID]],Eproduct_DB[Product_ID],Eproduct_DB[Product_Name])</f>
        <v>Decorative Floor Vase</v>
      </c>
      <c r="Q409" s="2" t="str">
        <f>_xlfn.XLOOKUP(ESales_DB[[#This Row],[Store_ID]],Estore_DB[Store_ID],Estore_DB[Region])</f>
        <v>West</v>
      </c>
      <c r="R409" t="str">
        <f>VLOOKUP(ESales_DB[[#This Row],[Customer_ID]],Ecustom_DB[],10,FALSE)</f>
        <v>Silver</v>
      </c>
      <c r="S409" t="str">
        <f>IF(ESales_DB[[#This Row],[Quantity1]]&gt;3,"Bulk order","Normal order")</f>
        <v>Bulk order</v>
      </c>
    </row>
    <row r="410" spans="1:19" x14ac:dyDescent="0.3">
      <c r="A410" t="s">
        <v>3191</v>
      </c>
      <c r="B410" s="4">
        <v>45757</v>
      </c>
      <c r="C410" s="4" t="str">
        <f>TEXT(ESales_DB[[#This Row],[Order_Date]],"mmm")</f>
        <v>Apr</v>
      </c>
      <c r="D410" t="s">
        <v>214</v>
      </c>
      <c r="E410" t="s">
        <v>1684</v>
      </c>
      <c r="F410" t="s">
        <v>1807</v>
      </c>
      <c r="G410">
        <v>4</v>
      </c>
      <c r="H410" s="10">
        <f>IF(ISBLANK(ESales_DB[[#This Row],[Quantity]]),AVERAGEIF(ESales_DB[Product_ID],ESales_DB[[#This Row],[Product_ID]],ESales_DB[Quantity]),ESales_DB[[#This Row],[Quantity]])</f>
        <v>4</v>
      </c>
      <c r="I410" s="2">
        <v>255.67</v>
      </c>
      <c r="J410">
        <v>0.17</v>
      </c>
      <c r="K410" t="s">
        <v>1824</v>
      </c>
      <c r="L410" s="2">
        <v>848.82439999999997</v>
      </c>
      <c r="M410" s="2" t="str">
        <f>IF(ESales_DB[[#This Row],[Total_Amount]]&gt;1000,"High","Low")</f>
        <v>Low</v>
      </c>
      <c r="N410" s="2" t="str">
        <f>VLOOKUP(ESales_DB[[#This Row],[Customer_ID]],Ecustom_DB[],3,FALSE)</f>
        <v>Jay Patel</v>
      </c>
      <c r="O410" s="2" t="str">
        <f>_xlfn.XLOOKUP(ESales_DB[[#This Row],[Product_ID]],Eproduct_DB[Product_ID],Eproduct_DB[Category])</f>
        <v>Home</v>
      </c>
      <c r="P410" s="2" t="str">
        <f>_xlfn.XLOOKUP(ESales_DB[[#This Row],[Product_ID]],Eproduct_DB[Product_ID],Eproduct_DB[Product_Name])</f>
        <v>Wooden Nightstand</v>
      </c>
      <c r="Q410" s="2" t="str">
        <f>_xlfn.XLOOKUP(ESales_DB[[#This Row],[Store_ID]],Estore_DB[Store_ID],Estore_DB[Region])</f>
        <v>North</v>
      </c>
      <c r="R410" t="str">
        <f>VLOOKUP(ESales_DB[[#This Row],[Customer_ID]],Ecustom_DB[],10,FALSE)</f>
        <v>Platinum</v>
      </c>
      <c r="S410" t="str">
        <f>IF(ESales_DB[[#This Row],[Quantity1]]&gt;3,"Bulk order","Normal order")</f>
        <v>Bulk order</v>
      </c>
    </row>
    <row r="411" spans="1:19" x14ac:dyDescent="0.3">
      <c r="A411" t="s">
        <v>3192</v>
      </c>
      <c r="B411" s="4">
        <v>45397</v>
      </c>
      <c r="C411" s="4" t="str">
        <f>TEXT(ESales_DB[[#This Row],[Order_Date]],"mmm")</f>
        <v>Apr</v>
      </c>
      <c r="D411" t="s">
        <v>444</v>
      </c>
      <c r="E411" t="s">
        <v>1602</v>
      </c>
      <c r="F411" t="s">
        <v>1804</v>
      </c>
      <c r="G411">
        <v>2</v>
      </c>
      <c r="H411" s="10">
        <f>IF(ISBLANK(ESales_DB[[#This Row],[Quantity]]),AVERAGEIF(ESales_DB[Product_ID],ESales_DB[[#This Row],[Product_ID]],ESales_DB[Quantity]),ESales_DB[[#This Row],[Quantity]])</f>
        <v>2</v>
      </c>
      <c r="I411" s="2">
        <v>270.66000000000003</v>
      </c>
      <c r="J411">
        <v>0.1</v>
      </c>
      <c r="K411" t="s">
        <v>1829</v>
      </c>
      <c r="L411" s="2">
        <v>487.18799999999999</v>
      </c>
      <c r="M411" s="2" t="str">
        <f>IF(ESales_DB[[#This Row],[Total_Amount]]&gt;1000,"High","Low")</f>
        <v>Low</v>
      </c>
      <c r="N411" s="2" t="str">
        <f>VLOOKUP(ESales_DB[[#This Row],[Customer_ID]],Ecustom_DB[],3,FALSE)</f>
        <v>Jessica Mitchell</v>
      </c>
      <c r="O411" s="2" t="str">
        <f>_xlfn.XLOOKUP(ESales_DB[[#This Row],[Product_ID]],Eproduct_DB[Product_ID],Eproduct_DB[Category])</f>
        <v>Home</v>
      </c>
      <c r="P411" s="2" t="str">
        <f>_xlfn.XLOOKUP(ESales_DB[[#This Row],[Product_ID]],Eproduct_DB[Product_ID],Eproduct_DB[Product_Name])</f>
        <v>Decorative Floor Vase</v>
      </c>
      <c r="Q411" s="2" t="str">
        <f>_xlfn.XLOOKUP(ESales_DB[[#This Row],[Store_ID]],Estore_DB[Store_ID],Estore_DB[Region])</f>
        <v>West</v>
      </c>
      <c r="R411" t="str">
        <f>VLOOKUP(ESales_DB[[#This Row],[Customer_ID]],Ecustom_DB[],10,FALSE)</f>
        <v>Silver</v>
      </c>
      <c r="S411" t="str">
        <f>IF(ESales_DB[[#This Row],[Quantity1]]&gt;3,"Bulk order","Normal order")</f>
        <v>Normal order</v>
      </c>
    </row>
    <row r="412" spans="1:19" x14ac:dyDescent="0.3">
      <c r="A412" t="s">
        <v>3193</v>
      </c>
      <c r="B412" s="4">
        <v>45914</v>
      </c>
      <c r="C412" s="4" t="str">
        <f>TEXT(ESales_DB[[#This Row],[Order_Date]],"mmm")</f>
        <v>Sep</v>
      </c>
      <c r="D412" t="s">
        <v>945</v>
      </c>
      <c r="E412" t="s">
        <v>1594</v>
      </c>
      <c r="F412" t="s">
        <v>1807</v>
      </c>
      <c r="G412">
        <v>3</v>
      </c>
      <c r="H412" s="10">
        <f>IF(ISBLANK(ESales_DB[[#This Row],[Quantity]]),AVERAGEIF(ESales_DB[Product_ID],ESales_DB[[#This Row],[Product_ID]],ESales_DB[Quantity]),ESales_DB[[#This Row],[Quantity]])</f>
        <v>3</v>
      </c>
      <c r="I412" s="2">
        <v>373.35</v>
      </c>
      <c r="J412">
        <v>0.2</v>
      </c>
      <c r="K412" t="s">
        <v>1829</v>
      </c>
      <c r="L412" s="2">
        <v>896.04000000000019</v>
      </c>
      <c r="M412" s="2" t="str">
        <f>IF(ESales_DB[[#This Row],[Total_Amount]]&gt;1000,"High","Low")</f>
        <v>Low</v>
      </c>
      <c r="N412" s="2" t="str">
        <f>VLOOKUP(ESales_DB[[#This Row],[Customer_ID]],Ecustom_DB[],3,FALSE)</f>
        <v>Stephanie Jacobs</v>
      </c>
      <c r="O412" s="2" t="str">
        <f>_xlfn.XLOOKUP(ESales_DB[[#This Row],[Product_ID]],Eproduct_DB[Product_ID],Eproduct_DB[Category])</f>
        <v>Clothing</v>
      </c>
      <c r="P412" s="2" t="str">
        <f>_xlfn.XLOOKUP(ESales_DB[[#This Row],[Product_ID]],Eproduct_DB[Product_ID],Eproduct_DB[Product_Name])</f>
        <v>Men's Formal Shirt</v>
      </c>
      <c r="Q412" s="2" t="str">
        <f>_xlfn.XLOOKUP(ESales_DB[[#This Row],[Store_ID]],Estore_DB[Store_ID],Estore_DB[Region])</f>
        <v>North</v>
      </c>
      <c r="R412" t="str">
        <f>VLOOKUP(ESales_DB[[#This Row],[Customer_ID]],Ecustom_DB[],10,FALSE)</f>
        <v>Platinum</v>
      </c>
      <c r="S412" t="str">
        <f>IF(ESales_DB[[#This Row],[Quantity1]]&gt;3,"Bulk order","Normal order")</f>
        <v>Normal order</v>
      </c>
    </row>
    <row r="413" spans="1:19" x14ac:dyDescent="0.3">
      <c r="A413" t="s">
        <v>3194</v>
      </c>
      <c r="B413" s="4">
        <v>45432</v>
      </c>
      <c r="C413" s="4" t="str">
        <f>TEXT(ESales_DB[[#This Row],[Order_Date]],"mmm")</f>
        <v>May</v>
      </c>
      <c r="D413" t="s">
        <v>144</v>
      </c>
      <c r="E413" t="s">
        <v>1666</v>
      </c>
      <c r="F413" t="s">
        <v>1792</v>
      </c>
      <c r="G413">
        <v>2</v>
      </c>
      <c r="H413" s="10">
        <f>IF(ISBLANK(ESales_DB[[#This Row],[Quantity]]),AVERAGEIF(ESales_DB[Product_ID],ESales_DB[[#This Row],[Product_ID]],ESales_DB[Quantity]),ESales_DB[[#This Row],[Quantity]])</f>
        <v>2</v>
      </c>
      <c r="I413" s="2">
        <v>23.58</v>
      </c>
      <c r="J413">
        <v>0.02</v>
      </c>
      <c r="K413" t="s">
        <v>1826</v>
      </c>
      <c r="L413" s="2">
        <v>46.216799999999999</v>
      </c>
      <c r="M413" s="2" t="str">
        <f>IF(ESales_DB[[#This Row],[Total_Amount]]&gt;1000,"High","Low")</f>
        <v>Low</v>
      </c>
      <c r="N413" s="2" t="str">
        <f>VLOOKUP(ESales_DB[[#This Row],[Customer_ID]],Ecustom_DB[],3,FALSE)</f>
        <v>Thomas Phillips</v>
      </c>
      <c r="O413" s="2" t="str">
        <f>_xlfn.XLOOKUP(ESales_DB[[#This Row],[Product_ID]],Eproduct_DB[Product_ID],Eproduct_DB[Category])</f>
        <v>Beauty</v>
      </c>
      <c r="P413" s="2" t="str">
        <f>_xlfn.XLOOKUP(ESales_DB[[#This Row],[Product_ID]],Eproduct_DB[Product_ID],Eproduct_DB[Product_Name])</f>
        <v>Men's Hair Styling Gel</v>
      </c>
      <c r="Q413" s="2" t="str">
        <f>_xlfn.XLOOKUP(ESales_DB[[#This Row],[Store_ID]],Estore_DB[Store_ID],Estore_DB[Region])</f>
        <v>South</v>
      </c>
      <c r="R413" t="str">
        <f>VLOOKUP(ESales_DB[[#This Row],[Customer_ID]],Ecustom_DB[],10,FALSE)</f>
        <v>Gold</v>
      </c>
      <c r="S413" t="str">
        <f>IF(ESales_DB[[#This Row],[Quantity1]]&gt;3,"Bulk order","Normal order")</f>
        <v>Normal order</v>
      </c>
    </row>
    <row r="414" spans="1:19" x14ac:dyDescent="0.3">
      <c r="A414" t="s">
        <v>3195</v>
      </c>
      <c r="B414" s="4">
        <v>45798</v>
      </c>
      <c r="C414" s="4" t="str">
        <f>TEXT(ESales_DB[[#This Row],[Order_Date]],"mmm")</f>
        <v>May</v>
      </c>
      <c r="D414" t="s">
        <v>32</v>
      </c>
      <c r="E414" t="s">
        <v>1618</v>
      </c>
      <c r="F414" t="s">
        <v>1779</v>
      </c>
      <c r="G414">
        <v>4</v>
      </c>
      <c r="H414" s="10">
        <f>IF(ISBLANK(ESales_DB[[#This Row],[Quantity]]),AVERAGEIF(ESales_DB[Product_ID],ESales_DB[[#This Row],[Product_ID]],ESales_DB[Quantity]),ESales_DB[[#This Row],[Quantity]])</f>
        <v>4</v>
      </c>
      <c r="I414" s="2">
        <v>185.67</v>
      </c>
      <c r="J414">
        <v>0.21</v>
      </c>
      <c r="K414" t="s">
        <v>1826</v>
      </c>
      <c r="L414" s="2">
        <v>586.71719999999993</v>
      </c>
      <c r="M414" s="2" t="str">
        <f>IF(ESales_DB[[#This Row],[Total_Amount]]&gt;1000,"High","Low")</f>
        <v>Low</v>
      </c>
      <c r="N414" s="2" t="str">
        <f>VLOOKUP(ESales_DB[[#This Row],[Customer_ID]],Ecustom_DB[],3,FALSE)</f>
        <v>Christine Vaughn</v>
      </c>
      <c r="O414" s="2" t="str">
        <f>_xlfn.XLOOKUP(ESales_DB[[#This Row],[Product_ID]],Eproduct_DB[Product_ID],Eproduct_DB[Category])</f>
        <v>Home</v>
      </c>
      <c r="P414" s="2" t="str">
        <f>_xlfn.XLOOKUP(ESales_DB[[#This Row],[Product_ID]],Eproduct_DB[Product_ID],Eproduct_DB[Product_Name])</f>
        <v>Bedroom Table Lamp</v>
      </c>
      <c r="Q414" s="2" t="str">
        <f>_xlfn.XLOOKUP(ESales_DB[[#This Row],[Store_ID]],Estore_DB[Store_ID],Estore_DB[Region])</f>
        <v>South</v>
      </c>
      <c r="R414" t="str">
        <f>VLOOKUP(ESales_DB[[#This Row],[Customer_ID]],Ecustom_DB[],10,FALSE)</f>
        <v>Bronze</v>
      </c>
      <c r="S414" t="str">
        <f>IF(ESales_DB[[#This Row],[Quantity1]]&gt;3,"Bulk order","Normal order")</f>
        <v>Bulk order</v>
      </c>
    </row>
    <row r="415" spans="1:19" x14ac:dyDescent="0.3">
      <c r="A415" t="s">
        <v>1963</v>
      </c>
      <c r="B415" s="4">
        <v>45392</v>
      </c>
      <c r="C415" s="4" t="str">
        <f>TEXT(ESales_DB[[#This Row],[Order_Date]],"mmm")</f>
        <v>Apr</v>
      </c>
      <c r="D415" t="s">
        <v>1458</v>
      </c>
      <c r="E415" t="s">
        <v>1648</v>
      </c>
      <c r="F415" t="s">
        <v>1776</v>
      </c>
      <c r="G415">
        <v>1</v>
      </c>
      <c r="H415" s="10">
        <f>IF(ISBLANK(ESales_DB[[#This Row],[Quantity]]),AVERAGEIF(ESales_DB[Product_ID],ESales_DB[[#This Row],[Product_ID]],ESales_DB[Quantity]),ESales_DB[[#This Row],[Quantity]])</f>
        <v>1</v>
      </c>
      <c r="I415" s="2">
        <v>245.85</v>
      </c>
      <c r="J415">
        <v>0.18</v>
      </c>
      <c r="K415" t="s">
        <v>1829</v>
      </c>
      <c r="L415" s="2">
        <v>201.59700000000001</v>
      </c>
      <c r="M415" s="2" t="str">
        <f>IF(ESales_DB[[#This Row],[Total_Amount]]&gt;1000,"High","Low")</f>
        <v>Low</v>
      </c>
      <c r="N415" s="2" t="str">
        <f>VLOOKUP(ESales_DB[[#This Row],[Customer_ID]],Ecustom_DB[],3,FALSE)</f>
        <v>Laura Mathews</v>
      </c>
      <c r="O415" s="2" t="str">
        <f>_xlfn.XLOOKUP(ESales_DB[[#This Row],[Product_ID]],Eproduct_DB[Product_ID],Eproduct_DB[Category])</f>
        <v>Sports</v>
      </c>
      <c r="P415" s="2" t="str">
        <f>_xlfn.XLOOKUP(ESales_DB[[#This Row],[Product_ID]],Eproduct_DB[Product_ID],Eproduct_DB[Product_Name])</f>
        <v>Boxing Hand Wraps</v>
      </c>
      <c r="Q415" s="2" t="str">
        <f>_xlfn.XLOOKUP(ESales_DB[[#This Row],[Store_ID]],Estore_DB[Store_ID],Estore_DB[Region])</f>
        <v>East</v>
      </c>
      <c r="R415" t="str">
        <f>VLOOKUP(ESales_DB[[#This Row],[Customer_ID]],Ecustom_DB[],10,FALSE)</f>
        <v>Bronze</v>
      </c>
      <c r="S415" t="str">
        <f>IF(ESales_DB[[#This Row],[Quantity1]]&gt;3,"Bulk order","Normal order")</f>
        <v>Normal order</v>
      </c>
    </row>
    <row r="416" spans="1:19" x14ac:dyDescent="0.3">
      <c r="A416" t="s">
        <v>3196</v>
      </c>
      <c r="B416" s="4">
        <v>45396</v>
      </c>
      <c r="C416" s="4" t="str">
        <f>TEXT(ESales_DB[[#This Row],[Order_Date]],"mmm")</f>
        <v>Apr</v>
      </c>
      <c r="D416" t="s">
        <v>417</v>
      </c>
      <c r="E416" t="s">
        <v>1584</v>
      </c>
      <c r="F416" t="s">
        <v>1797</v>
      </c>
      <c r="G416">
        <v>3</v>
      </c>
      <c r="H416" s="10">
        <f>IF(ISBLANK(ESales_DB[[#This Row],[Quantity]]),AVERAGEIF(ESales_DB[Product_ID],ESales_DB[[#This Row],[Product_ID]],ESales_DB[Quantity]),ESales_DB[[#This Row],[Quantity]])</f>
        <v>3</v>
      </c>
      <c r="I416" s="2">
        <v>928.74</v>
      </c>
      <c r="J416">
        <v>0.27</v>
      </c>
      <c r="K416" t="s">
        <v>1826</v>
      </c>
      <c r="L416" s="2">
        <v>2033.9405999999999</v>
      </c>
      <c r="M416" s="2" t="str">
        <f>IF(ESales_DB[[#This Row],[Total_Amount]]&gt;1000,"High","Low")</f>
        <v>High</v>
      </c>
      <c r="N416" s="2" t="str">
        <f>VLOOKUP(ESales_DB[[#This Row],[Customer_ID]],Ecustom_DB[],3,FALSE)</f>
        <v>Jacob Hopkins</v>
      </c>
      <c r="O416" s="2" t="str">
        <f>_xlfn.XLOOKUP(ESales_DB[[#This Row],[Product_ID]],Eproduct_DB[Product_ID],Eproduct_DB[Category])</f>
        <v>Clothing</v>
      </c>
      <c r="P416" s="2" t="str">
        <f>_xlfn.XLOOKUP(ESales_DB[[#This Row],[Product_ID]],Eproduct_DB[Product_ID],Eproduct_DB[Product_Name])</f>
        <v>Women's Denim Jeans</v>
      </c>
      <c r="Q416" s="2" t="str">
        <f>_xlfn.XLOOKUP(ESales_DB[[#This Row],[Store_ID]],Estore_DB[Store_ID],Estore_DB[Region])</f>
        <v>East</v>
      </c>
      <c r="R416" t="str">
        <f>VLOOKUP(ESales_DB[[#This Row],[Customer_ID]],Ecustom_DB[],10,FALSE)</f>
        <v>Platinum</v>
      </c>
      <c r="S416" t="str">
        <f>IF(ESales_DB[[#This Row],[Quantity1]]&gt;3,"Bulk order","Normal order")</f>
        <v>Normal order</v>
      </c>
    </row>
    <row r="417" spans="1:19" x14ac:dyDescent="0.3">
      <c r="A417" t="s">
        <v>3197</v>
      </c>
      <c r="B417" s="4">
        <v>45235</v>
      </c>
      <c r="C417" s="4" t="str">
        <f>TEXT(ESales_DB[[#This Row],[Order_Date]],"mmm")</f>
        <v>Nov</v>
      </c>
      <c r="D417" t="s">
        <v>121</v>
      </c>
      <c r="E417" t="s">
        <v>1716</v>
      </c>
      <c r="F417" t="s">
        <v>1773</v>
      </c>
      <c r="G417">
        <v>3</v>
      </c>
      <c r="H417" s="10">
        <f>IF(ISBLANK(ESales_DB[[#This Row],[Quantity]]),AVERAGEIF(ESales_DB[Product_ID],ESales_DB[[#This Row],[Product_ID]],ESales_DB[Quantity]),ESales_DB[[#This Row],[Quantity]])</f>
        <v>3</v>
      </c>
      <c r="I417" s="2">
        <v>923.38</v>
      </c>
      <c r="J417">
        <v>7.0000000000000007E-2</v>
      </c>
      <c r="K417" t="s">
        <v>1829</v>
      </c>
      <c r="L417" s="2">
        <v>2576.2302</v>
      </c>
      <c r="M417" s="2" t="str">
        <f>IF(ESales_DB[[#This Row],[Total_Amount]]&gt;1000,"High","Low")</f>
        <v>High</v>
      </c>
      <c r="N417" s="2" t="str">
        <f>VLOOKUP(ESales_DB[[#This Row],[Customer_ID]],Ecustom_DB[],3,FALSE)</f>
        <v>David Arnold</v>
      </c>
      <c r="O417" s="2" t="str">
        <f>_xlfn.XLOOKUP(ESales_DB[[#This Row],[Product_ID]],Eproduct_DB[Product_ID],Eproduct_DB[Category])</f>
        <v>Home</v>
      </c>
      <c r="P417" s="2" t="str">
        <f>_xlfn.XLOOKUP(ESales_DB[[#This Row],[Product_ID]],Eproduct_DB[Product_ID],Eproduct_DB[Product_Name])</f>
        <v>Wooden Bookshelf</v>
      </c>
      <c r="Q417" s="2" t="str">
        <f>_xlfn.XLOOKUP(ESales_DB[[#This Row],[Store_ID]],Estore_DB[Store_ID],Estore_DB[Region])</f>
        <v>North</v>
      </c>
      <c r="R417" t="str">
        <f>VLOOKUP(ESales_DB[[#This Row],[Customer_ID]],Ecustom_DB[],10,FALSE)</f>
        <v>Silver</v>
      </c>
      <c r="S417" t="str">
        <f>IF(ESales_DB[[#This Row],[Quantity1]]&gt;3,"Bulk order","Normal order")</f>
        <v>Normal order</v>
      </c>
    </row>
    <row r="418" spans="1:19" x14ac:dyDescent="0.3">
      <c r="A418" t="s">
        <v>3198</v>
      </c>
      <c r="B418" s="4">
        <v>45499</v>
      </c>
      <c r="C418" s="4" t="str">
        <f>TEXT(ESales_DB[[#This Row],[Order_Date]],"mmm")</f>
        <v>Jul</v>
      </c>
      <c r="D418" t="s">
        <v>1425</v>
      </c>
      <c r="E418" t="s">
        <v>1553</v>
      </c>
      <c r="F418" t="s">
        <v>1786</v>
      </c>
      <c r="G418">
        <v>2</v>
      </c>
      <c r="H418" s="10">
        <f>IF(ISBLANK(ESales_DB[[#This Row],[Quantity]]),AVERAGEIF(ESales_DB[Product_ID],ESales_DB[[#This Row],[Product_ID]],ESales_DB[Quantity]),ESales_DB[[#This Row],[Quantity]])</f>
        <v>2</v>
      </c>
      <c r="I418" s="2">
        <v>409.26</v>
      </c>
      <c r="J418">
        <v>0.1</v>
      </c>
      <c r="K418" t="s">
        <v>1826</v>
      </c>
      <c r="L418" s="2">
        <v>736.66800000000001</v>
      </c>
      <c r="M418" s="2" t="str">
        <f>IF(ESales_DB[[#This Row],[Total_Amount]]&gt;1000,"High","Low")</f>
        <v>Low</v>
      </c>
      <c r="N418" s="2" t="str">
        <f>VLOOKUP(ESales_DB[[#This Row],[Customer_ID]],Ecustom_DB[],3,FALSE)</f>
        <v>Beth Martin</v>
      </c>
      <c r="O418" s="2" t="str">
        <f>_xlfn.XLOOKUP(ESales_DB[[#This Row],[Product_ID]],Eproduct_DB[Product_ID],Eproduct_DB[Category])</f>
        <v>Clothing</v>
      </c>
      <c r="P418" s="2" t="str">
        <f>_xlfn.XLOOKUP(ESales_DB[[#This Row],[Product_ID]],Eproduct_DB[Product_ID],Eproduct_DB[Product_Name])</f>
        <v>Women's Yoga Pants</v>
      </c>
      <c r="Q418" s="2" t="str">
        <f>_xlfn.XLOOKUP(ESales_DB[[#This Row],[Store_ID]],Estore_DB[Store_ID],Estore_DB[Region])</f>
        <v>South</v>
      </c>
      <c r="R418" t="str">
        <f>VLOOKUP(ESales_DB[[#This Row],[Customer_ID]],Ecustom_DB[],10,FALSE)</f>
        <v>Silver</v>
      </c>
      <c r="S418" t="str">
        <f>IF(ESales_DB[[#This Row],[Quantity1]]&gt;3,"Bulk order","Normal order")</f>
        <v>Normal order</v>
      </c>
    </row>
    <row r="419" spans="1:19" x14ac:dyDescent="0.3">
      <c r="A419" t="s">
        <v>3199</v>
      </c>
      <c r="B419" s="4">
        <v>45272</v>
      </c>
      <c r="C419" s="4" t="str">
        <f>TEXT(ESales_DB[[#This Row],[Order_Date]],"mmm")</f>
        <v>Dec</v>
      </c>
      <c r="D419" t="s">
        <v>812</v>
      </c>
      <c r="E419" t="s">
        <v>1594</v>
      </c>
      <c r="F419" t="s">
        <v>1779</v>
      </c>
      <c r="G419">
        <v>2</v>
      </c>
      <c r="H419" s="10">
        <f>IF(ISBLANK(ESales_DB[[#This Row],[Quantity]]),AVERAGEIF(ESales_DB[Product_ID],ESales_DB[[#This Row],[Product_ID]],ESales_DB[Quantity]),ESales_DB[[#This Row],[Quantity]])</f>
        <v>2</v>
      </c>
      <c r="I419" s="2">
        <v>608.46</v>
      </c>
      <c r="J419">
        <v>0.16</v>
      </c>
      <c r="K419" t="s">
        <v>1824</v>
      </c>
      <c r="L419" s="2">
        <v>1022.2128</v>
      </c>
      <c r="M419" s="2" t="str">
        <f>IF(ESales_DB[[#This Row],[Total_Amount]]&gt;1000,"High","Low")</f>
        <v>High</v>
      </c>
      <c r="N419" s="2" t="str">
        <f>VLOOKUP(ESales_DB[[#This Row],[Customer_ID]],Ecustom_DB[],3,FALSE)</f>
        <v>Linda Kline</v>
      </c>
      <c r="O419" s="2" t="str">
        <f>_xlfn.XLOOKUP(ESales_DB[[#This Row],[Product_ID]],Eproduct_DB[Product_ID],Eproduct_DB[Category])</f>
        <v>Clothing</v>
      </c>
      <c r="P419" s="2" t="str">
        <f>_xlfn.XLOOKUP(ESales_DB[[#This Row],[Product_ID]],Eproduct_DB[Product_ID],Eproduct_DB[Product_Name])</f>
        <v>Men's Formal Shirt</v>
      </c>
      <c r="Q419" s="2" t="str">
        <f>_xlfn.XLOOKUP(ESales_DB[[#This Row],[Store_ID]],Estore_DB[Store_ID],Estore_DB[Region])</f>
        <v>South</v>
      </c>
      <c r="R419" t="str">
        <f>VLOOKUP(ESales_DB[[#This Row],[Customer_ID]],Ecustom_DB[],10,FALSE)</f>
        <v>Silver</v>
      </c>
      <c r="S419" t="str">
        <f>IF(ESales_DB[[#This Row],[Quantity1]]&gt;3,"Bulk order","Normal order")</f>
        <v>Normal order</v>
      </c>
    </row>
    <row r="420" spans="1:19" x14ac:dyDescent="0.3">
      <c r="A420" t="s">
        <v>3200</v>
      </c>
      <c r="B420" s="4">
        <v>45785</v>
      </c>
      <c r="C420" s="4" t="str">
        <f>TEXT(ESales_DB[[#This Row],[Order_Date]],"mmm")</f>
        <v>May</v>
      </c>
      <c r="D420" t="s">
        <v>690</v>
      </c>
      <c r="E420" t="s">
        <v>1632</v>
      </c>
      <c r="F420" t="s">
        <v>1813</v>
      </c>
      <c r="G420">
        <v>4</v>
      </c>
      <c r="H420" s="10">
        <f>IF(ISBLANK(ESales_DB[[#This Row],[Quantity]]),AVERAGEIF(ESales_DB[Product_ID],ESales_DB[[#This Row],[Product_ID]],ESales_DB[Quantity]),ESales_DB[[#This Row],[Quantity]])</f>
        <v>4</v>
      </c>
      <c r="I420" s="2">
        <v>150.47999999999999</v>
      </c>
      <c r="J420">
        <v>0.09</v>
      </c>
      <c r="K420" t="s">
        <v>1824</v>
      </c>
      <c r="L420" s="2">
        <v>547.74720000000002</v>
      </c>
      <c r="M420" s="2" t="str">
        <f>IF(ESales_DB[[#This Row],[Total_Amount]]&gt;1000,"High","Low")</f>
        <v>Low</v>
      </c>
      <c r="N420" s="2" t="str">
        <f>VLOOKUP(ESales_DB[[#This Row],[Customer_ID]],Ecustom_DB[],3,FALSE)</f>
        <v>Blake Harrison</v>
      </c>
      <c r="O420" s="2" t="str">
        <f>_xlfn.XLOOKUP(ESales_DB[[#This Row],[Product_ID]],Eproduct_DB[Product_ID],Eproduct_DB[Category])</f>
        <v>Electronics</v>
      </c>
      <c r="P420" s="2" t="str">
        <f>_xlfn.XLOOKUP(ESales_DB[[#This Row],[Product_ID]],Eproduct_DB[Product_ID],Eproduct_DB[Product_Name])</f>
        <v>Smart Home WiFi Camera</v>
      </c>
      <c r="Q420" s="2" t="str">
        <f>_xlfn.XLOOKUP(ESales_DB[[#This Row],[Store_ID]],Estore_DB[Store_ID],Estore_DB[Region])</f>
        <v>East</v>
      </c>
      <c r="R420" t="str">
        <f>VLOOKUP(ESales_DB[[#This Row],[Customer_ID]],Ecustom_DB[],10,FALSE)</f>
        <v>Platinum</v>
      </c>
      <c r="S420" t="str">
        <f>IF(ESales_DB[[#This Row],[Quantity1]]&gt;3,"Bulk order","Normal order")</f>
        <v>Bulk order</v>
      </c>
    </row>
    <row r="421" spans="1:19" x14ac:dyDescent="0.3">
      <c r="A421" t="s">
        <v>3201</v>
      </c>
      <c r="B421" s="4">
        <v>45534</v>
      </c>
      <c r="C421" s="4" t="str">
        <f>TEXT(ESales_DB[[#This Row],[Order_Date]],"mmm")</f>
        <v>Aug</v>
      </c>
      <c r="D421" t="s">
        <v>785</v>
      </c>
      <c r="E421" t="s">
        <v>1684</v>
      </c>
      <c r="F421" t="s">
        <v>1799</v>
      </c>
      <c r="G421">
        <v>4</v>
      </c>
      <c r="H421" s="10">
        <f>IF(ISBLANK(ESales_DB[[#This Row],[Quantity]]),AVERAGEIF(ESales_DB[Product_ID],ESales_DB[[#This Row],[Product_ID]],ESales_DB[Quantity]),ESales_DB[[#This Row],[Quantity]])</f>
        <v>4</v>
      </c>
      <c r="I421" s="2">
        <v>207.41</v>
      </c>
      <c r="J421">
        <v>0.02</v>
      </c>
      <c r="K421" t="s">
        <v>1824</v>
      </c>
      <c r="L421" s="2">
        <v>813.04719999999998</v>
      </c>
      <c r="M421" s="2" t="str">
        <f>IF(ESales_DB[[#This Row],[Total_Amount]]&gt;1000,"High","Low")</f>
        <v>Low</v>
      </c>
      <c r="N421" s="2" t="str">
        <f>VLOOKUP(ESales_DB[[#This Row],[Customer_ID]],Ecustom_DB[],3,FALSE)</f>
        <v>Laura Soto</v>
      </c>
      <c r="O421" s="2" t="str">
        <f>_xlfn.XLOOKUP(ESales_DB[[#This Row],[Product_ID]],Eproduct_DB[Product_ID],Eproduct_DB[Category])</f>
        <v>Home</v>
      </c>
      <c r="P421" s="2" t="str">
        <f>_xlfn.XLOOKUP(ESales_DB[[#This Row],[Product_ID]],Eproduct_DB[Product_ID],Eproduct_DB[Product_Name])</f>
        <v>Wooden Nightstand</v>
      </c>
      <c r="Q421" s="2" t="str">
        <f>_xlfn.XLOOKUP(ESales_DB[[#This Row],[Store_ID]],Estore_DB[Store_ID],Estore_DB[Region])</f>
        <v>South</v>
      </c>
      <c r="R421" t="str">
        <f>VLOOKUP(ESales_DB[[#This Row],[Customer_ID]],Ecustom_DB[],10,FALSE)</f>
        <v>Platinum</v>
      </c>
      <c r="S421" t="str">
        <f>IF(ESales_DB[[#This Row],[Quantity1]]&gt;3,"Bulk order","Normal order")</f>
        <v>Bulk order</v>
      </c>
    </row>
    <row r="422" spans="1:19" x14ac:dyDescent="0.3">
      <c r="A422" t="s">
        <v>3202</v>
      </c>
      <c r="B422" s="4">
        <v>45803</v>
      </c>
      <c r="C422" s="4" t="str">
        <f>TEXT(ESales_DB[[#This Row],[Order_Date]],"mmm")</f>
        <v>May</v>
      </c>
      <c r="D422" t="s">
        <v>571</v>
      </c>
      <c r="E422" t="s">
        <v>1570</v>
      </c>
      <c r="F422" t="s">
        <v>1776</v>
      </c>
      <c r="G422">
        <v>1</v>
      </c>
      <c r="H422" s="10">
        <f>IF(ISBLANK(ESales_DB[[#This Row],[Quantity]]),AVERAGEIF(ESales_DB[Product_ID],ESales_DB[[#This Row],[Product_ID]],ESales_DB[Quantity]),ESales_DB[[#This Row],[Quantity]])</f>
        <v>1</v>
      </c>
      <c r="I422" s="2">
        <v>56.59</v>
      </c>
      <c r="J422">
        <v>0.15</v>
      </c>
      <c r="K422" t="s">
        <v>1826</v>
      </c>
      <c r="L422" s="2">
        <v>48.101500000000001</v>
      </c>
      <c r="M422" s="2" t="str">
        <f>IF(ESales_DB[[#This Row],[Total_Amount]]&gt;1000,"High","Low")</f>
        <v>Low</v>
      </c>
      <c r="N422" s="2" t="str">
        <f>VLOOKUP(ESales_DB[[#This Row],[Customer_ID]],Ecustom_DB[],3,FALSE)</f>
        <v>Thomas Rhodes</v>
      </c>
      <c r="O422" s="2" t="str">
        <f>_xlfn.XLOOKUP(ESales_DB[[#This Row],[Product_ID]],Eproduct_DB[Product_ID],Eproduct_DB[Category])</f>
        <v>Electronics</v>
      </c>
      <c r="P422" s="2" t="str">
        <f>_xlfn.XLOOKUP(ESales_DB[[#This Row],[Product_ID]],Eproduct_DB[Product_ID],Eproduct_DB[Product_Name])</f>
        <v>HD Smart TV Stick</v>
      </c>
      <c r="Q422" s="2" t="str">
        <f>_xlfn.XLOOKUP(ESales_DB[[#This Row],[Store_ID]],Estore_DB[Store_ID],Estore_DB[Region])</f>
        <v>East</v>
      </c>
      <c r="R422" t="str">
        <f>VLOOKUP(ESales_DB[[#This Row],[Customer_ID]],Ecustom_DB[],10,FALSE)</f>
        <v>Bronze</v>
      </c>
      <c r="S422" t="str">
        <f>IF(ESales_DB[[#This Row],[Quantity1]]&gt;3,"Bulk order","Normal order")</f>
        <v>Normal order</v>
      </c>
    </row>
    <row r="423" spans="1:19" x14ac:dyDescent="0.3">
      <c r="A423" t="s">
        <v>3203</v>
      </c>
      <c r="B423" s="4">
        <v>45667</v>
      </c>
      <c r="C423" s="4" t="str">
        <f>TEXT(ESales_DB[[#This Row],[Order_Date]],"mmm")</f>
        <v>Jan</v>
      </c>
      <c r="D423" t="s">
        <v>1260</v>
      </c>
      <c r="E423" t="s">
        <v>1626</v>
      </c>
      <c r="F423" t="s">
        <v>1769</v>
      </c>
      <c r="G423">
        <v>4</v>
      </c>
      <c r="H423" s="10">
        <f>IF(ISBLANK(ESales_DB[[#This Row],[Quantity]]),AVERAGEIF(ESales_DB[Product_ID],ESales_DB[[#This Row],[Product_ID]],ESales_DB[Quantity]),ESales_DB[[#This Row],[Quantity]])</f>
        <v>4</v>
      </c>
      <c r="I423" s="2">
        <v>995.4</v>
      </c>
      <c r="J423">
        <v>0.27</v>
      </c>
      <c r="K423" t="s">
        <v>1824</v>
      </c>
      <c r="L423" s="2">
        <v>2906.5680000000002</v>
      </c>
      <c r="M423" s="2" t="str">
        <f>IF(ESales_DB[[#This Row],[Total_Amount]]&gt;1000,"High","Low")</f>
        <v>High</v>
      </c>
      <c r="N423" s="2" t="str">
        <f>VLOOKUP(ESales_DB[[#This Row],[Customer_ID]],Ecustom_DB[],3,FALSE)</f>
        <v>Eric Wolfe</v>
      </c>
      <c r="O423" s="2" t="str">
        <f>_xlfn.XLOOKUP(ESales_DB[[#This Row],[Product_ID]],Eproduct_DB[Product_ID],Eproduct_DB[Category])</f>
        <v>Electronics</v>
      </c>
      <c r="P423" s="2" t="str">
        <f>_xlfn.XLOOKUP(ESales_DB[[#This Row],[Product_ID]],Eproduct_DB[Product_ID],Eproduct_DB[Product_Name])</f>
        <v>Portable Power Bank</v>
      </c>
      <c r="Q423" s="2" t="str">
        <f>_xlfn.XLOOKUP(ESales_DB[[#This Row],[Store_ID]],Estore_DB[Store_ID],Estore_DB[Region])</f>
        <v>South</v>
      </c>
      <c r="R423" t="str">
        <f>VLOOKUP(ESales_DB[[#This Row],[Customer_ID]],Ecustom_DB[],10,FALSE)</f>
        <v>Gold</v>
      </c>
      <c r="S423" t="str">
        <f>IF(ESales_DB[[#This Row],[Quantity1]]&gt;3,"Bulk order","Normal order")</f>
        <v>Bulk order</v>
      </c>
    </row>
    <row r="424" spans="1:19" x14ac:dyDescent="0.3">
      <c r="A424" t="s">
        <v>3204</v>
      </c>
      <c r="B424" s="4">
        <v>45656</v>
      </c>
      <c r="C424" s="4" t="str">
        <f>TEXT(ESales_DB[[#This Row],[Order_Date]],"mmm")</f>
        <v>Dec</v>
      </c>
      <c r="D424" t="s">
        <v>238</v>
      </c>
      <c r="E424" t="s">
        <v>1642</v>
      </c>
      <c r="F424" t="s">
        <v>1794</v>
      </c>
      <c r="G424">
        <v>2</v>
      </c>
      <c r="H424" s="10">
        <f>IF(ISBLANK(ESales_DB[[#This Row],[Quantity]]),AVERAGEIF(ESales_DB[Product_ID],ESales_DB[[#This Row],[Product_ID]],ESales_DB[Quantity]),ESales_DB[[#This Row],[Quantity]])</f>
        <v>2</v>
      </c>
      <c r="I424" s="2">
        <v>591.33000000000004</v>
      </c>
      <c r="J424">
        <v>0.24</v>
      </c>
      <c r="K424" t="s">
        <v>1824</v>
      </c>
      <c r="L424" s="2">
        <v>898.8216000000001</v>
      </c>
      <c r="M424" s="2" t="str">
        <f>IF(ESales_DB[[#This Row],[Total_Amount]]&gt;1000,"High","Low")</f>
        <v>Low</v>
      </c>
      <c r="N424" s="2" t="str">
        <f>VLOOKUP(ESales_DB[[#This Row],[Customer_ID]],Ecustom_DB[],3,FALSE)</f>
        <v>Mr. Mason Butler</v>
      </c>
      <c r="O424" s="2" t="str">
        <f>_xlfn.XLOOKUP(ESales_DB[[#This Row],[Product_ID]],Eproduct_DB[Product_ID],Eproduct_DB[Category])</f>
        <v>Beauty</v>
      </c>
      <c r="P424" s="2" t="str">
        <f>_xlfn.XLOOKUP(ESales_DB[[#This Row],[Product_ID]],Eproduct_DB[Product_ID],Eproduct_DB[Product_Name])</f>
        <v>Makeup Brush Set</v>
      </c>
      <c r="Q424" s="2" t="str">
        <f>_xlfn.XLOOKUP(ESales_DB[[#This Row],[Store_ID]],Estore_DB[Store_ID],Estore_DB[Region])</f>
        <v>North</v>
      </c>
      <c r="R424" t="str">
        <f>VLOOKUP(ESales_DB[[#This Row],[Customer_ID]],Ecustom_DB[],10,FALSE)</f>
        <v>Gold</v>
      </c>
      <c r="S424" t="str">
        <f>IF(ESales_DB[[#This Row],[Quantity1]]&gt;3,"Bulk order","Normal order")</f>
        <v>Normal order</v>
      </c>
    </row>
    <row r="425" spans="1:19" x14ac:dyDescent="0.3">
      <c r="A425" t="s">
        <v>3205</v>
      </c>
      <c r="B425" s="4">
        <v>45869</v>
      </c>
      <c r="C425" s="4" t="str">
        <f>TEXT(ESales_DB[[#This Row],[Order_Date]],"mmm")</f>
        <v>Jul</v>
      </c>
      <c r="D425" t="s">
        <v>1181</v>
      </c>
      <c r="E425" t="s">
        <v>1644</v>
      </c>
      <c r="F425" t="s">
        <v>1807</v>
      </c>
      <c r="G425">
        <v>2</v>
      </c>
      <c r="H425" s="10">
        <f>IF(ISBLANK(ESales_DB[[#This Row],[Quantity]]),AVERAGEIF(ESales_DB[Product_ID],ESales_DB[[#This Row],[Product_ID]],ESales_DB[Quantity]),ESales_DB[[#This Row],[Quantity]])</f>
        <v>2</v>
      </c>
      <c r="I425" s="2">
        <v>204.89</v>
      </c>
      <c r="J425">
        <v>0.24</v>
      </c>
      <c r="K425" t="s">
        <v>1824</v>
      </c>
      <c r="L425" s="2">
        <v>311.43279999999999</v>
      </c>
      <c r="M425" s="2" t="str">
        <f>IF(ESales_DB[[#This Row],[Total_Amount]]&gt;1000,"High","Low")</f>
        <v>Low</v>
      </c>
      <c r="N425" s="2" t="str">
        <f>VLOOKUP(ESales_DB[[#This Row],[Customer_ID]],Ecustom_DB[],3,FALSE)</f>
        <v>Frank Stewart</v>
      </c>
      <c r="O425" s="2" t="str">
        <f>_xlfn.XLOOKUP(ESales_DB[[#This Row],[Product_ID]],Eproduct_DB[Product_ID],Eproduct_DB[Category])</f>
        <v>Electronics</v>
      </c>
      <c r="P425" s="2" t="str">
        <f>_xlfn.XLOOKUP(ESales_DB[[#This Row],[Product_ID]],Eproduct_DB[Product_ID],Eproduct_DB[Product_Name])</f>
        <v>Car Dashboard Phone Holder</v>
      </c>
      <c r="Q425" s="2" t="str">
        <f>_xlfn.XLOOKUP(ESales_DB[[#This Row],[Store_ID]],Estore_DB[Store_ID],Estore_DB[Region])</f>
        <v>North</v>
      </c>
      <c r="R425" t="str">
        <f>VLOOKUP(ESales_DB[[#This Row],[Customer_ID]],Ecustom_DB[],10,FALSE)</f>
        <v>Bronze</v>
      </c>
      <c r="S425" t="str">
        <f>IF(ESales_DB[[#This Row],[Quantity1]]&gt;3,"Bulk order","Normal order")</f>
        <v>Normal order</v>
      </c>
    </row>
    <row r="426" spans="1:19" x14ac:dyDescent="0.3">
      <c r="A426" t="s">
        <v>1964</v>
      </c>
      <c r="B426" s="4">
        <v>45589</v>
      </c>
      <c r="C426" s="4" t="str">
        <f>TEXT(ESales_DB[[#This Row],[Order_Date]],"mmm")</f>
        <v>Oct</v>
      </c>
      <c r="D426" t="s">
        <v>589</v>
      </c>
      <c r="E426" t="s">
        <v>1742</v>
      </c>
      <c r="F426" t="s">
        <v>1789</v>
      </c>
      <c r="G426">
        <v>3</v>
      </c>
      <c r="H426" s="10">
        <f>IF(ISBLANK(ESales_DB[[#This Row],[Quantity]]),AVERAGEIF(ESales_DB[Product_ID],ESales_DB[[#This Row],[Product_ID]],ESales_DB[Quantity]),ESales_DB[[#This Row],[Quantity]])</f>
        <v>3</v>
      </c>
      <c r="I426" s="2">
        <v>237.68</v>
      </c>
      <c r="J426">
        <v>0.1</v>
      </c>
      <c r="K426" t="s">
        <v>1829</v>
      </c>
      <c r="L426" s="2">
        <v>641.73599999999999</v>
      </c>
      <c r="M426" s="2" t="str">
        <f>IF(ESales_DB[[#This Row],[Total_Amount]]&gt;1000,"High","Low")</f>
        <v>Low</v>
      </c>
      <c r="N426" s="2" t="str">
        <f>VLOOKUP(ESales_DB[[#This Row],[Customer_ID]],Ecustom_DB[],3,FALSE)</f>
        <v>Michelle Myers</v>
      </c>
      <c r="O426" s="2" t="str">
        <f>_xlfn.XLOOKUP(ESales_DB[[#This Row],[Product_ID]],Eproduct_DB[Product_ID],Eproduct_DB[Category])</f>
        <v>Sports</v>
      </c>
      <c r="P426" s="2" t="str">
        <f>_xlfn.XLOOKUP(ESales_DB[[#This Row],[Product_ID]],Eproduct_DB[Product_ID],Eproduct_DB[Product_Name])</f>
        <v>Cricket Bat</v>
      </c>
      <c r="Q426" s="2" t="str">
        <f>_xlfn.XLOOKUP(ESales_DB[[#This Row],[Store_ID]],Estore_DB[Store_ID],Estore_DB[Region])</f>
        <v>East</v>
      </c>
      <c r="R426" t="str">
        <f>VLOOKUP(ESales_DB[[#This Row],[Customer_ID]],Ecustom_DB[],10,FALSE)</f>
        <v>Bronze</v>
      </c>
      <c r="S426" t="str">
        <f>IF(ESales_DB[[#This Row],[Quantity1]]&gt;3,"Bulk order","Normal order")</f>
        <v>Normal order</v>
      </c>
    </row>
    <row r="427" spans="1:19" x14ac:dyDescent="0.3">
      <c r="A427" t="s">
        <v>3206</v>
      </c>
      <c r="B427" s="4">
        <v>45549</v>
      </c>
      <c r="C427" s="4" t="str">
        <f>TEXT(ESales_DB[[#This Row],[Order_Date]],"mmm")</f>
        <v>Sep</v>
      </c>
      <c r="D427" t="s">
        <v>325</v>
      </c>
      <c r="E427" t="s">
        <v>1678</v>
      </c>
      <c r="F427" t="s">
        <v>1799</v>
      </c>
      <c r="G427">
        <v>2</v>
      </c>
      <c r="H427" s="10">
        <f>IF(ISBLANK(ESales_DB[[#This Row],[Quantity]]),AVERAGEIF(ESales_DB[Product_ID],ESales_DB[[#This Row],[Product_ID]],ESales_DB[Quantity]),ESales_DB[[#This Row],[Quantity]])</f>
        <v>2</v>
      </c>
      <c r="I427" s="2">
        <v>546.41</v>
      </c>
      <c r="J427">
        <v>0.08</v>
      </c>
      <c r="K427" t="s">
        <v>1829</v>
      </c>
      <c r="L427" s="2">
        <v>1005.3944</v>
      </c>
      <c r="M427" s="2" t="str">
        <f>IF(ESales_DB[[#This Row],[Total_Amount]]&gt;1000,"High","Low")</f>
        <v>High</v>
      </c>
      <c r="N427" s="2" t="str">
        <f>VLOOKUP(ESales_DB[[#This Row],[Customer_ID]],Ecustom_DB[],3,FALSE)</f>
        <v>Oscar Moon</v>
      </c>
      <c r="O427" s="2" t="str">
        <f>_xlfn.XLOOKUP(ESales_DB[[#This Row],[Product_ID]],Eproduct_DB[Product_ID],Eproduct_DB[Category])</f>
        <v>Sports</v>
      </c>
      <c r="P427" s="2" t="str">
        <f>_xlfn.XLOOKUP(ESales_DB[[#This Row],[Product_ID]],Eproduct_DB[Product_ID],Eproduct_DB[Product_Name])</f>
        <v>Adjustable Dumbbells 20kg</v>
      </c>
      <c r="Q427" s="2" t="str">
        <f>_xlfn.XLOOKUP(ESales_DB[[#This Row],[Store_ID]],Estore_DB[Store_ID],Estore_DB[Region])</f>
        <v>South</v>
      </c>
      <c r="R427" t="str">
        <f>VLOOKUP(ESales_DB[[#This Row],[Customer_ID]],Ecustom_DB[],10,FALSE)</f>
        <v>Platinum</v>
      </c>
      <c r="S427" t="str">
        <f>IF(ESales_DB[[#This Row],[Quantity1]]&gt;3,"Bulk order","Normal order")</f>
        <v>Normal order</v>
      </c>
    </row>
    <row r="428" spans="1:19" x14ac:dyDescent="0.3">
      <c r="A428" t="s">
        <v>3207</v>
      </c>
      <c r="B428" s="4">
        <v>45409</v>
      </c>
      <c r="C428" s="4" t="str">
        <f>TEXT(ESales_DB[[#This Row],[Order_Date]],"mmm")</f>
        <v>Apr</v>
      </c>
      <c r="D428" t="s">
        <v>211</v>
      </c>
      <c r="E428" t="s">
        <v>1584</v>
      </c>
      <c r="F428" t="s">
        <v>1794</v>
      </c>
      <c r="G428">
        <v>4</v>
      </c>
      <c r="H428" s="10">
        <f>IF(ISBLANK(ESales_DB[[#This Row],[Quantity]]),AVERAGEIF(ESales_DB[Product_ID],ESales_DB[[#This Row],[Product_ID]],ESales_DB[Quantity]),ESales_DB[[#This Row],[Quantity]])</f>
        <v>4</v>
      </c>
      <c r="I428" s="2">
        <v>455.49</v>
      </c>
      <c r="J428">
        <v>0.17</v>
      </c>
      <c r="K428" t="s">
        <v>1824</v>
      </c>
      <c r="L428" s="2">
        <v>1512.2267999999999</v>
      </c>
      <c r="M428" s="2" t="str">
        <f>IF(ESales_DB[[#This Row],[Total_Amount]]&gt;1000,"High","Low")</f>
        <v>High</v>
      </c>
      <c r="N428" s="2" t="str">
        <f>VLOOKUP(ESales_DB[[#This Row],[Customer_ID]],Ecustom_DB[],3,FALSE)</f>
        <v>Christopher Sutton</v>
      </c>
      <c r="O428" s="2" t="str">
        <f>_xlfn.XLOOKUP(ESales_DB[[#This Row],[Product_ID]],Eproduct_DB[Product_ID],Eproduct_DB[Category])</f>
        <v>Clothing</v>
      </c>
      <c r="P428" s="2" t="str">
        <f>_xlfn.XLOOKUP(ESales_DB[[#This Row],[Product_ID]],Eproduct_DB[Product_ID],Eproduct_DB[Product_Name])</f>
        <v>Women's Denim Jeans</v>
      </c>
      <c r="Q428" s="2" t="str">
        <f>_xlfn.XLOOKUP(ESales_DB[[#This Row],[Store_ID]],Estore_DB[Store_ID],Estore_DB[Region])</f>
        <v>North</v>
      </c>
      <c r="R428" t="str">
        <f>VLOOKUP(ESales_DB[[#This Row],[Customer_ID]],Ecustom_DB[],10,FALSE)</f>
        <v>Gold</v>
      </c>
      <c r="S428" t="str">
        <f>IF(ESales_DB[[#This Row],[Quantity1]]&gt;3,"Bulk order","Normal order")</f>
        <v>Bulk order</v>
      </c>
    </row>
    <row r="429" spans="1:19" x14ac:dyDescent="0.3">
      <c r="A429" t="s">
        <v>3208</v>
      </c>
      <c r="B429" s="4">
        <v>45374</v>
      </c>
      <c r="C429" s="4" t="str">
        <f>TEXT(ESales_DB[[#This Row],[Order_Date]],"mmm")</f>
        <v>Mar</v>
      </c>
      <c r="D429" t="s">
        <v>1310</v>
      </c>
      <c r="E429" t="s">
        <v>1568</v>
      </c>
      <c r="F429" t="s">
        <v>1804</v>
      </c>
      <c r="G429">
        <v>2</v>
      </c>
      <c r="H429" s="10">
        <f>IF(ISBLANK(ESales_DB[[#This Row],[Quantity]]),AVERAGEIF(ESales_DB[Product_ID],ESales_DB[[#This Row],[Product_ID]],ESales_DB[Quantity]),ESales_DB[[#This Row],[Quantity]])</f>
        <v>2</v>
      </c>
      <c r="I429" s="2">
        <v>700.27</v>
      </c>
      <c r="J429">
        <v>0.16</v>
      </c>
      <c r="K429" t="s">
        <v>1824</v>
      </c>
      <c r="L429" s="2">
        <v>1176.4536000000001</v>
      </c>
      <c r="M429" s="2" t="str">
        <f>IF(ESales_DB[[#This Row],[Total_Amount]]&gt;1000,"High","Low")</f>
        <v>High</v>
      </c>
      <c r="N429" s="2" t="str">
        <f>VLOOKUP(ESales_DB[[#This Row],[Customer_ID]],Ecustom_DB[],3,FALSE)</f>
        <v>Brittany Edwards Dds</v>
      </c>
      <c r="O429" s="2" t="str">
        <f>_xlfn.XLOOKUP(ESales_DB[[#This Row],[Product_ID]],Eproduct_DB[Product_ID],Eproduct_DB[Category])</f>
        <v>Home</v>
      </c>
      <c r="P429" s="2" t="str">
        <f>_xlfn.XLOOKUP(ESales_DB[[#This Row],[Product_ID]],Eproduct_DB[Product_ID],Eproduct_DB[Product_Name])</f>
        <v>Ceramic Kitchen Bowl Set</v>
      </c>
      <c r="Q429" s="2" t="str">
        <f>_xlfn.XLOOKUP(ESales_DB[[#This Row],[Store_ID]],Estore_DB[Store_ID],Estore_DB[Region])</f>
        <v>West</v>
      </c>
      <c r="R429" t="str">
        <f>VLOOKUP(ESales_DB[[#This Row],[Customer_ID]],Ecustom_DB[],10,FALSE)</f>
        <v>Platinum</v>
      </c>
      <c r="S429" t="str">
        <f>IF(ESales_DB[[#This Row],[Quantity1]]&gt;3,"Bulk order","Normal order")</f>
        <v>Normal order</v>
      </c>
    </row>
    <row r="430" spans="1:19" x14ac:dyDescent="0.3">
      <c r="A430" t="s">
        <v>3209</v>
      </c>
      <c r="B430" s="4">
        <v>45282</v>
      </c>
      <c r="C430" s="4" t="str">
        <f>TEXT(ESales_DB[[#This Row],[Order_Date]],"mmm")</f>
        <v>Dec</v>
      </c>
      <c r="D430" t="s">
        <v>1083</v>
      </c>
      <c r="E430" t="s">
        <v>1712</v>
      </c>
      <c r="F430" t="s">
        <v>1807</v>
      </c>
      <c r="G430">
        <v>2</v>
      </c>
      <c r="H430" s="10">
        <f>IF(ISBLANK(ESales_DB[[#This Row],[Quantity]]),AVERAGEIF(ESales_DB[Product_ID],ESales_DB[[#This Row],[Product_ID]],ESales_DB[Quantity]),ESales_DB[[#This Row],[Quantity]])</f>
        <v>2</v>
      </c>
      <c r="I430" s="2">
        <v>160.21</v>
      </c>
      <c r="J430">
        <v>0.09</v>
      </c>
      <c r="K430" t="s">
        <v>1824</v>
      </c>
      <c r="L430" s="2">
        <v>291.5822</v>
      </c>
      <c r="M430" s="2" t="str">
        <f>IF(ESales_DB[[#This Row],[Total_Amount]]&gt;1000,"High","Low")</f>
        <v>Low</v>
      </c>
      <c r="N430" s="2" t="str">
        <f>VLOOKUP(ESales_DB[[#This Row],[Customer_ID]],Ecustom_DB[],3,FALSE)</f>
        <v>Daniel Nelson</v>
      </c>
      <c r="O430" s="2" t="str">
        <f>_xlfn.XLOOKUP(ESales_DB[[#This Row],[Product_ID]],Eproduct_DB[Product_ID],Eproduct_DB[Category])</f>
        <v>Sports</v>
      </c>
      <c r="P430" s="2" t="str">
        <f>_xlfn.XLOOKUP(ESales_DB[[#This Row],[Product_ID]],Eproduct_DB[Product_ID],Eproduct_DB[Product_Name])</f>
        <v>Fitness Resistance Bands</v>
      </c>
      <c r="Q430" s="2" t="str">
        <f>_xlfn.XLOOKUP(ESales_DB[[#This Row],[Store_ID]],Estore_DB[Store_ID],Estore_DB[Region])</f>
        <v>North</v>
      </c>
      <c r="R430" t="str">
        <f>VLOOKUP(ESales_DB[[#This Row],[Customer_ID]],Ecustom_DB[],10,FALSE)</f>
        <v>Bronze</v>
      </c>
      <c r="S430" t="str">
        <f>IF(ESales_DB[[#This Row],[Quantity1]]&gt;3,"Bulk order","Normal order")</f>
        <v>Normal order</v>
      </c>
    </row>
    <row r="431" spans="1:19" x14ac:dyDescent="0.3">
      <c r="A431" t="s">
        <v>3210</v>
      </c>
      <c r="B431" s="4">
        <v>45742</v>
      </c>
      <c r="C431" s="4" t="str">
        <f>TEXT(ESales_DB[[#This Row],[Order_Date]],"mmm")</f>
        <v>Mar</v>
      </c>
      <c r="D431" t="s">
        <v>127</v>
      </c>
      <c r="E431" t="s">
        <v>1642</v>
      </c>
      <c r="F431" t="s">
        <v>1792</v>
      </c>
      <c r="G431">
        <v>1</v>
      </c>
      <c r="H431" s="10">
        <f>IF(ISBLANK(ESales_DB[[#This Row],[Quantity]]),AVERAGEIF(ESales_DB[Product_ID],ESales_DB[[#This Row],[Product_ID]],ESales_DB[Quantity]),ESales_DB[[#This Row],[Quantity]])</f>
        <v>1</v>
      </c>
      <c r="I431" s="2">
        <v>713.63</v>
      </c>
      <c r="J431">
        <v>0.28000000000000003</v>
      </c>
      <c r="K431" t="s">
        <v>1829</v>
      </c>
      <c r="L431" s="2">
        <v>513.81359999999995</v>
      </c>
      <c r="M431" s="2" t="str">
        <f>IF(ESales_DB[[#This Row],[Total_Amount]]&gt;1000,"High","Low")</f>
        <v>Low</v>
      </c>
      <c r="N431" s="2" t="str">
        <f>VLOOKUP(ESales_DB[[#This Row],[Customer_ID]],Ecustom_DB[],3,FALSE)</f>
        <v>Sarah Vance</v>
      </c>
      <c r="O431" s="2" t="str">
        <f>_xlfn.XLOOKUP(ESales_DB[[#This Row],[Product_ID]],Eproduct_DB[Product_ID],Eproduct_DB[Category])</f>
        <v>Beauty</v>
      </c>
      <c r="P431" s="2" t="str">
        <f>_xlfn.XLOOKUP(ESales_DB[[#This Row],[Product_ID]],Eproduct_DB[Product_ID],Eproduct_DB[Product_Name])</f>
        <v>Makeup Brush Set</v>
      </c>
      <c r="Q431" s="2" t="str">
        <f>_xlfn.XLOOKUP(ESales_DB[[#This Row],[Store_ID]],Estore_DB[Store_ID],Estore_DB[Region])</f>
        <v>South</v>
      </c>
      <c r="R431" t="str">
        <f>VLOOKUP(ESales_DB[[#This Row],[Customer_ID]],Ecustom_DB[],10,FALSE)</f>
        <v>Silver</v>
      </c>
      <c r="S431" t="str">
        <f>IF(ESales_DB[[#This Row],[Quantity1]]&gt;3,"Bulk order","Normal order")</f>
        <v>Normal order</v>
      </c>
    </row>
    <row r="432" spans="1:19" x14ac:dyDescent="0.3">
      <c r="A432" t="s">
        <v>3211</v>
      </c>
      <c r="B432" s="4">
        <v>45447</v>
      </c>
      <c r="C432" s="4" t="str">
        <f>TEXT(ESales_DB[[#This Row],[Order_Date]],"mmm")</f>
        <v>Jun</v>
      </c>
      <c r="D432" t="s">
        <v>732</v>
      </c>
      <c r="E432" t="s">
        <v>1734</v>
      </c>
      <c r="F432" t="s">
        <v>1779</v>
      </c>
      <c r="G432">
        <v>2</v>
      </c>
      <c r="H432" s="10">
        <f>IF(ISBLANK(ESales_DB[[#This Row],[Quantity]]),AVERAGEIF(ESales_DB[Product_ID],ESales_DB[[#This Row],[Product_ID]],ESales_DB[Quantity]),ESales_DB[[#This Row],[Quantity]])</f>
        <v>2</v>
      </c>
      <c r="I432" s="2">
        <v>224.69</v>
      </c>
      <c r="J432">
        <v>0.2</v>
      </c>
      <c r="K432" t="s">
        <v>1829</v>
      </c>
      <c r="L432" s="2">
        <v>359.50400000000002</v>
      </c>
      <c r="M432" s="2" t="str">
        <f>IF(ESales_DB[[#This Row],[Total_Amount]]&gt;1000,"High","Low")</f>
        <v>Low</v>
      </c>
      <c r="N432" s="2" t="str">
        <f>VLOOKUP(ESales_DB[[#This Row],[Customer_ID]],Ecustom_DB[],3,FALSE)</f>
        <v>Gregory Pham</v>
      </c>
      <c r="O432" s="2" t="str">
        <f>_xlfn.XLOOKUP(ESales_DB[[#This Row],[Product_ID]],Eproduct_DB[Product_ID],Eproduct_DB[Category])</f>
        <v>Electronics</v>
      </c>
      <c r="P432" s="2" t="str">
        <f>_xlfn.XLOOKUP(ESales_DB[[#This Row],[Product_ID]],Eproduct_DB[Product_ID],Eproduct_DB[Product_Name])</f>
        <v>USB-C Laptop Charger</v>
      </c>
      <c r="Q432" s="2" t="str">
        <f>_xlfn.XLOOKUP(ESales_DB[[#This Row],[Store_ID]],Estore_DB[Store_ID],Estore_DB[Region])</f>
        <v>South</v>
      </c>
      <c r="R432" t="str">
        <f>VLOOKUP(ESales_DB[[#This Row],[Customer_ID]],Ecustom_DB[],10,FALSE)</f>
        <v>Gold</v>
      </c>
      <c r="S432" t="str">
        <f>IF(ESales_DB[[#This Row],[Quantity1]]&gt;3,"Bulk order","Normal order")</f>
        <v>Normal order</v>
      </c>
    </row>
    <row r="433" spans="1:19" x14ac:dyDescent="0.3">
      <c r="A433" t="s">
        <v>3212</v>
      </c>
      <c r="B433" s="4">
        <v>45733</v>
      </c>
      <c r="C433" s="4" t="str">
        <f>TEXT(ESales_DB[[#This Row],[Order_Date]],"mmm")</f>
        <v>Mar</v>
      </c>
      <c r="D433" t="s">
        <v>1400</v>
      </c>
      <c r="E433" t="s">
        <v>1588</v>
      </c>
      <c r="F433" t="s">
        <v>1799</v>
      </c>
      <c r="G433">
        <v>2</v>
      </c>
      <c r="H433" s="10">
        <f>IF(ISBLANK(ESales_DB[[#This Row],[Quantity]]),AVERAGEIF(ESales_DB[Product_ID],ESales_DB[[#This Row],[Product_ID]],ESales_DB[Quantity]),ESales_DB[[#This Row],[Quantity]])</f>
        <v>2</v>
      </c>
      <c r="I433" s="2">
        <v>740.57</v>
      </c>
      <c r="J433">
        <v>0.06</v>
      </c>
      <c r="K433" t="s">
        <v>1824</v>
      </c>
      <c r="L433" s="2">
        <v>1392.2716</v>
      </c>
      <c r="M433" s="2" t="str">
        <f>IF(ESales_DB[[#This Row],[Total_Amount]]&gt;1000,"High","Low")</f>
        <v>High</v>
      </c>
      <c r="N433" s="2" t="str">
        <f>VLOOKUP(ESales_DB[[#This Row],[Customer_ID]],Ecustom_DB[],3,FALSE)</f>
        <v>April Phillips</v>
      </c>
      <c r="O433" s="2" t="str">
        <f>_xlfn.XLOOKUP(ESales_DB[[#This Row],[Product_ID]],Eproduct_DB[Product_ID],Eproduct_DB[Category])</f>
        <v>Sports</v>
      </c>
      <c r="P433" s="2" t="str">
        <f>_xlfn.XLOOKUP(ESales_DB[[#This Row],[Product_ID]],Eproduct_DB[Product_ID],Eproduct_DB[Product_Name])</f>
        <v>Outdoor Sports Water Bottle</v>
      </c>
      <c r="Q433" s="2" t="str">
        <f>_xlfn.XLOOKUP(ESales_DB[[#This Row],[Store_ID]],Estore_DB[Store_ID],Estore_DB[Region])</f>
        <v>South</v>
      </c>
      <c r="R433" t="str">
        <f>VLOOKUP(ESales_DB[[#This Row],[Customer_ID]],Ecustom_DB[],10,FALSE)</f>
        <v>Platinum</v>
      </c>
      <c r="S433" t="str">
        <f>IF(ESales_DB[[#This Row],[Quantity1]]&gt;3,"Bulk order","Normal order")</f>
        <v>Normal order</v>
      </c>
    </row>
    <row r="434" spans="1:19" x14ac:dyDescent="0.3">
      <c r="A434" t="s">
        <v>3213</v>
      </c>
      <c r="B434" s="4">
        <v>45373</v>
      </c>
      <c r="C434" s="4" t="str">
        <f>TEXT(ESales_DB[[#This Row],[Order_Date]],"mmm")</f>
        <v>Mar</v>
      </c>
      <c r="D434" t="s">
        <v>481</v>
      </c>
      <c r="E434" t="s">
        <v>1570</v>
      </c>
      <c r="F434" t="s">
        <v>1766</v>
      </c>
      <c r="G434">
        <v>3</v>
      </c>
      <c r="H434" s="10">
        <f>IF(ISBLANK(ESales_DB[[#This Row],[Quantity]]),AVERAGEIF(ESales_DB[Product_ID],ESales_DB[[#This Row],[Product_ID]],ESales_DB[Quantity]),ESales_DB[[#This Row],[Quantity]])</f>
        <v>3</v>
      </c>
      <c r="I434" s="2">
        <v>250.14</v>
      </c>
      <c r="J434">
        <v>0.23</v>
      </c>
      <c r="K434" t="s">
        <v>1826</v>
      </c>
      <c r="L434" s="2">
        <v>577.82339999999999</v>
      </c>
      <c r="M434" s="2" t="str">
        <f>IF(ESales_DB[[#This Row],[Total_Amount]]&gt;1000,"High","Low")</f>
        <v>Low</v>
      </c>
      <c r="N434" s="2" t="str">
        <f>VLOOKUP(ESales_DB[[#This Row],[Customer_ID]],Ecustom_DB[],3,FALSE)</f>
        <v>Maria Ramirez</v>
      </c>
      <c r="O434" s="2" t="str">
        <f>_xlfn.XLOOKUP(ESales_DB[[#This Row],[Product_ID]],Eproduct_DB[Product_ID],Eproduct_DB[Category])</f>
        <v>Electronics</v>
      </c>
      <c r="P434" s="2" t="str">
        <f>_xlfn.XLOOKUP(ESales_DB[[#This Row],[Product_ID]],Eproduct_DB[Product_ID],Eproduct_DB[Product_Name])</f>
        <v>HD Smart TV Stick</v>
      </c>
      <c r="Q434" s="2" t="str">
        <f>_xlfn.XLOOKUP(ESales_DB[[#This Row],[Store_ID]],Estore_DB[Store_ID],Estore_DB[Region])</f>
        <v>North</v>
      </c>
      <c r="R434" t="str">
        <f>VLOOKUP(ESales_DB[[#This Row],[Customer_ID]],Ecustom_DB[],10,FALSE)</f>
        <v>Bronze</v>
      </c>
      <c r="S434" t="str">
        <f>IF(ESales_DB[[#This Row],[Quantity1]]&gt;3,"Bulk order","Normal order")</f>
        <v>Normal order</v>
      </c>
    </row>
    <row r="435" spans="1:19" x14ac:dyDescent="0.3">
      <c r="A435" t="s">
        <v>3214</v>
      </c>
      <c r="B435" s="4">
        <v>45655</v>
      </c>
      <c r="C435" s="4" t="str">
        <f>TEXT(ESales_DB[[#This Row],[Order_Date]],"mmm")</f>
        <v>Dec</v>
      </c>
      <c r="D435" t="s">
        <v>89</v>
      </c>
      <c r="E435" t="s">
        <v>1744</v>
      </c>
      <c r="F435" t="s">
        <v>1813</v>
      </c>
      <c r="G435">
        <v>3</v>
      </c>
      <c r="H435" s="10">
        <f>IF(ISBLANK(ESales_DB[[#This Row],[Quantity]]),AVERAGEIF(ESales_DB[Product_ID],ESales_DB[[#This Row],[Product_ID]],ESales_DB[Quantity]),ESales_DB[[#This Row],[Quantity]])</f>
        <v>3</v>
      </c>
      <c r="I435" s="2">
        <v>34.97</v>
      </c>
      <c r="J435">
        <v>0.01</v>
      </c>
      <c r="K435" t="s">
        <v>1824</v>
      </c>
      <c r="L435" s="2">
        <v>103.8609</v>
      </c>
      <c r="M435" s="2" t="str">
        <f>IF(ESales_DB[[#This Row],[Total_Amount]]&gt;1000,"High","Low")</f>
        <v>Low</v>
      </c>
      <c r="N435" s="2" t="str">
        <f>VLOOKUP(ESales_DB[[#This Row],[Customer_ID]],Ecustom_DB[],3,FALSE)</f>
        <v>Bridget Allen</v>
      </c>
      <c r="O435" s="2" t="str">
        <f>_xlfn.XLOOKUP(ESales_DB[[#This Row],[Product_ID]],Eproduct_DB[Product_ID],Eproduct_DB[Category])</f>
        <v>Electronics</v>
      </c>
      <c r="P435" s="2" t="str">
        <f>_xlfn.XLOOKUP(ESales_DB[[#This Row],[Product_ID]],Eproduct_DB[Product_ID],Eproduct_DB[Product_Name])</f>
        <v>Portable Bluetooth Speaker</v>
      </c>
      <c r="Q435" s="2" t="str">
        <f>_xlfn.XLOOKUP(ESales_DB[[#This Row],[Store_ID]],Estore_DB[Store_ID],Estore_DB[Region])</f>
        <v>East</v>
      </c>
      <c r="R435" t="str">
        <f>VLOOKUP(ESales_DB[[#This Row],[Customer_ID]],Ecustom_DB[],10,FALSE)</f>
        <v>Silver</v>
      </c>
      <c r="S435" t="str">
        <f>IF(ESales_DB[[#This Row],[Quantity1]]&gt;3,"Bulk order","Normal order")</f>
        <v>Normal order</v>
      </c>
    </row>
    <row r="436" spans="1:19" x14ac:dyDescent="0.3">
      <c r="A436" t="s">
        <v>3215</v>
      </c>
      <c r="B436" s="4">
        <v>45868</v>
      </c>
      <c r="C436" s="4" t="str">
        <f>TEXT(ESales_DB[[#This Row],[Order_Date]],"mmm")</f>
        <v>Jul</v>
      </c>
      <c r="D436" t="s">
        <v>960</v>
      </c>
      <c r="E436" t="s">
        <v>1632</v>
      </c>
      <c r="F436" t="s">
        <v>1804</v>
      </c>
      <c r="G436">
        <v>1</v>
      </c>
      <c r="H436" s="10">
        <f>IF(ISBLANK(ESales_DB[[#This Row],[Quantity]]),AVERAGEIF(ESales_DB[Product_ID],ESales_DB[[#This Row],[Product_ID]],ESales_DB[Quantity]),ESales_DB[[#This Row],[Quantity]])</f>
        <v>1</v>
      </c>
      <c r="I436" s="2">
        <v>653.91</v>
      </c>
      <c r="J436">
        <v>0.3</v>
      </c>
      <c r="K436" t="s">
        <v>1826</v>
      </c>
      <c r="L436" s="2">
        <v>457.73700000000002</v>
      </c>
      <c r="M436" s="2" t="str">
        <f>IF(ESales_DB[[#This Row],[Total_Amount]]&gt;1000,"High","Low")</f>
        <v>Low</v>
      </c>
      <c r="N436" s="2" t="str">
        <f>VLOOKUP(ESales_DB[[#This Row],[Customer_ID]],Ecustom_DB[],3,FALSE)</f>
        <v>Miss Alexandria Li Dvm</v>
      </c>
      <c r="O436" s="2" t="str">
        <f>_xlfn.XLOOKUP(ESales_DB[[#This Row],[Product_ID]],Eproduct_DB[Product_ID],Eproduct_DB[Category])</f>
        <v>Electronics</v>
      </c>
      <c r="P436" s="2" t="str">
        <f>_xlfn.XLOOKUP(ESales_DB[[#This Row],[Product_ID]],Eproduct_DB[Product_ID],Eproduct_DB[Product_Name])</f>
        <v>Smart Home WiFi Camera</v>
      </c>
      <c r="Q436" s="2" t="str">
        <f>_xlfn.XLOOKUP(ESales_DB[[#This Row],[Store_ID]],Estore_DB[Store_ID],Estore_DB[Region])</f>
        <v>West</v>
      </c>
      <c r="R436" t="str">
        <f>VLOOKUP(ESales_DB[[#This Row],[Customer_ID]],Ecustom_DB[],10,FALSE)</f>
        <v>Silver</v>
      </c>
      <c r="S436" t="str">
        <f>IF(ESales_DB[[#This Row],[Quantity1]]&gt;3,"Bulk order","Normal order")</f>
        <v>Normal order</v>
      </c>
    </row>
    <row r="437" spans="1:19" x14ac:dyDescent="0.3">
      <c r="A437" t="s">
        <v>1965</v>
      </c>
      <c r="B437" s="4">
        <v>45756</v>
      </c>
      <c r="C437" s="4" t="str">
        <f>TEXT(ESales_DB[[#This Row],[Order_Date]],"mmm")</f>
        <v>Apr</v>
      </c>
      <c r="D437" t="s">
        <v>1059</v>
      </c>
      <c r="E437" t="s">
        <v>1690</v>
      </c>
      <c r="F437" t="s">
        <v>1799</v>
      </c>
      <c r="G437">
        <v>4</v>
      </c>
      <c r="H437" s="10">
        <f>IF(ISBLANK(ESales_DB[[#This Row],[Quantity]]),AVERAGEIF(ESales_DB[Product_ID],ESales_DB[[#This Row],[Product_ID]],ESales_DB[Quantity]),ESales_DB[[#This Row],[Quantity]])</f>
        <v>4</v>
      </c>
      <c r="I437" s="2">
        <v>715.85</v>
      </c>
      <c r="J437">
        <v>0.25</v>
      </c>
      <c r="K437" t="s">
        <v>1826</v>
      </c>
      <c r="L437" s="2">
        <v>2147.5500000000002</v>
      </c>
      <c r="M437" s="2" t="str">
        <f>IF(ESales_DB[[#This Row],[Total_Amount]]&gt;1000,"High","Low")</f>
        <v>High</v>
      </c>
      <c r="N437" s="2" t="str">
        <f>VLOOKUP(ESales_DB[[#This Row],[Customer_ID]],Ecustom_DB[],3,FALSE)</f>
        <v>Carol Lewis</v>
      </c>
      <c r="O437" s="2" t="str">
        <f>_xlfn.XLOOKUP(ESales_DB[[#This Row],[Product_ID]],Eproduct_DB[Product_ID],Eproduct_DB[Category])</f>
        <v>Beauty</v>
      </c>
      <c r="P437" s="2" t="str">
        <f>_xlfn.XLOOKUP(ESales_DB[[#This Row],[Product_ID]],Eproduct_DB[Product_ID],Eproduct_DB[Product_Name])</f>
        <v>Hair Repair Oil Treatment</v>
      </c>
      <c r="Q437" s="2" t="str">
        <f>_xlfn.XLOOKUP(ESales_DB[[#This Row],[Store_ID]],Estore_DB[Store_ID],Estore_DB[Region])</f>
        <v>South</v>
      </c>
      <c r="R437" t="str">
        <f>VLOOKUP(ESales_DB[[#This Row],[Customer_ID]],Ecustom_DB[],10,FALSE)</f>
        <v>Bronze</v>
      </c>
      <c r="S437" t="str">
        <f>IF(ESales_DB[[#This Row],[Quantity1]]&gt;3,"Bulk order","Normal order")</f>
        <v>Bulk order</v>
      </c>
    </row>
    <row r="438" spans="1:19" x14ac:dyDescent="0.3">
      <c r="A438" t="s">
        <v>3216</v>
      </c>
      <c r="B438" s="4">
        <v>45338</v>
      </c>
      <c r="C438" s="4" t="str">
        <f>TEXT(ESales_DB[[#This Row],[Order_Date]],"mmm")</f>
        <v>Feb</v>
      </c>
      <c r="D438" t="s">
        <v>1136</v>
      </c>
      <c r="E438" t="s">
        <v>1680</v>
      </c>
      <c r="F438" t="s">
        <v>1766</v>
      </c>
      <c r="G438">
        <v>1</v>
      </c>
      <c r="H438" s="10">
        <f>IF(ISBLANK(ESales_DB[[#This Row],[Quantity]]),AVERAGEIF(ESales_DB[Product_ID],ESales_DB[[#This Row],[Product_ID]],ESales_DB[Quantity]),ESales_DB[[#This Row],[Quantity]])</f>
        <v>1</v>
      </c>
      <c r="I438" s="2">
        <v>997.87</v>
      </c>
      <c r="J438">
        <v>0.24</v>
      </c>
      <c r="K438" t="s">
        <v>1824</v>
      </c>
      <c r="L438" s="2">
        <v>758.38120000000004</v>
      </c>
      <c r="M438" s="2" t="str">
        <f>IF(ESales_DB[[#This Row],[Total_Amount]]&gt;1000,"High","Low")</f>
        <v>Low</v>
      </c>
      <c r="N438" s="2" t="str">
        <f>VLOOKUP(ESales_DB[[#This Row],[Customer_ID]],Ecustom_DB[],3,FALSE)</f>
        <v>Elizabeth Smith</v>
      </c>
      <c r="O438" s="2" t="str">
        <f>_xlfn.XLOOKUP(ESales_DB[[#This Row],[Product_ID]],Eproduct_DB[Product_ID],Eproduct_DB[Category])</f>
        <v>Beauty</v>
      </c>
      <c r="P438" s="2" t="str">
        <f>_xlfn.XLOOKUP(ESales_DB[[#This Row],[Product_ID]],Eproduct_DB[Product_ID],Eproduct_DB[Product_Name])</f>
        <v>Women's Hair Dryer Brush</v>
      </c>
      <c r="Q438" s="2" t="str">
        <f>_xlfn.XLOOKUP(ESales_DB[[#This Row],[Store_ID]],Estore_DB[Store_ID],Estore_DB[Region])</f>
        <v>North</v>
      </c>
      <c r="R438" t="str">
        <f>VLOOKUP(ESales_DB[[#This Row],[Customer_ID]],Ecustom_DB[],10,FALSE)</f>
        <v>Bronze</v>
      </c>
      <c r="S438" t="str">
        <f>IF(ESales_DB[[#This Row],[Quantity1]]&gt;3,"Bulk order","Normal order")</f>
        <v>Normal order</v>
      </c>
    </row>
    <row r="439" spans="1:19" x14ac:dyDescent="0.3">
      <c r="A439" t="s">
        <v>3217</v>
      </c>
      <c r="B439" s="4">
        <v>45349</v>
      </c>
      <c r="C439" s="4" t="str">
        <f>TEXT(ESales_DB[[#This Row],[Order_Date]],"mmm")</f>
        <v>Feb</v>
      </c>
      <c r="D439" t="s">
        <v>678</v>
      </c>
      <c r="E439" t="s">
        <v>1726</v>
      </c>
      <c r="F439" t="s">
        <v>1799</v>
      </c>
      <c r="G439">
        <v>1</v>
      </c>
      <c r="H439" s="10">
        <f>IF(ISBLANK(ESales_DB[[#This Row],[Quantity]]),AVERAGEIF(ESales_DB[Product_ID],ESales_DB[[#This Row],[Product_ID]],ESales_DB[Quantity]),ESales_DB[[#This Row],[Quantity]])</f>
        <v>1</v>
      </c>
      <c r="I439" s="2">
        <v>174.27</v>
      </c>
      <c r="J439">
        <v>0.27</v>
      </c>
      <c r="K439" t="s">
        <v>1829</v>
      </c>
      <c r="L439" s="2">
        <v>127.2171</v>
      </c>
      <c r="M439" s="2" t="str">
        <f>IF(ESales_DB[[#This Row],[Total_Amount]]&gt;1000,"High","Low")</f>
        <v>Low</v>
      </c>
      <c r="N439" s="2" t="str">
        <f>VLOOKUP(ESales_DB[[#This Row],[Customer_ID]],Ecustom_DB[],3,FALSE)</f>
        <v>John Perez</v>
      </c>
      <c r="O439" s="2" t="str">
        <f>_xlfn.XLOOKUP(ESales_DB[[#This Row],[Product_ID]],Eproduct_DB[Product_ID],Eproduct_DB[Category])</f>
        <v>Beauty</v>
      </c>
      <c r="P439" s="2" t="str">
        <f>_xlfn.XLOOKUP(ESales_DB[[#This Row],[Product_ID]],Eproduct_DB[Product_ID],Eproduct_DB[Product_Name])</f>
        <v>Face Foundation Kit</v>
      </c>
      <c r="Q439" s="2" t="str">
        <f>_xlfn.XLOOKUP(ESales_DB[[#This Row],[Store_ID]],Estore_DB[Store_ID],Estore_DB[Region])</f>
        <v>South</v>
      </c>
      <c r="R439" t="str">
        <f>VLOOKUP(ESales_DB[[#This Row],[Customer_ID]],Ecustom_DB[],10,FALSE)</f>
        <v>Platinum</v>
      </c>
      <c r="S439" t="str">
        <f>IF(ESales_DB[[#This Row],[Quantity1]]&gt;3,"Bulk order","Normal order")</f>
        <v>Normal order</v>
      </c>
    </row>
    <row r="440" spans="1:19" x14ac:dyDescent="0.3">
      <c r="A440" t="s">
        <v>3218</v>
      </c>
      <c r="B440" s="4">
        <v>45368</v>
      </c>
      <c r="C440" s="4" t="str">
        <f>TEXT(ESales_DB[[#This Row],[Order_Date]],"mmm")</f>
        <v>Mar</v>
      </c>
      <c r="D440" t="s">
        <v>402</v>
      </c>
      <c r="E440" t="s">
        <v>1646</v>
      </c>
      <c r="F440" t="s">
        <v>1779</v>
      </c>
      <c r="G440">
        <v>3</v>
      </c>
      <c r="H440" s="10">
        <f>IF(ISBLANK(ESales_DB[[#This Row],[Quantity]]),AVERAGEIF(ESales_DB[Product_ID],ESales_DB[[#This Row],[Product_ID]],ESales_DB[Quantity]),ESales_DB[[#This Row],[Quantity]])</f>
        <v>3</v>
      </c>
      <c r="I440" s="2">
        <v>847.44</v>
      </c>
      <c r="J440">
        <v>0.17</v>
      </c>
      <c r="K440" t="s">
        <v>1824</v>
      </c>
      <c r="L440" s="2">
        <v>2110.1255999999998</v>
      </c>
      <c r="M440" s="2" t="str">
        <f>IF(ESales_DB[[#This Row],[Total_Amount]]&gt;1000,"High","Low")</f>
        <v>High</v>
      </c>
      <c r="N440" s="2" t="str">
        <f>VLOOKUP(ESales_DB[[#This Row],[Customer_ID]],Ecustom_DB[],3,FALSE)</f>
        <v>Tyler Conrad</v>
      </c>
      <c r="O440" s="2" t="str">
        <f>_xlfn.XLOOKUP(ESales_DB[[#This Row],[Product_ID]],Eproduct_DB[Product_ID],Eproduct_DB[Category])</f>
        <v>Beauty</v>
      </c>
      <c r="P440" s="2" t="str">
        <f>_xlfn.XLOOKUP(ESales_DB[[#This Row],[Product_ID]],Eproduct_DB[Product_ID],Eproduct_DB[Product_Name])</f>
        <v>Men's Roll-On Perfume</v>
      </c>
      <c r="Q440" s="2" t="str">
        <f>_xlfn.XLOOKUP(ESales_DB[[#This Row],[Store_ID]],Estore_DB[Store_ID],Estore_DB[Region])</f>
        <v>South</v>
      </c>
      <c r="R440" t="str">
        <f>VLOOKUP(ESales_DB[[#This Row],[Customer_ID]],Ecustom_DB[],10,FALSE)</f>
        <v>Platinum</v>
      </c>
      <c r="S440" t="str">
        <f>IF(ESales_DB[[#This Row],[Quantity1]]&gt;3,"Bulk order","Normal order")</f>
        <v>Normal order</v>
      </c>
    </row>
    <row r="441" spans="1:19" x14ac:dyDescent="0.3">
      <c r="A441" t="s">
        <v>3219</v>
      </c>
      <c r="B441" s="4">
        <v>45243</v>
      </c>
      <c r="C441" s="4" t="str">
        <f>TEXT(ESales_DB[[#This Row],[Order_Date]],"mmm")</f>
        <v>Nov</v>
      </c>
      <c r="D441" t="s">
        <v>1328</v>
      </c>
      <c r="E441" t="s">
        <v>1549</v>
      </c>
      <c r="F441" t="s">
        <v>1761</v>
      </c>
      <c r="G441">
        <v>1</v>
      </c>
      <c r="H441" s="10">
        <f>IF(ISBLANK(ESales_DB[[#This Row],[Quantity]]),AVERAGEIF(ESales_DB[Product_ID],ESales_DB[[#This Row],[Product_ID]],ESales_DB[Quantity]),ESales_DB[[#This Row],[Quantity]])</f>
        <v>1</v>
      </c>
      <c r="I441" s="2">
        <v>493.45</v>
      </c>
      <c r="J441">
        <v>0.09</v>
      </c>
      <c r="K441" t="s">
        <v>1824</v>
      </c>
      <c r="L441" s="2">
        <v>449.03949999999998</v>
      </c>
      <c r="M441" s="2" t="str">
        <f>IF(ESales_DB[[#This Row],[Total_Amount]]&gt;1000,"High","Low")</f>
        <v>Low</v>
      </c>
      <c r="N441" s="2" t="str">
        <f>VLOOKUP(ESales_DB[[#This Row],[Customer_ID]],Ecustom_DB[],3,FALSE)</f>
        <v>Samuel Mullins</v>
      </c>
      <c r="O441" s="2" t="str">
        <f>_xlfn.XLOOKUP(ESales_DB[[#This Row],[Product_ID]],Eproduct_DB[Product_ID],Eproduct_DB[Category])</f>
        <v>Clothing</v>
      </c>
      <c r="P441" s="2" t="str">
        <f>_xlfn.XLOOKUP(ESales_DB[[#This Row],[Product_ID]],Eproduct_DB[Product_ID],Eproduct_DB[Product_Name])</f>
        <v>Women's Casual Hoodie</v>
      </c>
      <c r="Q441" s="2" t="str">
        <f>_xlfn.XLOOKUP(ESales_DB[[#This Row],[Store_ID]],Estore_DB[Store_ID],Estore_DB[Region])</f>
        <v>South</v>
      </c>
      <c r="R441" t="str">
        <f>VLOOKUP(ESales_DB[[#This Row],[Customer_ID]],Ecustom_DB[],10,FALSE)</f>
        <v>Bronze</v>
      </c>
      <c r="S441" t="str">
        <f>IF(ESales_DB[[#This Row],[Quantity1]]&gt;3,"Bulk order","Normal order")</f>
        <v>Normal order</v>
      </c>
    </row>
    <row r="442" spans="1:19" x14ac:dyDescent="0.3">
      <c r="A442" t="s">
        <v>3220</v>
      </c>
      <c r="B442" s="4">
        <v>45577</v>
      </c>
      <c r="C442" s="4" t="str">
        <f>TEXT(ESales_DB[[#This Row],[Order_Date]],"mmm")</f>
        <v>Oct</v>
      </c>
      <c r="D442" t="s">
        <v>746</v>
      </c>
      <c r="E442" t="s">
        <v>1672</v>
      </c>
      <c r="F442" t="s">
        <v>1761</v>
      </c>
      <c r="G442">
        <v>4</v>
      </c>
      <c r="H442" s="10">
        <f>IF(ISBLANK(ESales_DB[[#This Row],[Quantity]]),AVERAGEIF(ESales_DB[Product_ID],ESales_DB[[#This Row],[Product_ID]],ESales_DB[Quantity]),ESales_DB[[#This Row],[Quantity]])</f>
        <v>4</v>
      </c>
      <c r="I442" s="2">
        <v>111.66</v>
      </c>
      <c r="J442">
        <v>0.14000000000000001</v>
      </c>
      <c r="K442" t="s">
        <v>1824</v>
      </c>
      <c r="L442" s="2">
        <v>384.11040000000003</v>
      </c>
      <c r="M442" s="2" t="str">
        <f>IF(ESales_DB[[#This Row],[Total_Amount]]&gt;1000,"High","Low")</f>
        <v>Low</v>
      </c>
      <c r="N442" s="2" t="str">
        <f>VLOOKUP(ESales_DB[[#This Row],[Customer_ID]],Ecustom_DB[],3,FALSE)</f>
        <v>Christy Hill</v>
      </c>
      <c r="O442" s="2" t="str">
        <f>_xlfn.XLOOKUP(ESales_DB[[#This Row],[Product_ID]],Eproduct_DB[Product_ID],Eproduct_DB[Category])</f>
        <v>Electronics</v>
      </c>
      <c r="P442" s="2" t="str">
        <f>_xlfn.XLOOKUP(ESales_DB[[#This Row],[Product_ID]],Eproduct_DB[Product_ID],Eproduct_DB[Product_Name])</f>
        <v>Laptop Cooling Pad</v>
      </c>
      <c r="Q442" s="2" t="str">
        <f>_xlfn.XLOOKUP(ESales_DB[[#This Row],[Store_ID]],Estore_DB[Store_ID],Estore_DB[Region])</f>
        <v>South</v>
      </c>
      <c r="R442" t="str">
        <f>VLOOKUP(ESales_DB[[#This Row],[Customer_ID]],Ecustom_DB[],10,FALSE)</f>
        <v>Platinum</v>
      </c>
      <c r="S442" t="str">
        <f>IF(ESales_DB[[#This Row],[Quantity1]]&gt;3,"Bulk order","Normal order")</f>
        <v>Bulk order</v>
      </c>
    </row>
    <row r="443" spans="1:19" x14ac:dyDescent="0.3">
      <c r="A443" t="s">
        <v>3221</v>
      </c>
      <c r="B443" s="4">
        <v>45343</v>
      </c>
      <c r="C443" s="4" t="str">
        <f>TEXT(ESales_DB[[#This Row],[Order_Date]],"mmm")</f>
        <v>Feb</v>
      </c>
      <c r="D443" t="s">
        <v>884</v>
      </c>
      <c r="E443" t="s">
        <v>1728</v>
      </c>
      <c r="F443" t="s">
        <v>1792</v>
      </c>
      <c r="G443">
        <v>1</v>
      </c>
      <c r="H443" s="10">
        <f>IF(ISBLANK(ESales_DB[[#This Row],[Quantity]]),AVERAGEIF(ESales_DB[Product_ID],ESales_DB[[#This Row],[Product_ID]],ESales_DB[Quantity]),ESales_DB[[#This Row],[Quantity]])</f>
        <v>1</v>
      </c>
      <c r="I443" s="2">
        <v>413.65</v>
      </c>
      <c r="J443">
        <v>0.1</v>
      </c>
      <c r="K443" t="s">
        <v>1829</v>
      </c>
      <c r="L443" s="2">
        <v>372.28500000000003</v>
      </c>
      <c r="M443" s="2" t="str">
        <f>IF(ESales_DB[[#This Row],[Total_Amount]]&gt;1000,"High","Low")</f>
        <v>Low</v>
      </c>
      <c r="N443" s="2" t="str">
        <f>VLOOKUP(ESales_DB[[#This Row],[Customer_ID]],Ecustom_DB[],3,FALSE)</f>
        <v>Stephen Fowler</v>
      </c>
      <c r="O443" s="2" t="str">
        <f>_xlfn.XLOOKUP(ESales_DB[[#This Row],[Product_ID]],Eproduct_DB[Product_ID],Eproduct_DB[Category])</f>
        <v>Electronics</v>
      </c>
      <c r="P443" s="2" t="str">
        <f>_xlfn.XLOOKUP(ESales_DB[[#This Row],[Product_ID]],Eproduct_DB[Product_ID],Eproduct_DB[Product_Name])</f>
        <v>Gaming Mouse Pad XL</v>
      </c>
      <c r="Q443" s="2" t="str">
        <f>_xlfn.XLOOKUP(ESales_DB[[#This Row],[Store_ID]],Estore_DB[Store_ID],Estore_DB[Region])</f>
        <v>South</v>
      </c>
      <c r="R443" t="str">
        <f>VLOOKUP(ESales_DB[[#This Row],[Customer_ID]],Ecustom_DB[],10,FALSE)</f>
        <v>Platinum</v>
      </c>
      <c r="S443" t="str">
        <f>IF(ESales_DB[[#This Row],[Quantity1]]&gt;3,"Bulk order","Normal order")</f>
        <v>Normal order</v>
      </c>
    </row>
    <row r="444" spans="1:19" x14ac:dyDescent="0.3">
      <c r="A444" t="s">
        <v>3222</v>
      </c>
      <c r="B444" s="4">
        <v>45744</v>
      </c>
      <c r="C444" s="4" t="str">
        <f>TEXT(ESales_DB[[#This Row],[Order_Date]],"mmm")</f>
        <v>Mar</v>
      </c>
      <c r="D444" t="s">
        <v>1464</v>
      </c>
      <c r="E444" t="s">
        <v>1726</v>
      </c>
      <c r="F444" t="s">
        <v>1786</v>
      </c>
      <c r="G444">
        <v>1</v>
      </c>
      <c r="H444" s="10">
        <f>IF(ISBLANK(ESales_DB[[#This Row],[Quantity]]),AVERAGEIF(ESales_DB[Product_ID],ESales_DB[[#This Row],[Product_ID]],ESales_DB[Quantity]),ESales_DB[[#This Row],[Quantity]])</f>
        <v>1</v>
      </c>
      <c r="I444" s="2">
        <v>317.14999999999998</v>
      </c>
      <c r="J444">
        <v>0.24</v>
      </c>
      <c r="K444" t="s">
        <v>1829</v>
      </c>
      <c r="L444" s="2">
        <v>241.03399999999999</v>
      </c>
      <c r="M444" s="2" t="str">
        <f>IF(ESales_DB[[#This Row],[Total_Amount]]&gt;1000,"High","Low")</f>
        <v>Low</v>
      </c>
      <c r="N444" s="2" t="str">
        <f>VLOOKUP(ESales_DB[[#This Row],[Customer_ID]],Ecustom_DB[],3,FALSE)</f>
        <v>Barbara Berry</v>
      </c>
      <c r="O444" s="2" t="str">
        <f>_xlfn.XLOOKUP(ESales_DB[[#This Row],[Product_ID]],Eproduct_DB[Product_ID],Eproduct_DB[Category])</f>
        <v>Beauty</v>
      </c>
      <c r="P444" s="2" t="str">
        <f>_xlfn.XLOOKUP(ESales_DB[[#This Row],[Product_ID]],Eproduct_DB[Product_ID],Eproduct_DB[Product_Name])</f>
        <v>Face Foundation Kit</v>
      </c>
      <c r="Q444" s="2" t="str">
        <f>_xlfn.XLOOKUP(ESales_DB[[#This Row],[Store_ID]],Estore_DB[Store_ID],Estore_DB[Region])</f>
        <v>South</v>
      </c>
      <c r="R444" t="str">
        <f>VLOOKUP(ESales_DB[[#This Row],[Customer_ID]],Ecustom_DB[],10,FALSE)</f>
        <v>Platinum</v>
      </c>
      <c r="S444" t="str">
        <f>IF(ESales_DB[[#This Row],[Quantity1]]&gt;3,"Bulk order","Normal order")</f>
        <v>Normal order</v>
      </c>
    </row>
    <row r="445" spans="1:19" x14ac:dyDescent="0.3">
      <c r="A445" t="s">
        <v>3223</v>
      </c>
      <c r="B445" s="4">
        <v>45873</v>
      </c>
      <c r="C445" s="4" t="str">
        <f>TEXT(ESales_DB[[#This Row],[Order_Date]],"mmm")</f>
        <v>Aug</v>
      </c>
      <c r="D445" t="s">
        <v>1124</v>
      </c>
      <c r="E445" t="s">
        <v>1724</v>
      </c>
      <c r="F445" t="s">
        <v>1757</v>
      </c>
      <c r="G445">
        <v>3</v>
      </c>
      <c r="H445" s="10">
        <f>IF(ISBLANK(ESales_DB[[#This Row],[Quantity]]),AVERAGEIF(ESales_DB[Product_ID],ESales_DB[[#This Row],[Product_ID]],ESales_DB[Quantity]),ESales_DB[[#This Row],[Quantity]])</f>
        <v>3</v>
      </c>
      <c r="I445" s="2">
        <v>642.94000000000005</v>
      </c>
      <c r="J445">
        <v>0.05</v>
      </c>
      <c r="K445" t="s">
        <v>1829</v>
      </c>
      <c r="L445" s="2">
        <v>1832.3789999999999</v>
      </c>
      <c r="M445" s="2" t="str">
        <f>IF(ESales_DB[[#This Row],[Total_Amount]]&gt;1000,"High","Low")</f>
        <v>High</v>
      </c>
      <c r="N445" s="2" t="str">
        <f>VLOOKUP(ESales_DB[[#This Row],[Customer_ID]],Ecustom_DB[],3,FALSE)</f>
        <v>Melanie Lam</v>
      </c>
      <c r="O445" s="2" t="str">
        <f>_xlfn.XLOOKUP(ESales_DB[[#This Row],[Product_ID]],Eproduct_DB[Product_ID],Eproduct_DB[Category])</f>
        <v>Sports</v>
      </c>
      <c r="P445" s="2" t="str">
        <f>_xlfn.XLOOKUP(ESales_DB[[#This Row],[Product_ID]],Eproduct_DB[Product_ID],Eproduct_DB[Product_Name])</f>
        <v>Sports Wrist Sweatbands</v>
      </c>
      <c r="Q445" s="2" t="str">
        <f>_xlfn.XLOOKUP(ESales_DB[[#This Row],[Store_ID]],Estore_DB[Store_ID],Estore_DB[Region])</f>
        <v>North</v>
      </c>
      <c r="R445" t="str">
        <f>VLOOKUP(ESales_DB[[#This Row],[Customer_ID]],Ecustom_DB[],10,FALSE)</f>
        <v>Silver</v>
      </c>
      <c r="S445" t="str">
        <f>IF(ESales_DB[[#This Row],[Quantity1]]&gt;3,"Bulk order","Normal order")</f>
        <v>Normal order</v>
      </c>
    </row>
    <row r="446" spans="1:19" x14ac:dyDescent="0.3">
      <c r="A446" t="s">
        <v>3224</v>
      </c>
      <c r="B446" s="4">
        <v>45601</v>
      </c>
      <c r="C446" s="4" t="str">
        <f>TEXT(ESales_DB[[#This Row],[Order_Date]],"mmm")</f>
        <v>Nov</v>
      </c>
      <c r="D446" t="s">
        <v>455</v>
      </c>
      <c r="E446" t="s">
        <v>1662</v>
      </c>
      <c r="F446" t="s">
        <v>1789</v>
      </c>
      <c r="G446">
        <v>4</v>
      </c>
      <c r="H446" s="10">
        <f>IF(ISBLANK(ESales_DB[[#This Row],[Quantity]]),AVERAGEIF(ESales_DB[Product_ID],ESales_DB[[#This Row],[Product_ID]],ESales_DB[Quantity]),ESales_DB[[#This Row],[Quantity]])</f>
        <v>4</v>
      </c>
      <c r="I446" s="2">
        <v>559.59</v>
      </c>
      <c r="J446">
        <v>0.19</v>
      </c>
      <c r="K446" t="s">
        <v>1829</v>
      </c>
      <c r="L446" s="2">
        <v>1813.0716</v>
      </c>
      <c r="M446" s="2" t="str">
        <f>IF(ESales_DB[[#This Row],[Total_Amount]]&gt;1000,"High","Low")</f>
        <v>High</v>
      </c>
      <c r="N446" s="2" t="str">
        <f>VLOOKUP(ESales_DB[[#This Row],[Customer_ID]],Ecustom_DB[],3,FALSE)</f>
        <v>Hayley Pope</v>
      </c>
      <c r="O446" s="2" t="str">
        <f>_xlfn.XLOOKUP(ESales_DB[[#This Row],[Product_ID]],Eproduct_DB[Product_ID],Eproduct_DB[Category])</f>
        <v>Sports</v>
      </c>
      <c r="P446" s="2" t="str">
        <f>_xlfn.XLOOKUP(ESales_DB[[#This Row],[Product_ID]],Eproduct_DB[Product_ID],Eproduct_DB[Product_Name])</f>
        <v>Foam Roller</v>
      </c>
      <c r="Q446" s="2" t="str">
        <f>_xlfn.XLOOKUP(ESales_DB[[#This Row],[Store_ID]],Estore_DB[Store_ID],Estore_DB[Region])</f>
        <v>East</v>
      </c>
      <c r="R446" t="str">
        <f>VLOOKUP(ESales_DB[[#This Row],[Customer_ID]],Ecustom_DB[],10,FALSE)</f>
        <v>Bronze</v>
      </c>
      <c r="S446" t="str">
        <f>IF(ESales_DB[[#This Row],[Quantity1]]&gt;3,"Bulk order","Normal order")</f>
        <v>Bulk order</v>
      </c>
    </row>
    <row r="447" spans="1:19" x14ac:dyDescent="0.3">
      <c r="A447" t="s">
        <v>3225</v>
      </c>
      <c r="B447" s="4">
        <v>45458</v>
      </c>
      <c r="C447" s="4" t="str">
        <f>TEXT(ESales_DB[[#This Row],[Order_Date]],"mmm")</f>
        <v>Jun</v>
      </c>
      <c r="D447" t="s">
        <v>399</v>
      </c>
      <c r="E447" t="s">
        <v>1606</v>
      </c>
      <c r="F447" t="s">
        <v>1810</v>
      </c>
      <c r="G447">
        <v>1</v>
      </c>
      <c r="H447" s="10">
        <f>IF(ISBLANK(ESales_DB[[#This Row],[Quantity]]),AVERAGEIF(ESales_DB[Product_ID],ESales_DB[[#This Row],[Product_ID]],ESales_DB[Quantity]),ESales_DB[[#This Row],[Quantity]])</f>
        <v>1</v>
      </c>
      <c r="I447" s="2">
        <v>758.54</v>
      </c>
      <c r="J447">
        <v>0.28999999999999998</v>
      </c>
      <c r="K447" t="s">
        <v>1826</v>
      </c>
      <c r="L447" s="2">
        <v>538.5634</v>
      </c>
      <c r="M447" s="2" t="str">
        <f>IF(ESales_DB[[#This Row],[Total_Amount]]&gt;1000,"High","Low")</f>
        <v>Low</v>
      </c>
      <c r="N447" s="2" t="str">
        <f>VLOOKUP(ESales_DB[[#This Row],[Customer_ID]],Ecustom_DB[],3,FALSE)</f>
        <v>Ryan Hernandez</v>
      </c>
      <c r="O447" s="2" t="str">
        <f>_xlfn.XLOOKUP(ESales_DB[[#This Row],[Product_ID]],Eproduct_DB[Product_ID],Eproduct_DB[Category])</f>
        <v>Home</v>
      </c>
      <c r="P447" s="2" t="str">
        <f>_xlfn.XLOOKUP(ESales_DB[[#This Row],[Product_ID]],Eproduct_DB[Product_ID],Eproduct_DB[Product_Name])</f>
        <v>Fabric Sofa Throw Blanket</v>
      </c>
      <c r="Q447" s="2" t="str">
        <f>_xlfn.XLOOKUP(ESales_DB[[#This Row],[Store_ID]],Estore_DB[Store_ID],Estore_DB[Region])</f>
        <v>East</v>
      </c>
      <c r="R447" t="str">
        <f>VLOOKUP(ESales_DB[[#This Row],[Customer_ID]],Ecustom_DB[],10,FALSE)</f>
        <v>Bronze</v>
      </c>
      <c r="S447" t="str">
        <f>IF(ESales_DB[[#This Row],[Quantity1]]&gt;3,"Bulk order","Normal order")</f>
        <v>Normal order</v>
      </c>
    </row>
    <row r="448" spans="1:19" x14ac:dyDescent="0.3">
      <c r="A448" t="s">
        <v>1840</v>
      </c>
      <c r="B448" s="4">
        <v>45829</v>
      </c>
      <c r="C448" s="4" t="str">
        <f>TEXT(ESales_DB[[#This Row],[Order_Date]],"mmm")</f>
        <v>Jun</v>
      </c>
      <c r="D448" t="s">
        <v>1092</v>
      </c>
      <c r="E448" t="s">
        <v>1596</v>
      </c>
      <c r="F448" t="s">
        <v>1801</v>
      </c>
      <c r="G448">
        <v>4</v>
      </c>
      <c r="H448" s="10">
        <f>IF(ISBLANK(ESales_DB[[#This Row],[Quantity]]),AVERAGEIF(ESales_DB[Product_ID],ESales_DB[[#This Row],[Product_ID]],ESales_DB[Quantity]),ESales_DB[[#This Row],[Quantity]])</f>
        <v>4</v>
      </c>
      <c r="I448" s="2">
        <v>403.47</v>
      </c>
      <c r="J448">
        <v>0.28999999999999998</v>
      </c>
      <c r="K448" t="s">
        <v>1826</v>
      </c>
      <c r="L448" s="2">
        <v>1145.8548000000001</v>
      </c>
      <c r="M448" s="2" t="str">
        <f>IF(ESales_DB[[#This Row],[Total_Amount]]&gt;1000,"High","Low")</f>
        <v>High</v>
      </c>
      <c r="N448" s="2" t="str">
        <f>VLOOKUP(ESales_DB[[#This Row],[Customer_ID]],Ecustom_DB[],3,FALSE)</f>
        <v>Sherry Cabrera</v>
      </c>
      <c r="O448" s="2" t="str">
        <f>_xlfn.XLOOKUP(ESales_DB[[#This Row],[Product_ID]],Eproduct_DB[Product_ID],Eproduct_DB[Category])</f>
        <v>Sports</v>
      </c>
      <c r="P448" s="2" t="str">
        <f>_xlfn.XLOOKUP(ESales_DB[[#This Row],[Product_ID]],Eproduct_DB[Product_ID],Eproduct_DB[Product_Name])</f>
        <v>Foldable Camping Chair</v>
      </c>
      <c r="Q448" s="2" t="str">
        <f>_xlfn.XLOOKUP(ESales_DB[[#This Row],[Store_ID]],Estore_DB[Store_ID],Estore_DB[Region])</f>
        <v>North</v>
      </c>
      <c r="R448" t="str">
        <f>VLOOKUP(ESales_DB[[#This Row],[Customer_ID]],Ecustom_DB[],10,FALSE)</f>
        <v>Silver</v>
      </c>
      <c r="S448" t="str">
        <f>IF(ESales_DB[[#This Row],[Quantity1]]&gt;3,"Bulk order","Normal order")</f>
        <v>Bulk order</v>
      </c>
    </row>
    <row r="449" spans="1:19" x14ac:dyDescent="0.3">
      <c r="A449" t="s">
        <v>1966</v>
      </c>
      <c r="B449" s="4">
        <v>45255</v>
      </c>
      <c r="C449" s="4" t="str">
        <f>TEXT(ESales_DB[[#This Row],[Order_Date]],"mmm")</f>
        <v>Nov</v>
      </c>
      <c r="D449" t="s">
        <v>568</v>
      </c>
      <c r="E449" t="s">
        <v>1728</v>
      </c>
      <c r="F449" t="s">
        <v>1773</v>
      </c>
      <c r="G449">
        <v>2</v>
      </c>
      <c r="H449" s="10">
        <f>IF(ISBLANK(ESales_DB[[#This Row],[Quantity]]),AVERAGEIF(ESales_DB[Product_ID],ESales_DB[[#This Row],[Product_ID]],ESales_DB[Quantity]),ESales_DB[[#This Row],[Quantity]])</f>
        <v>2</v>
      </c>
      <c r="I449" s="2">
        <v>478.85</v>
      </c>
      <c r="J449">
        <v>0.01</v>
      </c>
      <c r="K449" t="s">
        <v>1829</v>
      </c>
      <c r="L449" s="2">
        <v>948.12300000000005</v>
      </c>
      <c r="M449" s="2" t="str">
        <f>IF(ESales_DB[[#This Row],[Total_Amount]]&gt;1000,"High","Low")</f>
        <v>Low</v>
      </c>
      <c r="N449" s="2" t="str">
        <f>VLOOKUP(ESales_DB[[#This Row],[Customer_ID]],Ecustom_DB[],3,FALSE)</f>
        <v>Amy Wilson</v>
      </c>
      <c r="O449" s="2" t="str">
        <f>_xlfn.XLOOKUP(ESales_DB[[#This Row],[Product_ID]],Eproduct_DB[Product_ID],Eproduct_DB[Category])</f>
        <v>Electronics</v>
      </c>
      <c r="P449" s="2" t="str">
        <f>_xlfn.XLOOKUP(ESales_DB[[#This Row],[Product_ID]],Eproduct_DB[Product_ID],Eproduct_DB[Product_Name])</f>
        <v>Gaming Mouse Pad XL</v>
      </c>
      <c r="Q449" s="2" t="str">
        <f>_xlfn.XLOOKUP(ESales_DB[[#This Row],[Store_ID]],Estore_DB[Store_ID],Estore_DB[Region])</f>
        <v>North</v>
      </c>
      <c r="R449" t="str">
        <f>VLOOKUP(ESales_DB[[#This Row],[Customer_ID]],Ecustom_DB[],10,FALSE)</f>
        <v>Platinum</v>
      </c>
      <c r="S449" t="str">
        <f>IF(ESales_DB[[#This Row],[Quantity1]]&gt;3,"Bulk order","Normal order")</f>
        <v>Normal order</v>
      </c>
    </row>
    <row r="450" spans="1:19" x14ac:dyDescent="0.3">
      <c r="A450" t="s">
        <v>3226</v>
      </c>
      <c r="B450" s="4">
        <v>45649</v>
      </c>
      <c r="C450" s="4" t="str">
        <f>TEXT(ESales_DB[[#This Row],[Order_Date]],"mmm")</f>
        <v>Dec</v>
      </c>
      <c r="D450" t="s">
        <v>1425</v>
      </c>
      <c r="E450" t="s">
        <v>1708</v>
      </c>
      <c r="F450" t="s">
        <v>1801</v>
      </c>
      <c r="G450">
        <v>4</v>
      </c>
      <c r="H450" s="10">
        <f>IF(ISBLANK(ESales_DB[[#This Row],[Quantity]]),AVERAGEIF(ESales_DB[Product_ID],ESales_DB[[#This Row],[Product_ID]],ESales_DB[Quantity]),ESales_DB[[#This Row],[Quantity]])</f>
        <v>4</v>
      </c>
      <c r="I450" s="2">
        <v>643.96</v>
      </c>
      <c r="J450">
        <v>0.16</v>
      </c>
      <c r="K450" t="s">
        <v>1826</v>
      </c>
      <c r="L450" s="2">
        <v>2163.7055999999998</v>
      </c>
      <c r="M450" s="2" t="str">
        <f>IF(ESales_DB[[#This Row],[Total_Amount]]&gt;1000,"High","Low")</f>
        <v>High</v>
      </c>
      <c r="N450" s="2" t="str">
        <f>VLOOKUP(ESales_DB[[#This Row],[Customer_ID]],Ecustom_DB[],3,FALSE)</f>
        <v>Beth Martin</v>
      </c>
      <c r="O450" s="2" t="str">
        <f>_xlfn.XLOOKUP(ESales_DB[[#This Row],[Product_ID]],Eproduct_DB[Product_ID],Eproduct_DB[Category])</f>
        <v>Home</v>
      </c>
      <c r="P450" s="2" t="str">
        <f>_xlfn.XLOOKUP(ESales_DB[[#This Row],[Product_ID]],Eproduct_DB[Product_ID],Eproduct_DB[Product_Name])</f>
        <v>Wall-Mounted Spice Rack</v>
      </c>
      <c r="Q450" s="2" t="str">
        <f>_xlfn.XLOOKUP(ESales_DB[[#This Row],[Store_ID]],Estore_DB[Store_ID],Estore_DB[Region])</f>
        <v>North</v>
      </c>
      <c r="R450" t="str">
        <f>VLOOKUP(ESales_DB[[#This Row],[Customer_ID]],Ecustom_DB[],10,FALSE)</f>
        <v>Silver</v>
      </c>
      <c r="S450" t="str">
        <f>IF(ESales_DB[[#This Row],[Quantity1]]&gt;3,"Bulk order","Normal order")</f>
        <v>Bulk order</v>
      </c>
    </row>
    <row r="451" spans="1:19" x14ac:dyDescent="0.3">
      <c r="A451" t="s">
        <v>3227</v>
      </c>
      <c r="B451" s="4">
        <v>45653</v>
      </c>
      <c r="C451" s="4" t="str">
        <f>TEXT(ESales_DB[[#This Row],[Order_Date]],"mmm")</f>
        <v>Dec</v>
      </c>
      <c r="D451" t="s">
        <v>779</v>
      </c>
      <c r="E451" t="s">
        <v>1596</v>
      </c>
      <c r="F451" t="s">
        <v>1786</v>
      </c>
      <c r="G451">
        <v>1</v>
      </c>
      <c r="H451" s="10">
        <f>IF(ISBLANK(ESales_DB[[#This Row],[Quantity]]),AVERAGEIF(ESales_DB[Product_ID],ESales_DB[[#This Row],[Product_ID]],ESales_DB[Quantity]),ESales_DB[[#This Row],[Quantity]])</f>
        <v>1</v>
      </c>
      <c r="I451" s="2">
        <v>882.73</v>
      </c>
      <c r="J451">
        <v>0.1</v>
      </c>
      <c r="K451" t="s">
        <v>1824</v>
      </c>
      <c r="L451" s="2">
        <v>794.45699999999999</v>
      </c>
      <c r="M451" s="2" t="str">
        <f>IF(ESales_DB[[#This Row],[Total_Amount]]&gt;1000,"High","Low")</f>
        <v>Low</v>
      </c>
      <c r="N451" s="2" t="str">
        <f>VLOOKUP(ESales_DB[[#This Row],[Customer_ID]],Ecustom_DB[],3,FALSE)</f>
        <v>Brian Hammond</v>
      </c>
      <c r="O451" s="2" t="str">
        <f>_xlfn.XLOOKUP(ESales_DB[[#This Row],[Product_ID]],Eproduct_DB[Product_ID],Eproduct_DB[Category])</f>
        <v>Sports</v>
      </c>
      <c r="P451" s="2" t="str">
        <f>_xlfn.XLOOKUP(ESales_DB[[#This Row],[Product_ID]],Eproduct_DB[Product_ID],Eproduct_DB[Product_Name])</f>
        <v>Foldable Camping Chair</v>
      </c>
      <c r="Q451" s="2" t="str">
        <f>_xlfn.XLOOKUP(ESales_DB[[#This Row],[Store_ID]],Estore_DB[Store_ID],Estore_DB[Region])</f>
        <v>South</v>
      </c>
      <c r="R451" t="str">
        <f>VLOOKUP(ESales_DB[[#This Row],[Customer_ID]],Ecustom_DB[],10,FALSE)</f>
        <v>Gold</v>
      </c>
      <c r="S451" t="str">
        <f>IF(ESales_DB[[#This Row],[Quantity1]]&gt;3,"Bulk order","Normal order")</f>
        <v>Normal order</v>
      </c>
    </row>
    <row r="452" spans="1:19" x14ac:dyDescent="0.3">
      <c r="A452" t="s">
        <v>3228</v>
      </c>
      <c r="B452" s="4">
        <v>45378</v>
      </c>
      <c r="C452" s="4" t="str">
        <f>TEXT(ESales_DB[[#This Row],[Order_Date]],"mmm")</f>
        <v>Mar</v>
      </c>
      <c r="D452" t="s">
        <v>1023</v>
      </c>
      <c r="E452" t="s">
        <v>1730</v>
      </c>
      <c r="F452" t="s">
        <v>1813</v>
      </c>
      <c r="G452">
        <v>2</v>
      </c>
      <c r="H452" s="10">
        <f>IF(ISBLANK(ESales_DB[[#This Row],[Quantity]]),AVERAGEIF(ESales_DB[Product_ID],ESales_DB[[#This Row],[Product_ID]],ESales_DB[Quantity]),ESales_DB[[#This Row],[Quantity]])</f>
        <v>2</v>
      </c>
      <c r="I452" s="2">
        <v>600.03</v>
      </c>
      <c r="J452">
        <v>0.26</v>
      </c>
      <c r="K452" t="s">
        <v>1826</v>
      </c>
      <c r="L452" s="2">
        <v>888.0444</v>
      </c>
      <c r="M452" s="2" t="str">
        <f>IF(ESales_DB[[#This Row],[Total_Amount]]&gt;1000,"High","Low")</f>
        <v>Low</v>
      </c>
      <c r="N452" s="2" t="str">
        <f>VLOOKUP(ESales_DB[[#This Row],[Customer_ID]],Ecustom_DB[],3,FALSE)</f>
        <v>Andrew Smith</v>
      </c>
      <c r="O452" s="2" t="str">
        <f>_xlfn.XLOOKUP(ESales_DB[[#This Row],[Product_ID]],Eproduct_DB[Product_ID],Eproduct_DB[Category])</f>
        <v>Clothing</v>
      </c>
      <c r="P452" s="2" t="str">
        <f>_xlfn.XLOOKUP(ESales_DB[[#This Row],[Product_ID]],Eproduct_DB[Product_ID],Eproduct_DB[Product_Name])</f>
        <v>Women's High Heels</v>
      </c>
      <c r="Q452" s="2" t="str">
        <f>_xlfn.XLOOKUP(ESales_DB[[#This Row],[Store_ID]],Estore_DB[Store_ID],Estore_DB[Region])</f>
        <v>East</v>
      </c>
      <c r="R452" t="str">
        <f>VLOOKUP(ESales_DB[[#This Row],[Customer_ID]],Ecustom_DB[],10,FALSE)</f>
        <v>Bronze</v>
      </c>
      <c r="S452" t="str">
        <f>IF(ESales_DB[[#This Row],[Quantity1]]&gt;3,"Bulk order","Normal order")</f>
        <v>Normal order</v>
      </c>
    </row>
    <row r="453" spans="1:19" x14ac:dyDescent="0.3">
      <c r="A453" t="s">
        <v>3229</v>
      </c>
      <c r="B453" s="4">
        <v>45638</v>
      </c>
      <c r="C453" s="4" t="str">
        <f>TEXT(ESales_DB[[#This Row],[Order_Date]],"mmm")</f>
        <v>Dec</v>
      </c>
      <c r="D453" t="s">
        <v>526</v>
      </c>
      <c r="E453" t="s">
        <v>1656</v>
      </c>
      <c r="F453" t="s">
        <v>1773</v>
      </c>
      <c r="G453">
        <v>2</v>
      </c>
      <c r="H453" s="10">
        <f>IF(ISBLANK(ESales_DB[[#This Row],[Quantity]]),AVERAGEIF(ESales_DB[Product_ID],ESales_DB[[#This Row],[Product_ID]],ESales_DB[Quantity]),ESales_DB[[#This Row],[Quantity]])</f>
        <v>2</v>
      </c>
      <c r="I453" s="2">
        <v>628.83000000000004</v>
      </c>
      <c r="J453">
        <v>7.0000000000000007E-2</v>
      </c>
      <c r="K453" t="s">
        <v>1826</v>
      </c>
      <c r="L453" s="2">
        <v>1169.6238000000001</v>
      </c>
      <c r="M453" s="2" t="str">
        <f>IF(ESales_DB[[#This Row],[Total_Amount]]&gt;1000,"High","Low")</f>
        <v>High</v>
      </c>
      <c r="N453" s="2" t="str">
        <f>VLOOKUP(ESales_DB[[#This Row],[Customer_ID]],Ecustom_DB[],3,FALSE)</f>
        <v>Paul Zamora</v>
      </c>
      <c r="O453" s="2" t="str">
        <f>_xlfn.XLOOKUP(ESales_DB[[#This Row],[Product_ID]],Eproduct_DB[Product_ID],Eproduct_DB[Category])</f>
        <v>Sports</v>
      </c>
      <c r="P453" s="2" t="str">
        <f>_xlfn.XLOOKUP(ESales_DB[[#This Row],[Product_ID]],Eproduct_DB[Product_ID],Eproduct_DB[Product_Name])</f>
        <v>Sports Stopwatch Pro</v>
      </c>
      <c r="Q453" s="2" t="str">
        <f>_xlfn.XLOOKUP(ESales_DB[[#This Row],[Store_ID]],Estore_DB[Store_ID],Estore_DB[Region])</f>
        <v>North</v>
      </c>
      <c r="R453" t="str">
        <f>VLOOKUP(ESales_DB[[#This Row],[Customer_ID]],Ecustom_DB[],10,FALSE)</f>
        <v>Platinum</v>
      </c>
      <c r="S453" t="str">
        <f>IF(ESales_DB[[#This Row],[Quantity1]]&gt;3,"Bulk order","Normal order")</f>
        <v>Normal order</v>
      </c>
    </row>
    <row r="454" spans="1:19" x14ac:dyDescent="0.3">
      <c r="A454" t="s">
        <v>3230</v>
      </c>
      <c r="B454" s="4">
        <v>45277</v>
      </c>
      <c r="C454" s="4" t="str">
        <f>TEXT(ESales_DB[[#This Row],[Order_Date]],"mmm")</f>
        <v>Dec</v>
      </c>
      <c r="D454" t="s">
        <v>579</v>
      </c>
      <c r="E454" t="s">
        <v>1710</v>
      </c>
      <c r="F454" t="s">
        <v>1786</v>
      </c>
      <c r="G454">
        <v>3</v>
      </c>
      <c r="H454" s="10">
        <f>IF(ISBLANK(ESales_DB[[#This Row],[Quantity]]),AVERAGEIF(ESales_DB[Product_ID],ESales_DB[[#This Row],[Product_ID]],ESales_DB[Quantity]),ESales_DB[[#This Row],[Quantity]])</f>
        <v>3</v>
      </c>
      <c r="I454" s="2">
        <v>113.87</v>
      </c>
      <c r="J454">
        <v>0.21</v>
      </c>
      <c r="K454" t="s">
        <v>1829</v>
      </c>
      <c r="L454" s="2">
        <v>269.87189999999998</v>
      </c>
      <c r="M454" s="2" t="str">
        <f>IF(ESales_DB[[#This Row],[Total_Amount]]&gt;1000,"High","Low")</f>
        <v>Low</v>
      </c>
      <c r="N454" s="2" t="str">
        <f>VLOOKUP(ESales_DB[[#This Row],[Customer_ID]],Ecustom_DB[],3,FALSE)</f>
        <v>Michelle Rogers</v>
      </c>
      <c r="O454" s="2" t="str">
        <f>_xlfn.XLOOKUP(ESales_DB[[#This Row],[Product_ID]],Eproduct_DB[Product_ID],Eproduct_DB[Category])</f>
        <v>Sports</v>
      </c>
      <c r="P454" s="2" t="str">
        <f>_xlfn.XLOOKUP(ESales_DB[[#This Row],[Product_ID]],Eproduct_DB[Product_ID],Eproduct_DB[Product_Name])</f>
        <v>Badminton Racket Set</v>
      </c>
      <c r="Q454" s="2" t="str">
        <f>_xlfn.XLOOKUP(ESales_DB[[#This Row],[Store_ID]],Estore_DB[Store_ID],Estore_DB[Region])</f>
        <v>South</v>
      </c>
      <c r="R454" t="str">
        <f>VLOOKUP(ESales_DB[[#This Row],[Customer_ID]],Ecustom_DB[],10,FALSE)</f>
        <v>Platinum</v>
      </c>
      <c r="S454" t="str">
        <f>IF(ESales_DB[[#This Row],[Quantity1]]&gt;3,"Bulk order","Normal order")</f>
        <v>Normal order</v>
      </c>
    </row>
    <row r="455" spans="1:19" x14ac:dyDescent="0.3">
      <c r="A455" t="s">
        <v>3231</v>
      </c>
      <c r="B455" s="4">
        <v>45351</v>
      </c>
      <c r="C455" s="4" t="str">
        <f>TEXT(ESales_DB[[#This Row],[Order_Date]],"mmm")</f>
        <v>Feb</v>
      </c>
      <c r="D455" t="s">
        <v>1298</v>
      </c>
      <c r="E455" t="s">
        <v>1692</v>
      </c>
      <c r="F455" t="s">
        <v>1779</v>
      </c>
      <c r="G455">
        <v>4</v>
      </c>
      <c r="H455" s="10">
        <f>IF(ISBLANK(ESales_DB[[#This Row],[Quantity]]),AVERAGEIF(ESales_DB[Product_ID],ESales_DB[[#This Row],[Product_ID]],ESales_DB[Quantity]),ESales_DB[[#This Row],[Quantity]])</f>
        <v>4</v>
      </c>
      <c r="I455" s="2">
        <v>282.07</v>
      </c>
      <c r="J455">
        <v>0.18</v>
      </c>
      <c r="K455" t="s">
        <v>1826</v>
      </c>
      <c r="L455" s="2">
        <v>925.18960000000004</v>
      </c>
      <c r="M455" s="2" t="str">
        <f>IF(ESales_DB[[#This Row],[Total_Amount]]&gt;1000,"High","Low")</f>
        <v>Low</v>
      </c>
      <c r="N455" s="2" t="str">
        <f>VLOOKUP(ESales_DB[[#This Row],[Customer_ID]],Ecustom_DB[],3,FALSE)</f>
        <v>Luke Parks</v>
      </c>
      <c r="O455" s="2" t="str">
        <f>_xlfn.XLOOKUP(ESales_DB[[#This Row],[Product_ID]],Eproduct_DB[Product_ID],Eproduct_DB[Category])</f>
        <v>Sports</v>
      </c>
      <c r="P455" s="2" t="str">
        <f>_xlfn.XLOOKUP(ESales_DB[[#This Row],[Product_ID]],Eproduct_DB[Product_ID],Eproduct_DB[Product_Name])</f>
        <v>Professional Jump Rope</v>
      </c>
      <c r="Q455" s="2" t="str">
        <f>_xlfn.XLOOKUP(ESales_DB[[#This Row],[Store_ID]],Estore_DB[Store_ID],Estore_DB[Region])</f>
        <v>South</v>
      </c>
      <c r="R455" t="str">
        <f>VLOOKUP(ESales_DB[[#This Row],[Customer_ID]],Ecustom_DB[],10,FALSE)</f>
        <v>Silver</v>
      </c>
      <c r="S455" t="str">
        <f>IF(ESales_DB[[#This Row],[Quantity1]]&gt;3,"Bulk order","Normal order")</f>
        <v>Bulk order</v>
      </c>
    </row>
    <row r="456" spans="1:19" x14ac:dyDescent="0.3">
      <c r="A456" t="s">
        <v>3232</v>
      </c>
      <c r="B456" s="4">
        <v>45290</v>
      </c>
      <c r="C456" s="4" t="str">
        <f>TEXT(ESales_DB[[#This Row],[Order_Date]],"mmm")</f>
        <v>Dec</v>
      </c>
      <c r="D456" t="s">
        <v>523</v>
      </c>
      <c r="E456" t="s">
        <v>1656</v>
      </c>
      <c r="F456" t="s">
        <v>1776</v>
      </c>
      <c r="G456">
        <v>3</v>
      </c>
      <c r="H456" s="10">
        <f>IF(ISBLANK(ESales_DB[[#This Row],[Quantity]]),AVERAGEIF(ESales_DB[Product_ID],ESales_DB[[#This Row],[Product_ID]],ESales_DB[Quantity]),ESales_DB[[#This Row],[Quantity]])</f>
        <v>3</v>
      </c>
      <c r="I456" s="2">
        <v>676.77</v>
      </c>
      <c r="J456">
        <v>0.17</v>
      </c>
      <c r="K456" t="s">
        <v>1826</v>
      </c>
      <c r="L456" s="2">
        <v>1685.1573000000001</v>
      </c>
      <c r="M456" s="2" t="str">
        <f>IF(ESales_DB[[#This Row],[Total_Amount]]&gt;1000,"High","Low")</f>
        <v>High</v>
      </c>
      <c r="N456" s="2" t="str">
        <f>VLOOKUP(ESales_DB[[#This Row],[Customer_ID]],Ecustom_DB[],3,FALSE)</f>
        <v>Maria Sanchez</v>
      </c>
      <c r="O456" s="2" t="str">
        <f>_xlfn.XLOOKUP(ESales_DB[[#This Row],[Product_ID]],Eproduct_DB[Product_ID],Eproduct_DB[Category])</f>
        <v>Sports</v>
      </c>
      <c r="P456" s="2" t="str">
        <f>_xlfn.XLOOKUP(ESales_DB[[#This Row],[Product_ID]],Eproduct_DB[Product_ID],Eproduct_DB[Product_Name])</f>
        <v>Sports Stopwatch Pro</v>
      </c>
      <c r="Q456" s="2" t="str">
        <f>_xlfn.XLOOKUP(ESales_DB[[#This Row],[Store_ID]],Estore_DB[Store_ID],Estore_DB[Region])</f>
        <v>East</v>
      </c>
      <c r="R456" t="str">
        <f>VLOOKUP(ESales_DB[[#This Row],[Customer_ID]],Ecustom_DB[],10,FALSE)</f>
        <v>Bronze</v>
      </c>
      <c r="S456" t="str">
        <f>IF(ESales_DB[[#This Row],[Quantity1]]&gt;3,"Bulk order","Normal order")</f>
        <v>Normal order</v>
      </c>
    </row>
    <row r="457" spans="1:19" x14ac:dyDescent="0.3">
      <c r="A457" t="s">
        <v>3233</v>
      </c>
      <c r="B457" s="4">
        <v>45638</v>
      </c>
      <c r="C457" s="4" t="str">
        <f>TEXT(ESales_DB[[#This Row],[Order_Date]],"mmm")</f>
        <v>Dec</v>
      </c>
      <c r="D457" t="s">
        <v>713</v>
      </c>
      <c r="E457" t="s">
        <v>1560</v>
      </c>
      <c r="F457" t="s">
        <v>1804</v>
      </c>
      <c r="G457">
        <v>2</v>
      </c>
      <c r="H457" s="10">
        <f>IF(ISBLANK(ESales_DB[[#This Row],[Quantity]]),AVERAGEIF(ESales_DB[Product_ID],ESales_DB[[#This Row],[Product_ID]],ESales_DB[Quantity]),ESales_DB[[#This Row],[Quantity]])</f>
        <v>2</v>
      </c>
      <c r="I457" s="2">
        <v>362.7</v>
      </c>
      <c r="J457">
        <v>0.09</v>
      </c>
      <c r="K457" t="s">
        <v>1824</v>
      </c>
      <c r="L457" s="2">
        <v>660.11400000000003</v>
      </c>
      <c r="M457" s="2" t="str">
        <f>IF(ESales_DB[[#This Row],[Total_Amount]]&gt;1000,"High","Low")</f>
        <v>Low</v>
      </c>
      <c r="N457" s="2" t="str">
        <f>VLOOKUP(ESales_DB[[#This Row],[Customer_ID]],Ecustom_DB[],3,FALSE)</f>
        <v>George Davis</v>
      </c>
      <c r="O457" s="2" t="str">
        <f>_xlfn.XLOOKUP(ESales_DB[[#This Row],[Product_ID]],Eproduct_DB[Product_ID],Eproduct_DB[Category])</f>
        <v>Home</v>
      </c>
      <c r="P457" s="2" t="str">
        <f>_xlfn.XLOOKUP(ESales_DB[[#This Row],[Product_ID]],Eproduct_DB[Product_ID],Eproduct_DB[Product_Name])</f>
        <v>LED Table Lamp</v>
      </c>
      <c r="Q457" s="2" t="str">
        <f>_xlfn.XLOOKUP(ESales_DB[[#This Row],[Store_ID]],Estore_DB[Store_ID],Estore_DB[Region])</f>
        <v>West</v>
      </c>
      <c r="R457" t="str">
        <f>VLOOKUP(ESales_DB[[#This Row],[Customer_ID]],Ecustom_DB[],10,FALSE)</f>
        <v>Bronze</v>
      </c>
      <c r="S457" t="str">
        <f>IF(ESales_DB[[#This Row],[Quantity1]]&gt;3,"Bulk order","Normal order")</f>
        <v>Normal order</v>
      </c>
    </row>
    <row r="458" spans="1:19" x14ac:dyDescent="0.3">
      <c r="A458" t="s">
        <v>3234</v>
      </c>
      <c r="B458" s="4">
        <v>45679</v>
      </c>
      <c r="C458" s="4" t="str">
        <f>TEXT(ESales_DB[[#This Row],[Order_Date]],"mmm")</f>
        <v>Jan</v>
      </c>
      <c r="D458" t="s">
        <v>461</v>
      </c>
      <c r="E458" t="s">
        <v>1574</v>
      </c>
      <c r="F458" t="s">
        <v>1761</v>
      </c>
      <c r="G458">
        <v>1</v>
      </c>
      <c r="H458" s="10">
        <f>IF(ISBLANK(ESales_DB[[#This Row],[Quantity]]),AVERAGEIF(ESales_DB[Product_ID],ESales_DB[[#This Row],[Product_ID]],ESales_DB[Quantity]),ESales_DB[[#This Row],[Quantity]])</f>
        <v>1</v>
      </c>
      <c r="I458" s="2">
        <v>908.5</v>
      </c>
      <c r="J458">
        <v>0.2</v>
      </c>
      <c r="K458" t="s">
        <v>1829</v>
      </c>
      <c r="L458" s="2">
        <v>726.80000000000007</v>
      </c>
      <c r="M458" s="2" t="str">
        <f>IF(ESales_DB[[#This Row],[Total_Amount]]&gt;1000,"High","Low")</f>
        <v>Low</v>
      </c>
      <c r="N458" s="2" t="str">
        <f>VLOOKUP(ESales_DB[[#This Row],[Customer_ID]],Ecustom_DB[],3,FALSE)</f>
        <v>Matthew Hanna</v>
      </c>
      <c r="O458" s="2" t="str">
        <f>_xlfn.XLOOKUP(ESales_DB[[#This Row],[Product_ID]],Eproduct_DB[Product_ID],Eproduct_DB[Category])</f>
        <v>Electronics</v>
      </c>
      <c r="P458" s="2" t="str">
        <f>_xlfn.XLOOKUP(ESales_DB[[#This Row],[Product_ID]],Eproduct_DB[Product_ID],Eproduct_DB[Product_Name])</f>
        <v>USB-C Fast Charger</v>
      </c>
      <c r="Q458" s="2" t="str">
        <f>_xlfn.XLOOKUP(ESales_DB[[#This Row],[Store_ID]],Estore_DB[Store_ID],Estore_DB[Region])</f>
        <v>South</v>
      </c>
      <c r="R458" t="str">
        <f>VLOOKUP(ESales_DB[[#This Row],[Customer_ID]],Ecustom_DB[],10,FALSE)</f>
        <v>Platinum</v>
      </c>
      <c r="S458" t="str">
        <f>IF(ESales_DB[[#This Row],[Quantity1]]&gt;3,"Bulk order","Normal order")</f>
        <v>Normal order</v>
      </c>
    </row>
    <row r="459" spans="1:19" x14ac:dyDescent="0.3">
      <c r="A459" t="s">
        <v>3235</v>
      </c>
      <c r="B459" s="4">
        <v>45296</v>
      </c>
      <c r="C459" s="4" t="str">
        <f>TEXT(ESales_DB[[#This Row],[Order_Date]],"mmm")</f>
        <v>Jan</v>
      </c>
      <c r="D459" t="s">
        <v>247</v>
      </c>
      <c r="E459" t="s">
        <v>1598</v>
      </c>
      <c r="F459" t="s">
        <v>1801</v>
      </c>
      <c r="G459">
        <v>2</v>
      </c>
      <c r="H459" s="10">
        <f>IF(ISBLANK(ESales_DB[[#This Row],[Quantity]]),AVERAGEIF(ESales_DB[Product_ID],ESales_DB[[#This Row],[Product_ID]],ESales_DB[Quantity]),ESales_DB[[#This Row],[Quantity]])</f>
        <v>2</v>
      </c>
      <c r="I459" s="2">
        <v>795.37</v>
      </c>
      <c r="J459">
        <v>0.2</v>
      </c>
      <c r="K459" t="s">
        <v>1829</v>
      </c>
      <c r="L459" s="2">
        <v>1272.5920000000001</v>
      </c>
      <c r="M459" s="2" t="str">
        <f>IF(ESales_DB[[#This Row],[Total_Amount]]&gt;1000,"High","Low")</f>
        <v>High</v>
      </c>
      <c r="N459" s="2" t="str">
        <f>VLOOKUP(ESales_DB[[#This Row],[Customer_ID]],Ecustom_DB[],3,FALSE)</f>
        <v>Amber Mcclain</v>
      </c>
      <c r="O459" s="2" t="str">
        <f>_xlfn.XLOOKUP(ESales_DB[[#This Row],[Product_ID]],Eproduct_DB[Product_ID],Eproduct_DB[Category])</f>
        <v>Clothing</v>
      </c>
      <c r="P459" s="2" t="str">
        <f>_xlfn.XLOOKUP(ESales_DB[[#This Row],[Product_ID]],Eproduct_DB[Product_ID],Eproduct_DB[Product_Name])</f>
        <v>Women's Scarf Set</v>
      </c>
      <c r="Q459" s="2" t="str">
        <f>_xlfn.XLOOKUP(ESales_DB[[#This Row],[Store_ID]],Estore_DB[Store_ID],Estore_DB[Region])</f>
        <v>North</v>
      </c>
      <c r="R459" t="str">
        <f>VLOOKUP(ESales_DB[[#This Row],[Customer_ID]],Ecustom_DB[],10,FALSE)</f>
        <v>Silver</v>
      </c>
      <c r="S459" t="str">
        <f>IF(ESales_DB[[#This Row],[Quantity1]]&gt;3,"Bulk order","Normal order")</f>
        <v>Normal order</v>
      </c>
    </row>
    <row r="460" spans="1:19" x14ac:dyDescent="0.3">
      <c r="A460" t="s">
        <v>1967</v>
      </c>
      <c r="B460" s="4">
        <v>45718</v>
      </c>
      <c r="C460" s="4" t="str">
        <f>TEXT(ESales_DB[[#This Row],[Order_Date]],"mmm")</f>
        <v>Mar</v>
      </c>
      <c r="D460" t="s">
        <v>396</v>
      </c>
      <c r="E460" t="s">
        <v>1642</v>
      </c>
      <c r="F460" t="s">
        <v>1752</v>
      </c>
      <c r="G460">
        <v>1</v>
      </c>
      <c r="H460" s="10">
        <f>IF(ISBLANK(ESales_DB[[#This Row],[Quantity]]),AVERAGEIF(ESales_DB[Product_ID],ESales_DB[[#This Row],[Product_ID]],ESales_DB[Quantity]),ESales_DB[[#This Row],[Quantity]])</f>
        <v>1</v>
      </c>
      <c r="I460" s="2">
        <v>503.95</v>
      </c>
      <c r="J460">
        <v>0.26</v>
      </c>
      <c r="K460" t="s">
        <v>1829</v>
      </c>
      <c r="L460" s="2">
        <v>372.923</v>
      </c>
      <c r="M460" s="2" t="str">
        <f>IF(ESales_DB[[#This Row],[Total_Amount]]&gt;1000,"High","Low")</f>
        <v>Low</v>
      </c>
      <c r="N460" s="2" t="str">
        <f>VLOOKUP(ESales_DB[[#This Row],[Customer_ID]],Ecustom_DB[],3,FALSE)</f>
        <v>Edward Hall</v>
      </c>
      <c r="O460" s="2" t="str">
        <f>_xlfn.XLOOKUP(ESales_DB[[#This Row],[Product_ID]],Eproduct_DB[Product_ID],Eproduct_DB[Category])</f>
        <v>Beauty</v>
      </c>
      <c r="P460" s="2" t="str">
        <f>_xlfn.XLOOKUP(ESales_DB[[#This Row],[Product_ID]],Eproduct_DB[Product_ID],Eproduct_DB[Product_Name])</f>
        <v>Makeup Brush Set</v>
      </c>
      <c r="Q460" s="2" t="str">
        <f>_xlfn.XLOOKUP(ESales_DB[[#This Row],[Store_ID]],Estore_DB[Store_ID],Estore_DB[Region])</f>
        <v>East</v>
      </c>
      <c r="R460" t="str">
        <f>VLOOKUP(ESales_DB[[#This Row],[Customer_ID]],Ecustom_DB[],10,FALSE)</f>
        <v>Gold</v>
      </c>
      <c r="S460" t="str">
        <f>IF(ESales_DB[[#This Row],[Quantity1]]&gt;3,"Bulk order","Normal order")</f>
        <v>Normal order</v>
      </c>
    </row>
    <row r="461" spans="1:19" x14ac:dyDescent="0.3">
      <c r="A461" t="s">
        <v>3236</v>
      </c>
      <c r="B461" s="4">
        <v>45760</v>
      </c>
      <c r="C461" s="4" t="str">
        <f>TEXT(ESales_DB[[#This Row],[Order_Date]],"mmm")</f>
        <v>Apr</v>
      </c>
      <c r="D461" t="s">
        <v>487</v>
      </c>
      <c r="E461" t="s">
        <v>1618</v>
      </c>
      <c r="F461" t="s">
        <v>1769</v>
      </c>
      <c r="G461">
        <v>2</v>
      </c>
      <c r="H461" s="10">
        <f>IF(ISBLANK(ESales_DB[[#This Row],[Quantity]]),AVERAGEIF(ESales_DB[Product_ID],ESales_DB[[#This Row],[Product_ID]],ESales_DB[Quantity]),ESales_DB[[#This Row],[Quantity]])</f>
        <v>2</v>
      </c>
      <c r="I461" s="2">
        <v>326.85000000000002</v>
      </c>
      <c r="J461">
        <v>0.17</v>
      </c>
      <c r="K461" t="s">
        <v>1829</v>
      </c>
      <c r="L461" s="2">
        <v>542.57100000000003</v>
      </c>
      <c r="M461" s="2" t="str">
        <f>IF(ESales_DB[[#This Row],[Total_Amount]]&gt;1000,"High","Low")</f>
        <v>Low</v>
      </c>
      <c r="N461" s="2" t="str">
        <f>VLOOKUP(ESales_DB[[#This Row],[Customer_ID]],Ecustom_DB[],3,FALSE)</f>
        <v>Justin Cross</v>
      </c>
      <c r="O461" s="2" t="str">
        <f>_xlfn.XLOOKUP(ESales_DB[[#This Row],[Product_ID]],Eproduct_DB[Product_ID],Eproduct_DB[Category])</f>
        <v>Home</v>
      </c>
      <c r="P461" s="2" t="str">
        <f>_xlfn.XLOOKUP(ESales_DB[[#This Row],[Product_ID]],Eproduct_DB[Product_ID],Eproduct_DB[Product_Name])</f>
        <v>Bedroom Table Lamp</v>
      </c>
      <c r="Q461" s="2" t="str">
        <f>_xlfn.XLOOKUP(ESales_DB[[#This Row],[Store_ID]],Estore_DB[Store_ID],Estore_DB[Region])</f>
        <v>South</v>
      </c>
      <c r="R461" t="str">
        <f>VLOOKUP(ESales_DB[[#This Row],[Customer_ID]],Ecustom_DB[],10,FALSE)</f>
        <v>Bronze</v>
      </c>
      <c r="S461" t="str">
        <f>IF(ESales_DB[[#This Row],[Quantity1]]&gt;3,"Bulk order","Normal order")</f>
        <v>Normal order</v>
      </c>
    </row>
    <row r="462" spans="1:19" x14ac:dyDescent="0.3">
      <c r="A462" t="s">
        <v>3237</v>
      </c>
      <c r="B462" s="4">
        <v>45603</v>
      </c>
      <c r="C462" s="4" t="str">
        <f>TEXT(ESales_DB[[#This Row],[Order_Date]],"mmm")</f>
        <v>Nov</v>
      </c>
      <c r="D462" t="s">
        <v>1098</v>
      </c>
      <c r="E462" t="s">
        <v>1660</v>
      </c>
      <c r="F462" t="s">
        <v>1799</v>
      </c>
      <c r="G462">
        <v>3</v>
      </c>
      <c r="H462" s="10">
        <f>IF(ISBLANK(ESales_DB[[#This Row],[Quantity]]),AVERAGEIF(ESales_DB[Product_ID],ESales_DB[[#This Row],[Product_ID]],ESales_DB[Quantity]),ESales_DB[[#This Row],[Quantity]])</f>
        <v>3</v>
      </c>
      <c r="I462" s="2">
        <v>169.43</v>
      </c>
      <c r="J462">
        <v>0.19</v>
      </c>
      <c r="K462" t="s">
        <v>1824</v>
      </c>
      <c r="L462" s="2">
        <v>411.71490000000011</v>
      </c>
      <c r="M462" s="2" t="str">
        <f>IF(ESales_DB[[#This Row],[Total_Amount]]&gt;1000,"High","Low")</f>
        <v>Low</v>
      </c>
      <c r="N462" s="2" t="str">
        <f>VLOOKUP(ESales_DB[[#This Row],[Customer_ID]],Ecustom_DB[],3,FALSE)</f>
        <v>Charles Miller</v>
      </c>
      <c r="O462" s="2" t="str">
        <f>_xlfn.XLOOKUP(ESales_DB[[#This Row],[Product_ID]],Eproduct_DB[Product_ID],Eproduct_DB[Category])</f>
        <v>Home</v>
      </c>
      <c r="P462" s="2" t="str">
        <f>_xlfn.XLOOKUP(ESales_DB[[#This Row],[Product_ID]],Eproduct_DB[Product_ID],Eproduct_DB[Product_Name])</f>
        <v>Premium Blanket Throw</v>
      </c>
      <c r="Q462" s="2" t="str">
        <f>_xlfn.XLOOKUP(ESales_DB[[#This Row],[Store_ID]],Estore_DB[Store_ID],Estore_DB[Region])</f>
        <v>South</v>
      </c>
      <c r="R462" t="str">
        <f>VLOOKUP(ESales_DB[[#This Row],[Customer_ID]],Ecustom_DB[],10,FALSE)</f>
        <v>Silver</v>
      </c>
      <c r="S462" t="str">
        <f>IF(ESales_DB[[#This Row],[Quantity1]]&gt;3,"Bulk order","Normal order")</f>
        <v>Normal order</v>
      </c>
    </row>
    <row r="463" spans="1:19" x14ac:dyDescent="0.3">
      <c r="A463" t="s">
        <v>3238</v>
      </c>
      <c r="B463" s="4">
        <v>45413</v>
      </c>
      <c r="C463" s="4" t="str">
        <f>TEXT(ESales_DB[[#This Row],[Order_Date]],"mmm")</f>
        <v>May</v>
      </c>
      <c r="D463" t="s">
        <v>544</v>
      </c>
      <c r="E463" t="s">
        <v>1714</v>
      </c>
      <c r="F463" t="s">
        <v>1776</v>
      </c>
      <c r="G463">
        <v>1</v>
      </c>
      <c r="H463" s="10">
        <f>IF(ISBLANK(ESales_DB[[#This Row],[Quantity]]),AVERAGEIF(ESales_DB[Product_ID],ESales_DB[[#This Row],[Product_ID]],ESales_DB[Quantity]),ESales_DB[[#This Row],[Quantity]])</f>
        <v>1</v>
      </c>
      <c r="I463" s="2">
        <v>254.47</v>
      </c>
      <c r="J463">
        <v>0.1</v>
      </c>
      <c r="K463" t="s">
        <v>1824</v>
      </c>
      <c r="L463" s="2">
        <v>229.023</v>
      </c>
      <c r="M463" s="2" t="str">
        <f>IF(ESales_DB[[#This Row],[Total_Amount]]&gt;1000,"High","Low")</f>
        <v>Low</v>
      </c>
      <c r="N463" s="2" t="str">
        <f>VLOOKUP(ESales_DB[[#This Row],[Customer_ID]],Ecustom_DB[],3,FALSE)</f>
        <v>Joseph Jones</v>
      </c>
      <c r="O463" s="2" t="str">
        <f>_xlfn.XLOOKUP(ESales_DB[[#This Row],[Product_ID]],Eproduct_DB[Product_ID],Eproduct_DB[Category])</f>
        <v>Beauty</v>
      </c>
      <c r="P463" s="2" t="str">
        <f>_xlfn.XLOOKUP(ESales_DB[[#This Row],[Product_ID]],Eproduct_DB[Product_ID],Eproduct_DB[Product_Name])</f>
        <v>Hydrating Face Cleanser</v>
      </c>
      <c r="Q463" s="2" t="str">
        <f>_xlfn.XLOOKUP(ESales_DB[[#This Row],[Store_ID]],Estore_DB[Store_ID],Estore_DB[Region])</f>
        <v>East</v>
      </c>
      <c r="R463" t="str">
        <f>VLOOKUP(ESales_DB[[#This Row],[Customer_ID]],Ecustom_DB[],10,FALSE)</f>
        <v>Bronze</v>
      </c>
      <c r="S463" t="str">
        <f>IF(ESales_DB[[#This Row],[Quantity1]]&gt;3,"Bulk order","Normal order")</f>
        <v>Normal order</v>
      </c>
    </row>
    <row r="464" spans="1:19" x14ac:dyDescent="0.3">
      <c r="A464" t="s">
        <v>3239</v>
      </c>
      <c r="B464" s="4">
        <v>45506</v>
      </c>
      <c r="C464" s="4" t="str">
        <f>TEXT(ESales_DB[[#This Row],[Order_Date]],"mmm")</f>
        <v>Aug</v>
      </c>
      <c r="D464" t="s">
        <v>1298</v>
      </c>
      <c r="E464" t="s">
        <v>1598</v>
      </c>
      <c r="F464" t="s">
        <v>1804</v>
      </c>
      <c r="G464">
        <v>4</v>
      </c>
      <c r="H464" s="10">
        <f>IF(ISBLANK(ESales_DB[[#This Row],[Quantity]]),AVERAGEIF(ESales_DB[Product_ID],ESales_DB[[#This Row],[Product_ID]],ESales_DB[Quantity]),ESales_DB[[#This Row],[Quantity]])</f>
        <v>4</v>
      </c>
      <c r="I464" s="2">
        <v>627.73</v>
      </c>
      <c r="J464">
        <v>0.11</v>
      </c>
      <c r="K464" t="s">
        <v>1829</v>
      </c>
      <c r="L464" s="2">
        <v>2234.7188000000001</v>
      </c>
      <c r="M464" s="2" t="str">
        <f>IF(ESales_DB[[#This Row],[Total_Amount]]&gt;1000,"High","Low")</f>
        <v>High</v>
      </c>
      <c r="N464" s="2" t="str">
        <f>VLOOKUP(ESales_DB[[#This Row],[Customer_ID]],Ecustom_DB[],3,FALSE)</f>
        <v>Luke Parks</v>
      </c>
      <c r="O464" s="2" t="str">
        <f>_xlfn.XLOOKUP(ESales_DB[[#This Row],[Product_ID]],Eproduct_DB[Product_ID],Eproduct_DB[Category])</f>
        <v>Clothing</v>
      </c>
      <c r="P464" s="2" t="str">
        <f>_xlfn.XLOOKUP(ESales_DB[[#This Row],[Product_ID]],Eproduct_DB[Product_ID],Eproduct_DB[Product_Name])</f>
        <v>Women's Scarf Set</v>
      </c>
      <c r="Q464" s="2" t="str">
        <f>_xlfn.XLOOKUP(ESales_DB[[#This Row],[Store_ID]],Estore_DB[Store_ID],Estore_DB[Region])</f>
        <v>West</v>
      </c>
      <c r="R464" t="str">
        <f>VLOOKUP(ESales_DB[[#This Row],[Customer_ID]],Ecustom_DB[],10,FALSE)</f>
        <v>Silver</v>
      </c>
      <c r="S464" t="str">
        <f>IF(ESales_DB[[#This Row],[Quantity1]]&gt;3,"Bulk order","Normal order")</f>
        <v>Bulk order</v>
      </c>
    </row>
    <row r="465" spans="1:19" x14ac:dyDescent="0.3">
      <c r="A465" t="s">
        <v>3240</v>
      </c>
      <c r="B465" s="4">
        <v>45394</v>
      </c>
      <c r="C465" s="4" t="str">
        <f>TEXT(ESales_DB[[#This Row],[Order_Date]],"mmm")</f>
        <v>Apr</v>
      </c>
      <c r="D465" t="s">
        <v>1160</v>
      </c>
      <c r="E465" t="s">
        <v>1610</v>
      </c>
      <c r="F465" t="s">
        <v>1813</v>
      </c>
      <c r="G465">
        <v>4</v>
      </c>
      <c r="H465" s="10">
        <f>IF(ISBLANK(ESales_DB[[#This Row],[Quantity]]),AVERAGEIF(ESales_DB[Product_ID],ESales_DB[[#This Row],[Product_ID]],ESales_DB[Quantity]),ESales_DB[[#This Row],[Quantity]])</f>
        <v>4</v>
      </c>
      <c r="I465" s="2">
        <v>327.25</v>
      </c>
      <c r="J465">
        <v>0.13</v>
      </c>
      <c r="K465" t="s">
        <v>1829</v>
      </c>
      <c r="L465" s="2">
        <v>1138.83</v>
      </c>
      <c r="M465" s="2" t="str">
        <f>IF(ESales_DB[[#This Row],[Total_Amount]]&gt;1000,"High","Low")</f>
        <v>High</v>
      </c>
      <c r="N465" s="2" t="str">
        <f>VLOOKUP(ESales_DB[[#This Row],[Customer_ID]],Ecustom_DB[],3,FALSE)</f>
        <v>Michael Garner</v>
      </c>
      <c r="O465" s="2" t="str">
        <f>_xlfn.XLOOKUP(ESales_DB[[#This Row],[Product_ID]],Eproduct_DB[Product_ID],Eproduct_DB[Category])</f>
        <v>Sports</v>
      </c>
      <c r="P465" s="2" t="str">
        <f>_xlfn.XLOOKUP(ESales_DB[[#This Row],[Product_ID]],Eproduct_DB[Product_ID],Eproduct_DB[Product_Name])</f>
        <v>Basketball</v>
      </c>
      <c r="Q465" s="2" t="str">
        <f>_xlfn.XLOOKUP(ESales_DB[[#This Row],[Store_ID]],Estore_DB[Store_ID],Estore_DB[Region])</f>
        <v>East</v>
      </c>
      <c r="R465" t="str">
        <f>VLOOKUP(ESales_DB[[#This Row],[Customer_ID]],Ecustom_DB[],10,FALSE)</f>
        <v>Platinum</v>
      </c>
      <c r="S465" t="str">
        <f>IF(ESales_DB[[#This Row],[Quantity1]]&gt;3,"Bulk order","Normal order")</f>
        <v>Bulk order</v>
      </c>
    </row>
    <row r="466" spans="1:19" x14ac:dyDescent="0.3">
      <c r="A466" t="s">
        <v>3241</v>
      </c>
      <c r="B466" s="4">
        <v>45755</v>
      </c>
      <c r="C466" s="4" t="str">
        <f>TEXT(ESales_DB[[#This Row],[Order_Date]],"mmm")</f>
        <v>Apr</v>
      </c>
      <c r="D466" t="s">
        <v>490</v>
      </c>
      <c r="E466" t="s">
        <v>1666</v>
      </c>
      <c r="F466" t="s">
        <v>1792</v>
      </c>
      <c r="G466">
        <v>4</v>
      </c>
      <c r="H466" s="10">
        <f>IF(ISBLANK(ESales_DB[[#This Row],[Quantity]]),AVERAGEIF(ESales_DB[Product_ID],ESales_DB[[#This Row],[Product_ID]],ESales_DB[Quantity]),ESales_DB[[#This Row],[Quantity]])</f>
        <v>4</v>
      </c>
      <c r="I466" s="2">
        <v>511.43</v>
      </c>
      <c r="J466">
        <v>0.18</v>
      </c>
      <c r="K466" t="s">
        <v>1829</v>
      </c>
      <c r="L466" s="2">
        <v>1677.4903999999999</v>
      </c>
      <c r="M466" s="2" t="str">
        <f>IF(ESales_DB[[#This Row],[Total_Amount]]&gt;1000,"High","Low")</f>
        <v>High</v>
      </c>
      <c r="N466" s="2" t="str">
        <f>VLOOKUP(ESales_DB[[#This Row],[Customer_ID]],Ecustom_DB[],3,FALSE)</f>
        <v>Cameron Simpson</v>
      </c>
      <c r="O466" s="2" t="str">
        <f>_xlfn.XLOOKUP(ESales_DB[[#This Row],[Product_ID]],Eproduct_DB[Product_ID],Eproduct_DB[Category])</f>
        <v>Beauty</v>
      </c>
      <c r="P466" s="2" t="str">
        <f>_xlfn.XLOOKUP(ESales_DB[[#This Row],[Product_ID]],Eproduct_DB[Product_ID],Eproduct_DB[Product_Name])</f>
        <v>Men's Hair Styling Gel</v>
      </c>
      <c r="Q466" s="2" t="str">
        <f>_xlfn.XLOOKUP(ESales_DB[[#This Row],[Store_ID]],Estore_DB[Store_ID],Estore_DB[Region])</f>
        <v>South</v>
      </c>
      <c r="R466" t="str">
        <f>VLOOKUP(ESales_DB[[#This Row],[Customer_ID]],Ecustom_DB[],10,FALSE)</f>
        <v>Platinum</v>
      </c>
      <c r="S466" t="str">
        <f>IF(ESales_DB[[#This Row],[Quantity1]]&gt;3,"Bulk order","Normal order")</f>
        <v>Bulk order</v>
      </c>
    </row>
    <row r="467" spans="1:19" x14ac:dyDescent="0.3">
      <c r="A467" t="s">
        <v>3242</v>
      </c>
      <c r="B467" s="4">
        <v>45473</v>
      </c>
      <c r="C467" s="4" t="str">
        <f>TEXT(ESales_DB[[#This Row],[Order_Date]],"mmm")</f>
        <v>Jun</v>
      </c>
      <c r="D467" t="s">
        <v>550</v>
      </c>
      <c r="E467" t="s">
        <v>1674</v>
      </c>
      <c r="F467" t="s">
        <v>1807</v>
      </c>
      <c r="G467">
        <v>4</v>
      </c>
      <c r="H467" s="10">
        <f>IF(ISBLANK(ESales_DB[[#This Row],[Quantity]]),AVERAGEIF(ESales_DB[Product_ID],ESales_DB[[#This Row],[Product_ID]],ESales_DB[Quantity]),ESales_DB[[#This Row],[Quantity]])</f>
        <v>4</v>
      </c>
      <c r="I467" s="2">
        <v>194.67</v>
      </c>
      <c r="J467">
        <v>0.23</v>
      </c>
      <c r="K467" t="s">
        <v>1826</v>
      </c>
      <c r="L467" s="2">
        <v>599.58359999999993</v>
      </c>
      <c r="M467" s="2" t="str">
        <f>IF(ESales_DB[[#This Row],[Total_Amount]]&gt;1000,"High","Low")</f>
        <v>Low</v>
      </c>
      <c r="N467" s="2" t="str">
        <f>VLOOKUP(ESales_DB[[#This Row],[Customer_ID]],Ecustom_DB[],3,FALSE)</f>
        <v>Jason Wheeler</v>
      </c>
      <c r="O467" s="2" t="str">
        <f>_xlfn.XLOOKUP(ESales_DB[[#This Row],[Product_ID]],Eproduct_DB[Product_ID],Eproduct_DB[Category])</f>
        <v>Beauty</v>
      </c>
      <c r="P467" s="2" t="str">
        <f>_xlfn.XLOOKUP(ESales_DB[[#This Row],[Product_ID]],Eproduct_DB[Product_ID],Eproduct_DB[Product_Name])</f>
        <v>Organic Sunscreen Lotion</v>
      </c>
      <c r="Q467" s="2" t="str">
        <f>_xlfn.XLOOKUP(ESales_DB[[#This Row],[Store_ID]],Estore_DB[Store_ID],Estore_DB[Region])</f>
        <v>North</v>
      </c>
      <c r="R467" t="str">
        <f>VLOOKUP(ESales_DB[[#This Row],[Customer_ID]],Ecustom_DB[],10,FALSE)</f>
        <v>Platinum</v>
      </c>
      <c r="S467" t="str">
        <f>IF(ESales_DB[[#This Row],[Quantity1]]&gt;3,"Bulk order","Normal order")</f>
        <v>Bulk order</v>
      </c>
    </row>
    <row r="468" spans="1:19" x14ac:dyDescent="0.3">
      <c r="A468" t="s">
        <v>3243</v>
      </c>
      <c r="B468" s="4">
        <v>45304</v>
      </c>
      <c r="C468" s="4" t="str">
        <f>TEXT(ESales_DB[[#This Row],[Order_Date]],"mmm")</f>
        <v>Jan</v>
      </c>
      <c r="D468" t="s">
        <v>221</v>
      </c>
      <c r="E468" t="s">
        <v>1594</v>
      </c>
      <c r="F468" t="s">
        <v>1757</v>
      </c>
      <c r="G468">
        <v>2</v>
      </c>
      <c r="H468" s="10">
        <f>IF(ISBLANK(ESales_DB[[#This Row],[Quantity]]),AVERAGEIF(ESales_DB[Product_ID],ESales_DB[[#This Row],[Product_ID]],ESales_DB[Quantity]),ESales_DB[[#This Row],[Quantity]])</f>
        <v>2</v>
      </c>
      <c r="I468" s="2">
        <v>54.51</v>
      </c>
      <c r="J468">
        <v>7.0000000000000007E-2</v>
      </c>
      <c r="K468" t="s">
        <v>1824</v>
      </c>
      <c r="L468" s="2">
        <v>101.3886</v>
      </c>
      <c r="M468" s="2" t="str">
        <f>IF(ESales_DB[[#This Row],[Total_Amount]]&gt;1000,"High","Low")</f>
        <v>Low</v>
      </c>
      <c r="N468" s="2" t="str">
        <f>VLOOKUP(ESales_DB[[#This Row],[Customer_ID]],Ecustom_DB[],3,FALSE)</f>
        <v>Alyssa Vargas</v>
      </c>
      <c r="O468" s="2" t="str">
        <f>_xlfn.XLOOKUP(ESales_DB[[#This Row],[Product_ID]],Eproduct_DB[Product_ID],Eproduct_DB[Category])</f>
        <v>Clothing</v>
      </c>
      <c r="P468" s="2" t="str">
        <f>_xlfn.XLOOKUP(ESales_DB[[#This Row],[Product_ID]],Eproduct_DB[Product_ID],Eproduct_DB[Product_Name])</f>
        <v>Men's Formal Shirt</v>
      </c>
      <c r="Q468" s="2" t="str">
        <f>_xlfn.XLOOKUP(ESales_DB[[#This Row],[Store_ID]],Estore_DB[Store_ID],Estore_DB[Region])</f>
        <v>North</v>
      </c>
      <c r="R468" t="str">
        <f>VLOOKUP(ESales_DB[[#This Row],[Customer_ID]],Ecustom_DB[],10,FALSE)</f>
        <v>Platinum</v>
      </c>
      <c r="S468" t="str">
        <f>IF(ESales_DB[[#This Row],[Quantity1]]&gt;3,"Bulk order","Normal order")</f>
        <v>Normal order</v>
      </c>
    </row>
    <row r="469" spans="1:19" x14ac:dyDescent="0.3">
      <c r="A469" t="s">
        <v>3244</v>
      </c>
      <c r="B469" s="4">
        <v>45557</v>
      </c>
      <c r="C469" s="4" t="str">
        <f>TEXT(ESales_DB[[#This Row],[Order_Date]],"mmm")</f>
        <v>Sep</v>
      </c>
      <c r="D469" t="s">
        <v>278</v>
      </c>
      <c r="E469" t="s">
        <v>1672</v>
      </c>
      <c r="F469" t="s">
        <v>1792</v>
      </c>
      <c r="G469">
        <v>4</v>
      </c>
      <c r="H469" s="10">
        <f>IF(ISBLANK(ESales_DB[[#This Row],[Quantity]]),AVERAGEIF(ESales_DB[Product_ID],ESales_DB[[#This Row],[Product_ID]],ESales_DB[Quantity]),ESales_DB[[#This Row],[Quantity]])</f>
        <v>4</v>
      </c>
      <c r="I469" s="2">
        <v>964</v>
      </c>
      <c r="J469">
        <v>0.14000000000000001</v>
      </c>
      <c r="K469" t="s">
        <v>1826</v>
      </c>
      <c r="L469" s="2">
        <v>3316.16</v>
      </c>
      <c r="M469" s="2" t="str">
        <f>IF(ESales_DB[[#This Row],[Total_Amount]]&gt;1000,"High","Low")</f>
        <v>High</v>
      </c>
      <c r="N469" s="2" t="str">
        <f>VLOOKUP(ESales_DB[[#This Row],[Customer_ID]],Ecustom_DB[],3,FALSE)</f>
        <v>Nathan Campbell</v>
      </c>
      <c r="O469" s="2" t="str">
        <f>_xlfn.XLOOKUP(ESales_DB[[#This Row],[Product_ID]],Eproduct_DB[Product_ID],Eproduct_DB[Category])</f>
        <v>Electronics</v>
      </c>
      <c r="P469" s="2" t="str">
        <f>_xlfn.XLOOKUP(ESales_DB[[#This Row],[Product_ID]],Eproduct_DB[Product_ID],Eproduct_DB[Product_Name])</f>
        <v>Laptop Cooling Pad</v>
      </c>
      <c r="Q469" s="2" t="str">
        <f>_xlfn.XLOOKUP(ESales_DB[[#This Row],[Store_ID]],Estore_DB[Store_ID],Estore_DB[Region])</f>
        <v>South</v>
      </c>
      <c r="R469" t="str">
        <f>VLOOKUP(ESales_DB[[#This Row],[Customer_ID]],Ecustom_DB[],10,FALSE)</f>
        <v>Gold</v>
      </c>
      <c r="S469" t="str">
        <f>IF(ESales_DB[[#This Row],[Quantity1]]&gt;3,"Bulk order","Normal order")</f>
        <v>Bulk order</v>
      </c>
    </row>
    <row r="470" spans="1:19" x14ac:dyDescent="0.3">
      <c r="A470" t="s">
        <v>3245</v>
      </c>
      <c r="B470" s="4">
        <v>45527</v>
      </c>
      <c r="C470" s="4" t="str">
        <f>TEXT(ESales_DB[[#This Row],[Order_Date]],"mmm")</f>
        <v>Aug</v>
      </c>
      <c r="D470" t="s">
        <v>157</v>
      </c>
      <c r="E470" t="s">
        <v>1726</v>
      </c>
      <c r="F470" t="s">
        <v>1769</v>
      </c>
      <c r="G470">
        <v>1</v>
      </c>
      <c r="H470" s="10">
        <f>IF(ISBLANK(ESales_DB[[#This Row],[Quantity]]),AVERAGEIF(ESales_DB[Product_ID],ESales_DB[[#This Row],[Product_ID]],ESales_DB[Quantity]),ESales_DB[[#This Row],[Quantity]])</f>
        <v>1</v>
      </c>
      <c r="I470" s="2">
        <v>170.12</v>
      </c>
      <c r="J470">
        <v>0.26</v>
      </c>
      <c r="K470" t="s">
        <v>1826</v>
      </c>
      <c r="L470" s="2">
        <v>125.8888</v>
      </c>
      <c r="M470" s="2" t="str">
        <f>IF(ESales_DB[[#This Row],[Total_Amount]]&gt;1000,"High","Low")</f>
        <v>Low</v>
      </c>
      <c r="N470" s="2" t="str">
        <f>VLOOKUP(ESales_DB[[#This Row],[Customer_ID]],Ecustom_DB[],3,FALSE)</f>
        <v>Eric Vega</v>
      </c>
      <c r="O470" s="2" t="str">
        <f>_xlfn.XLOOKUP(ESales_DB[[#This Row],[Product_ID]],Eproduct_DB[Product_ID],Eproduct_DB[Category])</f>
        <v>Beauty</v>
      </c>
      <c r="P470" s="2" t="str">
        <f>_xlfn.XLOOKUP(ESales_DB[[#This Row],[Product_ID]],Eproduct_DB[Product_ID],Eproduct_DB[Product_Name])</f>
        <v>Face Foundation Kit</v>
      </c>
      <c r="Q470" s="2" t="str">
        <f>_xlfn.XLOOKUP(ESales_DB[[#This Row],[Store_ID]],Estore_DB[Store_ID],Estore_DB[Region])</f>
        <v>South</v>
      </c>
      <c r="R470" t="str">
        <f>VLOOKUP(ESales_DB[[#This Row],[Customer_ID]],Ecustom_DB[],10,FALSE)</f>
        <v>Gold</v>
      </c>
      <c r="S470" t="str">
        <f>IF(ESales_DB[[#This Row],[Quantity1]]&gt;3,"Bulk order","Normal order")</f>
        <v>Normal order</v>
      </c>
    </row>
    <row r="471" spans="1:19" x14ac:dyDescent="0.3">
      <c r="A471" t="s">
        <v>1968</v>
      </c>
      <c r="B471" s="4">
        <v>45573</v>
      </c>
      <c r="C471" s="4" t="str">
        <f>TEXT(ESales_DB[[#This Row],[Order_Date]],"mmm")</f>
        <v>Oct</v>
      </c>
      <c r="D471" t="s">
        <v>1243</v>
      </c>
      <c r="E471" t="s">
        <v>1680</v>
      </c>
      <c r="F471" t="s">
        <v>1794</v>
      </c>
      <c r="G471">
        <v>2</v>
      </c>
      <c r="H471" s="10">
        <f>IF(ISBLANK(ESales_DB[[#This Row],[Quantity]]),AVERAGEIF(ESales_DB[Product_ID],ESales_DB[[#This Row],[Product_ID]],ESales_DB[Quantity]),ESales_DB[[#This Row],[Quantity]])</f>
        <v>2</v>
      </c>
      <c r="I471" s="2">
        <v>975.48</v>
      </c>
      <c r="J471">
        <v>0.26</v>
      </c>
      <c r="K471" t="s">
        <v>1829</v>
      </c>
      <c r="L471" s="2">
        <v>1443.7103999999999</v>
      </c>
      <c r="M471" s="2" t="str">
        <f>IF(ESales_DB[[#This Row],[Total_Amount]]&gt;1000,"High","Low")</f>
        <v>High</v>
      </c>
      <c r="N471" s="2" t="str">
        <f>VLOOKUP(ESales_DB[[#This Row],[Customer_ID]],Ecustom_DB[],3,FALSE)</f>
        <v>John Donaldson</v>
      </c>
      <c r="O471" s="2" t="str">
        <f>_xlfn.XLOOKUP(ESales_DB[[#This Row],[Product_ID]],Eproduct_DB[Product_ID],Eproduct_DB[Category])</f>
        <v>Beauty</v>
      </c>
      <c r="P471" s="2" t="str">
        <f>_xlfn.XLOOKUP(ESales_DB[[#This Row],[Product_ID]],Eproduct_DB[Product_ID],Eproduct_DB[Product_Name])</f>
        <v>Women's Hair Dryer Brush</v>
      </c>
      <c r="Q471" s="2" t="str">
        <f>_xlfn.XLOOKUP(ESales_DB[[#This Row],[Store_ID]],Estore_DB[Store_ID],Estore_DB[Region])</f>
        <v>North</v>
      </c>
      <c r="R471" t="str">
        <f>VLOOKUP(ESales_DB[[#This Row],[Customer_ID]],Ecustom_DB[],10,FALSE)</f>
        <v>Bronze</v>
      </c>
      <c r="S471" t="str">
        <f>IF(ESales_DB[[#This Row],[Quantity1]]&gt;3,"Bulk order","Normal order")</f>
        <v>Normal order</v>
      </c>
    </row>
    <row r="472" spans="1:19" x14ac:dyDescent="0.3">
      <c r="A472" t="s">
        <v>3246</v>
      </c>
      <c r="B472" s="4">
        <v>45875</v>
      </c>
      <c r="C472" s="4" t="str">
        <f>TEXT(ESales_DB[[#This Row],[Order_Date]],"mmm")</f>
        <v>Aug</v>
      </c>
      <c r="D472" t="s">
        <v>511</v>
      </c>
      <c r="E472" t="s">
        <v>1654</v>
      </c>
      <c r="F472" t="s">
        <v>1813</v>
      </c>
      <c r="G472">
        <v>2</v>
      </c>
      <c r="H472" s="10">
        <f>IF(ISBLANK(ESales_DB[[#This Row],[Quantity]]),AVERAGEIF(ESales_DB[Product_ID],ESales_DB[[#This Row],[Product_ID]],ESales_DB[Quantity]),ESales_DB[[#This Row],[Quantity]])</f>
        <v>2</v>
      </c>
      <c r="I472" s="2">
        <v>664.5</v>
      </c>
      <c r="J472">
        <v>0.23</v>
      </c>
      <c r="K472" t="s">
        <v>1824</v>
      </c>
      <c r="L472" s="2">
        <v>1023.33</v>
      </c>
      <c r="M472" s="2" t="str">
        <f>IF(ESales_DB[[#This Row],[Total_Amount]]&gt;1000,"High","Low")</f>
        <v>High</v>
      </c>
      <c r="N472" s="2" t="str">
        <f>VLOOKUP(ESales_DB[[#This Row],[Customer_ID]],Ecustom_DB[],3,FALSE)</f>
        <v>Patrick Roberts</v>
      </c>
      <c r="O472" s="2" t="str">
        <f>_xlfn.XLOOKUP(ESales_DB[[#This Row],[Product_ID]],Eproduct_DB[Product_ID],Eproduct_DB[Category])</f>
        <v>Clothing</v>
      </c>
      <c r="P472" s="2" t="str">
        <f>_xlfn.XLOOKUP(ESales_DB[[#This Row],[Product_ID]],Eproduct_DB[Product_ID],Eproduct_DB[Product_Name])</f>
        <v>Men's Track Pants</v>
      </c>
      <c r="Q472" s="2" t="str">
        <f>_xlfn.XLOOKUP(ESales_DB[[#This Row],[Store_ID]],Estore_DB[Store_ID],Estore_DB[Region])</f>
        <v>East</v>
      </c>
      <c r="R472" t="str">
        <f>VLOOKUP(ESales_DB[[#This Row],[Customer_ID]],Ecustom_DB[],10,FALSE)</f>
        <v>Platinum</v>
      </c>
      <c r="S472" t="str">
        <f>IF(ESales_DB[[#This Row],[Quantity1]]&gt;3,"Bulk order","Normal order")</f>
        <v>Normal order</v>
      </c>
    </row>
    <row r="473" spans="1:19" x14ac:dyDescent="0.3">
      <c r="A473" t="s">
        <v>3247</v>
      </c>
      <c r="B473" s="4">
        <v>45936</v>
      </c>
      <c r="C473" s="4" t="str">
        <f>TEXT(ESales_DB[[#This Row],[Order_Date]],"mmm")</f>
        <v>Oct</v>
      </c>
      <c r="D473" t="s">
        <v>1160</v>
      </c>
      <c r="E473" t="s">
        <v>1638</v>
      </c>
      <c r="F473" t="s">
        <v>1789</v>
      </c>
      <c r="G473">
        <v>4</v>
      </c>
      <c r="H473" s="10">
        <f>IF(ISBLANK(ESales_DB[[#This Row],[Quantity]]),AVERAGEIF(ESales_DB[Product_ID],ESales_DB[[#This Row],[Product_ID]],ESales_DB[Quantity]),ESales_DB[[#This Row],[Quantity]])</f>
        <v>4</v>
      </c>
      <c r="I473" s="2">
        <v>557.51</v>
      </c>
      <c r="J473">
        <v>0.11</v>
      </c>
      <c r="K473" t="s">
        <v>1824</v>
      </c>
      <c r="L473" s="2">
        <v>1984.7356</v>
      </c>
      <c r="M473" s="2" t="str">
        <f>IF(ESales_DB[[#This Row],[Total_Amount]]&gt;1000,"High","Low")</f>
        <v>High</v>
      </c>
      <c r="N473" s="2" t="str">
        <f>VLOOKUP(ESales_DB[[#This Row],[Customer_ID]],Ecustom_DB[],3,FALSE)</f>
        <v>Michael Garner</v>
      </c>
      <c r="O473" s="2" t="str">
        <f>_xlfn.XLOOKUP(ESales_DB[[#This Row],[Product_ID]],Eproduct_DB[Product_ID],Eproduct_DB[Category])</f>
        <v>Sports</v>
      </c>
      <c r="P473" s="2" t="str">
        <f>_xlfn.XLOOKUP(ESales_DB[[#This Row],[Product_ID]],Eproduct_DB[Product_ID],Eproduct_DB[Product_Name])</f>
        <v>High-Grip Football</v>
      </c>
      <c r="Q473" s="2" t="str">
        <f>_xlfn.XLOOKUP(ESales_DB[[#This Row],[Store_ID]],Estore_DB[Store_ID],Estore_DB[Region])</f>
        <v>East</v>
      </c>
      <c r="R473" t="str">
        <f>VLOOKUP(ESales_DB[[#This Row],[Customer_ID]],Ecustom_DB[],10,FALSE)</f>
        <v>Platinum</v>
      </c>
      <c r="S473" t="str">
        <f>IF(ESales_DB[[#This Row],[Quantity1]]&gt;3,"Bulk order","Normal order")</f>
        <v>Bulk order</v>
      </c>
    </row>
    <row r="474" spans="1:19" x14ac:dyDescent="0.3">
      <c r="A474" t="s">
        <v>3248</v>
      </c>
      <c r="B474" s="4">
        <v>45807</v>
      </c>
      <c r="C474" s="4" t="str">
        <f>TEXT(ESales_DB[[#This Row],[Order_Date]],"mmm")</f>
        <v>May</v>
      </c>
      <c r="D474" t="s">
        <v>1238</v>
      </c>
      <c r="E474" t="s">
        <v>1728</v>
      </c>
      <c r="F474" t="s">
        <v>1757</v>
      </c>
      <c r="G474">
        <v>2</v>
      </c>
      <c r="H474" s="10">
        <f>IF(ISBLANK(ESales_DB[[#This Row],[Quantity]]),AVERAGEIF(ESales_DB[Product_ID],ESales_DB[[#This Row],[Product_ID]],ESales_DB[Quantity]),ESales_DB[[#This Row],[Quantity]])</f>
        <v>2</v>
      </c>
      <c r="I474" s="2">
        <v>410</v>
      </c>
      <c r="J474">
        <v>0.13</v>
      </c>
      <c r="K474" t="s">
        <v>1829</v>
      </c>
      <c r="L474" s="2">
        <v>713.4</v>
      </c>
      <c r="M474" s="2" t="str">
        <f>IF(ESales_DB[[#This Row],[Total_Amount]]&gt;1000,"High","Low")</f>
        <v>Low</v>
      </c>
      <c r="N474" s="2" t="str">
        <f>VLOOKUP(ESales_DB[[#This Row],[Customer_ID]],Ecustom_DB[],3,FALSE)</f>
        <v>Charles Norman Phd</v>
      </c>
      <c r="O474" s="2" t="str">
        <f>_xlfn.XLOOKUP(ESales_DB[[#This Row],[Product_ID]],Eproduct_DB[Product_ID],Eproduct_DB[Category])</f>
        <v>Electronics</v>
      </c>
      <c r="P474" s="2" t="str">
        <f>_xlfn.XLOOKUP(ESales_DB[[#This Row],[Product_ID]],Eproduct_DB[Product_ID],Eproduct_DB[Product_Name])</f>
        <v>Gaming Mouse Pad XL</v>
      </c>
      <c r="Q474" s="2" t="str">
        <f>_xlfn.XLOOKUP(ESales_DB[[#This Row],[Store_ID]],Estore_DB[Store_ID],Estore_DB[Region])</f>
        <v>North</v>
      </c>
      <c r="R474" t="str">
        <f>VLOOKUP(ESales_DB[[#This Row],[Customer_ID]],Ecustom_DB[],10,FALSE)</f>
        <v>Platinum</v>
      </c>
      <c r="S474" t="str">
        <f>IF(ESales_DB[[#This Row],[Quantity1]]&gt;3,"Bulk order","Normal order")</f>
        <v>Normal order</v>
      </c>
    </row>
    <row r="475" spans="1:19" x14ac:dyDescent="0.3">
      <c r="A475" t="s">
        <v>3249</v>
      </c>
      <c r="B475" s="4">
        <v>45473</v>
      </c>
      <c r="C475" s="4" t="str">
        <f>TEXT(ESales_DB[[#This Row],[Order_Date]],"mmm")</f>
        <v>Jun</v>
      </c>
      <c r="D475" t="s">
        <v>966</v>
      </c>
      <c r="E475" t="s">
        <v>1714</v>
      </c>
      <c r="F475" t="s">
        <v>1773</v>
      </c>
      <c r="G475">
        <v>2</v>
      </c>
      <c r="H475" s="10">
        <f>IF(ISBLANK(ESales_DB[[#This Row],[Quantity]]),AVERAGEIF(ESales_DB[Product_ID],ESales_DB[[#This Row],[Product_ID]],ESales_DB[Quantity]),ESales_DB[[#This Row],[Quantity]])</f>
        <v>2</v>
      </c>
      <c r="I475" s="2">
        <v>879.93</v>
      </c>
      <c r="J475">
        <v>0.28999999999999998</v>
      </c>
      <c r="K475" t="s">
        <v>1829</v>
      </c>
      <c r="L475" s="2">
        <v>1249.5006000000001</v>
      </c>
      <c r="M475" s="2" t="str">
        <f>IF(ESales_DB[[#This Row],[Total_Amount]]&gt;1000,"High","Low")</f>
        <v>High</v>
      </c>
      <c r="N475" s="2" t="str">
        <f>VLOOKUP(ESales_DB[[#This Row],[Customer_ID]],Ecustom_DB[],3,FALSE)</f>
        <v>Angela Robinson</v>
      </c>
      <c r="O475" s="2" t="str">
        <f>_xlfn.XLOOKUP(ESales_DB[[#This Row],[Product_ID]],Eproduct_DB[Product_ID],Eproduct_DB[Category])</f>
        <v>Beauty</v>
      </c>
      <c r="P475" s="2" t="str">
        <f>_xlfn.XLOOKUP(ESales_DB[[#This Row],[Product_ID]],Eproduct_DB[Product_ID],Eproduct_DB[Product_Name])</f>
        <v>Hydrating Face Cleanser</v>
      </c>
      <c r="Q475" s="2" t="str">
        <f>_xlfn.XLOOKUP(ESales_DB[[#This Row],[Store_ID]],Estore_DB[Store_ID],Estore_DB[Region])</f>
        <v>North</v>
      </c>
      <c r="R475" t="str">
        <f>VLOOKUP(ESales_DB[[#This Row],[Customer_ID]],Ecustom_DB[],10,FALSE)</f>
        <v>Platinum</v>
      </c>
      <c r="S475" t="str">
        <f>IF(ESales_DB[[#This Row],[Quantity1]]&gt;3,"Bulk order","Normal order")</f>
        <v>Normal order</v>
      </c>
    </row>
    <row r="476" spans="1:19" x14ac:dyDescent="0.3">
      <c r="A476" t="s">
        <v>3250</v>
      </c>
      <c r="B476" s="4">
        <v>45664</v>
      </c>
      <c r="C476" s="4" t="str">
        <f>TEXT(ESales_DB[[#This Row],[Order_Date]],"mmm")</f>
        <v>Jan</v>
      </c>
      <c r="D476" t="s">
        <v>40</v>
      </c>
      <c r="E476" t="s">
        <v>1574</v>
      </c>
      <c r="F476" t="s">
        <v>1810</v>
      </c>
      <c r="G476">
        <v>1</v>
      </c>
      <c r="H476" s="10">
        <f>IF(ISBLANK(ESales_DB[[#This Row],[Quantity]]),AVERAGEIF(ESales_DB[Product_ID],ESales_DB[[#This Row],[Product_ID]],ESales_DB[Quantity]),ESales_DB[[#This Row],[Quantity]])</f>
        <v>1</v>
      </c>
      <c r="I476" s="2">
        <v>350.58</v>
      </c>
      <c r="J476">
        <v>0.03</v>
      </c>
      <c r="K476" t="s">
        <v>1829</v>
      </c>
      <c r="L476" s="2">
        <v>340.06259999999997</v>
      </c>
      <c r="M476" s="2" t="str">
        <f>IF(ESales_DB[[#This Row],[Total_Amount]]&gt;1000,"High","Low")</f>
        <v>Low</v>
      </c>
      <c r="N476" s="2" t="str">
        <f>VLOOKUP(ESales_DB[[#This Row],[Customer_ID]],Ecustom_DB[],3,FALSE)</f>
        <v>Daniel Boyd</v>
      </c>
      <c r="O476" s="2" t="str">
        <f>_xlfn.XLOOKUP(ESales_DB[[#This Row],[Product_ID]],Eproduct_DB[Product_ID],Eproduct_DB[Category])</f>
        <v>Electronics</v>
      </c>
      <c r="P476" s="2" t="str">
        <f>_xlfn.XLOOKUP(ESales_DB[[#This Row],[Product_ID]],Eproduct_DB[Product_ID],Eproduct_DB[Product_Name])</f>
        <v>USB-C Fast Charger</v>
      </c>
      <c r="Q476" s="2" t="str">
        <f>_xlfn.XLOOKUP(ESales_DB[[#This Row],[Store_ID]],Estore_DB[Store_ID],Estore_DB[Region])</f>
        <v>East</v>
      </c>
      <c r="R476" t="str">
        <f>VLOOKUP(ESales_DB[[#This Row],[Customer_ID]],Ecustom_DB[],10,FALSE)</f>
        <v>Bronze</v>
      </c>
      <c r="S476" t="str">
        <f>IF(ESales_DB[[#This Row],[Quantity1]]&gt;3,"Bulk order","Normal order")</f>
        <v>Normal order</v>
      </c>
    </row>
    <row r="477" spans="1:19" x14ac:dyDescent="0.3">
      <c r="A477" t="s">
        <v>3251</v>
      </c>
      <c r="B477" s="4">
        <v>45633</v>
      </c>
      <c r="C477" s="4" t="str">
        <f>TEXT(ESales_DB[[#This Row],[Order_Date]],"mmm")</f>
        <v>Dec</v>
      </c>
      <c r="D477" t="s">
        <v>1098</v>
      </c>
      <c r="E477" t="s">
        <v>1664</v>
      </c>
      <c r="F477" t="s">
        <v>1766</v>
      </c>
      <c r="G477">
        <v>4</v>
      </c>
      <c r="H477" s="10">
        <f>IF(ISBLANK(ESales_DB[[#This Row],[Quantity]]),AVERAGEIF(ESales_DB[Product_ID],ESales_DB[[#This Row],[Product_ID]],ESales_DB[Quantity]),ESales_DB[[#This Row],[Quantity]])</f>
        <v>4</v>
      </c>
      <c r="I477" s="2">
        <v>348.58</v>
      </c>
      <c r="J477">
        <v>0.16</v>
      </c>
      <c r="K477" t="s">
        <v>1824</v>
      </c>
      <c r="L477" s="2">
        <v>1171.2288000000001</v>
      </c>
      <c r="M477" s="2" t="str">
        <f>IF(ESales_DB[[#This Row],[Total_Amount]]&gt;1000,"High","Low")</f>
        <v>High</v>
      </c>
      <c r="N477" s="2" t="str">
        <f>VLOOKUP(ESales_DB[[#This Row],[Customer_ID]],Ecustom_DB[],3,FALSE)</f>
        <v>Charles Miller</v>
      </c>
      <c r="O477" s="2" t="str">
        <f>_xlfn.XLOOKUP(ESales_DB[[#This Row],[Product_ID]],Eproduct_DB[Product_ID],Eproduct_DB[Category])</f>
        <v>Clothing</v>
      </c>
      <c r="P477" s="2" t="str">
        <f>_xlfn.XLOOKUP(ESales_DB[[#This Row],[Product_ID]],Eproduct_DB[Product_ID],Eproduct_DB[Product_Name])</f>
        <v>Womens Cotton Scarf</v>
      </c>
      <c r="Q477" s="2" t="str">
        <f>_xlfn.XLOOKUP(ESales_DB[[#This Row],[Store_ID]],Estore_DB[Store_ID],Estore_DB[Region])</f>
        <v>North</v>
      </c>
      <c r="R477" t="str">
        <f>VLOOKUP(ESales_DB[[#This Row],[Customer_ID]],Ecustom_DB[],10,FALSE)</f>
        <v>Silver</v>
      </c>
      <c r="S477" t="str">
        <f>IF(ESales_DB[[#This Row],[Quantity1]]&gt;3,"Bulk order","Normal order")</f>
        <v>Bulk order</v>
      </c>
    </row>
    <row r="478" spans="1:19" x14ac:dyDescent="0.3">
      <c r="A478" t="s">
        <v>3252</v>
      </c>
      <c r="B478" s="4">
        <v>45548</v>
      </c>
      <c r="C478" s="4" t="str">
        <f>TEXT(ESales_DB[[#This Row],[Order_Date]],"mmm")</f>
        <v>Sep</v>
      </c>
      <c r="D478" t="s">
        <v>1417</v>
      </c>
      <c r="E478" t="s">
        <v>1598</v>
      </c>
      <c r="F478" t="s">
        <v>1766</v>
      </c>
      <c r="G478">
        <v>3</v>
      </c>
      <c r="H478" s="10">
        <f>IF(ISBLANK(ESales_DB[[#This Row],[Quantity]]),AVERAGEIF(ESales_DB[Product_ID],ESales_DB[[#This Row],[Product_ID]],ESales_DB[Quantity]),ESales_DB[[#This Row],[Quantity]])</f>
        <v>3</v>
      </c>
      <c r="I478" s="2">
        <v>247.66</v>
      </c>
      <c r="J478">
        <v>0.02</v>
      </c>
      <c r="K478" t="s">
        <v>1829</v>
      </c>
      <c r="L478" s="2">
        <v>728.12040000000002</v>
      </c>
      <c r="M478" s="2" t="str">
        <f>IF(ESales_DB[[#This Row],[Total_Amount]]&gt;1000,"High","Low")</f>
        <v>Low</v>
      </c>
      <c r="N478" s="2" t="str">
        <f>VLOOKUP(ESales_DB[[#This Row],[Customer_ID]],Ecustom_DB[],3,FALSE)</f>
        <v>John Perez</v>
      </c>
      <c r="O478" s="2" t="str">
        <f>_xlfn.XLOOKUP(ESales_DB[[#This Row],[Product_ID]],Eproduct_DB[Product_ID],Eproduct_DB[Category])</f>
        <v>Clothing</v>
      </c>
      <c r="P478" s="2" t="str">
        <f>_xlfn.XLOOKUP(ESales_DB[[#This Row],[Product_ID]],Eproduct_DB[Product_ID],Eproduct_DB[Product_Name])</f>
        <v>Women's Scarf Set</v>
      </c>
      <c r="Q478" s="2" t="str">
        <f>_xlfn.XLOOKUP(ESales_DB[[#This Row],[Store_ID]],Estore_DB[Store_ID],Estore_DB[Region])</f>
        <v>North</v>
      </c>
      <c r="R478" t="str">
        <f>VLOOKUP(ESales_DB[[#This Row],[Customer_ID]],Ecustom_DB[],10,FALSE)</f>
        <v>Gold</v>
      </c>
      <c r="S478" t="str">
        <f>IF(ESales_DB[[#This Row],[Quantity1]]&gt;3,"Bulk order","Normal order")</f>
        <v>Normal order</v>
      </c>
    </row>
    <row r="479" spans="1:19" x14ac:dyDescent="0.3">
      <c r="A479" t="s">
        <v>3253</v>
      </c>
      <c r="B479" s="4">
        <v>45244</v>
      </c>
      <c r="C479" s="4" t="str">
        <f>TEXT(ESales_DB[[#This Row],[Order_Date]],"mmm")</f>
        <v>Nov</v>
      </c>
      <c r="D479" t="s">
        <v>1211</v>
      </c>
      <c r="E479" t="s">
        <v>1626</v>
      </c>
      <c r="F479" t="s">
        <v>1801</v>
      </c>
      <c r="G479">
        <v>3</v>
      </c>
      <c r="H479" s="10">
        <f>IF(ISBLANK(ESales_DB[[#This Row],[Quantity]]),AVERAGEIF(ESales_DB[Product_ID],ESales_DB[[#This Row],[Product_ID]],ESales_DB[Quantity]),ESales_DB[[#This Row],[Quantity]])</f>
        <v>3</v>
      </c>
      <c r="I479" s="2">
        <v>836.27</v>
      </c>
      <c r="J479">
        <v>0.16</v>
      </c>
      <c r="K479" t="s">
        <v>1824</v>
      </c>
      <c r="L479" s="2">
        <v>2107.4004</v>
      </c>
      <c r="M479" s="2" t="str">
        <f>IF(ESales_DB[[#This Row],[Total_Amount]]&gt;1000,"High","Low")</f>
        <v>High</v>
      </c>
      <c r="N479" s="2" t="str">
        <f>VLOOKUP(ESales_DB[[#This Row],[Customer_ID]],Ecustom_DB[],3,FALSE)</f>
        <v>Timothy Valenzuela</v>
      </c>
      <c r="O479" s="2" t="str">
        <f>_xlfn.XLOOKUP(ESales_DB[[#This Row],[Product_ID]],Eproduct_DB[Product_ID],Eproduct_DB[Category])</f>
        <v>Electronics</v>
      </c>
      <c r="P479" s="2" t="str">
        <f>_xlfn.XLOOKUP(ESales_DB[[#This Row],[Product_ID]],Eproduct_DB[Product_ID],Eproduct_DB[Product_Name])</f>
        <v>Portable Power Bank</v>
      </c>
      <c r="Q479" s="2" t="str">
        <f>_xlfn.XLOOKUP(ESales_DB[[#This Row],[Store_ID]],Estore_DB[Store_ID],Estore_DB[Region])</f>
        <v>North</v>
      </c>
      <c r="R479" t="str">
        <f>VLOOKUP(ESales_DB[[#This Row],[Customer_ID]],Ecustom_DB[],10,FALSE)</f>
        <v>Platinum</v>
      </c>
      <c r="S479" t="str">
        <f>IF(ESales_DB[[#This Row],[Quantity1]]&gt;3,"Bulk order","Normal order")</f>
        <v>Normal order</v>
      </c>
    </row>
    <row r="480" spans="1:19" x14ac:dyDescent="0.3">
      <c r="A480" t="s">
        <v>3254</v>
      </c>
      <c r="B480" s="4">
        <v>45753</v>
      </c>
      <c r="C480" s="4" t="str">
        <f>TEXT(ESales_DB[[#This Row],[Order_Date]],"mmm")</f>
        <v>Apr</v>
      </c>
      <c r="D480" t="s">
        <v>640</v>
      </c>
      <c r="E480" t="s">
        <v>1576</v>
      </c>
      <c r="F480" t="s">
        <v>1789</v>
      </c>
      <c r="G480">
        <v>3</v>
      </c>
      <c r="H480" s="10">
        <f>IF(ISBLANK(ESales_DB[[#This Row],[Quantity]]),AVERAGEIF(ESales_DB[Product_ID],ESales_DB[[#This Row],[Product_ID]],ESales_DB[Quantity]),ESales_DB[[#This Row],[Quantity]])</f>
        <v>3</v>
      </c>
      <c r="I480" s="2">
        <v>696.74</v>
      </c>
      <c r="J480">
        <v>0.13</v>
      </c>
      <c r="K480" t="s">
        <v>1829</v>
      </c>
      <c r="L480" s="2">
        <v>1818.4914000000001</v>
      </c>
      <c r="M480" s="2" t="str">
        <f>IF(ESales_DB[[#This Row],[Total_Amount]]&gt;1000,"High","Low")</f>
        <v>High</v>
      </c>
      <c r="N480" s="2" t="str">
        <f>VLOOKUP(ESales_DB[[#This Row],[Customer_ID]],Ecustom_DB[],3,FALSE)</f>
        <v>Anthony Garcia</v>
      </c>
      <c r="O480" s="2" t="str">
        <f>_xlfn.XLOOKUP(ESales_DB[[#This Row],[Product_ID]],Eproduct_DB[Product_ID],Eproduct_DB[Category])</f>
        <v>Home</v>
      </c>
      <c r="P480" s="2" t="str">
        <f>_xlfn.XLOOKUP(ESales_DB[[#This Row],[Product_ID]],Eproduct_DB[Product_ID],Eproduct_DB[Product_Name])</f>
        <v>Decorative Wall Mirror</v>
      </c>
      <c r="Q480" s="2" t="str">
        <f>_xlfn.XLOOKUP(ESales_DB[[#This Row],[Store_ID]],Estore_DB[Store_ID],Estore_DB[Region])</f>
        <v>East</v>
      </c>
      <c r="R480" t="str">
        <f>VLOOKUP(ESales_DB[[#This Row],[Customer_ID]],Ecustom_DB[],10,FALSE)</f>
        <v>Silver</v>
      </c>
      <c r="S480" t="str">
        <f>IF(ESales_DB[[#This Row],[Quantity1]]&gt;3,"Bulk order","Normal order")</f>
        <v>Normal order</v>
      </c>
    </row>
    <row r="481" spans="1:19" x14ac:dyDescent="0.3">
      <c r="A481" t="s">
        <v>3255</v>
      </c>
      <c r="B481" s="4">
        <v>45804</v>
      </c>
      <c r="C481" s="4" t="str">
        <f>TEXT(ESales_DB[[#This Row],[Order_Date]],"mmm")</f>
        <v>May</v>
      </c>
      <c r="D481" t="s">
        <v>785</v>
      </c>
      <c r="E481" t="s">
        <v>1736</v>
      </c>
      <c r="F481" t="s">
        <v>1797</v>
      </c>
      <c r="G481">
        <v>2</v>
      </c>
      <c r="H481" s="10">
        <f>IF(ISBLANK(ESales_DB[[#This Row],[Quantity]]),AVERAGEIF(ESales_DB[Product_ID],ESales_DB[[#This Row],[Product_ID]],ESales_DB[Quantity]),ESales_DB[[#This Row],[Quantity]])</f>
        <v>2</v>
      </c>
      <c r="I481" s="2">
        <v>822.59</v>
      </c>
      <c r="J481">
        <v>0.22</v>
      </c>
      <c r="K481" t="s">
        <v>1826</v>
      </c>
      <c r="L481" s="2">
        <v>1283.2403999999999</v>
      </c>
      <c r="M481" s="2" t="str">
        <f>IF(ESales_DB[[#This Row],[Total_Amount]]&gt;1000,"High","Low")</f>
        <v>High</v>
      </c>
      <c r="N481" s="2" t="str">
        <f>VLOOKUP(ESales_DB[[#This Row],[Customer_ID]],Ecustom_DB[],3,FALSE)</f>
        <v>Laura Soto</v>
      </c>
      <c r="O481" s="2" t="str">
        <f>_xlfn.XLOOKUP(ESales_DB[[#This Row],[Product_ID]],Eproduct_DB[Product_ID],Eproduct_DB[Category])</f>
        <v>Beauty</v>
      </c>
      <c r="P481" s="2" t="str">
        <f>_xlfn.XLOOKUP(ESales_DB[[#This Row],[Product_ID]],Eproduct_DB[Product_ID],Eproduct_DB[Product_Name])</f>
        <v>Vitamin E Body Lotion</v>
      </c>
      <c r="Q481" s="2" t="str">
        <f>_xlfn.XLOOKUP(ESales_DB[[#This Row],[Store_ID]],Estore_DB[Store_ID],Estore_DB[Region])</f>
        <v>East</v>
      </c>
      <c r="R481" t="str">
        <f>VLOOKUP(ESales_DB[[#This Row],[Customer_ID]],Ecustom_DB[],10,FALSE)</f>
        <v>Platinum</v>
      </c>
      <c r="S481" t="str">
        <f>IF(ESales_DB[[#This Row],[Quantity1]]&gt;3,"Bulk order","Normal order")</f>
        <v>Normal order</v>
      </c>
    </row>
    <row r="482" spans="1:19" x14ac:dyDescent="0.3">
      <c r="A482" t="s">
        <v>1969</v>
      </c>
      <c r="B482" s="4">
        <v>45884</v>
      </c>
      <c r="C482" s="4" t="str">
        <f>TEXT(ESales_DB[[#This Row],[Order_Date]],"mmm")</f>
        <v>Aug</v>
      </c>
      <c r="D482" t="s">
        <v>1249</v>
      </c>
      <c r="E482" t="s">
        <v>1616</v>
      </c>
      <c r="F482" t="s">
        <v>1804</v>
      </c>
      <c r="G482">
        <v>4</v>
      </c>
      <c r="H482" s="10">
        <f>IF(ISBLANK(ESales_DB[[#This Row],[Quantity]]),AVERAGEIF(ESales_DB[Product_ID],ESales_DB[[#This Row],[Product_ID]],ESales_DB[Quantity]),ESales_DB[[#This Row],[Quantity]])</f>
        <v>4</v>
      </c>
      <c r="I482" s="2">
        <v>450.12</v>
      </c>
      <c r="J482">
        <v>0.28999999999999998</v>
      </c>
      <c r="K482" t="s">
        <v>1829</v>
      </c>
      <c r="L482" s="2">
        <v>1278.3407999999999</v>
      </c>
      <c r="M482" s="2" t="str">
        <f>IF(ESales_DB[[#This Row],[Total_Amount]]&gt;1000,"High","Low")</f>
        <v>High</v>
      </c>
      <c r="N482" s="2" t="str">
        <f>VLOOKUP(ESales_DB[[#This Row],[Customer_ID]],Ecustom_DB[],3,FALSE)</f>
        <v>Terry Moses</v>
      </c>
      <c r="O482" s="2" t="str">
        <f>_xlfn.XLOOKUP(ESales_DB[[#This Row],[Product_ID]],Eproduct_DB[Product_ID],Eproduct_DB[Category])</f>
        <v>Electronics</v>
      </c>
      <c r="P482" s="2" t="str">
        <f>_xlfn.XLOOKUP(ESales_DB[[#This Row],[Product_ID]],Eproduct_DB[Product_ID],Eproduct_DB[Product_Name])</f>
        <v>Gaming Mechanical Keyboard</v>
      </c>
      <c r="Q482" s="2" t="str">
        <f>_xlfn.XLOOKUP(ESales_DB[[#This Row],[Store_ID]],Estore_DB[Store_ID],Estore_DB[Region])</f>
        <v>West</v>
      </c>
      <c r="R482" t="str">
        <f>VLOOKUP(ESales_DB[[#This Row],[Customer_ID]],Ecustom_DB[],10,FALSE)</f>
        <v>Platinum</v>
      </c>
      <c r="S482" t="str">
        <f>IF(ESales_DB[[#This Row],[Quantity1]]&gt;3,"Bulk order","Normal order")</f>
        <v>Bulk order</v>
      </c>
    </row>
    <row r="483" spans="1:19" x14ac:dyDescent="0.3">
      <c r="A483" t="s">
        <v>3256</v>
      </c>
      <c r="B483" s="4">
        <v>45263</v>
      </c>
      <c r="C483" s="4" t="str">
        <f>TEXT(ESales_DB[[#This Row],[Order_Date]],"mmm")</f>
        <v>Dec</v>
      </c>
      <c r="D483" t="s">
        <v>719</v>
      </c>
      <c r="E483" t="s">
        <v>1706</v>
      </c>
      <c r="F483" t="s">
        <v>1761</v>
      </c>
      <c r="G483">
        <v>1</v>
      </c>
      <c r="H483" s="10">
        <f>IF(ISBLANK(ESales_DB[[#This Row],[Quantity]]),AVERAGEIF(ESales_DB[Product_ID],ESales_DB[[#This Row],[Product_ID]],ESales_DB[Quantity]),ESales_DB[[#This Row],[Quantity]])</f>
        <v>1</v>
      </c>
      <c r="I483" s="2">
        <v>462.23</v>
      </c>
      <c r="J483">
        <v>0.3</v>
      </c>
      <c r="K483" t="s">
        <v>1826</v>
      </c>
      <c r="L483" s="2">
        <v>323.56099999999998</v>
      </c>
      <c r="M483" s="2" t="str">
        <f>IF(ESales_DB[[#This Row],[Total_Amount]]&gt;1000,"High","Low")</f>
        <v>Low</v>
      </c>
      <c r="N483" s="2" t="str">
        <f>VLOOKUP(ESales_DB[[#This Row],[Customer_ID]],Ecustom_DB[],3,FALSE)</f>
        <v>Alejandro Doyle</v>
      </c>
      <c r="O483" s="2" t="str">
        <f>_xlfn.XLOOKUP(ESales_DB[[#This Row],[Product_ID]],Eproduct_DB[Product_ID],Eproduct_DB[Category])</f>
        <v>Home</v>
      </c>
      <c r="P483" s="2" t="str">
        <f>_xlfn.XLOOKUP(ESales_DB[[#This Row],[Product_ID]],Eproduct_DB[Product_ID],Eproduct_DB[Product_Name])</f>
        <v>Decorative Lamp Shade</v>
      </c>
      <c r="Q483" s="2" t="str">
        <f>_xlfn.XLOOKUP(ESales_DB[[#This Row],[Store_ID]],Estore_DB[Store_ID],Estore_DB[Region])</f>
        <v>South</v>
      </c>
      <c r="R483" t="str">
        <f>VLOOKUP(ESales_DB[[#This Row],[Customer_ID]],Ecustom_DB[],10,FALSE)</f>
        <v>Platinum</v>
      </c>
      <c r="S483" t="str">
        <f>IF(ESales_DB[[#This Row],[Quantity1]]&gt;3,"Bulk order","Normal order")</f>
        <v>Normal order</v>
      </c>
    </row>
    <row r="484" spans="1:19" x14ac:dyDescent="0.3">
      <c r="A484" t="s">
        <v>3257</v>
      </c>
      <c r="B484" s="4">
        <v>45906</v>
      </c>
      <c r="C484" s="4" t="str">
        <f>TEXT(ESales_DB[[#This Row],[Order_Date]],"mmm")</f>
        <v>Sep</v>
      </c>
      <c r="D484" t="s">
        <v>1383</v>
      </c>
      <c r="E484" t="s">
        <v>1632</v>
      </c>
      <c r="F484" t="s">
        <v>1807</v>
      </c>
      <c r="G484">
        <v>1</v>
      </c>
      <c r="H484" s="10">
        <f>IF(ISBLANK(ESales_DB[[#This Row],[Quantity]]),AVERAGEIF(ESales_DB[Product_ID],ESales_DB[[#This Row],[Product_ID]],ESales_DB[Quantity]),ESales_DB[[#This Row],[Quantity]])</f>
        <v>1</v>
      </c>
      <c r="I484" s="2">
        <v>361.09</v>
      </c>
      <c r="J484">
        <v>0.06</v>
      </c>
      <c r="K484" t="s">
        <v>1826</v>
      </c>
      <c r="L484" s="2">
        <v>339.42459999999988</v>
      </c>
      <c r="M484" s="2" t="str">
        <f>IF(ESales_DB[[#This Row],[Total_Amount]]&gt;1000,"High","Low")</f>
        <v>Low</v>
      </c>
      <c r="N484" s="2" t="str">
        <f>VLOOKUP(ESales_DB[[#This Row],[Customer_ID]],Ecustom_DB[],3,FALSE)</f>
        <v>Monica Wright</v>
      </c>
      <c r="O484" s="2" t="str">
        <f>_xlfn.XLOOKUP(ESales_DB[[#This Row],[Product_ID]],Eproduct_DB[Product_ID],Eproduct_DB[Category])</f>
        <v>Electronics</v>
      </c>
      <c r="P484" s="2" t="str">
        <f>_xlfn.XLOOKUP(ESales_DB[[#This Row],[Product_ID]],Eproduct_DB[Product_ID],Eproduct_DB[Product_Name])</f>
        <v>Smart Home WiFi Camera</v>
      </c>
      <c r="Q484" s="2" t="str">
        <f>_xlfn.XLOOKUP(ESales_DB[[#This Row],[Store_ID]],Estore_DB[Store_ID],Estore_DB[Region])</f>
        <v>North</v>
      </c>
      <c r="R484" t="str">
        <f>VLOOKUP(ESales_DB[[#This Row],[Customer_ID]],Ecustom_DB[],10,FALSE)</f>
        <v>Gold</v>
      </c>
      <c r="S484" t="str">
        <f>IF(ESales_DB[[#This Row],[Quantity1]]&gt;3,"Bulk order","Normal order")</f>
        <v>Normal order</v>
      </c>
    </row>
    <row r="485" spans="1:19" x14ac:dyDescent="0.3">
      <c r="A485" t="s">
        <v>3258</v>
      </c>
      <c r="B485" s="4">
        <v>45243</v>
      </c>
      <c r="C485" s="4" t="str">
        <f>TEXT(ESales_DB[[#This Row],[Order_Date]],"mmm")</f>
        <v>Nov</v>
      </c>
      <c r="D485" t="s">
        <v>1196</v>
      </c>
      <c r="E485" t="s">
        <v>1694</v>
      </c>
      <c r="F485" t="s">
        <v>1813</v>
      </c>
      <c r="G485">
        <v>3</v>
      </c>
      <c r="H485" s="10">
        <f>IF(ISBLANK(ESales_DB[[#This Row],[Quantity]]),AVERAGEIF(ESales_DB[Product_ID],ESales_DB[[#This Row],[Product_ID]],ESales_DB[Quantity]),ESales_DB[[#This Row],[Quantity]])</f>
        <v>3</v>
      </c>
      <c r="I485" s="2">
        <v>59.37</v>
      </c>
      <c r="J485">
        <v>0.03</v>
      </c>
      <c r="K485" t="s">
        <v>1826</v>
      </c>
      <c r="L485" s="2">
        <v>172.76669999999999</v>
      </c>
      <c r="M485" s="2" t="str">
        <f>IF(ESales_DB[[#This Row],[Total_Amount]]&gt;1000,"High","Low")</f>
        <v>Low</v>
      </c>
      <c r="N485" s="2" t="str">
        <f>VLOOKUP(ESales_DB[[#This Row],[Customer_ID]],Ecustom_DB[],3,FALSE)</f>
        <v>Kristine Higgins</v>
      </c>
      <c r="O485" s="2" t="str">
        <f>_xlfn.XLOOKUP(ESales_DB[[#This Row],[Product_ID]],Eproduct_DB[Product_ID],Eproduct_DB[Category])</f>
        <v>Sports</v>
      </c>
      <c r="P485" s="2" t="str">
        <f>_xlfn.XLOOKUP(ESales_DB[[#This Row],[Product_ID]],Eproduct_DB[Product_ID],Eproduct_DB[Product_Name])</f>
        <v>Shin Guards – Adult</v>
      </c>
      <c r="Q485" s="2" t="str">
        <f>_xlfn.XLOOKUP(ESales_DB[[#This Row],[Store_ID]],Estore_DB[Store_ID],Estore_DB[Region])</f>
        <v>East</v>
      </c>
      <c r="R485" t="str">
        <f>VLOOKUP(ESales_DB[[#This Row],[Customer_ID]],Ecustom_DB[],10,FALSE)</f>
        <v>Silver</v>
      </c>
      <c r="S485" t="str">
        <f>IF(ESales_DB[[#This Row],[Quantity1]]&gt;3,"Bulk order","Normal order")</f>
        <v>Normal order</v>
      </c>
    </row>
    <row r="486" spans="1:19" x14ac:dyDescent="0.3">
      <c r="A486" t="s">
        <v>3259</v>
      </c>
      <c r="B486" s="4">
        <v>45686</v>
      </c>
      <c r="C486" s="4" t="str">
        <f>TEXT(ESales_DB[[#This Row],[Order_Date]],"mmm")</f>
        <v>Jan</v>
      </c>
      <c r="D486" t="s">
        <v>144</v>
      </c>
      <c r="E486" t="s">
        <v>1628</v>
      </c>
      <c r="F486" t="s">
        <v>1757</v>
      </c>
      <c r="G486">
        <v>3</v>
      </c>
      <c r="H486" s="10">
        <f>IF(ISBLANK(ESales_DB[[#This Row],[Quantity]]),AVERAGEIF(ESales_DB[Product_ID],ESales_DB[[#This Row],[Product_ID]],ESales_DB[Quantity]),ESales_DB[[#This Row],[Quantity]])</f>
        <v>3</v>
      </c>
      <c r="I486" s="2">
        <v>765.21</v>
      </c>
      <c r="J486">
        <v>0.14000000000000001</v>
      </c>
      <c r="K486" t="s">
        <v>1829</v>
      </c>
      <c r="L486" s="2">
        <v>1974.2418</v>
      </c>
      <c r="M486" s="2" t="str">
        <f>IF(ESales_DB[[#This Row],[Total_Amount]]&gt;1000,"High","Low")</f>
        <v>High</v>
      </c>
      <c r="N486" s="2" t="str">
        <f>VLOOKUP(ESales_DB[[#This Row],[Customer_ID]],Ecustom_DB[],3,FALSE)</f>
        <v>Thomas Phillips</v>
      </c>
      <c r="O486" s="2" t="str">
        <f>_xlfn.XLOOKUP(ESales_DB[[#This Row],[Product_ID]],Eproduct_DB[Product_ID],Eproduct_DB[Category])</f>
        <v>Electronics</v>
      </c>
      <c r="P486" s="2" t="str">
        <f>_xlfn.XLOOKUP(ESales_DB[[#This Row],[Product_ID]],Eproduct_DB[Product_ID],Eproduct_DB[Product_Name])</f>
        <v>Noise-Canceling Headphones</v>
      </c>
      <c r="Q486" s="2" t="str">
        <f>_xlfn.XLOOKUP(ESales_DB[[#This Row],[Store_ID]],Estore_DB[Store_ID],Estore_DB[Region])</f>
        <v>North</v>
      </c>
      <c r="R486" t="str">
        <f>VLOOKUP(ESales_DB[[#This Row],[Customer_ID]],Ecustom_DB[],10,FALSE)</f>
        <v>Gold</v>
      </c>
      <c r="S486" t="str">
        <f>IF(ESales_DB[[#This Row],[Quantity1]]&gt;3,"Bulk order","Normal order")</f>
        <v>Normal order</v>
      </c>
    </row>
    <row r="487" spans="1:19" x14ac:dyDescent="0.3">
      <c r="A487" t="s">
        <v>3260</v>
      </c>
      <c r="B487" s="4">
        <v>45472</v>
      </c>
      <c r="C487" s="4" t="str">
        <f>TEXT(ESales_DB[[#This Row],[Order_Date]],"mmm")</f>
        <v>Jun</v>
      </c>
      <c r="D487" t="s">
        <v>779</v>
      </c>
      <c r="E487" t="s">
        <v>1612</v>
      </c>
      <c r="F487" t="s">
        <v>1794</v>
      </c>
      <c r="G487">
        <v>4</v>
      </c>
      <c r="H487" s="10">
        <f>IF(ISBLANK(ESales_DB[[#This Row],[Quantity]]),AVERAGEIF(ESales_DB[Product_ID],ESales_DB[[#This Row],[Product_ID]],ESales_DB[Quantity]),ESales_DB[[#This Row],[Quantity]])</f>
        <v>4</v>
      </c>
      <c r="I487" s="2">
        <v>303.56</v>
      </c>
      <c r="J487">
        <v>0.2</v>
      </c>
      <c r="K487" t="s">
        <v>1829</v>
      </c>
      <c r="L487" s="2">
        <v>971.39200000000005</v>
      </c>
      <c r="M487" s="2" t="str">
        <f>IF(ESales_DB[[#This Row],[Total_Amount]]&gt;1000,"High","Low")</f>
        <v>Low</v>
      </c>
      <c r="N487" s="2" t="str">
        <f>VLOOKUP(ESales_DB[[#This Row],[Customer_ID]],Ecustom_DB[],3,FALSE)</f>
        <v>Brian Hammond</v>
      </c>
      <c r="O487" s="2" t="str">
        <f>_xlfn.XLOOKUP(ESales_DB[[#This Row],[Product_ID]],Eproduct_DB[Product_ID],Eproduct_DB[Category])</f>
        <v>Beauty</v>
      </c>
      <c r="P487" s="2" t="str">
        <f>_xlfn.XLOOKUP(ESales_DB[[#This Row],[Product_ID]],Eproduct_DB[Product_ID],Eproduct_DB[Product_Name])</f>
        <v>Vitamin C Face Serum</v>
      </c>
      <c r="Q487" s="2" t="str">
        <f>_xlfn.XLOOKUP(ESales_DB[[#This Row],[Store_ID]],Estore_DB[Store_ID],Estore_DB[Region])</f>
        <v>North</v>
      </c>
      <c r="R487" t="str">
        <f>VLOOKUP(ESales_DB[[#This Row],[Customer_ID]],Ecustom_DB[],10,FALSE)</f>
        <v>Gold</v>
      </c>
      <c r="S487" t="str">
        <f>IF(ESales_DB[[#This Row],[Quantity1]]&gt;3,"Bulk order","Normal order")</f>
        <v>Bulk order</v>
      </c>
    </row>
    <row r="488" spans="1:19" x14ac:dyDescent="0.3">
      <c r="A488" t="s">
        <v>3261</v>
      </c>
      <c r="B488" s="4">
        <v>45779</v>
      </c>
      <c r="C488" s="4" t="str">
        <f>TEXT(ESales_DB[[#This Row],[Order_Date]],"mmm")</f>
        <v>May</v>
      </c>
      <c r="D488" t="s">
        <v>1371</v>
      </c>
      <c r="E488" t="s">
        <v>1602</v>
      </c>
      <c r="F488" t="s">
        <v>1752</v>
      </c>
      <c r="G488">
        <v>1</v>
      </c>
      <c r="H488" s="10">
        <f>IF(ISBLANK(ESales_DB[[#This Row],[Quantity]]),AVERAGEIF(ESales_DB[Product_ID],ESales_DB[[#This Row],[Product_ID]],ESales_DB[Quantity]),ESales_DB[[#This Row],[Quantity]])</f>
        <v>1</v>
      </c>
      <c r="I488" s="2">
        <v>640.92999999999995</v>
      </c>
      <c r="J488">
        <v>0.19</v>
      </c>
      <c r="K488" t="s">
        <v>1826</v>
      </c>
      <c r="L488" s="2">
        <v>519.15329999999994</v>
      </c>
      <c r="M488" s="2" t="str">
        <f>IF(ESales_DB[[#This Row],[Total_Amount]]&gt;1000,"High","Low")</f>
        <v>Low</v>
      </c>
      <c r="N488" s="2" t="str">
        <f>VLOOKUP(ESales_DB[[#This Row],[Customer_ID]],Ecustom_DB[],3,FALSE)</f>
        <v>Adam Castro</v>
      </c>
      <c r="O488" s="2" t="str">
        <f>_xlfn.XLOOKUP(ESales_DB[[#This Row],[Product_ID]],Eproduct_DB[Product_ID],Eproduct_DB[Category])</f>
        <v>Home</v>
      </c>
      <c r="P488" s="2" t="str">
        <f>_xlfn.XLOOKUP(ESales_DB[[#This Row],[Product_ID]],Eproduct_DB[Product_ID],Eproduct_DB[Product_Name])</f>
        <v>Decorative Floor Vase</v>
      </c>
      <c r="Q488" s="2" t="str">
        <f>_xlfn.XLOOKUP(ESales_DB[[#This Row],[Store_ID]],Estore_DB[Store_ID],Estore_DB[Region])</f>
        <v>East</v>
      </c>
      <c r="R488" t="str">
        <f>VLOOKUP(ESales_DB[[#This Row],[Customer_ID]],Ecustom_DB[],10,FALSE)</f>
        <v>Silver</v>
      </c>
      <c r="S488" t="str">
        <f>IF(ESales_DB[[#This Row],[Quantity1]]&gt;3,"Bulk order","Normal order")</f>
        <v>Normal order</v>
      </c>
    </row>
    <row r="489" spans="1:19" x14ac:dyDescent="0.3">
      <c r="A489" t="s">
        <v>3262</v>
      </c>
      <c r="B489" s="4">
        <v>45830</v>
      </c>
      <c r="C489" s="4" t="str">
        <f>TEXT(ESales_DB[[#This Row],[Order_Date]],"mmm")</f>
        <v>Jun</v>
      </c>
      <c r="D489" t="s">
        <v>576</v>
      </c>
      <c r="E489" t="s">
        <v>1720</v>
      </c>
      <c r="F489" t="s">
        <v>1789</v>
      </c>
      <c r="G489">
        <v>2</v>
      </c>
      <c r="H489" s="10">
        <f>IF(ISBLANK(ESales_DB[[#This Row],[Quantity]]),AVERAGEIF(ESales_DB[Product_ID],ESales_DB[[#This Row],[Product_ID]],ESales_DB[Quantity]),ESales_DB[[#This Row],[Quantity]])</f>
        <v>2</v>
      </c>
      <c r="I489" s="2">
        <v>611.25</v>
      </c>
      <c r="J489">
        <v>0.22</v>
      </c>
      <c r="K489" t="s">
        <v>1824</v>
      </c>
      <c r="L489" s="2">
        <v>953.55000000000007</v>
      </c>
      <c r="M489" s="2" t="str">
        <f>IF(ESales_DB[[#This Row],[Total_Amount]]&gt;1000,"High","Low")</f>
        <v>Low</v>
      </c>
      <c r="N489" s="2" t="str">
        <f>VLOOKUP(ESales_DB[[#This Row],[Customer_ID]],Ecustom_DB[],3,FALSE)</f>
        <v>Maria Davis</v>
      </c>
      <c r="O489" s="2" t="str">
        <f>_xlfn.XLOOKUP(ESales_DB[[#This Row],[Product_ID]],Eproduct_DB[Product_ID],Eproduct_DB[Category])</f>
        <v>Home</v>
      </c>
      <c r="P489" s="2" t="str">
        <f>_xlfn.XLOOKUP(ESales_DB[[#This Row],[Product_ID]],Eproduct_DB[Product_ID],Eproduct_DB[Product_Name])</f>
        <v>Kitchen Cutting Board</v>
      </c>
      <c r="Q489" s="2" t="str">
        <f>_xlfn.XLOOKUP(ESales_DB[[#This Row],[Store_ID]],Estore_DB[Store_ID],Estore_DB[Region])</f>
        <v>East</v>
      </c>
      <c r="R489" t="str">
        <f>VLOOKUP(ESales_DB[[#This Row],[Customer_ID]],Ecustom_DB[],10,FALSE)</f>
        <v>Gold</v>
      </c>
      <c r="S489" t="str">
        <f>IF(ESales_DB[[#This Row],[Quantity1]]&gt;3,"Bulk order","Normal order")</f>
        <v>Normal order</v>
      </c>
    </row>
    <row r="490" spans="1:19" x14ac:dyDescent="0.3">
      <c r="A490" t="s">
        <v>3263</v>
      </c>
      <c r="B490" s="4">
        <v>45756</v>
      </c>
      <c r="C490" s="4" t="str">
        <f>TEXT(ESales_DB[[#This Row],[Order_Date]],"mmm")</f>
        <v>Apr</v>
      </c>
      <c r="D490" t="s">
        <v>1422</v>
      </c>
      <c r="E490" t="s">
        <v>1680</v>
      </c>
      <c r="F490" t="s">
        <v>1757</v>
      </c>
      <c r="G490">
        <v>1</v>
      </c>
      <c r="H490" s="10">
        <f>IF(ISBLANK(ESales_DB[[#This Row],[Quantity]]),AVERAGEIF(ESales_DB[Product_ID],ESales_DB[[#This Row],[Product_ID]],ESales_DB[Quantity]),ESales_DB[[#This Row],[Quantity]])</f>
        <v>1</v>
      </c>
      <c r="I490" s="2">
        <v>209.93</v>
      </c>
      <c r="J490">
        <v>0.21</v>
      </c>
      <c r="K490" t="s">
        <v>1824</v>
      </c>
      <c r="L490" s="2">
        <v>165.84469999999999</v>
      </c>
      <c r="M490" s="2" t="str">
        <f>IF(ESales_DB[[#This Row],[Total_Amount]]&gt;1000,"High","Low")</f>
        <v>Low</v>
      </c>
      <c r="N490" s="2" t="str">
        <f>VLOOKUP(ESales_DB[[#This Row],[Customer_ID]],Ecustom_DB[],3,FALSE)</f>
        <v>Paul Cox</v>
      </c>
      <c r="O490" s="2" t="str">
        <f>_xlfn.XLOOKUP(ESales_DB[[#This Row],[Product_ID]],Eproduct_DB[Product_ID],Eproduct_DB[Category])</f>
        <v>Beauty</v>
      </c>
      <c r="P490" s="2" t="str">
        <f>_xlfn.XLOOKUP(ESales_DB[[#This Row],[Product_ID]],Eproduct_DB[Product_ID],Eproduct_DB[Product_Name])</f>
        <v>Women's Hair Dryer Brush</v>
      </c>
      <c r="Q490" s="2" t="str">
        <f>_xlfn.XLOOKUP(ESales_DB[[#This Row],[Store_ID]],Estore_DB[Store_ID],Estore_DB[Region])</f>
        <v>North</v>
      </c>
      <c r="R490" t="str">
        <f>VLOOKUP(ESales_DB[[#This Row],[Customer_ID]],Ecustom_DB[],10,FALSE)</f>
        <v>Silver</v>
      </c>
      <c r="S490" t="str">
        <f>IF(ESales_DB[[#This Row],[Quantity1]]&gt;3,"Bulk order","Normal order")</f>
        <v>Normal order</v>
      </c>
    </row>
    <row r="491" spans="1:19" x14ac:dyDescent="0.3">
      <c r="A491" t="s">
        <v>3264</v>
      </c>
      <c r="B491" s="4">
        <v>45847</v>
      </c>
      <c r="C491" s="4" t="str">
        <f>TEXT(ESales_DB[[#This Row],[Order_Date]],"mmm")</f>
        <v>Jul</v>
      </c>
      <c r="D491" t="s">
        <v>387</v>
      </c>
      <c r="E491" t="s">
        <v>1746</v>
      </c>
      <c r="F491" t="s">
        <v>1789</v>
      </c>
      <c r="G491">
        <v>3</v>
      </c>
      <c r="H491" s="10">
        <f>IF(ISBLANK(ESales_DB[[#This Row],[Quantity]]),AVERAGEIF(ESales_DB[Product_ID],ESales_DB[[#This Row],[Product_ID]],ESales_DB[Quantity]),ESales_DB[[#This Row],[Quantity]])</f>
        <v>3</v>
      </c>
      <c r="I491" s="2">
        <v>130.38999999999999</v>
      </c>
      <c r="J491">
        <v>0.24</v>
      </c>
      <c r="K491" t="s">
        <v>1826</v>
      </c>
      <c r="L491" s="2">
        <v>297.28919999999999</v>
      </c>
      <c r="M491" s="2" t="str">
        <f>IF(ESales_DB[[#This Row],[Total_Amount]]&gt;1000,"High","Low")</f>
        <v>Low</v>
      </c>
      <c r="N491" s="2" t="str">
        <f>VLOOKUP(ESales_DB[[#This Row],[Customer_ID]],Ecustom_DB[],3,FALSE)</f>
        <v>Ashley Griffin</v>
      </c>
      <c r="O491" s="2" t="str">
        <f>_xlfn.XLOOKUP(ESales_DB[[#This Row],[Product_ID]],Eproduct_DB[Product_ID],Eproduct_DB[Category])</f>
        <v>Home</v>
      </c>
      <c r="P491" s="2" t="str">
        <f>_xlfn.XLOOKUP(ESales_DB[[#This Row],[Product_ID]],Eproduct_DB[Product_ID],Eproduct_DB[Product_Name])</f>
        <v>Stainless Steel Cookware Set</v>
      </c>
      <c r="Q491" s="2" t="str">
        <f>_xlfn.XLOOKUP(ESales_DB[[#This Row],[Store_ID]],Estore_DB[Store_ID],Estore_DB[Region])</f>
        <v>East</v>
      </c>
      <c r="R491" t="str">
        <f>VLOOKUP(ESales_DB[[#This Row],[Customer_ID]],Ecustom_DB[],10,FALSE)</f>
        <v>Gold</v>
      </c>
      <c r="S491" t="str">
        <f>IF(ESales_DB[[#This Row],[Quantity1]]&gt;3,"Bulk order","Normal order")</f>
        <v>Normal order</v>
      </c>
    </row>
    <row r="492" spans="1:19" x14ac:dyDescent="0.3">
      <c r="A492" t="s">
        <v>3265</v>
      </c>
      <c r="B492" s="4">
        <v>45322</v>
      </c>
      <c r="C492" s="4" t="str">
        <f>TEXT(ESales_DB[[#This Row],[Order_Date]],"mmm")</f>
        <v>Jan</v>
      </c>
      <c r="D492" t="s">
        <v>923</v>
      </c>
      <c r="E492" t="s">
        <v>1734</v>
      </c>
      <c r="F492" t="s">
        <v>1779</v>
      </c>
      <c r="G492">
        <v>2</v>
      </c>
      <c r="H492" s="10">
        <f>IF(ISBLANK(ESales_DB[[#This Row],[Quantity]]),AVERAGEIF(ESales_DB[Product_ID],ESales_DB[[#This Row],[Product_ID]],ESales_DB[Quantity]),ESales_DB[[#This Row],[Quantity]])</f>
        <v>2</v>
      </c>
      <c r="I492" s="2">
        <v>846.18</v>
      </c>
      <c r="J492">
        <v>0.1</v>
      </c>
      <c r="K492" t="s">
        <v>1829</v>
      </c>
      <c r="L492" s="2">
        <v>1523.124</v>
      </c>
      <c r="M492" s="2" t="str">
        <f>IF(ESales_DB[[#This Row],[Total_Amount]]&gt;1000,"High","Low")</f>
        <v>High</v>
      </c>
      <c r="N492" s="2" t="str">
        <f>VLOOKUP(ESales_DB[[#This Row],[Customer_ID]],Ecustom_DB[],3,FALSE)</f>
        <v>James Powell</v>
      </c>
      <c r="O492" s="2" t="str">
        <f>_xlfn.XLOOKUP(ESales_DB[[#This Row],[Product_ID]],Eproduct_DB[Product_ID],Eproduct_DB[Category])</f>
        <v>Electronics</v>
      </c>
      <c r="P492" s="2" t="str">
        <f>_xlfn.XLOOKUP(ESales_DB[[#This Row],[Product_ID]],Eproduct_DB[Product_ID],Eproduct_DB[Product_Name])</f>
        <v>USB-C Laptop Charger</v>
      </c>
      <c r="Q492" s="2" t="str">
        <f>_xlfn.XLOOKUP(ESales_DB[[#This Row],[Store_ID]],Estore_DB[Store_ID],Estore_DB[Region])</f>
        <v>South</v>
      </c>
      <c r="R492" t="str">
        <f>VLOOKUP(ESales_DB[[#This Row],[Customer_ID]],Ecustom_DB[],10,FALSE)</f>
        <v>Bronze</v>
      </c>
      <c r="S492" t="str">
        <f>IF(ESales_DB[[#This Row],[Quantity1]]&gt;3,"Bulk order","Normal order")</f>
        <v>Normal order</v>
      </c>
    </row>
    <row r="493" spans="1:19" x14ac:dyDescent="0.3">
      <c r="A493" t="s">
        <v>1970</v>
      </c>
      <c r="B493" s="4">
        <v>45448</v>
      </c>
      <c r="C493" s="4" t="str">
        <f>TEXT(ESales_DB[[#This Row],[Order_Date]],"mmm")</f>
        <v>Jun</v>
      </c>
      <c r="D493" t="s">
        <v>1349</v>
      </c>
      <c r="E493" t="s">
        <v>1620</v>
      </c>
      <c r="F493" t="s">
        <v>1782</v>
      </c>
      <c r="G493">
        <v>3</v>
      </c>
      <c r="H493" s="10">
        <f>IF(ISBLANK(ESales_DB[[#This Row],[Quantity]]),AVERAGEIF(ESales_DB[Product_ID],ESales_DB[[#This Row],[Product_ID]],ESales_DB[Quantity]),ESales_DB[[#This Row],[Quantity]])</f>
        <v>3</v>
      </c>
      <c r="I493" s="2">
        <v>237.24</v>
      </c>
      <c r="J493">
        <v>0.24</v>
      </c>
      <c r="K493" t="s">
        <v>1826</v>
      </c>
      <c r="L493" s="2">
        <v>540.90719999999999</v>
      </c>
      <c r="M493" s="2" t="str">
        <f>IF(ESales_DB[[#This Row],[Total_Amount]]&gt;1000,"High","Low")</f>
        <v>Low</v>
      </c>
      <c r="N493" s="2" t="str">
        <f>VLOOKUP(ESales_DB[[#This Row],[Customer_ID]],Ecustom_DB[],3,FALSE)</f>
        <v>Lindsay Beasley</v>
      </c>
      <c r="O493" s="2" t="str">
        <f>_xlfn.XLOOKUP(ESales_DB[[#This Row],[Product_ID]],Eproduct_DB[Product_ID],Eproduct_DB[Category])</f>
        <v>Clothing</v>
      </c>
      <c r="P493" s="2" t="str">
        <f>_xlfn.XLOOKUP(ESales_DB[[#This Row],[Product_ID]],Eproduct_DB[Product_ID],Eproduct_DB[Product_Name])</f>
        <v>Women's Summer Dress</v>
      </c>
      <c r="Q493" s="2" t="str">
        <f>_xlfn.XLOOKUP(ESales_DB[[#This Row],[Store_ID]],Estore_DB[Store_ID],Estore_DB[Region])</f>
        <v>West</v>
      </c>
      <c r="R493" t="str">
        <f>VLOOKUP(ESales_DB[[#This Row],[Customer_ID]],Ecustom_DB[],10,FALSE)</f>
        <v>Silver</v>
      </c>
      <c r="S493" t="str">
        <f>IF(ESales_DB[[#This Row],[Quantity1]]&gt;3,"Bulk order","Normal order")</f>
        <v>Normal order</v>
      </c>
    </row>
    <row r="494" spans="1:19" x14ac:dyDescent="0.3">
      <c r="A494" t="s">
        <v>3266</v>
      </c>
      <c r="B494" s="4">
        <v>45829</v>
      </c>
      <c r="C494" s="4" t="str">
        <f>TEXT(ESales_DB[[#This Row],[Order_Date]],"mmm")</f>
        <v>Jun</v>
      </c>
      <c r="D494" t="s">
        <v>1109</v>
      </c>
      <c r="E494" t="s">
        <v>1688</v>
      </c>
      <c r="F494" t="s">
        <v>1799</v>
      </c>
      <c r="G494">
        <v>2</v>
      </c>
      <c r="H494" s="10">
        <f>IF(ISBLANK(ESales_DB[[#This Row],[Quantity]]),AVERAGEIF(ESales_DB[Product_ID],ESales_DB[[#This Row],[Product_ID]],ESales_DB[Quantity]),ESales_DB[[#This Row],[Quantity]])</f>
        <v>2</v>
      </c>
      <c r="I494" s="2">
        <v>424.53</v>
      </c>
      <c r="J494">
        <v>0.14000000000000001</v>
      </c>
      <c r="K494" t="s">
        <v>1829</v>
      </c>
      <c r="L494" s="2">
        <v>730.19159999999999</v>
      </c>
      <c r="M494" s="2" t="str">
        <f>IF(ESales_DB[[#This Row],[Total_Amount]]&gt;1000,"High","Low")</f>
        <v>Low</v>
      </c>
      <c r="N494" s="2" t="str">
        <f>VLOOKUP(ESales_DB[[#This Row],[Customer_ID]],Ecustom_DB[],3,FALSE)</f>
        <v>Ryan Torres</v>
      </c>
      <c r="O494" s="2" t="str">
        <f>_xlfn.XLOOKUP(ESales_DB[[#This Row],[Product_ID]],Eproduct_DB[Product_ID],Eproduct_DB[Category])</f>
        <v>Home</v>
      </c>
      <c r="P494" s="2" t="str">
        <f>_xlfn.XLOOKUP(ESales_DB[[#This Row],[Product_ID]],Eproduct_DB[Product_ID],Eproduct_DB[Product_Name])</f>
        <v>Kitchen Storage Rack</v>
      </c>
      <c r="Q494" s="2" t="str">
        <f>_xlfn.XLOOKUP(ESales_DB[[#This Row],[Store_ID]],Estore_DB[Store_ID],Estore_DB[Region])</f>
        <v>South</v>
      </c>
      <c r="R494" t="str">
        <f>VLOOKUP(ESales_DB[[#This Row],[Customer_ID]],Ecustom_DB[],10,FALSE)</f>
        <v>Silver</v>
      </c>
      <c r="S494" t="str">
        <f>IF(ESales_DB[[#This Row],[Quantity1]]&gt;3,"Bulk order","Normal order")</f>
        <v>Normal order</v>
      </c>
    </row>
    <row r="495" spans="1:19" x14ac:dyDescent="0.3">
      <c r="A495" t="s">
        <v>3267</v>
      </c>
      <c r="B495" s="4">
        <v>45539</v>
      </c>
      <c r="C495" s="4" t="str">
        <f>TEXT(ESales_DB[[#This Row],[Order_Date]],"mmm")</f>
        <v>Sep</v>
      </c>
      <c r="D495" t="s">
        <v>824</v>
      </c>
      <c r="E495" t="s">
        <v>1724</v>
      </c>
      <c r="F495" t="s">
        <v>1799</v>
      </c>
      <c r="G495">
        <v>4</v>
      </c>
      <c r="H495" s="10">
        <f>IF(ISBLANK(ESales_DB[[#This Row],[Quantity]]),AVERAGEIF(ESales_DB[Product_ID],ESales_DB[[#This Row],[Product_ID]],ESales_DB[Quantity]),ESales_DB[[#This Row],[Quantity]])</f>
        <v>4</v>
      </c>
      <c r="I495" s="2">
        <v>450.42</v>
      </c>
      <c r="J495">
        <v>0.08</v>
      </c>
      <c r="K495" t="s">
        <v>1829</v>
      </c>
      <c r="L495" s="2">
        <v>1657.5455999999999</v>
      </c>
      <c r="M495" s="2" t="str">
        <f>IF(ESales_DB[[#This Row],[Total_Amount]]&gt;1000,"High","Low")</f>
        <v>High</v>
      </c>
      <c r="N495" s="2" t="str">
        <f>VLOOKUP(ESales_DB[[#This Row],[Customer_ID]],Ecustom_DB[],3,FALSE)</f>
        <v>Sarah Stewart</v>
      </c>
      <c r="O495" s="2" t="str">
        <f>_xlfn.XLOOKUP(ESales_DB[[#This Row],[Product_ID]],Eproduct_DB[Product_ID],Eproduct_DB[Category])</f>
        <v>Sports</v>
      </c>
      <c r="P495" s="2" t="str">
        <f>_xlfn.XLOOKUP(ESales_DB[[#This Row],[Product_ID]],Eproduct_DB[Product_ID],Eproduct_DB[Product_Name])</f>
        <v>Sports Wrist Sweatbands</v>
      </c>
      <c r="Q495" s="2" t="str">
        <f>_xlfn.XLOOKUP(ESales_DB[[#This Row],[Store_ID]],Estore_DB[Store_ID],Estore_DB[Region])</f>
        <v>South</v>
      </c>
      <c r="R495" t="str">
        <f>VLOOKUP(ESales_DB[[#This Row],[Customer_ID]],Ecustom_DB[],10,FALSE)</f>
        <v>Platinum</v>
      </c>
      <c r="S495" t="str">
        <f>IF(ESales_DB[[#This Row],[Quantity1]]&gt;3,"Bulk order","Normal order")</f>
        <v>Bulk order</v>
      </c>
    </row>
    <row r="496" spans="1:19" x14ac:dyDescent="0.3">
      <c r="A496" t="s">
        <v>3268</v>
      </c>
      <c r="B496" s="4">
        <v>45893</v>
      </c>
      <c r="C496" s="4" t="str">
        <f>TEXT(ESales_DB[[#This Row],[Order_Date]],"mmm")</f>
        <v>Aug</v>
      </c>
      <c r="D496" t="s">
        <v>523</v>
      </c>
      <c r="E496" t="s">
        <v>1600</v>
      </c>
      <c r="F496" t="s">
        <v>1786</v>
      </c>
      <c r="G496">
        <v>4</v>
      </c>
      <c r="H496" s="10">
        <f>IF(ISBLANK(ESales_DB[[#This Row],[Quantity]]),AVERAGEIF(ESales_DB[Product_ID],ESales_DB[[#This Row],[Product_ID]],ESales_DB[Quantity]),ESales_DB[[#This Row],[Quantity]])</f>
        <v>4</v>
      </c>
      <c r="I496" s="2">
        <v>896.91</v>
      </c>
      <c r="J496">
        <v>0.1</v>
      </c>
      <c r="K496" t="s">
        <v>1824</v>
      </c>
      <c r="L496" s="2">
        <v>3228.8760000000002</v>
      </c>
      <c r="M496" s="2" t="str">
        <f>IF(ESales_DB[[#This Row],[Total_Amount]]&gt;1000,"High","Low")</f>
        <v>High</v>
      </c>
      <c r="N496" s="2" t="str">
        <f>VLOOKUP(ESales_DB[[#This Row],[Customer_ID]],Ecustom_DB[],3,FALSE)</f>
        <v>Maria Sanchez</v>
      </c>
      <c r="O496" s="2" t="str">
        <f>_xlfn.XLOOKUP(ESales_DB[[#This Row],[Product_ID]],Eproduct_DB[Product_ID],Eproduct_DB[Category])</f>
        <v>Electronics</v>
      </c>
      <c r="P496" s="2" t="str">
        <f>_xlfn.XLOOKUP(ESales_DB[[#This Row],[Product_ID]],Eproduct_DB[Product_ID],Eproduct_DB[Product_Name])</f>
        <v>Wireless Bluetooth Speaker</v>
      </c>
      <c r="Q496" s="2" t="str">
        <f>_xlfn.XLOOKUP(ESales_DB[[#This Row],[Store_ID]],Estore_DB[Store_ID],Estore_DB[Region])</f>
        <v>South</v>
      </c>
      <c r="R496" t="str">
        <f>VLOOKUP(ESales_DB[[#This Row],[Customer_ID]],Ecustom_DB[],10,FALSE)</f>
        <v>Bronze</v>
      </c>
      <c r="S496" t="str">
        <f>IF(ESales_DB[[#This Row],[Quantity1]]&gt;3,"Bulk order","Normal order")</f>
        <v>Bulk order</v>
      </c>
    </row>
    <row r="497" spans="1:19" x14ac:dyDescent="0.3">
      <c r="A497" t="s">
        <v>3269</v>
      </c>
      <c r="B497" s="4">
        <v>45814</v>
      </c>
      <c r="C497" s="4" t="str">
        <f>TEXT(ESales_DB[[#This Row],[Order_Date]],"mmm")</f>
        <v>Jun</v>
      </c>
      <c r="D497" t="s">
        <v>1492</v>
      </c>
      <c r="E497" t="s">
        <v>1742</v>
      </c>
      <c r="F497" t="s">
        <v>1789</v>
      </c>
      <c r="G497">
        <v>3</v>
      </c>
      <c r="H497" s="10">
        <f>IF(ISBLANK(ESales_DB[[#This Row],[Quantity]]),AVERAGEIF(ESales_DB[Product_ID],ESales_DB[[#This Row],[Product_ID]],ESales_DB[Quantity]),ESales_DB[[#This Row],[Quantity]])</f>
        <v>3</v>
      </c>
      <c r="I497" s="2">
        <v>679.38</v>
      </c>
      <c r="J497">
        <v>0.3</v>
      </c>
      <c r="K497" t="s">
        <v>1829</v>
      </c>
      <c r="L497" s="2">
        <v>1426.6980000000001</v>
      </c>
      <c r="M497" s="2" t="str">
        <f>IF(ESales_DB[[#This Row],[Total_Amount]]&gt;1000,"High","Low")</f>
        <v>High</v>
      </c>
      <c r="N497" s="2" t="str">
        <f>VLOOKUP(ESales_DB[[#This Row],[Customer_ID]],Ecustom_DB[],3,FALSE)</f>
        <v>Sara Ingram</v>
      </c>
      <c r="O497" s="2" t="str">
        <f>_xlfn.XLOOKUP(ESales_DB[[#This Row],[Product_ID]],Eproduct_DB[Product_ID],Eproduct_DB[Category])</f>
        <v>Sports</v>
      </c>
      <c r="P497" s="2" t="str">
        <f>_xlfn.XLOOKUP(ESales_DB[[#This Row],[Product_ID]],Eproduct_DB[Product_ID],Eproduct_DB[Product_Name])</f>
        <v>Cricket Bat</v>
      </c>
      <c r="Q497" s="2" t="str">
        <f>_xlfn.XLOOKUP(ESales_DB[[#This Row],[Store_ID]],Estore_DB[Store_ID],Estore_DB[Region])</f>
        <v>East</v>
      </c>
      <c r="R497" t="str">
        <f>VLOOKUP(ESales_DB[[#This Row],[Customer_ID]],Ecustom_DB[],10,FALSE)</f>
        <v>Bronze</v>
      </c>
      <c r="S497" t="str">
        <f>IF(ESales_DB[[#This Row],[Quantity1]]&gt;3,"Bulk order","Normal order")</f>
        <v>Normal order</v>
      </c>
    </row>
    <row r="498" spans="1:19" x14ac:dyDescent="0.3">
      <c r="A498" t="s">
        <v>3270</v>
      </c>
      <c r="B498" s="4">
        <v>45571</v>
      </c>
      <c r="C498" s="4" t="str">
        <f>TEXT(ESales_DB[[#This Row],[Order_Date]],"mmm")</f>
        <v>Oct</v>
      </c>
      <c r="D498" t="s">
        <v>75</v>
      </c>
      <c r="E498" t="s">
        <v>1708</v>
      </c>
      <c r="F498" t="s">
        <v>1804</v>
      </c>
      <c r="G498">
        <v>3</v>
      </c>
      <c r="H498" s="10">
        <f>IF(ISBLANK(ESales_DB[[#This Row],[Quantity]]),AVERAGEIF(ESales_DB[Product_ID],ESales_DB[[#This Row],[Product_ID]],ESales_DB[Quantity]),ESales_DB[[#This Row],[Quantity]])</f>
        <v>3</v>
      </c>
      <c r="I498" s="2">
        <v>483.63</v>
      </c>
      <c r="J498">
        <v>0</v>
      </c>
      <c r="K498" t="s">
        <v>1824</v>
      </c>
      <c r="L498" s="2">
        <v>1450.89</v>
      </c>
      <c r="M498" s="2" t="str">
        <f>IF(ESales_DB[[#This Row],[Total_Amount]]&gt;1000,"High","Low")</f>
        <v>High</v>
      </c>
      <c r="N498" s="2" t="str">
        <f>VLOOKUP(ESales_DB[[#This Row],[Customer_ID]],Ecustom_DB[],3,FALSE)</f>
        <v>John Scott</v>
      </c>
      <c r="O498" s="2" t="str">
        <f>_xlfn.XLOOKUP(ESales_DB[[#This Row],[Product_ID]],Eproduct_DB[Product_ID],Eproduct_DB[Category])</f>
        <v>Home</v>
      </c>
      <c r="P498" s="2" t="str">
        <f>_xlfn.XLOOKUP(ESales_DB[[#This Row],[Product_ID]],Eproduct_DB[Product_ID],Eproduct_DB[Product_Name])</f>
        <v>Wall-Mounted Spice Rack</v>
      </c>
      <c r="Q498" s="2" t="str">
        <f>_xlfn.XLOOKUP(ESales_DB[[#This Row],[Store_ID]],Estore_DB[Store_ID],Estore_DB[Region])</f>
        <v>West</v>
      </c>
      <c r="R498" t="str">
        <f>VLOOKUP(ESales_DB[[#This Row],[Customer_ID]],Ecustom_DB[],10,FALSE)</f>
        <v>Bronze</v>
      </c>
      <c r="S498" t="str">
        <f>IF(ESales_DB[[#This Row],[Quantity1]]&gt;3,"Bulk order","Normal order")</f>
        <v>Normal order</v>
      </c>
    </row>
    <row r="499" spans="1:19" x14ac:dyDescent="0.3">
      <c r="A499" t="s">
        <v>3271</v>
      </c>
      <c r="B499" s="4">
        <v>45542</v>
      </c>
      <c r="C499" s="4" t="str">
        <f>TEXT(ESales_DB[[#This Row],[Order_Date]],"mmm")</f>
        <v>Sep</v>
      </c>
      <c r="D499" t="s">
        <v>124</v>
      </c>
      <c r="E499" t="s">
        <v>1626</v>
      </c>
      <c r="F499" t="s">
        <v>1752</v>
      </c>
      <c r="G499">
        <v>3</v>
      </c>
      <c r="H499" s="10">
        <f>IF(ISBLANK(ESales_DB[[#This Row],[Quantity]]),AVERAGEIF(ESales_DB[Product_ID],ESales_DB[[#This Row],[Product_ID]],ESales_DB[Quantity]),ESales_DB[[#This Row],[Quantity]])</f>
        <v>3</v>
      </c>
      <c r="I499" s="2">
        <v>158.27000000000001</v>
      </c>
      <c r="J499">
        <v>0.24</v>
      </c>
      <c r="K499" t="s">
        <v>1829</v>
      </c>
      <c r="L499" s="2">
        <v>360.85559999999998</v>
      </c>
      <c r="M499" s="2" t="str">
        <f>IF(ESales_DB[[#This Row],[Total_Amount]]&gt;1000,"High","Low")</f>
        <v>Low</v>
      </c>
      <c r="N499" s="2" t="str">
        <f>VLOOKUP(ESales_DB[[#This Row],[Customer_ID]],Ecustom_DB[],3,FALSE)</f>
        <v>Jessica Acevedo</v>
      </c>
      <c r="O499" s="2" t="str">
        <f>_xlfn.XLOOKUP(ESales_DB[[#This Row],[Product_ID]],Eproduct_DB[Product_ID],Eproduct_DB[Category])</f>
        <v>Electronics</v>
      </c>
      <c r="P499" s="2" t="str">
        <f>_xlfn.XLOOKUP(ESales_DB[[#This Row],[Product_ID]],Eproduct_DB[Product_ID],Eproduct_DB[Product_Name])</f>
        <v>Portable Power Bank</v>
      </c>
      <c r="Q499" s="2" t="str">
        <f>_xlfn.XLOOKUP(ESales_DB[[#This Row],[Store_ID]],Estore_DB[Store_ID],Estore_DB[Region])</f>
        <v>East</v>
      </c>
      <c r="R499" t="str">
        <f>VLOOKUP(ESales_DB[[#This Row],[Customer_ID]],Ecustom_DB[],10,FALSE)</f>
        <v>Bronze</v>
      </c>
      <c r="S499" t="str">
        <f>IF(ESales_DB[[#This Row],[Quantity1]]&gt;3,"Bulk order","Normal order")</f>
        <v>Normal order</v>
      </c>
    </row>
    <row r="500" spans="1:19" x14ac:dyDescent="0.3">
      <c r="A500" t="s">
        <v>3272</v>
      </c>
      <c r="B500" s="4">
        <v>45758</v>
      </c>
      <c r="C500" s="4" t="str">
        <f>TEXT(ESales_DB[[#This Row],[Order_Date]],"mmm")</f>
        <v>Apr</v>
      </c>
      <c r="D500" t="s">
        <v>402</v>
      </c>
      <c r="E500" t="s">
        <v>1549</v>
      </c>
      <c r="F500" t="s">
        <v>1801</v>
      </c>
      <c r="G500">
        <v>4</v>
      </c>
      <c r="H500" s="10">
        <f>IF(ISBLANK(ESales_DB[[#This Row],[Quantity]]),AVERAGEIF(ESales_DB[Product_ID],ESales_DB[[#This Row],[Product_ID]],ESales_DB[Quantity]),ESales_DB[[#This Row],[Quantity]])</f>
        <v>4</v>
      </c>
      <c r="I500" s="2">
        <v>601.5</v>
      </c>
      <c r="J500">
        <v>0.18</v>
      </c>
      <c r="K500" t="s">
        <v>1824</v>
      </c>
      <c r="L500" s="2">
        <v>1972.92</v>
      </c>
      <c r="M500" s="2" t="str">
        <f>IF(ESales_DB[[#This Row],[Total_Amount]]&gt;1000,"High","Low")</f>
        <v>High</v>
      </c>
      <c r="N500" s="2" t="str">
        <f>VLOOKUP(ESales_DB[[#This Row],[Customer_ID]],Ecustom_DB[],3,FALSE)</f>
        <v>Tyler Conrad</v>
      </c>
      <c r="O500" s="2" t="str">
        <f>_xlfn.XLOOKUP(ESales_DB[[#This Row],[Product_ID]],Eproduct_DB[Product_ID],Eproduct_DB[Category])</f>
        <v>Clothing</v>
      </c>
      <c r="P500" s="2" t="str">
        <f>_xlfn.XLOOKUP(ESales_DB[[#This Row],[Product_ID]],Eproduct_DB[Product_ID],Eproduct_DB[Product_Name])</f>
        <v>Women's Casual Hoodie</v>
      </c>
      <c r="Q500" s="2" t="str">
        <f>_xlfn.XLOOKUP(ESales_DB[[#This Row],[Store_ID]],Estore_DB[Store_ID],Estore_DB[Region])</f>
        <v>North</v>
      </c>
      <c r="R500" t="str">
        <f>VLOOKUP(ESales_DB[[#This Row],[Customer_ID]],Ecustom_DB[],10,FALSE)</f>
        <v>Platinum</v>
      </c>
      <c r="S500" t="str">
        <f>IF(ESales_DB[[#This Row],[Quantity1]]&gt;3,"Bulk order","Normal order")</f>
        <v>Bulk order</v>
      </c>
    </row>
    <row r="501" spans="1:19" x14ac:dyDescent="0.3">
      <c r="A501" t="s">
        <v>3273</v>
      </c>
      <c r="B501" s="4">
        <v>45709</v>
      </c>
      <c r="C501" s="4" t="str">
        <f>TEXT(ESales_DB[[#This Row],[Order_Date]],"mmm")</f>
        <v>Feb</v>
      </c>
      <c r="D501" t="s">
        <v>255</v>
      </c>
      <c r="E501" t="s">
        <v>1610</v>
      </c>
      <c r="F501" t="s">
        <v>1810</v>
      </c>
      <c r="G501">
        <v>2</v>
      </c>
      <c r="H501" s="10">
        <f>IF(ISBLANK(ESales_DB[[#This Row],[Quantity]]),AVERAGEIF(ESales_DB[Product_ID],ESales_DB[[#This Row],[Product_ID]],ESales_DB[Quantity]),ESales_DB[[#This Row],[Quantity]])</f>
        <v>2</v>
      </c>
      <c r="I501" s="2">
        <v>46.39</v>
      </c>
      <c r="J501">
        <v>7.0000000000000007E-2</v>
      </c>
      <c r="K501" t="s">
        <v>1824</v>
      </c>
      <c r="L501" s="2">
        <v>86.285399999999996</v>
      </c>
      <c r="M501" s="2" t="str">
        <f>IF(ESales_DB[[#This Row],[Total_Amount]]&gt;1000,"High","Low")</f>
        <v>Low</v>
      </c>
      <c r="N501" s="2" t="str">
        <f>VLOOKUP(ESales_DB[[#This Row],[Customer_ID]],Ecustom_DB[],3,FALSE)</f>
        <v>Roy Cole</v>
      </c>
      <c r="O501" s="2" t="str">
        <f>_xlfn.XLOOKUP(ESales_DB[[#This Row],[Product_ID]],Eproduct_DB[Product_ID],Eproduct_DB[Category])</f>
        <v>Sports</v>
      </c>
      <c r="P501" s="2" t="str">
        <f>_xlfn.XLOOKUP(ESales_DB[[#This Row],[Product_ID]],Eproduct_DB[Product_ID],Eproduct_DB[Product_Name])</f>
        <v>Basketball</v>
      </c>
      <c r="Q501" s="2" t="str">
        <f>_xlfn.XLOOKUP(ESales_DB[[#This Row],[Store_ID]],Estore_DB[Store_ID],Estore_DB[Region])</f>
        <v>East</v>
      </c>
      <c r="R501" t="str">
        <f>VLOOKUP(ESales_DB[[#This Row],[Customer_ID]],Ecustom_DB[],10,FALSE)</f>
        <v>Platinum</v>
      </c>
      <c r="S501" t="str">
        <f>IF(ESales_DB[[#This Row],[Quantity1]]&gt;3,"Bulk order","Normal order")</f>
        <v>Normal order</v>
      </c>
    </row>
    <row r="502" spans="1:19" x14ac:dyDescent="0.3">
      <c r="A502" t="s">
        <v>3274</v>
      </c>
      <c r="B502" s="4">
        <v>45587</v>
      </c>
      <c r="C502" s="4" t="str">
        <f>TEXT(ESales_DB[[#This Row],[Order_Date]],"mmm")</f>
        <v>Oct</v>
      </c>
      <c r="D502" t="s">
        <v>414</v>
      </c>
      <c r="E502" t="s">
        <v>1712</v>
      </c>
      <c r="F502" t="s">
        <v>1782</v>
      </c>
      <c r="G502">
        <v>4</v>
      </c>
      <c r="H502" s="10">
        <f>IF(ISBLANK(ESales_DB[[#This Row],[Quantity]]),AVERAGEIF(ESales_DB[Product_ID],ESales_DB[[#This Row],[Product_ID]],ESales_DB[Quantity]),ESales_DB[[#This Row],[Quantity]])</f>
        <v>4</v>
      </c>
      <c r="I502" s="2">
        <v>892.28</v>
      </c>
      <c r="J502">
        <v>0.23</v>
      </c>
      <c r="K502" t="s">
        <v>1824</v>
      </c>
      <c r="L502" s="2">
        <v>2748.2224000000001</v>
      </c>
      <c r="M502" s="2" t="str">
        <f>IF(ESales_DB[[#This Row],[Total_Amount]]&gt;1000,"High","Low")</f>
        <v>High</v>
      </c>
      <c r="N502" s="2" t="str">
        <f>VLOOKUP(ESales_DB[[#This Row],[Customer_ID]],Ecustom_DB[],3,FALSE)</f>
        <v>Michael Jones</v>
      </c>
      <c r="O502" s="2" t="str">
        <f>_xlfn.XLOOKUP(ESales_DB[[#This Row],[Product_ID]],Eproduct_DB[Product_ID],Eproduct_DB[Category])</f>
        <v>Sports</v>
      </c>
      <c r="P502" s="2" t="str">
        <f>_xlfn.XLOOKUP(ESales_DB[[#This Row],[Product_ID]],Eproduct_DB[Product_ID],Eproduct_DB[Product_Name])</f>
        <v>Fitness Resistance Bands</v>
      </c>
      <c r="Q502" s="2" t="str">
        <f>_xlfn.XLOOKUP(ESales_DB[[#This Row],[Store_ID]],Estore_DB[Store_ID],Estore_DB[Region])</f>
        <v>West</v>
      </c>
      <c r="R502" t="str">
        <f>VLOOKUP(ESales_DB[[#This Row],[Customer_ID]],Ecustom_DB[],10,FALSE)</f>
        <v>Bronze</v>
      </c>
      <c r="S502" t="str">
        <f>IF(ESales_DB[[#This Row],[Quantity1]]&gt;3,"Bulk order","Normal order")</f>
        <v>Bulk order</v>
      </c>
    </row>
    <row r="503" spans="1:19" x14ac:dyDescent="0.3">
      <c r="A503" t="s">
        <v>3275</v>
      </c>
      <c r="B503" s="4">
        <v>45494</v>
      </c>
      <c r="C503" s="4" t="str">
        <f>TEXT(ESales_DB[[#This Row],[Order_Date]],"mmm")</f>
        <v>Jul</v>
      </c>
      <c r="D503" t="s">
        <v>716</v>
      </c>
      <c r="E503" t="s">
        <v>1568</v>
      </c>
      <c r="F503" t="s">
        <v>1779</v>
      </c>
      <c r="G503">
        <v>2</v>
      </c>
      <c r="H503" s="10">
        <f>IF(ISBLANK(ESales_DB[[#This Row],[Quantity]]),AVERAGEIF(ESales_DB[Product_ID],ESales_DB[[#This Row],[Product_ID]],ESales_DB[Quantity]),ESales_DB[[#This Row],[Quantity]])</f>
        <v>2</v>
      </c>
      <c r="I503" s="2">
        <v>164.23</v>
      </c>
      <c r="J503">
        <v>0.17</v>
      </c>
      <c r="K503" t="s">
        <v>1824</v>
      </c>
      <c r="L503" s="2">
        <v>272.62180000000001</v>
      </c>
      <c r="M503" s="2" t="str">
        <f>IF(ESales_DB[[#This Row],[Total_Amount]]&gt;1000,"High","Low")</f>
        <v>Low</v>
      </c>
      <c r="N503" s="2" t="str">
        <f>VLOOKUP(ESales_DB[[#This Row],[Customer_ID]],Ecustom_DB[],3,FALSE)</f>
        <v>Lisa Young</v>
      </c>
      <c r="O503" s="2" t="str">
        <f>_xlfn.XLOOKUP(ESales_DB[[#This Row],[Product_ID]],Eproduct_DB[Product_ID],Eproduct_DB[Category])</f>
        <v>Home</v>
      </c>
      <c r="P503" s="2" t="str">
        <f>_xlfn.XLOOKUP(ESales_DB[[#This Row],[Product_ID]],Eproduct_DB[Product_ID],Eproduct_DB[Product_Name])</f>
        <v>Ceramic Kitchen Bowl Set</v>
      </c>
      <c r="Q503" s="2" t="str">
        <f>_xlfn.XLOOKUP(ESales_DB[[#This Row],[Store_ID]],Estore_DB[Store_ID],Estore_DB[Region])</f>
        <v>South</v>
      </c>
      <c r="R503" t="str">
        <f>VLOOKUP(ESales_DB[[#This Row],[Customer_ID]],Ecustom_DB[],10,FALSE)</f>
        <v>Platinum</v>
      </c>
      <c r="S503" t="str">
        <f>IF(ESales_DB[[#This Row],[Quantity1]]&gt;3,"Bulk order","Normal order")</f>
        <v>Normal order</v>
      </c>
    </row>
    <row r="504" spans="1:19" x14ac:dyDescent="0.3">
      <c r="A504" t="s">
        <v>1971</v>
      </c>
      <c r="B504" s="4">
        <v>45522</v>
      </c>
      <c r="C504" s="4" t="str">
        <f>TEXT(ESales_DB[[#This Row],[Order_Date]],"mmm")</f>
        <v>Aug</v>
      </c>
      <c r="D504" t="s">
        <v>1417</v>
      </c>
      <c r="E504" t="s">
        <v>1656</v>
      </c>
      <c r="F504" t="s">
        <v>1801</v>
      </c>
      <c r="G504">
        <v>2</v>
      </c>
      <c r="H504" s="10">
        <f>IF(ISBLANK(ESales_DB[[#This Row],[Quantity]]),AVERAGEIF(ESales_DB[Product_ID],ESales_DB[[#This Row],[Product_ID]],ESales_DB[Quantity]),ESales_DB[[#This Row],[Quantity]])</f>
        <v>2</v>
      </c>
      <c r="I504" s="2">
        <v>536.84</v>
      </c>
      <c r="J504">
        <v>0.09</v>
      </c>
      <c r="K504" t="s">
        <v>1829</v>
      </c>
      <c r="L504" s="2">
        <v>977.04880000000014</v>
      </c>
      <c r="M504" s="2" t="str">
        <f>IF(ESales_DB[[#This Row],[Total_Amount]]&gt;1000,"High","Low")</f>
        <v>Low</v>
      </c>
      <c r="N504" s="2" t="str">
        <f>VLOOKUP(ESales_DB[[#This Row],[Customer_ID]],Ecustom_DB[],3,FALSE)</f>
        <v>John Perez</v>
      </c>
      <c r="O504" s="2" t="str">
        <f>_xlfn.XLOOKUP(ESales_DB[[#This Row],[Product_ID]],Eproduct_DB[Product_ID],Eproduct_DB[Category])</f>
        <v>Sports</v>
      </c>
      <c r="P504" s="2" t="str">
        <f>_xlfn.XLOOKUP(ESales_DB[[#This Row],[Product_ID]],Eproduct_DB[Product_ID],Eproduct_DB[Product_Name])</f>
        <v>Sports Stopwatch Pro</v>
      </c>
      <c r="Q504" s="2" t="str">
        <f>_xlfn.XLOOKUP(ESales_DB[[#This Row],[Store_ID]],Estore_DB[Store_ID],Estore_DB[Region])</f>
        <v>North</v>
      </c>
      <c r="R504" t="str">
        <f>VLOOKUP(ESales_DB[[#This Row],[Customer_ID]],Ecustom_DB[],10,FALSE)</f>
        <v>Gold</v>
      </c>
      <c r="S504" t="str">
        <f>IF(ESales_DB[[#This Row],[Quantity1]]&gt;3,"Bulk order","Normal order")</f>
        <v>Normal order</v>
      </c>
    </row>
    <row r="505" spans="1:19" x14ac:dyDescent="0.3">
      <c r="A505" t="s">
        <v>3276</v>
      </c>
      <c r="B505" s="4">
        <v>45305</v>
      </c>
      <c r="C505" s="4" t="str">
        <f>TEXT(ESales_DB[[#This Row],[Order_Date]],"mmm")</f>
        <v>Jan</v>
      </c>
      <c r="D505" t="s">
        <v>1397</v>
      </c>
      <c r="E505" t="s">
        <v>1565</v>
      </c>
      <c r="F505" t="s">
        <v>1779</v>
      </c>
      <c r="G505">
        <v>1</v>
      </c>
      <c r="H505" s="10">
        <f>IF(ISBLANK(ESales_DB[[#This Row],[Quantity]]),AVERAGEIF(ESales_DB[Product_ID],ESales_DB[[#This Row],[Product_ID]],ESales_DB[Quantity]),ESales_DB[[#This Row],[Quantity]])</f>
        <v>1</v>
      </c>
      <c r="I505" s="2">
        <v>484.23</v>
      </c>
      <c r="J505">
        <v>0.12</v>
      </c>
      <c r="K505" t="s">
        <v>1829</v>
      </c>
      <c r="L505" s="2">
        <v>426.12240000000003</v>
      </c>
      <c r="M505" s="2" t="str">
        <f>IF(ESales_DB[[#This Row],[Total_Amount]]&gt;1000,"High","Low")</f>
        <v>Low</v>
      </c>
      <c r="N505" s="2" t="str">
        <f>VLOOKUP(ESales_DB[[#This Row],[Customer_ID]],Ecustom_DB[],3,FALSE)</f>
        <v>Jeffery Wolf</v>
      </c>
      <c r="O505" s="2" t="str">
        <f>_xlfn.XLOOKUP(ESales_DB[[#This Row],[Product_ID]],Eproduct_DB[Product_ID],Eproduct_DB[Category])</f>
        <v>Sports</v>
      </c>
      <c r="P505" s="2" t="str">
        <f>_xlfn.XLOOKUP(ESales_DB[[#This Row],[Product_ID]],Eproduct_DB[Product_ID],Eproduct_DB[Product_Name])</f>
        <v>Adjustable Dumbbell Set</v>
      </c>
      <c r="Q505" s="2" t="str">
        <f>_xlfn.XLOOKUP(ESales_DB[[#This Row],[Store_ID]],Estore_DB[Store_ID],Estore_DB[Region])</f>
        <v>South</v>
      </c>
      <c r="R505" t="str">
        <f>VLOOKUP(ESales_DB[[#This Row],[Customer_ID]],Ecustom_DB[],10,FALSE)</f>
        <v>Bronze</v>
      </c>
      <c r="S505" t="str">
        <f>IF(ESales_DB[[#This Row],[Quantity1]]&gt;3,"Bulk order","Normal order")</f>
        <v>Normal order</v>
      </c>
    </row>
    <row r="506" spans="1:19" x14ac:dyDescent="0.3">
      <c r="A506" t="s">
        <v>3277</v>
      </c>
      <c r="B506" s="4">
        <v>45383</v>
      </c>
      <c r="C506" s="4" t="str">
        <f>TEXT(ESales_DB[[#This Row],[Order_Date]],"mmm")</f>
        <v>Apr</v>
      </c>
      <c r="D506" t="s">
        <v>32</v>
      </c>
      <c r="E506" t="s">
        <v>1618</v>
      </c>
      <c r="F506" t="s">
        <v>1810</v>
      </c>
      <c r="G506">
        <v>3</v>
      </c>
      <c r="H506" s="10">
        <f>IF(ISBLANK(ESales_DB[[#This Row],[Quantity]]),AVERAGEIF(ESales_DB[Product_ID],ESales_DB[[#This Row],[Product_ID]],ESales_DB[Quantity]),ESales_DB[[#This Row],[Quantity]])</f>
        <v>3</v>
      </c>
      <c r="I506" s="2">
        <v>341.51</v>
      </c>
      <c r="J506">
        <v>0.22</v>
      </c>
      <c r="K506" t="s">
        <v>1829</v>
      </c>
      <c r="L506" s="2">
        <v>799.13340000000005</v>
      </c>
      <c r="M506" s="2" t="str">
        <f>IF(ESales_DB[[#This Row],[Total_Amount]]&gt;1000,"High","Low")</f>
        <v>Low</v>
      </c>
      <c r="N506" s="2" t="str">
        <f>VLOOKUP(ESales_DB[[#This Row],[Customer_ID]],Ecustom_DB[],3,FALSE)</f>
        <v>Christine Vaughn</v>
      </c>
      <c r="O506" s="2" t="str">
        <f>_xlfn.XLOOKUP(ESales_DB[[#This Row],[Product_ID]],Eproduct_DB[Product_ID],Eproduct_DB[Category])</f>
        <v>Home</v>
      </c>
      <c r="P506" s="2" t="str">
        <f>_xlfn.XLOOKUP(ESales_DB[[#This Row],[Product_ID]],Eproduct_DB[Product_ID],Eproduct_DB[Product_Name])</f>
        <v>Bedroom Table Lamp</v>
      </c>
      <c r="Q506" s="2" t="str">
        <f>_xlfn.XLOOKUP(ESales_DB[[#This Row],[Store_ID]],Estore_DB[Store_ID],Estore_DB[Region])</f>
        <v>East</v>
      </c>
      <c r="R506" t="str">
        <f>VLOOKUP(ESales_DB[[#This Row],[Customer_ID]],Ecustom_DB[],10,FALSE)</f>
        <v>Bronze</v>
      </c>
      <c r="S506" t="str">
        <f>IF(ESales_DB[[#This Row],[Quantity1]]&gt;3,"Bulk order","Normal order")</f>
        <v>Normal order</v>
      </c>
    </row>
    <row r="507" spans="1:19" x14ac:dyDescent="0.3">
      <c r="A507" t="s">
        <v>3278</v>
      </c>
      <c r="B507" s="4">
        <v>45788</v>
      </c>
      <c r="C507" s="4" t="str">
        <f>TEXT(ESales_DB[[#This Row],[Order_Date]],"mmm")</f>
        <v>May</v>
      </c>
      <c r="D507" t="s">
        <v>384</v>
      </c>
      <c r="E507" t="s">
        <v>1744</v>
      </c>
      <c r="F507" t="s">
        <v>1797</v>
      </c>
      <c r="G507">
        <v>3</v>
      </c>
      <c r="H507" s="10">
        <f>IF(ISBLANK(ESales_DB[[#This Row],[Quantity]]),AVERAGEIF(ESales_DB[Product_ID],ESales_DB[[#This Row],[Product_ID]],ESales_DB[Quantity]),ESales_DB[[#This Row],[Quantity]])</f>
        <v>3</v>
      </c>
      <c r="I507" s="2">
        <v>758.87</v>
      </c>
      <c r="J507">
        <v>0.11</v>
      </c>
      <c r="K507" t="s">
        <v>1826</v>
      </c>
      <c r="L507" s="2">
        <v>2026.1829</v>
      </c>
      <c r="M507" s="2" t="str">
        <f>IF(ESales_DB[[#This Row],[Total_Amount]]&gt;1000,"High","Low")</f>
        <v>High</v>
      </c>
      <c r="N507" s="2" t="str">
        <f>VLOOKUP(ESales_DB[[#This Row],[Customer_ID]],Ecustom_DB[],3,FALSE)</f>
        <v>Amy Walker</v>
      </c>
      <c r="O507" s="2" t="str">
        <f>_xlfn.XLOOKUP(ESales_DB[[#This Row],[Product_ID]],Eproduct_DB[Product_ID],Eproduct_DB[Category])</f>
        <v>Electronics</v>
      </c>
      <c r="P507" s="2" t="str">
        <f>_xlfn.XLOOKUP(ESales_DB[[#This Row],[Product_ID]],Eproduct_DB[Product_ID],Eproduct_DB[Product_Name])</f>
        <v>Portable Bluetooth Speaker</v>
      </c>
      <c r="Q507" s="2" t="str">
        <f>_xlfn.XLOOKUP(ESales_DB[[#This Row],[Store_ID]],Estore_DB[Store_ID],Estore_DB[Region])</f>
        <v>East</v>
      </c>
      <c r="R507" t="str">
        <f>VLOOKUP(ESales_DB[[#This Row],[Customer_ID]],Ecustom_DB[],10,FALSE)</f>
        <v>Silver</v>
      </c>
      <c r="S507" t="str">
        <f>IF(ESales_DB[[#This Row],[Quantity1]]&gt;3,"Bulk order","Normal order")</f>
        <v>Normal order</v>
      </c>
    </row>
    <row r="508" spans="1:19" x14ac:dyDescent="0.3">
      <c r="A508" t="s">
        <v>3279</v>
      </c>
      <c r="B508" s="4">
        <v>45855</v>
      </c>
      <c r="C508" s="4" t="str">
        <f>TEXT(ESales_DB[[#This Row],[Order_Date]],"mmm")</f>
        <v>Jul</v>
      </c>
      <c r="D508" t="s">
        <v>1449</v>
      </c>
      <c r="E508" t="s">
        <v>1660</v>
      </c>
      <c r="F508" t="s">
        <v>1794</v>
      </c>
      <c r="G508">
        <v>3</v>
      </c>
      <c r="H508" s="10">
        <f>IF(ISBLANK(ESales_DB[[#This Row],[Quantity]]),AVERAGEIF(ESales_DB[Product_ID],ESales_DB[[#This Row],[Product_ID]],ESales_DB[Quantity]),ESales_DB[[#This Row],[Quantity]])</f>
        <v>3</v>
      </c>
      <c r="I508" s="2">
        <v>560.52</v>
      </c>
      <c r="J508">
        <v>0.17</v>
      </c>
      <c r="K508" t="s">
        <v>1824</v>
      </c>
      <c r="L508" s="2">
        <v>1395.6948</v>
      </c>
      <c r="M508" s="2" t="str">
        <f>IF(ESales_DB[[#This Row],[Total_Amount]]&gt;1000,"High","Low")</f>
        <v>High</v>
      </c>
      <c r="N508" s="2" t="str">
        <f>VLOOKUP(ESales_DB[[#This Row],[Customer_ID]],Ecustom_DB[],3,FALSE)</f>
        <v>Manuel Fisher</v>
      </c>
      <c r="O508" s="2" t="str">
        <f>_xlfn.XLOOKUP(ESales_DB[[#This Row],[Product_ID]],Eproduct_DB[Product_ID],Eproduct_DB[Category])</f>
        <v>Home</v>
      </c>
      <c r="P508" s="2" t="str">
        <f>_xlfn.XLOOKUP(ESales_DB[[#This Row],[Product_ID]],Eproduct_DB[Product_ID],Eproduct_DB[Product_Name])</f>
        <v>Premium Blanket Throw</v>
      </c>
      <c r="Q508" s="2" t="str">
        <f>_xlfn.XLOOKUP(ESales_DB[[#This Row],[Store_ID]],Estore_DB[Store_ID],Estore_DB[Region])</f>
        <v>North</v>
      </c>
      <c r="R508" t="str">
        <f>VLOOKUP(ESales_DB[[#This Row],[Customer_ID]],Ecustom_DB[],10,FALSE)</f>
        <v>Gold</v>
      </c>
      <c r="S508" t="str">
        <f>IF(ESales_DB[[#This Row],[Quantity1]]&gt;3,"Bulk order","Normal order")</f>
        <v>Normal order</v>
      </c>
    </row>
    <row r="509" spans="1:19" x14ac:dyDescent="0.3">
      <c r="A509" t="s">
        <v>3280</v>
      </c>
      <c r="B509" s="4">
        <v>45533</v>
      </c>
      <c r="C509" s="4" t="str">
        <f>TEXT(ESales_DB[[#This Row],[Order_Date]],"mmm")</f>
        <v>Aug</v>
      </c>
      <c r="D509" t="s">
        <v>1101</v>
      </c>
      <c r="E509" t="s">
        <v>1740</v>
      </c>
      <c r="F509" t="s">
        <v>1807</v>
      </c>
      <c r="G509">
        <v>2</v>
      </c>
      <c r="H509" s="10">
        <f>IF(ISBLANK(ESales_DB[[#This Row],[Quantity]]),AVERAGEIF(ESales_DB[Product_ID],ESales_DB[[#This Row],[Product_ID]],ESales_DB[Quantity]),ESales_DB[[#This Row],[Quantity]])</f>
        <v>2</v>
      </c>
      <c r="I509" s="2">
        <v>977.18</v>
      </c>
      <c r="J509">
        <v>0.19</v>
      </c>
      <c r="K509" t="s">
        <v>1824</v>
      </c>
      <c r="L509" s="2">
        <v>1583.0316</v>
      </c>
      <c r="M509" s="2" t="str">
        <f>IF(ESales_DB[[#This Row],[Total_Amount]]&gt;1000,"High","Low")</f>
        <v>High</v>
      </c>
      <c r="N509" s="2" t="str">
        <f>VLOOKUP(ESales_DB[[#This Row],[Customer_ID]],Ecustom_DB[],3,FALSE)</f>
        <v>Jeffrey Mccarthy</v>
      </c>
      <c r="O509" s="2" t="str">
        <f>_xlfn.XLOOKUP(ESales_DB[[#This Row],[Product_ID]],Eproduct_DB[Product_ID],Eproduct_DB[Category])</f>
        <v>Clothing</v>
      </c>
      <c r="P509" s="2" t="str">
        <f>_xlfn.XLOOKUP(ESales_DB[[#This Row],[Product_ID]],Eproduct_DB[Product_ID],Eproduct_DB[Product_Name])</f>
        <v>Women's Formal Blazer</v>
      </c>
      <c r="Q509" s="2" t="str">
        <f>_xlfn.XLOOKUP(ESales_DB[[#This Row],[Store_ID]],Estore_DB[Store_ID],Estore_DB[Region])</f>
        <v>North</v>
      </c>
      <c r="R509" t="str">
        <f>VLOOKUP(ESales_DB[[#This Row],[Customer_ID]],Ecustom_DB[],10,FALSE)</f>
        <v>Bronze</v>
      </c>
      <c r="S509" t="str">
        <f>IF(ESales_DB[[#This Row],[Quantity1]]&gt;3,"Bulk order","Normal order")</f>
        <v>Normal order</v>
      </c>
    </row>
    <row r="510" spans="1:19" x14ac:dyDescent="0.3">
      <c r="A510" t="s">
        <v>3281</v>
      </c>
      <c r="B510" s="4">
        <v>45763</v>
      </c>
      <c r="C510" s="4" t="str">
        <f>TEXT(ESales_DB[[#This Row],[Order_Date]],"mmm")</f>
        <v>Apr</v>
      </c>
      <c r="D510" t="s">
        <v>758</v>
      </c>
      <c r="E510" t="s">
        <v>1580</v>
      </c>
      <c r="F510" t="s">
        <v>1799</v>
      </c>
      <c r="G510">
        <v>4</v>
      </c>
      <c r="H510" s="10">
        <f>IF(ISBLANK(ESales_DB[[#This Row],[Quantity]]),AVERAGEIF(ESales_DB[Product_ID],ESales_DB[[#This Row],[Product_ID]],ESales_DB[Quantity]),ESales_DB[[#This Row],[Quantity]])</f>
        <v>4</v>
      </c>
      <c r="I510" s="2">
        <v>761.35</v>
      </c>
      <c r="J510">
        <v>0.08</v>
      </c>
      <c r="K510" t="s">
        <v>1824</v>
      </c>
      <c r="L510" s="2">
        <v>2801.768</v>
      </c>
      <c r="M510" s="2" t="str">
        <f>IF(ESales_DB[[#This Row],[Total_Amount]]&gt;1000,"High","Low")</f>
        <v>High</v>
      </c>
      <c r="N510" s="2" t="str">
        <f>VLOOKUP(ESales_DB[[#This Row],[Customer_ID]],Ecustom_DB[],3,FALSE)</f>
        <v>Joshua Wilson</v>
      </c>
      <c r="O510" s="2" t="str">
        <f>_xlfn.XLOOKUP(ESales_DB[[#This Row],[Product_ID]],Eproduct_DB[Product_ID],Eproduct_DB[Category])</f>
        <v>Beauty</v>
      </c>
      <c r="P510" s="2" t="str">
        <f>_xlfn.XLOOKUP(ESales_DB[[#This Row],[Product_ID]],Eproduct_DB[Product_ID],Eproduct_DB[Product_Name])</f>
        <v>Beard Grooming Kit</v>
      </c>
      <c r="Q510" s="2" t="str">
        <f>_xlfn.XLOOKUP(ESales_DB[[#This Row],[Store_ID]],Estore_DB[Store_ID],Estore_DB[Region])</f>
        <v>South</v>
      </c>
      <c r="R510" t="str">
        <f>VLOOKUP(ESales_DB[[#This Row],[Customer_ID]],Ecustom_DB[],10,FALSE)</f>
        <v>Bronze</v>
      </c>
      <c r="S510" t="str">
        <f>IF(ESales_DB[[#This Row],[Quantity1]]&gt;3,"Bulk order","Normal order")</f>
        <v>Bulk order</v>
      </c>
    </row>
    <row r="511" spans="1:19" x14ac:dyDescent="0.3">
      <c r="A511" t="s">
        <v>3282</v>
      </c>
      <c r="B511" s="4">
        <v>45900</v>
      </c>
      <c r="C511" s="4" t="str">
        <f>TEXT(ESales_DB[[#This Row],[Order_Date]],"mmm")</f>
        <v>Aug</v>
      </c>
      <c r="D511" t="s">
        <v>592</v>
      </c>
      <c r="E511" t="s">
        <v>1682</v>
      </c>
      <c r="F511" t="s">
        <v>1810</v>
      </c>
      <c r="G511">
        <v>2</v>
      </c>
      <c r="H511" s="10">
        <f>IF(ISBLANK(ESales_DB[[#This Row],[Quantity]]),AVERAGEIF(ESales_DB[Product_ID],ESales_DB[[#This Row],[Product_ID]],ESales_DB[Quantity]),ESales_DB[[#This Row],[Quantity]])</f>
        <v>2</v>
      </c>
      <c r="I511" s="2">
        <v>947.56</v>
      </c>
      <c r="J511">
        <v>0.02</v>
      </c>
      <c r="K511" t="s">
        <v>1829</v>
      </c>
      <c r="L511" s="2">
        <v>1857.2175999999999</v>
      </c>
      <c r="M511" s="2" t="str">
        <f>IF(ESales_DB[[#This Row],[Total_Amount]]&gt;1000,"High","Low")</f>
        <v>High</v>
      </c>
      <c r="N511" s="2" t="str">
        <f>VLOOKUP(ESales_DB[[#This Row],[Customer_ID]],Ecustom_DB[],3,FALSE)</f>
        <v>Nicholas Bradshaw</v>
      </c>
      <c r="O511" s="2" t="str">
        <f>_xlfn.XLOOKUP(ESales_DB[[#This Row],[Product_ID]],Eproduct_DB[Product_ID],Eproduct_DB[Category])</f>
        <v>Electronics</v>
      </c>
      <c r="P511" s="2" t="str">
        <f>_xlfn.XLOOKUP(ESales_DB[[#This Row],[Product_ID]],Eproduct_DB[Product_ID],Eproduct_DB[Product_Name])</f>
        <v>Smart LED Light Strip</v>
      </c>
      <c r="Q511" s="2" t="str">
        <f>_xlfn.XLOOKUP(ESales_DB[[#This Row],[Store_ID]],Estore_DB[Store_ID],Estore_DB[Region])</f>
        <v>East</v>
      </c>
      <c r="R511" t="str">
        <f>VLOOKUP(ESales_DB[[#This Row],[Customer_ID]],Ecustom_DB[],10,FALSE)</f>
        <v>Silver</v>
      </c>
      <c r="S511" t="str">
        <f>IF(ESales_DB[[#This Row],[Quantity1]]&gt;3,"Bulk order","Normal order")</f>
        <v>Normal order</v>
      </c>
    </row>
    <row r="512" spans="1:19" x14ac:dyDescent="0.3">
      <c r="A512" t="s">
        <v>3283</v>
      </c>
      <c r="B512" s="4">
        <v>45943</v>
      </c>
      <c r="C512" s="4" t="str">
        <f>TEXT(ESales_DB[[#This Row],[Order_Date]],"mmm")</f>
        <v>Oct</v>
      </c>
      <c r="D512" t="s">
        <v>764</v>
      </c>
      <c r="E512" t="s">
        <v>1634</v>
      </c>
      <c r="F512" t="s">
        <v>1810</v>
      </c>
      <c r="G512">
        <v>4</v>
      </c>
      <c r="H512" s="10">
        <f>IF(ISBLANK(ESales_DB[[#This Row],[Quantity]]),AVERAGEIF(ESales_DB[Product_ID],ESales_DB[[#This Row],[Product_ID]],ESales_DB[Quantity]),ESales_DB[[#This Row],[Quantity]])</f>
        <v>4</v>
      </c>
      <c r="I512" s="2">
        <v>975.47</v>
      </c>
      <c r="J512">
        <v>0.04</v>
      </c>
      <c r="K512" t="s">
        <v>1824</v>
      </c>
      <c r="L512" s="2">
        <v>3745.8047999999999</v>
      </c>
      <c r="M512" s="2" t="str">
        <f>IF(ESales_DB[[#This Row],[Total_Amount]]&gt;1000,"High","Low")</f>
        <v>High</v>
      </c>
      <c r="N512" s="2" t="str">
        <f>VLOOKUP(ESales_DB[[#This Row],[Customer_ID]],Ecustom_DB[],3,FALSE)</f>
        <v>Steven Smith</v>
      </c>
      <c r="O512" s="2" t="str">
        <f>_xlfn.XLOOKUP(ESales_DB[[#This Row],[Product_ID]],Eproduct_DB[Product_ID],Eproduct_DB[Category])</f>
        <v>Electronics</v>
      </c>
      <c r="P512" s="2" t="str">
        <f>_xlfn.XLOOKUP(ESales_DB[[#This Row],[Product_ID]],Eproduct_DB[Product_ID],Eproduct_DB[Product_Name])</f>
        <v>USB External Hard Drive</v>
      </c>
      <c r="Q512" s="2" t="str">
        <f>_xlfn.XLOOKUP(ESales_DB[[#This Row],[Store_ID]],Estore_DB[Store_ID],Estore_DB[Region])</f>
        <v>East</v>
      </c>
      <c r="R512" t="str">
        <f>VLOOKUP(ESales_DB[[#This Row],[Customer_ID]],Ecustom_DB[],10,FALSE)</f>
        <v>Platinum</v>
      </c>
      <c r="S512" t="str">
        <f>IF(ESales_DB[[#This Row],[Quantity1]]&gt;3,"Bulk order","Normal order")</f>
        <v>Bulk order</v>
      </c>
    </row>
    <row r="513" spans="1:19" x14ac:dyDescent="0.3">
      <c r="A513" t="s">
        <v>3284</v>
      </c>
      <c r="B513" s="4">
        <v>45448</v>
      </c>
      <c r="C513" s="4" t="str">
        <f>TEXT(ESales_DB[[#This Row],[Order_Date]],"mmm")</f>
        <v>Jun</v>
      </c>
      <c r="D513" t="s">
        <v>1469</v>
      </c>
      <c r="E513" t="s">
        <v>1574</v>
      </c>
      <c r="F513" t="s">
        <v>1786</v>
      </c>
      <c r="G513">
        <v>3</v>
      </c>
      <c r="H513" s="10">
        <f>IF(ISBLANK(ESales_DB[[#This Row],[Quantity]]),AVERAGEIF(ESales_DB[Product_ID],ESales_DB[[#This Row],[Product_ID]],ESales_DB[Quantity]),ESales_DB[[#This Row],[Quantity]])</f>
        <v>3</v>
      </c>
      <c r="I513" s="2">
        <v>769.06</v>
      </c>
      <c r="J513">
        <v>0.23</v>
      </c>
      <c r="K513" t="s">
        <v>1829</v>
      </c>
      <c r="L513" s="2">
        <v>1776.5286000000001</v>
      </c>
      <c r="M513" s="2" t="str">
        <f>IF(ESales_DB[[#This Row],[Total_Amount]]&gt;1000,"High","Low")</f>
        <v>High</v>
      </c>
      <c r="N513" s="2" t="str">
        <f>VLOOKUP(ESales_DB[[#This Row],[Customer_ID]],Ecustom_DB[],3,FALSE)</f>
        <v>Andrea Harris</v>
      </c>
      <c r="O513" s="2" t="str">
        <f>_xlfn.XLOOKUP(ESales_DB[[#This Row],[Product_ID]],Eproduct_DB[Product_ID],Eproduct_DB[Category])</f>
        <v>Electronics</v>
      </c>
      <c r="P513" s="2" t="str">
        <f>_xlfn.XLOOKUP(ESales_DB[[#This Row],[Product_ID]],Eproduct_DB[Product_ID],Eproduct_DB[Product_Name])</f>
        <v>USB-C Fast Charger</v>
      </c>
      <c r="Q513" s="2" t="str">
        <f>_xlfn.XLOOKUP(ESales_DB[[#This Row],[Store_ID]],Estore_DB[Store_ID],Estore_DB[Region])</f>
        <v>South</v>
      </c>
      <c r="R513" t="str">
        <f>VLOOKUP(ESales_DB[[#This Row],[Customer_ID]],Ecustom_DB[],10,FALSE)</f>
        <v>Platinum</v>
      </c>
      <c r="S513" t="str">
        <f>IF(ESales_DB[[#This Row],[Quantity1]]&gt;3,"Bulk order","Normal order")</f>
        <v>Normal order</v>
      </c>
    </row>
    <row r="514" spans="1:19" x14ac:dyDescent="0.3">
      <c r="A514" t="s">
        <v>3285</v>
      </c>
      <c r="B514" s="4">
        <v>45929</v>
      </c>
      <c r="C514" s="4" t="str">
        <f>TEXT(ESales_DB[[#This Row],[Order_Date]],"mmm")</f>
        <v>Sep</v>
      </c>
      <c r="D514" t="s">
        <v>1495</v>
      </c>
      <c r="E514" t="s">
        <v>1626</v>
      </c>
      <c r="F514" t="s">
        <v>1761</v>
      </c>
      <c r="G514">
        <v>3</v>
      </c>
      <c r="H514" s="10">
        <f>IF(ISBLANK(ESales_DB[[#This Row],[Quantity]]),AVERAGEIF(ESales_DB[Product_ID],ESales_DB[[#This Row],[Product_ID]],ESales_DB[Quantity]),ESales_DB[[#This Row],[Quantity]])</f>
        <v>3</v>
      </c>
      <c r="I514" s="2">
        <v>824.75</v>
      </c>
      <c r="J514">
        <v>0.23</v>
      </c>
      <c r="K514" t="s">
        <v>1824</v>
      </c>
      <c r="L514" s="2">
        <v>1905.1724999999999</v>
      </c>
      <c r="M514" s="2" t="str">
        <f>IF(ESales_DB[[#This Row],[Total_Amount]]&gt;1000,"High","Low")</f>
        <v>High</v>
      </c>
      <c r="N514" s="2" t="str">
        <f>VLOOKUP(ESales_DB[[#This Row],[Customer_ID]],Ecustom_DB[],3,FALSE)</f>
        <v>Eric Lee</v>
      </c>
      <c r="O514" s="2" t="str">
        <f>_xlfn.XLOOKUP(ESales_DB[[#This Row],[Product_ID]],Eproduct_DB[Product_ID],Eproduct_DB[Category])</f>
        <v>Electronics</v>
      </c>
      <c r="P514" s="2" t="str">
        <f>_xlfn.XLOOKUP(ESales_DB[[#This Row],[Product_ID]],Eproduct_DB[Product_ID],Eproduct_DB[Product_Name])</f>
        <v>Portable Power Bank</v>
      </c>
      <c r="Q514" s="2" t="str">
        <f>_xlfn.XLOOKUP(ESales_DB[[#This Row],[Store_ID]],Estore_DB[Store_ID],Estore_DB[Region])</f>
        <v>South</v>
      </c>
      <c r="R514" t="str">
        <f>VLOOKUP(ESales_DB[[#This Row],[Customer_ID]],Ecustom_DB[],10,FALSE)</f>
        <v>Bronze</v>
      </c>
      <c r="S514" t="str">
        <f>IF(ESales_DB[[#This Row],[Quantity1]]&gt;3,"Bulk order","Normal order")</f>
        <v>Normal order</v>
      </c>
    </row>
    <row r="515" spans="1:19" x14ac:dyDescent="0.3">
      <c r="A515" t="s">
        <v>1972</v>
      </c>
      <c r="B515" s="4">
        <v>45626</v>
      </c>
      <c r="C515" s="4" t="str">
        <f>TEXT(ESales_DB[[#This Row],[Order_Date]],"mmm")</f>
        <v>Nov</v>
      </c>
      <c r="D515" t="s">
        <v>1371</v>
      </c>
      <c r="E515" t="s">
        <v>1620</v>
      </c>
      <c r="F515" t="s">
        <v>1813</v>
      </c>
      <c r="G515">
        <v>3</v>
      </c>
      <c r="H515" s="10">
        <f>IF(ISBLANK(ESales_DB[[#This Row],[Quantity]]),AVERAGEIF(ESales_DB[Product_ID],ESales_DB[[#This Row],[Product_ID]],ESales_DB[Quantity]),ESales_DB[[#This Row],[Quantity]])</f>
        <v>3</v>
      </c>
      <c r="I515" s="2">
        <v>584.41</v>
      </c>
      <c r="J515">
        <v>0</v>
      </c>
      <c r="K515" t="s">
        <v>1829</v>
      </c>
      <c r="L515" s="2">
        <v>1753.23</v>
      </c>
      <c r="M515" s="2" t="str">
        <f>IF(ESales_DB[[#This Row],[Total_Amount]]&gt;1000,"High","Low")</f>
        <v>High</v>
      </c>
      <c r="N515" s="2" t="str">
        <f>VLOOKUP(ESales_DB[[#This Row],[Customer_ID]],Ecustom_DB[],3,FALSE)</f>
        <v>Adam Castro</v>
      </c>
      <c r="O515" s="2" t="str">
        <f>_xlfn.XLOOKUP(ESales_DB[[#This Row],[Product_ID]],Eproduct_DB[Product_ID],Eproduct_DB[Category])</f>
        <v>Clothing</v>
      </c>
      <c r="P515" s="2" t="str">
        <f>_xlfn.XLOOKUP(ESales_DB[[#This Row],[Product_ID]],Eproduct_DB[Product_ID],Eproduct_DB[Product_Name])</f>
        <v>Women's Summer Dress</v>
      </c>
      <c r="Q515" s="2" t="str">
        <f>_xlfn.XLOOKUP(ESales_DB[[#This Row],[Store_ID]],Estore_DB[Store_ID],Estore_DB[Region])</f>
        <v>East</v>
      </c>
      <c r="R515" t="str">
        <f>VLOOKUP(ESales_DB[[#This Row],[Customer_ID]],Ecustom_DB[],10,FALSE)</f>
        <v>Silver</v>
      </c>
      <c r="S515" t="str">
        <f>IF(ESales_DB[[#This Row],[Quantity1]]&gt;3,"Bulk order","Normal order")</f>
        <v>Normal order</v>
      </c>
    </row>
    <row r="516" spans="1:19" x14ac:dyDescent="0.3">
      <c r="A516" t="s">
        <v>3286</v>
      </c>
      <c r="B516" s="4">
        <v>45478</v>
      </c>
      <c r="C516" s="4" t="str">
        <f>TEXT(ESales_DB[[#This Row],[Order_Date]],"mmm")</f>
        <v>Jul</v>
      </c>
      <c r="D516" t="s">
        <v>1249</v>
      </c>
      <c r="E516" t="s">
        <v>1684</v>
      </c>
      <c r="F516" t="s">
        <v>1769</v>
      </c>
      <c r="G516">
        <v>2</v>
      </c>
      <c r="H516" s="10">
        <f>IF(ISBLANK(ESales_DB[[#This Row],[Quantity]]),AVERAGEIF(ESales_DB[Product_ID],ESales_DB[[#This Row],[Product_ID]],ESales_DB[Quantity]),ESales_DB[[#This Row],[Quantity]])</f>
        <v>2</v>
      </c>
      <c r="I516" s="2">
        <v>821.35</v>
      </c>
      <c r="J516">
        <v>0.11</v>
      </c>
      <c r="K516" t="s">
        <v>1826</v>
      </c>
      <c r="L516" s="2">
        <v>1462.0029999999999</v>
      </c>
      <c r="M516" s="2" t="str">
        <f>IF(ESales_DB[[#This Row],[Total_Amount]]&gt;1000,"High","Low")</f>
        <v>High</v>
      </c>
      <c r="N516" s="2" t="str">
        <f>VLOOKUP(ESales_DB[[#This Row],[Customer_ID]],Ecustom_DB[],3,FALSE)</f>
        <v>Terry Moses</v>
      </c>
      <c r="O516" s="2" t="str">
        <f>_xlfn.XLOOKUP(ESales_DB[[#This Row],[Product_ID]],Eproduct_DB[Product_ID],Eproduct_DB[Category])</f>
        <v>Home</v>
      </c>
      <c r="P516" s="2" t="str">
        <f>_xlfn.XLOOKUP(ESales_DB[[#This Row],[Product_ID]],Eproduct_DB[Product_ID],Eproduct_DB[Product_Name])</f>
        <v>Wooden Nightstand</v>
      </c>
      <c r="Q516" s="2" t="str">
        <f>_xlfn.XLOOKUP(ESales_DB[[#This Row],[Store_ID]],Estore_DB[Store_ID],Estore_DB[Region])</f>
        <v>South</v>
      </c>
      <c r="R516" t="str">
        <f>VLOOKUP(ESales_DB[[#This Row],[Customer_ID]],Ecustom_DB[],10,FALSE)</f>
        <v>Platinum</v>
      </c>
      <c r="S516" t="str">
        <f>IF(ESales_DB[[#This Row],[Quantity1]]&gt;3,"Bulk order","Normal order")</f>
        <v>Normal order</v>
      </c>
    </row>
    <row r="517" spans="1:19" x14ac:dyDescent="0.3">
      <c r="A517" t="s">
        <v>3287</v>
      </c>
      <c r="B517" s="4">
        <v>45723</v>
      </c>
      <c r="C517" s="4" t="str">
        <f>TEXT(ESales_DB[[#This Row],[Order_Date]],"mmm")</f>
        <v>Mar</v>
      </c>
      <c r="D517" t="s">
        <v>1260</v>
      </c>
      <c r="E517" t="s">
        <v>1574</v>
      </c>
      <c r="F517" t="s">
        <v>1789</v>
      </c>
      <c r="G517">
        <v>1</v>
      </c>
      <c r="H517" s="10">
        <f>IF(ISBLANK(ESales_DB[[#This Row],[Quantity]]),AVERAGEIF(ESales_DB[Product_ID],ESales_DB[[#This Row],[Product_ID]],ESales_DB[Quantity]),ESales_DB[[#This Row],[Quantity]])</f>
        <v>1</v>
      </c>
      <c r="I517" s="2">
        <v>120.57</v>
      </c>
      <c r="J517">
        <v>0.06</v>
      </c>
      <c r="K517" t="s">
        <v>1826</v>
      </c>
      <c r="L517" s="2">
        <v>113.33580000000001</v>
      </c>
      <c r="M517" s="2" t="str">
        <f>IF(ESales_DB[[#This Row],[Total_Amount]]&gt;1000,"High","Low")</f>
        <v>Low</v>
      </c>
      <c r="N517" s="2" t="str">
        <f>VLOOKUP(ESales_DB[[#This Row],[Customer_ID]],Ecustom_DB[],3,FALSE)</f>
        <v>Eric Wolfe</v>
      </c>
      <c r="O517" s="2" t="str">
        <f>_xlfn.XLOOKUP(ESales_DB[[#This Row],[Product_ID]],Eproduct_DB[Product_ID],Eproduct_DB[Category])</f>
        <v>Electronics</v>
      </c>
      <c r="P517" s="2" t="str">
        <f>_xlfn.XLOOKUP(ESales_DB[[#This Row],[Product_ID]],Eproduct_DB[Product_ID],Eproduct_DB[Product_Name])</f>
        <v>USB-C Fast Charger</v>
      </c>
      <c r="Q517" s="2" t="str">
        <f>_xlfn.XLOOKUP(ESales_DB[[#This Row],[Store_ID]],Estore_DB[Store_ID],Estore_DB[Region])</f>
        <v>East</v>
      </c>
      <c r="R517" t="str">
        <f>VLOOKUP(ESales_DB[[#This Row],[Customer_ID]],Ecustom_DB[],10,FALSE)</f>
        <v>Gold</v>
      </c>
      <c r="S517" t="str">
        <f>IF(ESales_DB[[#This Row],[Quantity1]]&gt;3,"Bulk order","Normal order")</f>
        <v>Normal order</v>
      </c>
    </row>
    <row r="518" spans="1:19" x14ac:dyDescent="0.3">
      <c r="A518" t="s">
        <v>3288</v>
      </c>
      <c r="B518" s="4">
        <v>45240</v>
      </c>
      <c r="C518" s="4" t="str">
        <f>TEXT(ESales_DB[[#This Row],[Order_Date]],"mmm")</f>
        <v>Nov</v>
      </c>
      <c r="D518" t="s">
        <v>1053</v>
      </c>
      <c r="E518" t="s">
        <v>1726</v>
      </c>
      <c r="F518" t="s">
        <v>1757</v>
      </c>
      <c r="G518">
        <v>1</v>
      </c>
      <c r="H518" s="10">
        <f>IF(ISBLANK(ESales_DB[[#This Row],[Quantity]]),AVERAGEIF(ESales_DB[Product_ID],ESales_DB[[#This Row],[Product_ID]],ESales_DB[Quantity]),ESales_DB[[#This Row],[Quantity]])</f>
        <v>1</v>
      </c>
      <c r="I518" s="2">
        <v>122.27</v>
      </c>
      <c r="J518">
        <v>0.26</v>
      </c>
      <c r="K518" t="s">
        <v>1826</v>
      </c>
      <c r="L518" s="2">
        <v>90.479799999999997</v>
      </c>
      <c r="M518" s="2" t="str">
        <f>IF(ESales_DB[[#This Row],[Total_Amount]]&gt;1000,"High","Low")</f>
        <v>Low</v>
      </c>
      <c r="N518" s="2" t="str">
        <f>VLOOKUP(ESales_DB[[#This Row],[Customer_ID]],Ecustom_DB[],3,FALSE)</f>
        <v>Jennifer Woods</v>
      </c>
      <c r="O518" s="2" t="str">
        <f>_xlfn.XLOOKUP(ESales_DB[[#This Row],[Product_ID]],Eproduct_DB[Product_ID],Eproduct_DB[Category])</f>
        <v>Beauty</v>
      </c>
      <c r="P518" s="2" t="str">
        <f>_xlfn.XLOOKUP(ESales_DB[[#This Row],[Product_ID]],Eproduct_DB[Product_ID],Eproduct_DB[Product_Name])</f>
        <v>Face Foundation Kit</v>
      </c>
      <c r="Q518" s="2" t="str">
        <f>_xlfn.XLOOKUP(ESales_DB[[#This Row],[Store_ID]],Estore_DB[Store_ID],Estore_DB[Region])</f>
        <v>North</v>
      </c>
      <c r="R518" t="str">
        <f>VLOOKUP(ESales_DB[[#This Row],[Customer_ID]],Ecustom_DB[],10,FALSE)</f>
        <v>Platinum</v>
      </c>
      <c r="S518" t="str">
        <f>IF(ESales_DB[[#This Row],[Quantity1]]&gt;3,"Bulk order","Normal order")</f>
        <v>Normal order</v>
      </c>
    </row>
    <row r="519" spans="1:19" x14ac:dyDescent="0.3">
      <c r="A519" t="s">
        <v>3289</v>
      </c>
      <c r="B519" s="4">
        <v>45890</v>
      </c>
      <c r="C519" s="4" t="str">
        <f>TEXT(ESales_DB[[#This Row],[Order_Date]],"mmm")</f>
        <v>Aug</v>
      </c>
      <c r="D519" t="s">
        <v>565</v>
      </c>
      <c r="E519" t="s">
        <v>1600</v>
      </c>
      <c r="F519" t="s">
        <v>1761</v>
      </c>
      <c r="G519">
        <v>2</v>
      </c>
      <c r="H519" s="10">
        <f>IF(ISBLANK(ESales_DB[[#This Row],[Quantity]]),AVERAGEIF(ESales_DB[Product_ID],ESales_DB[[#This Row],[Product_ID]],ESales_DB[Quantity]),ESales_DB[[#This Row],[Quantity]])</f>
        <v>2</v>
      </c>
      <c r="I519" s="2">
        <v>182.89</v>
      </c>
      <c r="J519">
        <v>0.11</v>
      </c>
      <c r="K519" t="s">
        <v>1824</v>
      </c>
      <c r="L519" s="2">
        <v>325.54419999999999</v>
      </c>
      <c r="M519" s="2" t="str">
        <f>IF(ESales_DB[[#This Row],[Total_Amount]]&gt;1000,"High","Low")</f>
        <v>Low</v>
      </c>
      <c r="N519" s="2" t="str">
        <f>VLOOKUP(ESales_DB[[#This Row],[Customer_ID]],Ecustom_DB[],3,FALSE)</f>
        <v>Christopher Garcia Dds</v>
      </c>
      <c r="O519" s="2" t="str">
        <f>_xlfn.XLOOKUP(ESales_DB[[#This Row],[Product_ID]],Eproduct_DB[Product_ID],Eproduct_DB[Category])</f>
        <v>Electronics</v>
      </c>
      <c r="P519" s="2" t="str">
        <f>_xlfn.XLOOKUP(ESales_DB[[#This Row],[Product_ID]],Eproduct_DB[Product_ID],Eproduct_DB[Product_Name])</f>
        <v>Wireless Bluetooth Speaker</v>
      </c>
      <c r="Q519" s="2" t="str">
        <f>_xlfn.XLOOKUP(ESales_DB[[#This Row],[Store_ID]],Estore_DB[Store_ID],Estore_DB[Region])</f>
        <v>South</v>
      </c>
      <c r="R519" t="str">
        <f>VLOOKUP(ESales_DB[[#This Row],[Customer_ID]],Ecustom_DB[],10,FALSE)</f>
        <v>Gold</v>
      </c>
      <c r="S519" t="str">
        <f>IF(ESales_DB[[#This Row],[Quantity1]]&gt;3,"Bulk order","Normal order")</f>
        <v>Normal order</v>
      </c>
    </row>
    <row r="520" spans="1:19" x14ac:dyDescent="0.3">
      <c r="A520" t="s">
        <v>3290</v>
      </c>
      <c r="B520" s="4">
        <v>45796</v>
      </c>
      <c r="C520" s="4" t="str">
        <f>TEXT(ESales_DB[[#This Row],[Order_Date]],"mmm")</f>
        <v>May</v>
      </c>
      <c r="D520" t="s">
        <v>1160</v>
      </c>
      <c r="E520" t="s">
        <v>1640</v>
      </c>
      <c r="F520" t="s">
        <v>1769</v>
      </c>
      <c r="G520">
        <v>1</v>
      </c>
      <c r="H520" s="10">
        <f>IF(ISBLANK(ESales_DB[[#This Row],[Quantity]]),AVERAGEIF(ESales_DB[Product_ID],ESales_DB[[#This Row],[Product_ID]],ESales_DB[Quantity]),ESales_DB[[#This Row],[Quantity]])</f>
        <v>1</v>
      </c>
      <c r="I520" s="2">
        <v>695.26</v>
      </c>
      <c r="J520">
        <v>0.23</v>
      </c>
      <c r="K520" t="s">
        <v>1826</v>
      </c>
      <c r="L520" s="2">
        <v>535.35019999999997</v>
      </c>
      <c r="M520" s="2" t="str">
        <f>IF(ESales_DB[[#This Row],[Total_Amount]]&gt;1000,"High","Low")</f>
        <v>Low</v>
      </c>
      <c r="N520" s="2" t="str">
        <f>VLOOKUP(ESales_DB[[#This Row],[Customer_ID]],Ecustom_DB[],3,FALSE)</f>
        <v>Michael Garner</v>
      </c>
      <c r="O520" s="2" t="str">
        <f>_xlfn.XLOOKUP(ESales_DB[[#This Row],[Product_ID]],Eproduct_DB[Product_ID],Eproduct_DB[Category])</f>
        <v>Clothing</v>
      </c>
      <c r="P520" s="2" t="str">
        <f>_xlfn.XLOOKUP(ESales_DB[[#This Row],[Product_ID]],Eproduct_DB[Product_ID],Eproduct_DB[Product_Name])</f>
        <v>Men's Winter Jacket</v>
      </c>
      <c r="Q520" s="2" t="str">
        <f>_xlfn.XLOOKUP(ESales_DB[[#This Row],[Store_ID]],Estore_DB[Store_ID],Estore_DB[Region])</f>
        <v>South</v>
      </c>
      <c r="R520" t="str">
        <f>VLOOKUP(ESales_DB[[#This Row],[Customer_ID]],Ecustom_DB[],10,FALSE)</f>
        <v>Platinum</v>
      </c>
      <c r="S520" t="str">
        <f>IF(ESales_DB[[#This Row],[Quantity1]]&gt;3,"Bulk order","Normal order")</f>
        <v>Normal order</v>
      </c>
    </row>
    <row r="521" spans="1:19" x14ac:dyDescent="0.3">
      <c r="A521" t="s">
        <v>3291</v>
      </c>
      <c r="B521" s="4">
        <v>45895</v>
      </c>
      <c r="C521" s="4" t="str">
        <f>TEXT(ESales_DB[[#This Row],[Order_Date]],"mmm")</f>
        <v>Aug</v>
      </c>
      <c r="D521" t="s">
        <v>114</v>
      </c>
      <c r="E521" t="s">
        <v>1606</v>
      </c>
      <c r="F521" t="s">
        <v>1776</v>
      </c>
      <c r="G521">
        <v>2</v>
      </c>
      <c r="H521" s="10">
        <f>IF(ISBLANK(ESales_DB[[#This Row],[Quantity]]),AVERAGEIF(ESales_DB[Product_ID],ESales_DB[[#This Row],[Product_ID]],ESales_DB[Quantity]),ESales_DB[[#This Row],[Quantity]])</f>
        <v>2</v>
      </c>
      <c r="I521" s="2">
        <v>408.8</v>
      </c>
      <c r="J521">
        <v>0.17</v>
      </c>
      <c r="K521" t="s">
        <v>1829</v>
      </c>
      <c r="L521" s="2">
        <v>678.60799999999995</v>
      </c>
      <c r="M521" s="2" t="str">
        <f>IF(ESales_DB[[#This Row],[Total_Amount]]&gt;1000,"High","Low")</f>
        <v>Low</v>
      </c>
      <c r="N521" s="2" t="str">
        <f>VLOOKUP(ESales_DB[[#This Row],[Customer_ID]],Ecustom_DB[],3,FALSE)</f>
        <v>Leslie Johnson</v>
      </c>
      <c r="O521" s="2" t="str">
        <f>_xlfn.XLOOKUP(ESales_DB[[#This Row],[Product_ID]],Eproduct_DB[Product_ID],Eproduct_DB[Category])</f>
        <v>Home</v>
      </c>
      <c r="P521" s="2" t="str">
        <f>_xlfn.XLOOKUP(ESales_DB[[#This Row],[Product_ID]],Eproduct_DB[Product_ID],Eproduct_DB[Product_Name])</f>
        <v>Fabric Sofa Throw Blanket</v>
      </c>
      <c r="Q521" s="2" t="str">
        <f>_xlfn.XLOOKUP(ESales_DB[[#This Row],[Store_ID]],Estore_DB[Store_ID],Estore_DB[Region])</f>
        <v>East</v>
      </c>
      <c r="R521" t="str">
        <f>VLOOKUP(ESales_DB[[#This Row],[Customer_ID]],Ecustom_DB[],10,FALSE)</f>
        <v>Uncategorized</v>
      </c>
      <c r="S521" t="str">
        <f>IF(ESales_DB[[#This Row],[Quantity1]]&gt;3,"Bulk order","Normal order")</f>
        <v>Normal order</v>
      </c>
    </row>
    <row r="522" spans="1:19" x14ac:dyDescent="0.3">
      <c r="A522" t="s">
        <v>3292</v>
      </c>
      <c r="B522" s="4">
        <v>45676</v>
      </c>
      <c r="C522" s="4" t="str">
        <f>TEXT(ESales_DB[[#This Row],[Order_Date]],"mmm")</f>
        <v>Jan</v>
      </c>
      <c r="D522" t="s">
        <v>730</v>
      </c>
      <c r="E522" t="s">
        <v>1646</v>
      </c>
      <c r="F522" t="s">
        <v>1782</v>
      </c>
      <c r="G522">
        <v>3</v>
      </c>
      <c r="H522" s="10">
        <f>IF(ISBLANK(ESales_DB[[#This Row],[Quantity]]),AVERAGEIF(ESales_DB[Product_ID],ESales_DB[[#This Row],[Product_ID]],ESales_DB[Quantity]),ESales_DB[[#This Row],[Quantity]])</f>
        <v>3</v>
      </c>
      <c r="I522" s="2">
        <v>512.15</v>
      </c>
      <c r="J522">
        <v>0.12</v>
      </c>
      <c r="K522" t="s">
        <v>1824</v>
      </c>
      <c r="L522" s="2">
        <v>1352.076</v>
      </c>
      <c r="M522" s="2" t="str">
        <f>IF(ESales_DB[[#This Row],[Total_Amount]]&gt;1000,"High","Low")</f>
        <v>High</v>
      </c>
      <c r="N522" s="2" t="str">
        <f>VLOOKUP(ESales_DB[[#This Row],[Customer_ID]],Ecustom_DB[],3,FALSE)</f>
        <v>Alexis Castaneda</v>
      </c>
      <c r="O522" s="2" t="str">
        <f>_xlfn.XLOOKUP(ESales_DB[[#This Row],[Product_ID]],Eproduct_DB[Product_ID],Eproduct_DB[Category])</f>
        <v>Beauty</v>
      </c>
      <c r="P522" s="2" t="str">
        <f>_xlfn.XLOOKUP(ESales_DB[[#This Row],[Product_ID]],Eproduct_DB[Product_ID],Eproduct_DB[Product_Name])</f>
        <v>Men's Roll-On Perfume</v>
      </c>
      <c r="Q522" s="2" t="str">
        <f>_xlfn.XLOOKUP(ESales_DB[[#This Row],[Store_ID]],Estore_DB[Store_ID],Estore_DB[Region])</f>
        <v>West</v>
      </c>
      <c r="R522" t="str">
        <f>VLOOKUP(ESales_DB[[#This Row],[Customer_ID]],Ecustom_DB[],10,FALSE)</f>
        <v>Gold</v>
      </c>
      <c r="S522" t="str">
        <f>IF(ESales_DB[[#This Row],[Quantity1]]&gt;3,"Bulk order","Normal order")</f>
        <v>Normal order</v>
      </c>
    </row>
    <row r="523" spans="1:19" x14ac:dyDescent="0.3">
      <c r="A523" t="s">
        <v>3293</v>
      </c>
      <c r="B523" s="4">
        <v>45568</v>
      </c>
      <c r="C523" s="4" t="str">
        <f>TEXT(ESales_DB[[#This Row],[Order_Date]],"mmm")</f>
        <v>Oct</v>
      </c>
      <c r="D523" t="s">
        <v>1272</v>
      </c>
      <c r="E523" t="s">
        <v>1565</v>
      </c>
      <c r="F523" t="s">
        <v>1782</v>
      </c>
      <c r="G523">
        <v>3</v>
      </c>
      <c r="H523" s="10">
        <f>IF(ISBLANK(ESales_DB[[#This Row],[Quantity]]),AVERAGEIF(ESales_DB[Product_ID],ESales_DB[[#This Row],[Product_ID]],ESales_DB[Quantity]),ESales_DB[[#This Row],[Quantity]])</f>
        <v>3</v>
      </c>
      <c r="I523" s="2">
        <v>136.4</v>
      </c>
      <c r="J523">
        <v>0.15</v>
      </c>
      <c r="K523" t="s">
        <v>1826</v>
      </c>
      <c r="L523" s="2">
        <v>347.82000000000011</v>
      </c>
      <c r="M523" s="2" t="str">
        <f>IF(ESales_DB[[#This Row],[Total_Amount]]&gt;1000,"High","Low")</f>
        <v>Low</v>
      </c>
      <c r="N523" s="2" t="str">
        <f>VLOOKUP(ESales_DB[[#This Row],[Customer_ID]],Ecustom_DB[],3,FALSE)</f>
        <v>Sarah Smith</v>
      </c>
      <c r="O523" s="2" t="str">
        <f>_xlfn.XLOOKUP(ESales_DB[[#This Row],[Product_ID]],Eproduct_DB[Product_ID],Eproduct_DB[Category])</f>
        <v>Sports</v>
      </c>
      <c r="P523" s="2" t="str">
        <f>_xlfn.XLOOKUP(ESales_DB[[#This Row],[Product_ID]],Eproduct_DB[Product_ID],Eproduct_DB[Product_Name])</f>
        <v>Adjustable Dumbbell Set</v>
      </c>
      <c r="Q523" s="2" t="str">
        <f>_xlfn.XLOOKUP(ESales_DB[[#This Row],[Store_ID]],Estore_DB[Store_ID],Estore_DB[Region])</f>
        <v>West</v>
      </c>
      <c r="R523" t="str">
        <f>VLOOKUP(ESales_DB[[#This Row],[Customer_ID]],Ecustom_DB[],10,FALSE)</f>
        <v>Gold</v>
      </c>
      <c r="S523" t="str">
        <f>IF(ESales_DB[[#This Row],[Quantity1]]&gt;3,"Bulk order","Normal order")</f>
        <v>Normal order</v>
      </c>
    </row>
    <row r="524" spans="1:19" x14ac:dyDescent="0.3">
      <c r="A524" t="s">
        <v>3294</v>
      </c>
      <c r="B524" s="4">
        <v>45272</v>
      </c>
      <c r="C524" s="4" t="str">
        <f>TEXT(ESales_DB[[#This Row],[Order_Date]],"mmm")</f>
        <v>Dec</v>
      </c>
      <c r="D524" t="s">
        <v>579</v>
      </c>
      <c r="E524" t="s">
        <v>1557</v>
      </c>
      <c r="F524" t="s">
        <v>1766</v>
      </c>
      <c r="G524">
        <v>2</v>
      </c>
      <c r="H524" s="10">
        <f>IF(ISBLANK(ESales_DB[[#This Row],[Quantity]]),AVERAGEIF(ESales_DB[Product_ID],ESales_DB[[#This Row],[Product_ID]],ESales_DB[Quantity]),ESales_DB[[#This Row],[Quantity]])</f>
        <v>2</v>
      </c>
      <c r="I524" s="2">
        <v>42.51</v>
      </c>
      <c r="J524">
        <v>0.04</v>
      </c>
      <c r="K524" t="s">
        <v>1829</v>
      </c>
      <c r="L524" s="2">
        <v>81.619199999999992</v>
      </c>
      <c r="M524" s="2" t="str">
        <f>IF(ESales_DB[[#This Row],[Total_Amount]]&gt;1000,"High","Low")</f>
        <v>Low</v>
      </c>
      <c r="N524" s="2" t="str">
        <f>VLOOKUP(ESales_DB[[#This Row],[Customer_ID]],Ecustom_DB[],3,FALSE)</f>
        <v>Michelle Rogers</v>
      </c>
      <c r="O524" s="2" t="str">
        <f>_xlfn.XLOOKUP(ESales_DB[[#This Row],[Product_ID]],Eproduct_DB[Product_ID],Eproduct_DB[Category])</f>
        <v>Beauty</v>
      </c>
      <c r="P524" s="2" t="str">
        <f>_xlfn.XLOOKUP(ESales_DB[[#This Row],[Product_ID]],Eproduct_DB[Product_ID],Eproduct_DB[Product_Name])</f>
        <v>Herbal Face Moisturizer</v>
      </c>
      <c r="Q524" s="2" t="str">
        <f>_xlfn.XLOOKUP(ESales_DB[[#This Row],[Store_ID]],Estore_DB[Store_ID],Estore_DB[Region])</f>
        <v>North</v>
      </c>
      <c r="R524" t="str">
        <f>VLOOKUP(ESales_DB[[#This Row],[Customer_ID]],Ecustom_DB[],10,FALSE)</f>
        <v>Platinum</v>
      </c>
      <c r="S524" t="str">
        <f>IF(ESales_DB[[#This Row],[Quantity1]]&gt;3,"Bulk order","Normal order")</f>
        <v>Normal order</v>
      </c>
    </row>
    <row r="525" spans="1:19" x14ac:dyDescent="0.3">
      <c r="A525" t="s">
        <v>3295</v>
      </c>
      <c r="B525" s="4">
        <v>45718</v>
      </c>
      <c r="C525" s="4" t="str">
        <f>TEXT(ESales_DB[[#This Row],[Order_Date]],"mmm")</f>
        <v>Mar</v>
      </c>
      <c r="D525" t="s">
        <v>1124</v>
      </c>
      <c r="E525" t="s">
        <v>1698</v>
      </c>
      <c r="F525" t="s">
        <v>1779</v>
      </c>
      <c r="G525">
        <v>3</v>
      </c>
      <c r="H525" s="10">
        <f>IF(ISBLANK(ESales_DB[[#This Row],[Quantity]]),AVERAGEIF(ESales_DB[Product_ID],ESales_DB[[#This Row],[Product_ID]],ESales_DB[Quantity]),ESales_DB[[#This Row],[Quantity]])</f>
        <v>3</v>
      </c>
      <c r="I525" s="2">
        <v>582.1</v>
      </c>
      <c r="J525">
        <v>0.12</v>
      </c>
      <c r="K525" t="s">
        <v>1826</v>
      </c>
      <c r="L525" s="2">
        <v>1536.7439999999999</v>
      </c>
      <c r="M525" s="2" t="str">
        <f>IF(ESales_DB[[#This Row],[Total_Amount]]&gt;1000,"High","Low")</f>
        <v>High</v>
      </c>
      <c r="N525" s="2" t="str">
        <f>VLOOKUP(ESales_DB[[#This Row],[Customer_ID]],Ecustom_DB[],3,FALSE)</f>
        <v>Melanie Lam</v>
      </c>
      <c r="O525" s="2" t="str">
        <f>_xlfn.XLOOKUP(ESales_DB[[#This Row],[Product_ID]],Eproduct_DB[Product_ID],Eproduct_DB[Category])</f>
        <v>Clothing</v>
      </c>
      <c r="P525" s="2" t="str">
        <f>_xlfn.XLOOKUP(ESales_DB[[#This Row],[Product_ID]],Eproduct_DB[Product_ID],Eproduct_DB[Product_Name])</f>
        <v>Women's Ankle Boots</v>
      </c>
      <c r="Q525" s="2" t="str">
        <f>_xlfn.XLOOKUP(ESales_DB[[#This Row],[Store_ID]],Estore_DB[Store_ID],Estore_DB[Region])</f>
        <v>South</v>
      </c>
      <c r="R525" t="str">
        <f>VLOOKUP(ESales_DB[[#This Row],[Customer_ID]],Ecustom_DB[],10,FALSE)</f>
        <v>Silver</v>
      </c>
      <c r="S525" t="str">
        <f>IF(ESales_DB[[#This Row],[Quantity1]]&gt;3,"Bulk order","Normal order")</f>
        <v>Normal order</v>
      </c>
    </row>
    <row r="526" spans="1:19" x14ac:dyDescent="0.3">
      <c r="A526" t="s">
        <v>1973</v>
      </c>
      <c r="B526" s="4">
        <v>45617</v>
      </c>
      <c r="C526" s="4" t="str">
        <f>TEXT(ESales_DB[[#This Row],[Order_Date]],"mmm")</f>
        <v>Nov</v>
      </c>
      <c r="D526" t="s">
        <v>932</v>
      </c>
      <c r="E526" t="s">
        <v>1712</v>
      </c>
      <c r="F526" t="s">
        <v>1813</v>
      </c>
      <c r="G526">
        <v>1</v>
      </c>
      <c r="H526" s="10">
        <f>IF(ISBLANK(ESales_DB[[#This Row],[Quantity]]),AVERAGEIF(ESales_DB[Product_ID],ESales_DB[[#This Row],[Product_ID]],ESales_DB[Quantity]),ESales_DB[[#This Row],[Quantity]])</f>
        <v>1</v>
      </c>
      <c r="I526" s="2">
        <v>653.87</v>
      </c>
      <c r="J526">
        <v>0.14000000000000001</v>
      </c>
      <c r="K526" t="s">
        <v>1826</v>
      </c>
      <c r="L526" s="2">
        <v>562.32820000000004</v>
      </c>
      <c r="M526" s="2" t="str">
        <f>IF(ESales_DB[[#This Row],[Total_Amount]]&gt;1000,"High","Low")</f>
        <v>Low</v>
      </c>
      <c r="N526" s="2" t="str">
        <f>VLOOKUP(ESales_DB[[#This Row],[Customer_ID]],Ecustom_DB[],3,FALSE)</f>
        <v>Lisa Chandler</v>
      </c>
      <c r="O526" s="2" t="str">
        <f>_xlfn.XLOOKUP(ESales_DB[[#This Row],[Product_ID]],Eproduct_DB[Product_ID],Eproduct_DB[Category])</f>
        <v>Sports</v>
      </c>
      <c r="P526" s="2" t="str">
        <f>_xlfn.XLOOKUP(ESales_DB[[#This Row],[Product_ID]],Eproduct_DB[Product_ID],Eproduct_DB[Product_Name])</f>
        <v>Fitness Resistance Bands</v>
      </c>
      <c r="Q526" s="2" t="str">
        <f>_xlfn.XLOOKUP(ESales_DB[[#This Row],[Store_ID]],Estore_DB[Store_ID],Estore_DB[Region])</f>
        <v>East</v>
      </c>
      <c r="R526" t="str">
        <f>VLOOKUP(ESales_DB[[#This Row],[Customer_ID]],Ecustom_DB[],10,FALSE)</f>
        <v>Platinum</v>
      </c>
      <c r="S526" t="str">
        <f>IF(ESales_DB[[#This Row],[Quantity1]]&gt;3,"Bulk order","Normal order")</f>
        <v>Normal order</v>
      </c>
    </row>
    <row r="527" spans="1:19" x14ac:dyDescent="0.3">
      <c r="A527" t="s">
        <v>3296</v>
      </c>
      <c r="B527" s="4">
        <v>45356</v>
      </c>
      <c r="C527" s="4" t="str">
        <f>TEXT(ESales_DB[[#This Row],[Order_Date]],"mmm")</f>
        <v>Mar</v>
      </c>
      <c r="D527" t="s">
        <v>711</v>
      </c>
      <c r="E527" t="s">
        <v>1712</v>
      </c>
      <c r="F527" t="s">
        <v>1807</v>
      </c>
      <c r="G527">
        <v>4</v>
      </c>
      <c r="H527" s="10">
        <f>IF(ISBLANK(ESales_DB[[#This Row],[Quantity]]),AVERAGEIF(ESales_DB[Product_ID],ESales_DB[[#This Row],[Product_ID]],ESales_DB[Quantity]),ESales_DB[[#This Row],[Quantity]])</f>
        <v>4</v>
      </c>
      <c r="I527" s="2">
        <v>461.52</v>
      </c>
      <c r="J527">
        <v>0</v>
      </c>
      <c r="K527" t="s">
        <v>1829</v>
      </c>
      <c r="L527" s="2">
        <v>1846.08</v>
      </c>
      <c r="M527" s="2" t="str">
        <f>IF(ESales_DB[[#This Row],[Total_Amount]]&gt;1000,"High","Low")</f>
        <v>High</v>
      </c>
      <c r="N527" s="2" t="str">
        <f>VLOOKUP(ESales_DB[[#This Row],[Customer_ID]],Ecustom_DB[],3,FALSE)</f>
        <v>Jordan Wells</v>
      </c>
      <c r="O527" s="2" t="str">
        <f>_xlfn.XLOOKUP(ESales_DB[[#This Row],[Product_ID]],Eproduct_DB[Product_ID],Eproduct_DB[Category])</f>
        <v>Sports</v>
      </c>
      <c r="P527" s="2" t="str">
        <f>_xlfn.XLOOKUP(ESales_DB[[#This Row],[Product_ID]],Eproduct_DB[Product_ID],Eproduct_DB[Product_Name])</f>
        <v>Fitness Resistance Bands</v>
      </c>
      <c r="Q527" s="2" t="str">
        <f>_xlfn.XLOOKUP(ESales_DB[[#This Row],[Store_ID]],Estore_DB[Store_ID],Estore_DB[Region])</f>
        <v>North</v>
      </c>
      <c r="R527" t="str">
        <f>VLOOKUP(ESales_DB[[#This Row],[Customer_ID]],Ecustom_DB[],10,FALSE)</f>
        <v>Gold</v>
      </c>
      <c r="S527" t="str">
        <f>IF(ESales_DB[[#This Row],[Quantity1]]&gt;3,"Bulk order","Normal order")</f>
        <v>Bulk order</v>
      </c>
    </row>
    <row r="528" spans="1:19" x14ac:dyDescent="0.3">
      <c r="A528" t="s">
        <v>3297</v>
      </c>
      <c r="B528" s="4">
        <v>45552</v>
      </c>
      <c r="C528" s="4" t="str">
        <f>TEXT(ESales_DB[[#This Row],[Order_Date]],"mmm")</f>
        <v>Sep</v>
      </c>
      <c r="D528" t="s">
        <v>1524</v>
      </c>
      <c r="E528" t="s">
        <v>1580</v>
      </c>
      <c r="F528" t="s">
        <v>1792</v>
      </c>
      <c r="G528">
        <v>1</v>
      </c>
      <c r="H528" s="10">
        <f>IF(ISBLANK(ESales_DB[[#This Row],[Quantity]]),AVERAGEIF(ESales_DB[Product_ID],ESales_DB[[#This Row],[Product_ID]],ESales_DB[Quantity]),ESales_DB[[#This Row],[Quantity]])</f>
        <v>1</v>
      </c>
      <c r="I528" s="2">
        <v>558.41999999999996</v>
      </c>
      <c r="J528">
        <v>0.03</v>
      </c>
      <c r="K528" t="s">
        <v>1824</v>
      </c>
      <c r="L528" s="2">
        <v>541.66739999999993</v>
      </c>
      <c r="M528" s="2" t="str">
        <f>IF(ESales_DB[[#This Row],[Total_Amount]]&gt;1000,"High","Low")</f>
        <v>Low</v>
      </c>
      <c r="N528" s="2" t="str">
        <f>VLOOKUP(ESales_DB[[#This Row],[Customer_ID]],Ecustom_DB[],3,FALSE)</f>
        <v>Christopher Ford</v>
      </c>
      <c r="O528" s="2" t="str">
        <f>_xlfn.XLOOKUP(ESales_DB[[#This Row],[Product_ID]],Eproduct_DB[Product_ID],Eproduct_DB[Category])</f>
        <v>Beauty</v>
      </c>
      <c r="P528" s="2" t="str">
        <f>_xlfn.XLOOKUP(ESales_DB[[#This Row],[Product_ID]],Eproduct_DB[Product_ID],Eproduct_DB[Product_Name])</f>
        <v>Beard Grooming Kit</v>
      </c>
      <c r="Q528" s="2" t="str">
        <f>_xlfn.XLOOKUP(ESales_DB[[#This Row],[Store_ID]],Estore_DB[Store_ID],Estore_DB[Region])</f>
        <v>South</v>
      </c>
      <c r="R528" t="str">
        <f>VLOOKUP(ESales_DB[[#This Row],[Customer_ID]],Ecustom_DB[],10,FALSE)</f>
        <v>Bronze</v>
      </c>
      <c r="S528" t="str">
        <f>IF(ESales_DB[[#This Row],[Quantity1]]&gt;3,"Bulk order","Normal order")</f>
        <v>Normal order</v>
      </c>
    </row>
    <row r="529" spans="1:19" x14ac:dyDescent="0.3">
      <c r="A529" t="s">
        <v>3298</v>
      </c>
      <c r="B529" s="4">
        <v>45288</v>
      </c>
      <c r="C529" s="4" t="str">
        <f>TEXT(ESales_DB[[#This Row],[Order_Date]],"mmm")</f>
        <v>Dec</v>
      </c>
      <c r="D529" t="s">
        <v>839</v>
      </c>
      <c r="E529" t="s">
        <v>1572</v>
      </c>
      <c r="F529" t="s">
        <v>1810</v>
      </c>
      <c r="G529">
        <v>4</v>
      </c>
      <c r="H529" s="10">
        <f>IF(ISBLANK(ESales_DB[[#This Row],[Quantity]]),AVERAGEIF(ESales_DB[Product_ID],ESales_DB[[#This Row],[Product_ID]],ESales_DB[Quantity]),ESales_DB[[#This Row],[Quantity]])</f>
        <v>4</v>
      </c>
      <c r="I529" s="2">
        <v>700.98</v>
      </c>
      <c r="J529">
        <v>0.12</v>
      </c>
      <c r="K529" t="s">
        <v>1826</v>
      </c>
      <c r="L529" s="2">
        <v>2467.4495999999999</v>
      </c>
      <c r="M529" s="2" t="str">
        <f>IF(ESales_DB[[#This Row],[Total_Amount]]&gt;1000,"High","Low")</f>
        <v>High</v>
      </c>
      <c r="N529" s="2" t="str">
        <f>VLOOKUP(ESales_DB[[#This Row],[Customer_ID]],Ecustom_DB[],3,FALSE)</f>
        <v>Crystal Davis</v>
      </c>
      <c r="O529" s="2" t="str">
        <f>_xlfn.XLOOKUP(ESales_DB[[#This Row],[Product_ID]],Eproduct_DB[Product_ID],Eproduct_DB[Category])</f>
        <v>Beauty</v>
      </c>
      <c r="P529" s="2" t="str">
        <f>_xlfn.XLOOKUP(ESales_DB[[#This Row],[Product_ID]],Eproduct_DB[Product_ID],Eproduct_DB[Product_Name])</f>
        <v>Hair Strengthening Shampoo</v>
      </c>
      <c r="Q529" s="2" t="str">
        <f>_xlfn.XLOOKUP(ESales_DB[[#This Row],[Store_ID]],Estore_DB[Store_ID],Estore_DB[Region])</f>
        <v>East</v>
      </c>
      <c r="R529" t="str">
        <f>VLOOKUP(ESales_DB[[#This Row],[Customer_ID]],Ecustom_DB[],10,FALSE)</f>
        <v>Bronze</v>
      </c>
      <c r="S529" t="str">
        <f>IF(ESales_DB[[#This Row],[Quantity1]]&gt;3,"Bulk order","Normal order")</f>
        <v>Bulk order</v>
      </c>
    </row>
    <row r="530" spans="1:19" x14ac:dyDescent="0.3">
      <c r="A530" t="s">
        <v>3299</v>
      </c>
      <c r="B530" s="4">
        <v>45605</v>
      </c>
      <c r="C530" s="4" t="str">
        <f>TEXT(ESales_DB[[#This Row],[Order_Date]],"mmm")</f>
        <v>Nov</v>
      </c>
      <c r="D530" t="s">
        <v>1260</v>
      </c>
      <c r="E530" t="s">
        <v>1718</v>
      </c>
      <c r="F530" t="s">
        <v>1810</v>
      </c>
      <c r="G530">
        <v>2</v>
      </c>
      <c r="H530" s="10">
        <f>IF(ISBLANK(ESales_DB[[#This Row],[Quantity]]),AVERAGEIF(ESales_DB[Product_ID],ESales_DB[[#This Row],[Product_ID]],ESales_DB[Quantity]),ESales_DB[[#This Row],[Quantity]])</f>
        <v>2</v>
      </c>
      <c r="I530" s="2">
        <v>227.97</v>
      </c>
      <c r="J530">
        <v>0.08</v>
      </c>
      <c r="K530" t="s">
        <v>1829</v>
      </c>
      <c r="L530" s="2">
        <v>419.46480000000003</v>
      </c>
      <c r="M530" s="2" t="str">
        <f>IF(ESales_DB[[#This Row],[Total_Amount]]&gt;1000,"High","Low")</f>
        <v>Low</v>
      </c>
      <c r="N530" s="2" t="str">
        <f>VLOOKUP(ESales_DB[[#This Row],[Customer_ID]],Ecustom_DB[],3,FALSE)</f>
        <v>Eric Wolfe</v>
      </c>
      <c r="O530" s="2" t="str">
        <f>_xlfn.XLOOKUP(ESales_DB[[#This Row],[Product_ID]],Eproduct_DB[Product_ID],Eproduct_DB[Category])</f>
        <v>Clothing</v>
      </c>
      <c r="P530" s="2" t="str">
        <f>_xlfn.XLOOKUP(ESales_DB[[#This Row],[Product_ID]],Eproduct_DB[Product_ID],Eproduct_DB[Product_Name])</f>
        <v>Women's Beanie Hat</v>
      </c>
      <c r="Q530" s="2" t="str">
        <f>_xlfn.XLOOKUP(ESales_DB[[#This Row],[Store_ID]],Estore_DB[Store_ID],Estore_DB[Region])</f>
        <v>East</v>
      </c>
      <c r="R530" t="str">
        <f>VLOOKUP(ESales_DB[[#This Row],[Customer_ID]],Ecustom_DB[],10,FALSE)</f>
        <v>Gold</v>
      </c>
      <c r="S530" t="str">
        <f>IF(ESales_DB[[#This Row],[Quantity1]]&gt;3,"Bulk order","Normal order")</f>
        <v>Normal order</v>
      </c>
    </row>
    <row r="531" spans="1:19" x14ac:dyDescent="0.3">
      <c r="A531" t="s">
        <v>3300</v>
      </c>
      <c r="B531" s="4">
        <v>45516</v>
      </c>
      <c r="C531" s="4" t="str">
        <f>TEXT(ESales_DB[[#This Row],[Order_Date]],"mmm")</f>
        <v>Aug</v>
      </c>
      <c r="D531" t="s">
        <v>1461</v>
      </c>
      <c r="E531" t="s">
        <v>1626</v>
      </c>
      <c r="F531" t="s">
        <v>1792</v>
      </c>
      <c r="G531">
        <v>4</v>
      </c>
      <c r="H531" s="10">
        <f>IF(ISBLANK(ESales_DB[[#This Row],[Quantity]]),AVERAGEIF(ESales_DB[Product_ID],ESales_DB[[#This Row],[Product_ID]],ESales_DB[Quantity]),ESales_DB[[#This Row],[Quantity]])</f>
        <v>4</v>
      </c>
      <c r="I531" s="2">
        <v>278.70999999999998</v>
      </c>
      <c r="J531">
        <v>0.2</v>
      </c>
      <c r="K531" t="s">
        <v>1826</v>
      </c>
      <c r="L531" s="2">
        <v>891.87199999999996</v>
      </c>
      <c r="M531" s="2" t="str">
        <f>IF(ESales_DB[[#This Row],[Total_Amount]]&gt;1000,"High","Low")</f>
        <v>Low</v>
      </c>
      <c r="N531" s="2" t="str">
        <f>VLOOKUP(ESales_DB[[#This Row],[Customer_ID]],Ecustom_DB[],3,FALSE)</f>
        <v>Joshua Howard</v>
      </c>
      <c r="O531" s="2" t="str">
        <f>_xlfn.XLOOKUP(ESales_DB[[#This Row],[Product_ID]],Eproduct_DB[Product_ID],Eproduct_DB[Category])</f>
        <v>Electronics</v>
      </c>
      <c r="P531" s="2" t="str">
        <f>_xlfn.XLOOKUP(ESales_DB[[#This Row],[Product_ID]],Eproduct_DB[Product_ID],Eproduct_DB[Product_Name])</f>
        <v>Portable Power Bank</v>
      </c>
      <c r="Q531" s="2" t="str">
        <f>_xlfn.XLOOKUP(ESales_DB[[#This Row],[Store_ID]],Estore_DB[Store_ID],Estore_DB[Region])</f>
        <v>South</v>
      </c>
      <c r="R531" t="str">
        <f>VLOOKUP(ESales_DB[[#This Row],[Customer_ID]],Ecustom_DB[],10,FALSE)</f>
        <v>Platinum</v>
      </c>
      <c r="S531" t="str">
        <f>IF(ESales_DB[[#This Row],[Quantity1]]&gt;3,"Bulk order","Normal order")</f>
        <v>Bulk order</v>
      </c>
    </row>
    <row r="532" spans="1:19" x14ac:dyDescent="0.3">
      <c r="A532" t="s">
        <v>3301</v>
      </c>
      <c r="B532" s="4">
        <v>45379</v>
      </c>
      <c r="C532" s="4" t="str">
        <f>TEXT(ESales_DB[[#This Row],[Order_Date]],"mmm")</f>
        <v>Mar</v>
      </c>
      <c r="D532" t="s">
        <v>827</v>
      </c>
      <c r="E532" t="s">
        <v>1746</v>
      </c>
      <c r="F532" t="s">
        <v>1782</v>
      </c>
      <c r="G532">
        <v>2</v>
      </c>
      <c r="H532" s="10">
        <f>IF(ISBLANK(ESales_DB[[#This Row],[Quantity]]),AVERAGEIF(ESales_DB[Product_ID],ESales_DB[[#This Row],[Product_ID]],ESales_DB[Quantity]),ESales_DB[[#This Row],[Quantity]])</f>
        <v>2</v>
      </c>
      <c r="I532" s="2">
        <v>916.12</v>
      </c>
      <c r="J532">
        <v>0.05</v>
      </c>
      <c r="K532" t="s">
        <v>1826</v>
      </c>
      <c r="L532" s="2">
        <v>1740.6279999999999</v>
      </c>
      <c r="M532" s="2" t="str">
        <f>IF(ESales_DB[[#This Row],[Total_Amount]]&gt;1000,"High","Low")</f>
        <v>High</v>
      </c>
      <c r="N532" s="2" t="str">
        <f>VLOOKUP(ESales_DB[[#This Row],[Customer_ID]],Ecustom_DB[],3,FALSE)</f>
        <v>Beth Allen</v>
      </c>
      <c r="O532" s="2" t="str">
        <f>_xlfn.XLOOKUP(ESales_DB[[#This Row],[Product_ID]],Eproduct_DB[Product_ID],Eproduct_DB[Category])</f>
        <v>Home</v>
      </c>
      <c r="P532" s="2" t="str">
        <f>_xlfn.XLOOKUP(ESales_DB[[#This Row],[Product_ID]],Eproduct_DB[Product_ID],Eproduct_DB[Product_Name])</f>
        <v>Stainless Steel Cookware Set</v>
      </c>
      <c r="Q532" s="2" t="str">
        <f>_xlfn.XLOOKUP(ESales_DB[[#This Row],[Store_ID]],Estore_DB[Store_ID],Estore_DB[Region])</f>
        <v>West</v>
      </c>
      <c r="R532" t="str">
        <f>VLOOKUP(ESales_DB[[#This Row],[Customer_ID]],Ecustom_DB[],10,FALSE)</f>
        <v>Silver</v>
      </c>
      <c r="S532" t="str">
        <f>IF(ESales_DB[[#This Row],[Quantity1]]&gt;3,"Bulk order","Normal order")</f>
        <v>Normal order</v>
      </c>
    </row>
    <row r="533" spans="1:19" x14ac:dyDescent="0.3">
      <c r="A533" t="s">
        <v>3302</v>
      </c>
      <c r="B533" s="4">
        <v>45567</v>
      </c>
      <c r="C533" s="4" t="str">
        <f>TEXT(ESales_DB[[#This Row],[Order_Date]],"mmm")</f>
        <v>Oct</v>
      </c>
      <c r="D533" t="s">
        <v>455</v>
      </c>
      <c r="E533" t="s">
        <v>1568</v>
      </c>
      <c r="F533" t="s">
        <v>1794</v>
      </c>
      <c r="G533">
        <v>4</v>
      </c>
      <c r="H533" s="10">
        <f>IF(ISBLANK(ESales_DB[[#This Row],[Quantity]]),AVERAGEIF(ESales_DB[Product_ID],ESales_DB[[#This Row],[Product_ID]],ESales_DB[Quantity]),ESales_DB[[#This Row],[Quantity]])</f>
        <v>4</v>
      </c>
      <c r="I533" s="2">
        <v>228.98</v>
      </c>
      <c r="J533">
        <v>0.22</v>
      </c>
      <c r="K533" t="s">
        <v>1826</v>
      </c>
      <c r="L533" s="2">
        <v>714.41759999999999</v>
      </c>
      <c r="M533" s="2" t="str">
        <f>IF(ESales_DB[[#This Row],[Total_Amount]]&gt;1000,"High","Low")</f>
        <v>Low</v>
      </c>
      <c r="N533" s="2" t="str">
        <f>VLOOKUP(ESales_DB[[#This Row],[Customer_ID]],Ecustom_DB[],3,FALSE)</f>
        <v>Hayley Pope</v>
      </c>
      <c r="O533" s="2" t="str">
        <f>_xlfn.XLOOKUP(ESales_DB[[#This Row],[Product_ID]],Eproduct_DB[Product_ID],Eproduct_DB[Category])</f>
        <v>Home</v>
      </c>
      <c r="P533" s="2" t="str">
        <f>_xlfn.XLOOKUP(ESales_DB[[#This Row],[Product_ID]],Eproduct_DB[Product_ID],Eproduct_DB[Product_Name])</f>
        <v>Ceramic Kitchen Bowl Set</v>
      </c>
      <c r="Q533" s="2" t="str">
        <f>_xlfn.XLOOKUP(ESales_DB[[#This Row],[Store_ID]],Estore_DB[Store_ID],Estore_DB[Region])</f>
        <v>North</v>
      </c>
      <c r="R533" t="str">
        <f>VLOOKUP(ESales_DB[[#This Row],[Customer_ID]],Ecustom_DB[],10,FALSE)</f>
        <v>Bronze</v>
      </c>
      <c r="S533" t="str">
        <f>IF(ESales_DB[[#This Row],[Quantity1]]&gt;3,"Bulk order","Normal order")</f>
        <v>Bulk order</v>
      </c>
    </row>
    <row r="534" spans="1:19" x14ac:dyDescent="0.3">
      <c r="A534" t="s">
        <v>3303</v>
      </c>
      <c r="B534" s="4">
        <v>45510</v>
      </c>
      <c r="C534" s="4" t="str">
        <f>TEXT(ESales_DB[[#This Row],[Order_Date]],"mmm")</f>
        <v>Aug</v>
      </c>
      <c r="D534" t="s">
        <v>752</v>
      </c>
      <c r="E534" t="s">
        <v>1726</v>
      </c>
      <c r="F534" t="s">
        <v>1801</v>
      </c>
      <c r="G534">
        <v>4</v>
      </c>
      <c r="H534" s="10">
        <f>IF(ISBLANK(ESales_DB[[#This Row],[Quantity]]),AVERAGEIF(ESales_DB[Product_ID],ESales_DB[[#This Row],[Product_ID]],ESales_DB[Quantity]),ESales_DB[[#This Row],[Quantity]])</f>
        <v>4</v>
      </c>
      <c r="I534" s="2">
        <v>904.82</v>
      </c>
      <c r="J534">
        <v>0.09</v>
      </c>
      <c r="K534" t="s">
        <v>1826</v>
      </c>
      <c r="L534" s="2">
        <v>3293.5448000000001</v>
      </c>
      <c r="M534" s="2" t="str">
        <f>IF(ESales_DB[[#This Row],[Total_Amount]]&gt;1000,"High","Low")</f>
        <v>High</v>
      </c>
      <c r="N534" s="2" t="str">
        <f>VLOOKUP(ESales_DB[[#This Row],[Customer_ID]],Ecustom_DB[],3,FALSE)</f>
        <v>Nathaniel Hill</v>
      </c>
      <c r="O534" s="2" t="str">
        <f>_xlfn.XLOOKUP(ESales_DB[[#This Row],[Product_ID]],Eproduct_DB[Product_ID],Eproduct_DB[Category])</f>
        <v>Beauty</v>
      </c>
      <c r="P534" s="2" t="str">
        <f>_xlfn.XLOOKUP(ESales_DB[[#This Row],[Product_ID]],Eproduct_DB[Product_ID],Eproduct_DB[Product_Name])</f>
        <v>Face Foundation Kit</v>
      </c>
      <c r="Q534" s="2" t="str">
        <f>_xlfn.XLOOKUP(ESales_DB[[#This Row],[Store_ID]],Estore_DB[Store_ID],Estore_DB[Region])</f>
        <v>North</v>
      </c>
      <c r="R534" t="str">
        <f>VLOOKUP(ESales_DB[[#This Row],[Customer_ID]],Ecustom_DB[],10,FALSE)</f>
        <v>Gold</v>
      </c>
      <c r="S534" t="str">
        <f>IF(ESales_DB[[#This Row],[Quantity1]]&gt;3,"Bulk order","Normal order")</f>
        <v>Bulk order</v>
      </c>
    </row>
    <row r="535" spans="1:19" x14ac:dyDescent="0.3">
      <c r="A535" t="s">
        <v>3304</v>
      </c>
      <c r="B535" s="4">
        <v>45806</v>
      </c>
      <c r="C535" s="4" t="str">
        <f>TEXT(ESales_DB[[#This Row],[Order_Date]],"mmm")</f>
        <v>May</v>
      </c>
      <c r="D535" t="s">
        <v>295</v>
      </c>
      <c r="E535" t="s">
        <v>1594</v>
      </c>
      <c r="F535" t="s">
        <v>1792</v>
      </c>
      <c r="G535">
        <v>1</v>
      </c>
      <c r="H535" s="10">
        <f>IF(ISBLANK(ESales_DB[[#This Row],[Quantity]]),AVERAGEIF(ESales_DB[Product_ID],ESales_DB[[#This Row],[Product_ID]],ESales_DB[Quantity]),ESales_DB[[#This Row],[Quantity]])</f>
        <v>1</v>
      </c>
      <c r="I535" s="2">
        <v>588.61</v>
      </c>
      <c r="J535">
        <v>0.1</v>
      </c>
      <c r="K535" t="s">
        <v>1826</v>
      </c>
      <c r="L535" s="2">
        <v>529.74900000000002</v>
      </c>
      <c r="M535" s="2" t="str">
        <f>IF(ESales_DB[[#This Row],[Total_Amount]]&gt;1000,"High","Low")</f>
        <v>Low</v>
      </c>
      <c r="N535" s="2" t="str">
        <f>VLOOKUP(ESales_DB[[#This Row],[Customer_ID]],Ecustom_DB[],3,FALSE)</f>
        <v>Krystal Ford</v>
      </c>
      <c r="O535" s="2" t="str">
        <f>_xlfn.XLOOKUP(ESales_DB[[#This Row],[Product_ID]],Eproduct_DB[Product_ID],Eproduct_DB[Category])</f>
        <v>Clothing</v>
      </c>
      <c r="P535" s="2" t="str">
        <f>_xlfn.XLOOKUP(ESales_DB[[#This Row],[Product_ID]],Eproduct_DB[Product_ID],Eproduct_DB[Product_Name])</f>
        <v>Men's Formal Shirt</v>
      </c>
      <c r="Q535" s="2" t="str">
        <f>_xlfn.XLOOKUP(ESales_DB[[#This Row],[Store_ID]],Estore_DB[Store_ID],Estore_DB[Region])</f>
        <v>South</v>
      </c>
      <c r="R535" t="str">
        <f>VLOOKUP(ESales_DB[[#This Row],[Customer_ID]],Ecustom_DB[],10,FALSE)</f>
        <v>Platinum</v>
      </c>
      <c r="S535" t="str">
        <f>IF(ESales_DB[[#This Row],[Quantity1]]&gt;3,"Bulk order","Normal order")</f>
        <v>Normal order</v>
      </c>
    </row>
    <row r="536" spans="1:19" x14ac:dyDescent="0.3">
      <c r="A536" t="s">
        <v>3305</v>
      </c>
      <c r="B536" s="4">
        <v>45240</v>
      </c>
      <c r="C536" s="4" t="str">
        <f>TEXT(ESales_DB[[#This Row],[Order_Date]],"mmm")</f>
        <v>Nov</v>
      </c>
      <c r="D536" t="s">
        <v>396</v>
      </c>
      <c r="E536" t="s">
        <v>1614</v>
      </c>
      <c r="F536" t="s">
        <v>1766</v>
      </c>
      <c r="G536">
        <v>4</v>
      </c>
      <c r="H536" s="10">
        <f>IF(ISBLANK(ESales_DB[[#This Row],[Quantity]]),AVERAGEIF(ESales_DB[Product_ID],ESales_DB[[#This Row],[Product_ID]],ESales_DB[Quantity]),ESales_DB[[#This Row],[Quantity]])</f>
        <v>4</v>
      </c>
      <c r="I536" s="2">
        <v>695.97</v>
      </c>
      <c r="J536">
        <v>0.02</v>
      </c>
      <c r="K536" t="s">
        <v>1824</v>
      </c>
      <c r="L536" s="2">
        <v>2728.2024000000001</v>
      </c>
      <c r="M536" s="2" t="str">
        <f>IF(ESales_DB[[#This Row],[Total_Amount]]&gt;1000,"High","Low")</f>
        <v>High</v>
      </c>
      <c r="N536" s="2" t="str">
        <f>VLOOKUP(ESales_DB[[#This Row],[Customer_ID]],Ecustom_DB[],3,FALSE)</f>
        <v>Edward Hall</v>
      </c>
      <c r="O536" s="2" t="str">
        <f>_xlfn.XLOOKUP(ESales_DB[[#This Row],[Product_ID]],Eproduct_DB[Product_ID],Eproduct_DB[Category])</f>
        <v>Home</v>
      </c>
      <c r="P536" s="2" t="str">
        <f>_xlfn.XLOOKUP(ESales_DB[[#This Row],[Product_ID]],Eproduct_DB[Product_ID],Eproduct_DB[Product_Name])</f>
        <v>Modern Wall Clock</v>
      </c>
      <c r="Q536" s="2" t="str">
        <f>_xlfn.XLOOKUP(ESales_DB[[#This Row],[Store_ID]],Estore_DB[Store_ID],Estore_DB[Region])</f>
        <v>North</v>
      </c>
      <c r="R536" t="str">
        <f>VLOOKUP(ESales_DB[[#This Row],[Customer_ID]],Ecustom_DB[],10,FALSE)</f>
        <v>Gold</v>
      </c>
      <c r="S536" t="str">
        <f>IF(ESales_DB[[#This Row],[Quantity1]]&gt;3,"Bulk order","Normal order")</f>
        <v>Bulk order</v>
      </c>
    </row>
    <row r="537" spans="1:19" x14ac:dyDescent="0.3">
      <c r="A537" t="s">
        <v>1974</v>
      </c>
      <c r="B537" s="4">
        <v>45878</v>
      </c>
      <c r="C537" s="4" t="str">
        <f>TEXT(ESales_DB[[#This Row],[Order_Date]],"mmm")</f>
        <v>Aug</v>
      </c>
      <c r="D537" t="s">
        <v>1516</v>
      </c>
      <c r="E537" t="s">
        <v>1722</v>
      </c>
      <c r="F537" t="s">
        <v>1752</v>
      </c>
      <c r="G537">
        <v>1</v>
      </c>
      <c r="H537" s="10">
        <f>IF(ISBLANK(ESales_DB[[#This Row],[Quantity]]),AVERAGEIF(ESales_DB[Product_ID],ESales_DB[[#This Row],[Product_ID]],ESales_DB[Quantity]),ESales_DB[[#This Row],[Quantity]])</f>
        <v>1</v>
      </c>
      <c r="I537" s="2">
        <v>652.03</v>
      </c>
      <c r="J537">
        <v>0.27</v>
      </c>
      <c r="K537" t="s">
        <v>1824</v>
      </c>
      <c r="L537" s="2">
        <v>475.9819</v>
      </c>
      <c r="M537" s="2" t="str">
        <f>IF(ESales_DB[[#This Row],[Total_Amount]]&gt;1000,"High","Low")</f>
        <v>Low</v>
      </c>
      <c r="N537" s="2" t="str">
        <f>VLOOKUP(ESales_DB[[#This Row],[Customer_ID]],Ecustom_DB[],3,FALSE)</f>
        <v>Amanda Powell</v>
      </c>
      <c r="O537" s="2" t="str">
        <f>_xlfn.XLOOKUP(ESales_DB[[#This Row],[Product_ID]],Eproduct_DB[Product_ID],Eproduct_DB[Category])</f>
        <v>Home</v>
      </c>
      <c r="P537" s="2" t="str">
        <f>_xlfn.XLOOKUP(ESales_DB[[#This Row],[Product_ID]],Eproduct_DB[Product_ID],Eproduct_DB[Product_Name])</f>
        <v>LED Bedside Lamp</v>
      </c>
      <c r="Q537" s="2" t="str">
        <f>_xlfn.XLOOKUP(ESales_DB[[#This Row],[Store_ID]],Estore_DB[Store_ID],Estore_DB[Region])</f>
        <v>East</v>
      </c>
      <c r="R537" t="str">
        <f>VLOOKUP(ESales_DB[[#This Row],[Customer_ID]],Ecustom_DB[],10,FALSE)</f>
        <v>Silver</v>
      </c>
      <c r="S537" t="str">
        <f>IF(ESales_DB[[#This Row],[Quantity1]]&gt;3,"Bulk order","Normal order")</f>
        <v>Normal order</v>
      </c>
    </row>
    <row r="538" spans="1:19" x14ac:dyDescent="0.3">
      <c r="A538" t="s">
        <v>3306</v>
      </c>
      <c r="B538" s="4">
        <v>45309</v>
      </c>
      <c r="C538" s="4" t="str">
        <f>TEXT(ESales_DB[[#This Row],[Order_Date]],"mmm")</f>
        <v>Jan</v>
      </c>
      <c r="D538" t="s">
        <v>951</v>
      </c>
      <c r="E538" t="s">
        <v>1742</v>
      </c>
      <c r="F538" t="s">
        <v>1792</v>
      </c>
      <c r="G538">
        <v>2</v>
      </c>
      <c r="H538" s="10">
        <f>IF(ISBLANK(ESales_DB[[#This Row],[Quantity]]),AVERAGEIF(ESales_DB[Product_ID],ESales_DB[[#This Row],[Product_ID]],ESales_DB[Quantity]),ESales_DB[[#This Row],[Quantity]])</f>
        <v>2</v>
      </c>
      <c r="I538" s="2">
        <v>181.42</v>
      </c>
      <c r="J538">
        <v>0.08</v>
      </c>
      <c r="K538" t="s">
        <v>1826</v>
      </c>
      <c r="L538" s="2">
        <v>333.81279999999998</v>
      </c>
      <c r="M538" s="2" t="str">
        <f>IF(ESales_DB[[#This Row],[Total_Amount]]&gt;1000,"High","Low")</f>
        <v>Low</v>
      </c>
      <c r="N538" s="2" t="str">
        <f>VLOOKUP(ESales_DB[[#This Row],[Customer_ID]],Ecustom_DB[],3,FALSE)</f>
        <v>Ryan Kane</v>
      </c>
      <c r="O538" s="2" t="str">
        <f>_xlfn.XLOOKUP(ESales_DB[[#This Row],[Product_ID]],Eproduct_DB[Product_ID],Eproduct_DB[Category])</f>
        <v>Sports</v>
      </c>
      <c r="P538" s="2" t="str">
        <f>_xlfn.XLOOKUP(ESales_DB[[#This Row],[Product_ID]],Eproduct_DB[Product_ID],Eproduct_DB[Product_Name])</f>
        <v>Cricket Bat</v>
      </c>
      <c r="Q538" s="2" t="str">
        <f>_xlfn.XLOOKUP(ESales_DB[[#This Row],[Store_ID]],Estore_DB[Store_ID],Estore_DB[Region])</f>
        <v>South</v>
      </c>
      <c r="R538" t="str">
        <f>VLOOKUP(ESales_DB[[#This Row],[Customer_ID]],Ecustom_DB[],10,FALSE)</f>
        <v>Gold</v>
      </c>
      <c r="S538" t="str">
        <f>IF(ESales_DB[[#This Row],[Quantity1]]&gt;3,"Bulk order","Normal order")</f>
        <v>Normal order</v>
      </c>
    </row>
    <row r="539" spans="1:19" x14ac:dyDescent="0.3">
      <c r="A539" t="s">
        <v>3307</v>
      </c>
      <c r="B539" s="4">
        <v>45375</v>
      </c>
      <c r="C539" s="4" t="str">
        <f>TEXT(ESales_DB[[#This Row],[Order_Date]],"mmm")</f>
        <v>Mar</v>
      </c>
      <c r="D539" t="s">
        <v>100</v>
      </c>
      <c r="E539" t="s">
        <v>1742</v>
      </c>
      <c r="F539" t="s">
        <v>1797</v>
      </c>
      <c r="G539">
        <v>1</v>
      </c>
      <c r="H539" s="10">
        <f>IF(ISBLANK(ESales_DB[[#This Row],[Quantity]]),AVERAGEIF(ESales_DB[Product_ID],ESales_DB[[#This Row],[Product_ID]],ESales_DB[Quantity]),ESales_DB[[#This Row],[Quantity]])</f>
        <v>1</v>
      </c>
      <c r="I539" s="2">
        <v>439.55</v>
      </c>
      <c r="J539">
        <v>0.28999999999999998</v>
      </c>
      <c r="K539" t="s">
        <v>1829</v>
      </c>
      <c r="L539" s="2">
        <v>312.08049999999997</v>
      </c>
      <c r="M539" s="2" t="str">
        <f>IF(ESales_DB[[#This Row],[Total_Amount]]&gt;1000,"High","Low")</f>
        <v>Low</v>
      </c>
      <c r="N539" s="2" t="str">
        <f>VLOOKUP(ESales_DB[[#This Row],[Customer_ID]],Ecustom_DB[],3,FALSE)</f>
        <v>Jonathan Steele</v>
      </c>
      <c r="O539" s="2" t="str">
        <f>_xlfn.XLOOKUP(ESales_DB[[#This Row],[Product_ID]],Eproduct_DB[Product_ID],Eproduct_DB[Category])</f>
        <v>Sports</v>
      </c>
      <c r="P539" s="2" t="str">
        <f>_xlfn.XLOOKUP(ESales_DB[[#This Row],[Product_ID]],Eproduct_DB[Product_ID],Eproduct_DB[Product_Name])</f>
        <v>Cricket Bat</v>
      </c>
      <c r="Q539" s="2" t="str">
        <f>_xlfn.XLOOKUP(ESales_DB[[#This Row],[Store_ID]],Estore_DB[Store_ID],Estore_DB[Region])</f>
        <v>East</v>
      </c>
      <c r="R539" t="str">
        <f>VLOOKUP(ESales_DB[[#This Row],[Customer_ID]],Ecustom_DB[],10,FALSE)</f>
        <v>Silver</v>
      </c>
      <c r="S539" t="str">
        <f>IF(ESales_DB[[#This Row],[Quantity1]]&gt;3,"Bulk order","Normal order")</f>
        <v>Normal order</v>
      </c>
    </row>
    <row r="540" spans="1:19" x14ac:dyDescent="0.3">
      <c r="A540" t="s">
        <v>3308</v>
      </c>
      <c r="B540" s="4">
        <v>45733</v>
      </c>
      <c r="C540" s="4" t="str">
        <f>TEXT(ESales_DB[[#This Row],[Order_Date]],"mmm")</f>
        <v>Mar</v>
      </c>
      <c r="D540" t="s">
        <v>399</v>
      </c>
      <c r="E540" t="s">
        <v>1658</v>
      </c>
      <c r="F540" t="s">
        <v>1810</v>
      </c>
      <c r="G540">
        <v>3</v>
      </c>
      <c r="H540" s="10">
        <f>IF(ISBLANK(ESales_DB[[#This Row],[Quantity]]),AVERAGEIF(ESales_DB[Product_ID],ESales_DB[[#This Row],[Product_ID]],ESales_DB[Quantity]),ESales_DB[[#This Row],[Quantity]])</f>
        <v>3</v>
      </c>
      <c r="I540" s="2">
        <v>471.27</v>
      </c>
      <c r="J540">
        <v>0.27</v>
      </c>
      <c r="K540" t="s">
        <v>1829</v>
      </c>
      <c r="L540" s="2">
        <v>1032.0813000000001</v>
      </c>
      <c r="M540" s="2" t="str">
        <f>IF(ESales_DB[[#This Row],[Total_Amount]]&gt;1000,"High","Low")</f>
        <v>High</v>
      </c>
      <c r="N540" s="2" t="str">
        <f>VLOOKUP(ESales_DB[[#This Row],[Customer_ID]],Ecustom_DB[],3,FALSE)</f>
        <v>Ryan Hernandez</v>
      </c>
      <c r="O540" s="2" t="str">
        <f>_xlfn.XLOOKUP(ESales_DB[[#This Row],[Product_ID]],Eproduct_DB[Product_ID],Eproduct_DB[Category])</f>
        <v>Home</v>
      </c>
      <c r="P540" s="2" t="str">
        <f>_xlfn.XLOOKUP(ESales_DB[[#This Row],[Product_ID]],Eproduct_DB[Product_ID],Eproduct_DB[Product_Name])</f>
        <v>Ceramic Plant Pot</v>
      </c>
      <c r="Q540" s="2" t="str">
        <f>_xlfn.XLOOKUP(ESales_DB[[#This Row],[Store_ID]],Estore_DB[Store_ID],Estore_DB[Region])</f>
        <v>East</v>
      </c>
      <c r="R540" t="str">
        <f>VLOOKUP(ESales_DB[[#This Row],[Customer_ID]],Ecustom_DB[],10,FALSE)</f>
        <v>Bronze</v>
      </c>
      <c r="S540" t="str">
        <f>IF(ESales_DB[[#This Row],[Quantity1]]&gt;3,"Bulk order","Normal order")</f>
        <v>Normal order</v>
      </c>
    </row>
    <row r="541" spans="1:19" x14ac:dyDescent="0.3">
      <c r="A541" t="s">
        <v>3309</v>
      </c>
      <c r="B541" s="4">
        <v>45435</v>
      </c>
      <c r="C541" s="4" t="str">
        <f>TEXT(ESales_DB[[#This Row],[Order_Date]],"mmm")</f>
        <v>May</v>
      </c>
      <c r="D541" t="s">
        <v>172</v>
      </c>
      <c r="E541" t="s">
        <v>1666</v>
      </c>
      <c r="F541" t="s">
        <v>1794</v>
      </c>
      <c r="G541">
        <v>1</v>
      </c>
      <c r="H541" s="10">
        <f>IF(ISBLANK(ESales_DB[[#This Row],[Quantity]]),AVERAGEIF(ESales_DB[Product_ID],ESales_DB[[#This Row],[Product_ID]],ESales_DB[Quantity]),ESales_DB[[#This Row],[Quantity]])</f>
        <v>1</v>
      </c>
      <c r="I541" s="2">
        <v>758.89</v>
      </c>
      <c r="J541">
        <v>0.1</v>
      </c>
      <c r="K541" t="s">
        <v>1824</v>
      </c>
      <c r="L541" s="2">
        <v>683.00099999999998</v>
      </c>
      <c r="M541" s="2" t="str">
        <f>IF(ESales_DB[[#This Row],[Total_Amount]]&gt;1000,"High","Low")</f>
        <v>Low</v>
      </c>
      <c r="N541" s="2" t="str">
        <f>VLOOKUP(ESales_DB[[#This Row],[Customer_ID]],Ecustom_DB[],3,FALSE)</f>
        <v>Denise Williams</v>
      </c>
      <c r="O541" s="2" t="str">
        <f>_xlfn.XLOOKUP(ESales_DB[[#This Row],[Product_ID]],Eproduct_DB[Product_ID],Eproduct_DB[Category])</f>
        <v>Beauty</v>
      </c>
      <c r="P541" s="2" t="str">
        <f>_xlfn.XLOOKUP(ESales_DB[[#This Row],[Product_ID]],Eproduct_DB[Product_ID],Eproduct_DB[Product_Name])</f>
        <v>Men's Hair Styling Gel</v>
      </c>
      <c r="Q541" s="2" t="str">
        <f>_xlfn.XLOOKUP(ESales_DB[[#This Row],[Store_ID]],Estore_DB[Store_ID],Estore_DB[Region])</f>
        <v>North</v>
      </c>
      <c r="R541" t="str">
        <f>VLOOKUP(ESales_DB[[#This Row],[Customer_ID]],Ecustom_DB[],10,FALSE)</f>
        <v>Bronze</v>
      </c>
      <c r="S541" t="str">
        <f>IF(ESales_DB[[#This Row],[Quantity1]]&gt;3,"Bulk order","Normal order")</f>
        <v>Normal order</v>
      </c>
    </row>
    <row r="542" spans="1:19" x14ac:dyDescent="0.3">
      <c r="A542" t="s">
        <v>3310</v>
      </c>
      <c r="B542" s="4">
        <v>45864</v>
      </c>
      <c r="C542" s="4" t="str">
        <f>TEXT(ESales_DB[[#This Row],[Order_Date]],"mmm")</f>
        <v>Jul</v>
      </c>
      <c r="D542" t="s">
        <v>1492</v>
      </c>
      <c r="E542" t="s">
        <v>1738</v>
      </c>
      <c r="F542" t="s">
        <v>1801</v>
      </c>
      <c r="G542">
        <v>4</v>
      </c>
      <c r="H542" s="10">
        <f>IF(ISBLANK(ESales_DB[[#This Row],[Quantity]]),AVERAGEIF(ESales_DB[Product_ID],ESales_DB[[#This Row],[Product_ID]],ESales_DB[Quantity]),ESales_DB[[#This Row],[Quantity]])</f>
        <v>4</v>
      </c>
      <c r="I542" s="2">
        <v>918.1</v>
      </c>
      <c r="J542">
        <v>0.19</v>
      </c>
      <c r="K542" t="s">
        <v>1829</v>
      </c>
      <c r="L542" s="2">
        <v>2974.6439999999998</v>
      </c>
      <c r="M542" s="2" t="str">
        <f>IF(ESales_DB[[#This Row],[Total_Amount]]&gt;1000,"High","Low")</f>
        <v>High</v>
      </c>
      <c r="N542" s="2" t="str">
        <f>VLOOKUP(ESales_DB[[#This Row],[Customer_ID]],Ecustom_DB[],3,FALSE)</f>
        <v>Sara Ingram</v>
      </c>
      <c r="O542" s="2" t="str">
        <f>_xlfn.XLOOKUP(ESales_DB[[#This Row],[Product_ID]],Eproduct_DB[Product_ID],Eproduct_DB[Category])</f>
        <v>Sports</v>
      </c>
      <c r="P542" s="2" t="str">
        <f>_xlfn.XLOOKUP(ESales_DB[[#This Row],[Product_ID]],Eproduct_DB[Product_ID],Eproduct_DB[Product_Name])</f>
        <v>Sports Stopwatch Basic</v>
      </c>
      <c r="Q542" s="2" t="str">
        <f>_xlfn.XLOOKUP(ESales_DB[[#This Row],[Store_ID]],Estore_DB[Store_ID],Estore_DB[Region])</f>
        <v>North</v>
      </c>
      <c r="R542" t="str">
        <f>VLOOKUP(ESales_DB[[#This Row],[Customer_ID]],Ecustom_DB[],10,FALSE)</f>
        <v>Bronze</v>
      </c>
      <c r="S542" t="str">
        <f>IF(ESales_DB[[#This Row],[Quantity1]]&gt;3,"Bulk order","Normal order")</f>
        <v>Bulk order</v>
      </c>
    </row>
    <row r="543" spans="1:19" x14ac:dyDescent="0.3">
      <c r="A543" t="s">
        <v>3311</v>
      </c>
      <c r="B543" s="4">
        <v>45569</v>
      </c>
      <c r="C543" s="4" t="str">
        <f>TEXT(ESales_DB[[#This Row],[Order_Date]],"mmm")</f>
        <v>Oct</v>
      </c>
      <c r="D543" t="s">
        <v>827</v>
      </c>
      <c r="E543" t="s">
        <v>1736</v>
      </c>
      <c r="F543" t="s">
        <v>1792</v>
      </c>
      <c r="G543">
        <v>1</v>
      </c>
      <c r="H543" s="10">
        <f>IF(ISBLANK(ESales_DB[[#This Row],[Quantity]]),AVERAGEIF(ESales_DB[Product_ID],ESales_DB[[#This Row],[Product_ID]],ESales_DB[Quantity]),ESales_DB[[#This Row],[Quantity]])</f>
        <v>1</v>
      </c>
      <c r="I543" s="2">
        <v>861.5</v>
      </c>
      <c r="J543">
        <v>0.05</v>
      </c>
      <c r="K543" t="s">
        <v>1829</v>
      </c>
      <c r="L543" s="2">
        <v>818.42499999999995</v>
      </c>
      <c r="M543" s="2" t="str">
        <f>IF(ESales_DB[[#This Row],[Total_Amount]]&gt;1000,"High","Low")</f>
        <v>Low</v>
      </c>
      <c r="N543" s="2" t="str">
        <f>VLOOKUP(ESales_DB[[#This Row],[Customer_ID]],Ecustom_DB[],3,FALSE)</f>
        <v>Beth Allen</v>
      </c>
      <c r="O543" s="2" t="str">
        <f>_xlfn.XLOOKUP(ESales_DB[[#This Row],[Product_ID]],Eproduct_DB[Product_ID],Eproduct_DB[Category])</f>
        <v>Beauty</v>
      </c>
      <c r="P543" s="2" t="str">
        <f>_xlfn.XLOOKUP(ESales_DB[[#This Row],[Product_ID]],Eproduct_DB[Product_ID],Eproduct_DB[Product_Name])</f>
        <v>Vitamin E Body Lotion</v>
      </c>
      <c r="Q543" s="2" t="str">
        <f>_xlfn.XLOOKUP(ESales_DB[[#This Row],[Store_ID]],Estore_DB[Store_ID],Estore_DB[Region])</f>
        <v>South</v>
      </c>
      <c r="R543" t="str">
        <f>VLOOKUP(ESales_DB[[#This Row],[Customer_ID]],Ecustom_DB[],10,FALSE)</f>
        <v>Silver</v>
      </c>
      <c r="S543" t="str">
        <f>IF(ESales_DB[[#This Row],[Quantity1]]&gt;3,"Bulk order","Normal order")</f>
        <v>Normal order</v>
      </c>
    </row>
    <row r="544" spans="1:19" x14ac:dyDescent="0.3">
      <c r="A544" t="s">
        <v>3312</v>
      </c>
      <c r="B544" s="4">
        <v>45664</v>
      </c>
      <c r="C544" s="4" t="str">
        <f>TEXT(ESales_DB[[#This Row],[Order_Date]],"mmm")</f>
        <v>Jan</v>
      </c>
      <c r="D544" t="s">
        <v>1425</v>
      </c>
      <c r="E544" t="s">
        <v>1592</v>
      </c>
      <c r="F544" t="s">
        <v>1799</v>
      </c>
      <c r="G544">
        <v>1</v>
      </c>
      <c r="H544" s="10">
        <f>IF(ISBLANK(ESales_DB[[#This Row],[Quantity]]),AVERAGEIF(ESales_DB[Product_ID],ESales_DB[[#This Row],[Product_ID]],ESales_DB[Quantity]),ESales_DB[[#This Row],[Quantity]])</f>
        <v>1</v>
      </c>
      <c r="I544" s="2">
        <v>588.29999999999995</v>
      </c>
      <c r="J544">
        <v>0.26</v>
      </c>
      <c r="K544" t="s">
        <v>1829</v>
      </c>
      <c r="L544" s="2">
        <v>435.34199999999998</v>
      </c>
      <c r="M544" s="2" t="str">
        <f>IF(ESales_DB[[#This Row],[Total_Amount]]&gt;1000,"High","Low")</f>
        <v>Low</v>
      </c>
      <c r="N544" s="2" t="str">
        <f>VLOOKUP(ESales_DB[[#This Row],[Customer_ID]],Ecustom_DB[],3,FALSE)</f>
        <v>Beth Martin</v>
      </c>
      <c r="O544" s="2" t="str">
        <f>_xlfn.XLOOKUP(ESales_DB[[#This Row],[Product_ID]],Eproduct_DB[Product_ID],Eproduct_DB[Category])</f>
        <v>Sports</v>
      </c>
      <c r="P544" s="2" t="str">
        <f>_xlfn.XLOOKUP(ESales_DB[[#This Row],[Product_ID]],Eproduct_DB[Product_ID],Eproduct_DB[Product_Name])</f>
        <v>Carbon Fiber Tennis Racket</v>
      </c>
      <c r="Q544" s="2" t="str">
        <f>_xlfn.XLOOKUP(ESales_DB[[#This Row],[Store_ID]],Estore_DB[Store_ID],Estore_DB[Region])</f>
        <v>South</v>
      </c>
      <c r="R544" t="str">
        <f>VLOOKUP(ESales_DB[[#This Row],[Customer_ID]],Ecustom_DB[],10,FALSE)</f>
        <v>Silver</v>
      </c>
      <c r="S544" t="str">
        <f>IF(ESales_DB[[#This Row],[Quantity1]]&gt;3,"Bulk order","Normal order")</f>
        <v>Normal order</v>
      </c>
    </row>
    <row r="545" spans="1:19" x14ac:dyDescent="0.3">
      <c r="A545" t="s">
        <v>3313</v>
      </c>
      <c r="B545" s="4">
        <v>45645</v>
      </c>
      <c r="C545" s="4" t="str">
        <f>TEXT(ESales_DB[[#This Row],[Order_Date]],"mmm")</f>
        <v>Dec</v>
      </c>
      <c r="D545" t="s">
        <v>1425</v>
      </c>
      <c r="E545" t="s">
        <v>1658</v>
      </c>
      <c r="F545" t="s">
        <v>1779</v>
      </c>
      <c r="G545">
        <v>1</v>
      </c>
      <c r="H545" s="10">
        <f>IF(ISBLANK(ESales_DB[[#This Row],[Quantity]]),AVERAGEIF(ESales_DB[Product_ID],ESales_DB[[#This Row],[Product_ID]],ESales_DB[Quantity]),ESales_DB[[#This Row],[Quantity]])</f>
        <v>1</v>
      </c>
      <c r="I545" s="2">
        <v>917.26</v>
      </c>
      <c r="J545">
        <v>0.05</v>
      </c>
      <c r="K545" t="s">
        <v>1826</v>
      </c>
      <c r="L545" s="2">
        <v>871.39699999999993</v>
      </c>
      <c r="M545" s="2" t="str">
        <f>IF(ESales_DB[[#This Row],[Total_Amount]]&gt;1000,"High","Low")</f>
        <v>Low</v>
      </c>
      <c r="N545" s="2" t="str">
        <f>VLOOKUP(ESales_DB[[#This Row],[Customer_ID]],Ecustom_DB[],3,FALSE)</f>
        <v>Beth Martin</v>
      </c>
      <c r="O545" s="2" t="str">
        <f>_xlfn.XLOOKUP(ESales_DB[[#This Row],[Product_ID]],Eproduct_DB[Product_ID],Eproduct_DB[Category])</f>
        <v>Home</v>
      </c>
      <c r="P545" s="2" t="str">
        <f>_xlfn.XLOOKUP(ESales_DB[[#This Row],[Product_ID]],Eproduct_DB[Product_ID],Eproduct_DB[Product_Name])</f>
        <v>Ceramic Plant Pot</v>
      </c>
      <c r="Q545" s="2" t="str">
        <f>_xlfn.XLOOKUP(ESales_DB[[#This Row],[Store_ID]],Estore_DB[Store_ID],Estore_DB[Region])</f>
        <v>South</v>
      </c>
      <c r="R545" t="str">
        <f>VLOOKUP(ESales_DB[[#This Row],[Customer_ID]],Ecustom_DB[],10,FALSE)</f>
        <v>Silver</v>
      </c>
      <c r="S545" t="str">
        <f>IF(ESales_DB[[#This Row],[Quantity1]]&gt;3,"Bulk order","Normal order")</f>
        <v>Normal order</v>
      </c>
    </row>
    <row r="546" spans="1:19" x14ac:dyDescent="0.3">
      <c r="A546" t="s">
        <v>3314</v>
      </c>
      <c r="B546" s="4">
        <v>45449</v>
      </c>
      <c r="C546" s="4" t="str">
        <f>TEXT(ESales_DB[[#This Row],[Order_Date]],"mmm")</f>
        <v>Jun</v>
      </c>
      <c r="D546" t="s">
        <v>749</v>
      </c>
      <c r="E546" t="s">
        <v>1557</v>
      </c>
      <c r="F546" t="s">
        <v>1810</v>
      </c>
      <c r="G546">
        <v>4</v>
      </c>
      <c r="H546" s="10">
        <f>IF(ISBLANK(ESales_DB[[#This Row],[Quantity]]),AVERAGEIF(ESales_DB[Product_ID],ESales_DB[[#This Row],[Product_ID]],ESales_DB[Quantity]),ESales_DB[[#This Row],[Quantity]])</f>
        <v>4</v>
      </c>
      <c r="I546" s="2">
        <v>96.78</v>
      </c>
      <c r="J546">
        <v>0.11</v>
      </c>
      <c r="K546" t="s">
        <v>1826</v>
      </c>
      <c r="L546" s="2">
        <v>344.53680000000003</v>
      </c>
      <c r="M546" s="2" t="str">
        <f>IF(ESales_DB[[#This Row],[Total_Amount]]&gt;1000,"High","Low")</f>
        <v>Low</v>
      </c>
      <c r="N546" s="2" t="str">
        <f>VLOOKUP(ESales_DB[[#This Row],[Customer_ID]],Ecustom_DB[],3,FALSE)</f>
        <v>Michelle Gonzalez</v>
      </c>
      <c r="O546" s="2" t="str">
        <f>_xlfn.XLOOKUP(ESales_DB[[#This Row],[Product_ID]],Eproduct_DB[Product_ID],Eproduct_DB[Category])</f>
        <v>Beauty</v>
      </c>
      <c r="P546" s="2" t="str">
        <f>_xlfn.XLOOKUP(ESales_DB[[#This Row],[Product_ID]],Eproduct_DB[Product_ID],Eproduct_DB[Product_Name])</f>
        <v>Herbal Face Moisturizer</v>
      </c>
      <c r="Q546" s="2" t="str">
        <f>_xlfn.XLOOKUP(ESales_DB[[#This Row],[Store_ID]],Estore_DB[Store_ID],Estore_DB[Region])</f>
        <v>East</v>
      </c>
      <c r="R546" t="str">
        <f>VLOOKUP(ESales_DB[[#This Row],[Customer_ID]],Ecustom_DB[],10,FALSE)</f>
        <v>Silver</v>
      </c>
      <c r="S546" t="str">
        <f>IF(ESales_DB[[#This Row],[Quantity1]]&gt;3,"Bulk order","Normal order")</f>
        <v>Bulk order</v>
      </c>
    </row>
    <row r="547" spans="1:19" x14ac:dyDescent="0.3">
      <c r="A547" t="s">
        <v>3315</v>
      </c>
      <c r="B547" s="4">
        <v>45629</v>
      </c>
      <c r="C547" s="4" t="str">
        <f>TEXT(ESales_DB[[#This Row],[Order_Date]],"mmm")</f>
        <v>Dec</v>
      </c>
      <c r="D547" t="s">
        <v>1472</v>
      </c>
      <c r="E547" t="s">
        <v>1604</v>
      </c>
      <c r="F547" t="s">
        <v>1769</v>
      </c>
      <c r="G547">
        <v>3</v>
      </c>
      <c r="H547" s="10">
        <f>IF(ISBLANK(ESales_DB[[#This Row],[Quantity]]),AVERAGEIF(ESales_DB[Product_ID],ESales_DB[[#This Row],[Product_ID]],ESales_DB[Quantity]),ESales_DB[[#This Row],[Quantity]])</f>
        <v>3</v>
      </c>
      <c r="I547" s="2">
        <v>199.41</v>
      </c>
      <c r="J547">
        <v>0.16</v>
      </c>
      <c r="K547" t="s">
        <v>1829</v>
      </c>
      <c r="L547" s="2">
        <v>502.51319999999998</v>
      </c>
      <c r="M547" s="2" t="str">
        <f>IF(ESales_DB[[#This Row],[Total_Amount]]&gt;1000,"High","Low")</f>
        <v>Low</v>
      </c>
      <c r="N547" s="2" t="str">
        <f>VLOOKUP(ESales_DB[[#This Row],[Customer_ID]],Ecustom_DB[],3,FALSE)</f>
        <v>Earl Smith Dds</v>
      </c>
      <c r="O547" s="2" t="str">
        <f>_xlfn.XLOOKUP(ESales_DB[[#This Row],[Product_ID]],Eproduct_DB[Product_ID],Eproduct_DB[Category])</f>
        <v>Sports</v>
      </c>
      <c r="P547" s="2" t="str">
        <f>_xlfn.XLOOKUP(ESales_DB[[#This Row],[Product_ID]],Eproduct_DB[Product_ID],Eproduct_DB[Product_Name])</f>
        <v>Sports Stopwatch Timer</v>
      </c>
      <c r="Q547" s="2" t="str">
        <f>_xlfn.XLOOKUP(ESales_DB[[#This Row],[Store_ID]],Estore_DB[Store_ID],Estore_DB[Region])</f>
        <v>South</v>
      </c>
      <c r="R547" t="str">
        <f>VLOOKUP(ESales_DB[[#This Row],[Customer_ID]],Ecustom_DB[],10,FALSE)</f>
        <v>Gold</v>
      </c>
      <c r="S547" t="str">
        <f>IF(ESales_DB[[#This Row],[Quantity1]]&gt;3,"Bulk order","Normal order")</f>
        <v>Normal order</v>
      </c>
    </row>
    <row r="548" spans="1:19" x14ac:dyDescent="0.3">
      <c r="A548" t="s">
        <v>1975</v>
      </c>
      <c r="B548" s="4">
        <v>45502</v>
      </c>
      <c r="C548" s="4" t="str">
        <f>TEXT(ESales_DB[[#This Row],[Order_Date]],"mmm")</f>
        <v>Jul</v>
      </c>
      <c r="D548" t="s">
        <v>335</v>
      </c>
      <c r="E548" t="s">
        <v>1555</v>
      </c>
      <c r="F548" t="s">
        <v>1794</v>
      </c>
      <c r="G548">
        <v>3</v>
      </c>
      <c r="H548" s="10">
        <f>IF(ISBLANK(ESales_DB[[#This Row],[Quantity]]),AVERAGEIF(ESales_DB[Product_ID],ESales_DB[[#This Row],[Product_ID]],ESales_DB[Quantity]),ESales_DB[[#This Row],[Quantity]])</f>
        <v>3</v>
      </c>
      <c r="I548" s="2">
        <v>513.36</v>
      </c>
      <c r="J548">
        <v>7.0000000000000007E-2</v>
      </c>
      <c r="K548" t="s">
        <v>1829</v>
      </c>
      <c r="L548" s="2">
        <v>1432.2744</v>
      </c>
      <c r="M548" s="2" t="str">
        <f>IF(ESales_DB[[#This Row],[Total_Amount]]&gt;1000,"High","Low")</f>
        <v>High</v>
      </c>
      <c r="N548" s="2" t="str">
        <f>VLOOKUP(ESales_DB[[#This Row],[Customer_ID]],Ecustom_DB[],3,FALSE)</f>
        <v>Christy Vasquez</v>
      </c>
      <c r="O548" s="2" t="str">
        <f>_xlfn.XLOOKUP(ESales_DB[[#This Row],[Product_ID]],Eproduct_DB[Product_ID],Eproduct_DB[Category])</f>
        <v>Clothing</v>
      </c>
      <c r="P548" s="2" t="str">
        <f>_xlfn.XLOOKUP(ESales_DB[[#This Row],[Product_ID]],Eproduct_DB[Product_ID],Eproduct_DB[Product_Name])</f>
        <v>Men's Leather Belt</v>
      </c>
      <c r="Q548" s="2" t="str">
        <f>_xlfn.XLOOKUP(ESales_DB[[#This Row],[Store_ID]],Estore_DB[Store_ID],Estore_DB[Region])</f>
        <v>North</v>
      </c>
      <c r="R548" t="str">
        <f>VLOOKUP(ESales_DB[[#This Row],[Customer_ID]],Ecustom_DB[],10,FALSE)</f>
        <v>Gold</v>
      </c>
      <c r="S548" t="str">
        <f>IF(ESales_DB[[#This Row],[Quantity1]]&gt;3,"Bulk order","Normal order")</f>
        <v>Normal order</v>
      </c>
    </row>
    <row r="549" spans="1:19" x14ac:dyDescent="0.3">
      <c r="A549" t="s">
        <v>3316</v>
      </c>
      <c r="B549" s="4">
        <v>45739</v>
      </c>
      <c r="C549" s="4" t="str">
        <f>TEXT(ESales_DB[[#This Row],[Order_Date]],"mmm")</f>
        <v>Mar</v>
      </c>
      <c r="D549" t="s">
        <v>85</v>
      </c>
      <c r="E549" t="s">
        <v>1656</v>
      </c>
      <c r="F549" t="s">
        <v>1786</v>
      </c>
      <c r="G549">
        <v>1</v>
      </c>
      <c r="H549" s="10">
        <f>IF(ISBLANK(ESales_DB[[#This Row],[Quantity]]),AVERAGEIF(ESales_DB[Product_ID],ESales_DB[[#This Row],[Product_ID]],ESales_DB[Quantity]),ESales_DB[[#This Row],[Quantity]])</f>
        <v>1</v>
      </c>
      <c r="I549" s="2">
        <v>687.91</v>
      </c>
      <c r="J549">
        <v>0.25</v>
      </c>
      <c r="K549" t="s">
        <v>1824</v>
      </c>
      <c r="L549" s="2">
        <v>515.9325</v>
      </c>
      <c r="M549" s="2" t="str">
        <f>IF(ESales_DB[[#This Row],[Total_Amount]]&gt;1000,"High","Low")</f>
        <v>Low</v>
      </c>
      <c r="N549" s="2" t="str">
        <f>VLOOKUP(ESales_DB[[#This Row],[Customer_ID]],Ecustom_DB[],3,FALSE)</f>
        <v>Michael Torres</v>
      </c>
      <c r="O549" s="2" t="str">
        <f>_xlfn.XLOOKUP(ESales_DB[[#This Row],[Product_ID]],Eproduct_DB[Product_ID],Eproduct_DB[Category])</f>
        <v>Sports</v>
      </c>
      <c r="P549" s="2" t="str">
        <f>_xlfn.XLOOKUP(ESales_DB[[#This Row],[Product_ID]],Eproduct_DB[Product_ID],Eproduct_DB[Product_Name])</f>
        <v>Sports Stopwatch Pro</v>
      </c>
      <c r="Q549" s="2" t="str">
        <f>_xlfn.XLOOKUP(ESales_DB[[#This Row],[Store_ID]],Estore_DB[Store_ID],Estore_DB[Region])</f>
        <v>South</v>
      </c>
      <c r="R549" t="str">
        <f>VLOOKUP(ESales_DB[[#This Row],[Customer_ID]],Ecustom_DB[],10,FALSE)</f>
        <v>Platinum</v>
      </c>
      <c r="S549" t="str">
        <f>IF(ESales_DB[[#This Row],[Quantity1]]&gt;3,"Bulk order","Normal order")</f>
        <v>Normal order</v>
      </c>
    </row>
    <row r="550" spans="1:19" x14ac:dyDescent="0.3">
      <c r="A550" t="s">
        <v>3317</v>
      </c>
      <c r="B550" s="4">
        <v>45849</v>
      </c>
      <c r="C550" s="4" t="str">
        <f>TEXT(ESales_DB[[#This Row],[Order_Date]],"mmm")</f>
        <v>Jul</v>
      </c>
      <c r="D550" t="s">
        <v>153</v>
      </c>
      <c r="E550" t="s">
        <v>1690</v>
      </c>
      <c r="F550" t="s">
        <v>1761</v>
      </c>
      <c r="G550">
        <v>3</v>
      </c>
      <c r="H550" s="10">
        <f>IF(ISBLANK(ESales_DB[[#This Row],[Quantity]]),AVERAGEIF(ESales_DB[Product_ID],ESales_DB[[#This Row],[Product_ID]],ESales_DB[Quantity]),ESales_DB[[#This Row],[Quantity]])</f>
        <v>3</v>
      </c>
      <c r="I550" s="2">
        <v>769.62</v>
      </c>
      <c r="J550">
        <v>0.09</v>
      </c>
      <c r="K550" t="s">
        <v>1826</v>
      </c>
      <c r="L550" s="2">
        <v>2101.0626000000002</v>
      </c>
      <c r="M550" s="2" t="str">
        <f>IF(ESales_DB[[#This Row],[Total_Amount]]&gt;1000,"High","Low")</f>
        <v>High</v>
      </c>
      <c r="N550" s="2" t="str">
        <f>VLOOKUP(ESales_DB[[#This Row],[Customer_ID]],Ecustom_DB[],3,FALSE)</f>
        <v>Tonya Reynolds</v>
      </c>
      <c r="O550" s="2" t="str">
        <f>_xlfn.XLOOKUP(ESales_DB[[#This Row],[Product_ID]],Eproduct_DB[Product_ID],Eproduct_DB[Category])</f>
        <v>Beauty</v>
      </c>
      <c r="P550" s="2" t="str">
        <f>_xlfn.XLOOKUP(ESales_DB[[#This Row],[Product_ID]],Eproduct_DB[Product_ID],Eproduct_DB[Product_Name])</f>
        <v>Hair Repair Oil Treatment</v>
      </c>
      <c r="Q550" s="2" t="str">
        <f>_xlfn.XLOOKUP(ESales_DB[[#This Row],[Store_ID]],Estore_DB[Store_ID],Estore_DB[Region])</f>
        <v>South</v>
      </c>
      <c r="R550" t="str">
        <f>VLOOKUP(ESales_DB[[#This Row],[Customer_ID]],Ecustom_DB[],10,FALSE)</f>
        <v>Gold</v>
      </c>
      <c r="S550" t="str">
        <f>IF(ESales_DB[[#This Row],[Quantity1]]&gt;3,"Bulk order","Normal order")</f>
        <v>Normal order</v>
      </c>
    </row>
    <row r="551" spans="1:19" x14ac:dyDescent="0.3">
      <c r="A551" t="s">
        <v>3318</v>
      </c>
      <c r="B551" s="4">
        <v>45230</v>
      </c>
      <c r="C551" s="4" t="str">
        <f>TEXT(ESales_DB[[#This Row],[Order_Date]],"mmm")</f>
        <v>Oct</v>
      </c>
      <c r="D551" t="s">
        <v>713</v>
      </c>
      <c r="E551" t="s">
        <v>1553</v>
      </c>
      <c r="F551" t="s">
        <v>1766</v>
      </c>
      <c r="G551">
        <v>1</v>
      </c>
      <c r="H551" s="10">
        <f>IF(ISBLANK(ESales_DB[[#This Row],[Quantity]]),AVERAGEIF(ESales_DB[Product_ID],ESales_DB[[#This Row],[Product_ID]],ESales_DB[Quantity]),ESales_DB[[#This Row],[Quantity]])</f>
        <v>1</v>
      </c>
      <c r="I551" s="2">
        <v>492.05</v>
      </c>
      <c r="J551">
        <v>0.27</v>
      </c>
      <c r="K551" t="s">
        <v>1824</v>
      </c>
      <c r="L551" s="2">
        <v>359.19650000000001</v>
      </c>
      <c r="M551" s="2" t="str">
        <f>IF(ESales_DB[[#This Row],[Total_Amount]]&gt;1000,"High","Low")</f>
        <v>Low</v>
      </c>
      <c r="N551" s="2" t="str">
        <f>VLOOKUP(ESales_DB[[#This Row],[Customer_ID]],Ecustom_DB[],3,FALSE)</f>
        <v>George Davis</v>
      </c>
      <c r="O551" s="2" t="str">
        <f>_xlfn.XLOOKUP(ESales_DB[[#This Row],[Product_ID]],Eproduct_DB[Product_ID],Eproduct_DB[Category])</f>
        <v>Clothing</v>
      </c>
      <c r="P551" s="2" t="str">
        <f>_xlfn.XLOOKUP(ESales_DB[[#This Row],[Product_ID]],Eproduct_DB[Product_ID],Eproduct_DB[Product_Name])</f>
        <v>Women's Yoga Pants</v>
      </c>
      <c r="Q551" s="2" t="str">
        <f>_xlfn.XLOOKUP(ESales_DB[[#This Row],[Store_ID]],Estore_DB[Store_ID],Estore_DB[Region])</f>
        <v>North</v>
      </c>
      <c r="R551" t="str">
        <f>VLOOKUP(ESales_DB[[#This Row],[Customer_ID]],Ecustom_DB[],10,FALSE)</f>
        <v>Bronze</v>
      </c>
      <c r="S551" t="str">
        <f>IF(ESales_DB[[#This Row],[Quantity1]]&gt;3,"Bulk order","Normal order")</f>
        <v>Normal order</v>
      </c>
    </row>
    <row r="552" spans="1:19" x14ac:dyDescent="0.3">
      <c r="A552" t="s">
        <v>3319</v>
      </c>
      <c r="B552" s="4">
        <v>45292</v>
      </c>
      <c r="C552" s="4" t="str">
        <f>TEXT(ESales_DB[[#This Row],[Order_Date]],"mmm")</f>
        <v>Jan</v>
      </c>
      <c r="D552" t="s">
        <v>369</v>
      </c>
      <c r="E552" t="s">
        <v>1582</v>
      </c>
      <c r="F552" t="s">
        <v>1794</v>
      </c>
      <c r="G552">
        <v>2</v>
      </c>
      <c r="H552" s="10">
        <f>IF(ISBLANK(ESales_DB[[#This Row],[Quantity]]),AVERAGEIF(ESales_DB[Product_ID],ESales_DB[[#This Row],[Product_ID]],ESales_DB[Quantity]),ESales_DB[[#This Row],[Quantity]])</f>
        <v>2</v>
      </c>
      <c r="I552" s="2">
        <v>428.55</v>
      </c>
      <c r="J552">
        <v>0</v>
      </c>
      <c r="K552" t="s">
        <v>1826</v>
      </c>
      <c r="L552" s="2">
        <v>857.1</v>
      </c>
      <c r="M552" s="2" t="str">
        <f>IF(ESales_DB[[#This Row],[Total_Amount]]&gt;1000,"High","Low")</f>
        <v>Low</v>
      </c>
      <c r="N552" s="2" t="str">
        <f>VLOOKUP(ESales_DB[[#This Row],[Customer_ID]],Ecustom_DB[],3,FALSE)</f>
        <v>Christopher Lester</v>
      </c>
      <c r="O552" s="2" t="str">
        <f>_xlfn.XLOOKUP(ESales_DB[[#This Row],[Product_ID]],Eproduct_DB[Product_ID],Eproduct_DB[Category])</f>
        <v>Sports</v>
      </c>
      <c r="P552" s="2" t="str">
        <f>_xlfn.XLOOKUP(ESales_DB[[#This Row],[Product_ID]],Eproduct_DB[Product_ID],Eproduct_DB[Product_Name])</f>
        <v>Soccer Training Cone Set</v>
      </c>
      <c r="Q552" s="2" t="str">
        <f>_xlfn.XLOOKUP(ESales_DB[[#This Row],[Store_ID]],Estore_DB[Store_ID],Estore_DB[Region])</f>
        <v>North</v>
      </c>
      <c r="R552" t="str">
        <f>VLOOKUP(ESales_DB[[#This Row],[Customer_ID]],Ecustom_DB[],10,FALSE)</f>
        <v>Silver</v>
      </c>
      <c r="S552" t="str">
        <f>IF(ESales_DB[[#This Row],[Quantity1]]&gt;3,"Bulk order","Normal order")</f>
        <v>Normal order</v>
      </c>
    </row>
    <row r="553" spans="1:19" x14ac:dyDescent="0.3">
      <c r="A553" t="s">
        <v>3320</v>
      </c>
      <c r="B553" s="4">
        <v>45251</v>
      </c>
      <c r="C553" s="4" t="str">
        <f>TEXT(ESales_DB[[#This Row],[Order_Date]],"mmm")</f>
        <v>Nov</v>
      </c>
      <c r="D553" t="s">
        <v>737</v>
      </c>
      <c r="E553" t="s">
        <v>1568</v>
      </c>
      <c r="F553" t="s">
        <v>1801</v>
      </c>
      <c r="G553">
        <v>4</v>
      </c>
      <c r="H553" s="10">
        <f>IF(ISBLANK(ESales_DB[[#This Row],[Quantity]]),AVERAGEIF(ESales_DB[Product_ID],ESales_DB[[#This Row],[Product_ID]],ESales_DB[Quantity]),ESales_DB[[#This Row],[Quantity]])</f>
        <v>4</v>
      </c>
      <c r="I553" s="2">
        <v>316.18</v>
      </c>
      <c r="J553">
        <v>0.12</v>
      </c>
      <c r="K553" t="s">
        <v>1824</v>
      </c>
      <c r="L553" s="2">
        <v>1112.9536000000001</v>
      </c>
      <c r="M553" s="2" t="str">
        <f>IF(ESales_DB[[#This Row],[Total_Amount]]&gt;1000,"High","Low")</f>
        <v>High</v>
      </c>
      <c r="N553" s="2" t="str">
        <f>VLOOKUP(ESales_DB[[#This Row],[Customer_ID]],Ecustom_DB[],3,FALSE)</f>
        <v>Tanner Thompson</v>
      </c>
      <c r="O553" s="2" t="str">
        <f>_xlfn.XLOOKUP(ESales_DB[[#This Row],[Product_ID]],Eproduct_DB[Product_ID],Eproduct_DB[Category])</f>
        <v>Home</v>
      </c>
      <c r="P553" s="2" t="str">
        <f>_xlfn.XLOOKUP(ESales_DB[[#This Row],[Product_ID]],Eproduct_DB[Product_ID],Eproduct_DB[Product_Name])</f>
        <v>Ceramic Kitchen Bowl Set</v>
      </c>
      <c r="Q553" s="2" t="str">
        <f>_xlfn.XLOOKUP(ESales_DB[[#This Row],[Store_ID]],Estore_DB[Store_ID],Estore_DB[Region])</f>
        <v>North</v>
      </c>
      <c r="R553" t="str">
        <f>VLOOKUP(ESales_DB[[#This Row],[Customer_ID]],Ecustom_DB[],10,FALSE)</f>
        <v>Bronze</v>
      </c>
      <c r="S553" t="str">
        <f>IF(ESales_DB[[#This Row],[Quantity1]]&gt;3,"Bulk order","Normal order")</f>
        <v>Bulk order</v>
      </c>
    </row>
    <row r="554" spans="1:19" x14ac:dyDescent="0.3">
      <c r="A554" t="s">
        <v>3321</v>
      </c>
      <c r="B554" s="4">
        <v>45555</v>
      </c>
      <c r="C554" s="4" t="str">
        <f>TEXT(ESales_DB[[#This Row],[Order_Date]],"mmm")</f>
        <v>Sep</v>
      </c>
      <c r="D554" t="s">
        <v>40</v>
      </c>
      <c r="E554" t="s">
        <v>1574</v>
      </c>
      <c r="F554" t="s">
        <v>1766</v>
      </c>
      <c r="G554">
        <v>3</v>
      </c>
      <c r="H554" s="10">
        <f>IF(ISBLANK(ESales_DB[[#This Row],[Quantity]]),AVERAGEIF(ESales_DB[Product_ID],ESales_DB[[#This Row],[Product_ID]],ESales_DB[Quantity]),ESales_DB[[#This Row],[Quantity]])</f>
        <v>3</v>
      </c>
      <c r="I554" s="2">
        <v>162.16999999999999</v>
      </c>
      <c r="J554">
        <v>0.15</v>
      </c>
      <c r="K554" t="s">
        <v>1826</v>
      </c>
      <c r="L554" s="2">
        <v>413.5335</v>
      </c>
      <c r="M554" s="2" t="str">
        <f>IF(ESales_DB[[#This Row],[Total_Amount]]&gt;1000,"High","Low")</f>
        <v>Low</v>
      </c>
      <c r="N554" s="2" t="str">
        <f>VLOOKUP(ESales_DB[[#This Row],[Customer_ID]],Ecustom_DB[],3,FALSE)</f>
        <v>Daniel Boyd</v>
      </c>
      <c r="O554" s="2" t="str">
        <f>_xlfn.XLOOKUP(ESales_DB[[#This Row],[Product_ID]],Eproduct_DB[Product_ID],Eproduct_DB[Category])</f>
        <v>Electronics</v>
      </c>
      <c r="P554" s="2" t="str">
        <f>_xlfn.XLOOKUP(ESales_DB[[#This Row],[Product_ID]],Eproduct_DB[Product_ID],Eproduct_DB[Product_Name])</f>
        <v>USB-C Fast Charger</v>
      </c>
      <c r="Q554" s="2" t="str">
        <f>_xlfn.XLOOKUP(ESales_DB[[#This Row],[Store_ID]],Estore_DB[Store_ID],Estore_DB[Region])</f>
        <v>North</v>
      </c>
      <c r="R554" t="str">
        <f>VLOOKUP(ESales_DB[[#This Row],[Customer_ID]],Ecustom_DB[],10,FALSE)</f>
        <v>Bronze</v>
      </c>
      <c r="S554" t="str">
        <f>IF(ESales_DB[[#This Row],[Quantity1]]&gt;3,"Bulk order","Normal order")</f>
        <v>Normal order</v>
      </c>
    </row>
    <row r="555" spans="1:19" x14ac:dyDescent="0.3">
      <c r="A555" t="s">
        <v>3322</v>
      </c>
      <c r="B555" s="4">
        <v>45385</v>
      </c>
      <c r="C555" s="4" t="str">
        <f>TEXT(ESales_DB[[#This Row],[Order_Date]],"mmm")</f>
        <v>Apr</v>
      </c>
      <c r="D555" t="s">
        <v>1041</v>
      </c>
      <c r="E555" t="s">
        <v>1553</v>
      </c>
      <c r="F555" t="s">
        <v>1766</v>
      </c>
      <c r="G555">
        <v>3</v>
      </c>
      <c r="H555" s="10">
        <f>IF(ISBLANK(ESales_DB[[#This Row],[Quantity]]),AVERAGEIF(ESales_DB[Product_ID],ESales_DB[[#This Row],[Product_ID]],ESales_DB[Quantity]),ESales_DB[[#This Row],[Quantity]])</f>
        <v>3</v>
      </c>
      <c r="I555" s="2">
        <v>698.14</v>
      </c>
      <c r="J555">
        <v>0.04</v>
      </c>
      <c r="K555" t="s">
        <v>1826</v>
      </c>
      <c r="L555" s="2">
        <v>2010.6432</v>
      </c>
      <c r="M555" s="2" t="str">
        <f>IF(ESales_DB[[#This Row],[Total_Amount]]&gt;1000,"High","Low")</f>
        <v>High</v>
      </c>
      <c r="N555" s="2" t="str">
        <f>VLOOKUP(ESales_DB[[#This Row],[Customer_ID]],Ecustom_DB[],3,FALSE)</f>
        <v>Maria Phillips</v>
      </c>
      <c r="O555" s="2" t="str">
        <f>_xlfn.XLOOKUP(ESales_DB[[#This Row],[Product_ID]],Eproduct_DB[Product_ID],Eproduct_DB[Category])</f>
        <v>Clothing</v>
      </c>
      <c r="P555" s="2" t="str">
        <f>_xlfn.XLOOKUP(ESales_DB[[#This Row],[Product_ID]],Eproduct_DB[Product_ID],Eproduct_DB[Product_Name])</f>
        <v>Women's Yoga Pants</v>
      </c>
      <c r="Q555" s="2" t="str">
        <f>_xlfn.XLOOKUP(ESales_DB[[#This Row],[Store_ID]],Estore_DB[Store_ID],Estore_DB[Region])</f>
        <v>North</v>
      </c>
      <c r="R555" t="str">
        <f>VLOOKUP(ESales_DB[[#This Row],[Customer_ID]],Ecustom_DB[],10,FALSE)</f>
        <v>Bronze</v>
      </c>
      <c r="S555" t="str">
        <f>IF(ESales_DB[[#This Row],[Quantity1]]&gt;3,"Bulk order","Normal order")</f>
        <v>Normal order</v>
      </c>
    </row>
    <row r="556" spans="1:19" x14ac:dyDescent="0.3">
      <c r="A556" t="s">
        <v>3323</v>
      </c>
      <c r="B556" s="4">
        <v>45787</v>
      </c>
      <c r="C556" s="4" t="str">
        <f>TEXT(ESales_DB[[#This Row],[Order_Date]],"mmm")</f>
        <v>May</v>
      </c>
      <c r="D556" t="s">
        <v>978</v>
      </c>
      <c r="E556" t="s">
        <v>1696</v>
      </c>
      <c r="F556" t="s">
        <v>1810</v>
      </c>
      <c r="G556">
        <v>1</v>
      </c>
      <c r="H556" s="10">
        <f>IF(ISBLANK(ESales_DB[[#This Row],[Quantity]]),AVERAGEIF(ESales_DB[Product_ID],ESales_DB[[#This Row],[Product_ID]],ESales_DB[Quantity]),ESales_DB[[#This Row],[Quantity]])</f>
        <v>1</v>
      </c>
      <c r="I556" s="2">
        <v>478.08</v>
      </c>
      <c r="J556">
        <v>7.0000000000000007E-2</v>
      </c>
      <c r="K556" t="s">
        <v>1829</v>
      </c>
      <c r="L556" s="2">
        <v>444.61439999999988</v>
      </c>
      <c r="M556" s="2" t="str">
        <f>IF(ESales_DB[[#This Row],[Total_Amount]]&gt;1000,"High","Low")</f>
        <v>Low</v>
      </c>
      <c r="N556" s="2" t="str">
        <f>VLOOKUP(ESales_DB[[#This Row],[Customer_ID]],Ecustom_DB[],3,FALSE)</f>
        <v>Kara Dodson</v>
      </c>
      <c r="O556" s="2" t="str">
        <f>_xlfn.XLOOKUP(ESales_DB[[#This Row],[Product_ID]],Eproduct_DB[Product_ID],Eproduct_DB[Category])</f>
        <v>Electronics</v>
      </c>
      <c r="P556" s="2" t="str">
        <f>_xlfn.XLOOKUP(ESales_DB[[#This Row],[Product_ID]],Eproduct_DB[Product_ID],Eproduct_DB[Product_Name])</f>
        <v>Bluetooth Car Audio System</v>
      </c>
      <c r="Q556" s="2" t="str">
        <f>_xlfn.XLOOKUP(ESales_DB[[#This Row],[Store_ID]],Estore_DB[Store_ID],Estore_DB[Region])</f>
        <v>East</v>
      </c>
      <c r="R556" t="str">
        <f>VLOOKUP(ESales_DB[[#This Row],[Customer_ID]],Ecustom_DB[],10,FALSE)</f>
        <v>Silver</v>
      </c>
      <c r="S556" t="str">
        <f>IF(ESales_DB[[#This Row],[Quantity1]]&gt;3,"Bulk order","Normal order")</f>
        <v>Normal order</v>
      </c>
    </row>
    <row r="557" spans="1:19" x14ac:dyDescent="0.3">
      <c r="A557" t="s">
        <v>3324</v>
      </c>
      <c r="B557" s="4">
        <v>45822</v>
      </c>
      <c r="C557" s="4" t="str">
        <f>TEXT(ESales_DB[[#This Row],[Order_Date]],"mmm")</f>
        <v>Jun</v>
      </c>
      <c r="D557" t="s">
        <v>678</v>
      </c>
      <c r="E557" t="s">
        <v>1666</v>
      </c>
      <c r="F557" t="s">
        <v>1779</v>
      </c>
      <c r="G557">
        <v>2</v>
      </c>
      <c r="H557" s="10">
        <f>IF(ISBLANK(ESales_DB[[#This Row],[Quantity]]),AVERAGEIF(ESales_DB[Product_ID],ESales_DB[[#This Row],[Product_ID]],ESales_DB[Quantity]),ESales_DB[[#This Row],[Quantity]])</f>
        <v>2</v>
      </c>
      <c r="I557" s="2">
        <v>958.64</v>
      </c>
      <c r="J557">
        <v>0.2</v>
      </c>
      <c r="K557" t="s">
        <v>1826</v>
      </c>
      <c r="L557" s="2">
        <v>1533.8240000000001</v>
      </c>
      <c r="M557" s="2" t="str">
        <f>IF(ESales_DB[[#This Row],[Total_Amount]]&gt;1000,"High","Low")</f>
        <v>High</v>
      </c>
      <c r="N557" s="2" t="str">
        <f>VLOOKUP(ESales_DB[[#This Row],[Customer_ID]],Ecustom_DB[],3,FALSE)</f>
        <v>John Perez</v>
      </c>
      <c r="O557" s="2" t="str">
        <f>_xlfn.XLOOKUP(ESales_DB[[#This Row],[Product_ID]],Eproduct_DB[Product_ID],Eproduct_DB[Category])</f>
        <v>Beauty</v>
      </c>
      <c r="P557" s="2" t="str">
        <f>_xlfn.XLOOKUP(ESales_DB[[#This Row],[Product_ID]],Eproduct_DB[Product_ID],Eproduct_DB[Product_Name])</f>
        <v>Men's Hair Styling Gel</v>
      </c>
      <c r="Q557" s="2" t="str">
        <f>_xlfn.XLOOKUP(ESales_DB[[#This Row],[Store_ID]],Estore_DB[Store_ID],Estore_DB[Region])</f>
        <v>South</v>
      </c>
      <c r="R557" t="str">
        <f>VLOOKUP(ESales_DB[[#This Row],[Customer_ID]],Ecustom_DB[],10,FALSE)</f>
        <v>Platinum</v>
      </c>
      <c r="S557" t="str">
        <f>IF(ESales_DB[[#This Row],[Quantity1]]&gt;3,"Bulk order","Normal order")</f>
        <v>Normal order</v>
      </c>
    </row>
    <row r="558" spans="1:19" x14ac:dyDescent="0.3">
      <c r="A558" t="s">
        <v>3325</v>
      </c>
      <c r="B558" s="4">
        <v>45590</v>
      </c>
      <c r="C558" s="4" t="str">
        <f>TEXT(ESales_DB[[#This Row],[Order_Date]],"mmm")</f>
        <v>Oct</v>
      </c>
      <c r="D558" t="s">
        <v>1431</v>
      </c>
      <c r="E558" t="s">
        <v>1630</v>
      </c>
      <c r="F558" t="s">
        <v>1794</v>
      </c>
      <c r="G558">
        <v>2</v>
      </c>
      <c r="H558" s="10">
        <f>IF(ISBLANK(ESales_DB[[#This Row],[Quantity]]),AVERAGEIF(ESales_DB[Product_ID],ESales_DB[[#This Row],[Product_ID]],ESales_DB[Quantity]),ESales_DB[[#This Row],[Quantity]])</f>
        <v>2</v>
      </c>
      <c r="I558" s="2">
        <v>581.19000000000005</v>
      </c>
      <c r="J558">
        <v>7.0000000000000007E-2</v>
      </c>
      <c r="K558" t="s">
        <v>1829</v>
      </c>
      <c r="L558" s="2">
        <v>1081.0134</v>
      </c>
      <c r="M558" s="2" t="str">
        <f>IF(ESales_DB[[#This Row],[Total_Amount]]&gt;1000,"High","Low")</f>
        <v>High</v>
      </c>
      <c r="N558" s="2" t="str">
        <f>VLOOKUP(ESales_DB[[#This Row],[Customer_ID]],Ecustom_DB[],3,FALSE)</f>
        <v>David Pierce</v>
      </c>
      <c r="O558" s="2" t="str">
        <f>_xlfn.XLOOKUP(ESales_DB[[#This Row],[Product_ID]],Eproduct_DB[Product_ID],Eproduct_DB[Category])</f>
        <v>Sports</v>
      </c>
      <c r="P558" s="2" t="str">
        <f>_xlfn.XLOOKUP(ESales_DB[[#This Row],[Product_ID]],Eproduct_DB[Product_ID],Eproduct_DB[Product_Name])</f>
        <v>Yoga Exercise Mat</v>
      </c>
      <c r="Q558" s="2" t="str">
        <f>_xlfn.XLOOKUP(ESales_DB[[#This Row],[Store_ID]],Estore_DB[Store_ID],Estore_DB[Region])</f>
        <v>North</v>
      </c>
      <c r="R558" t="str">
        <f>VLOOKUP(ESales_DB[[#This Row],[Customer_ID]],Ecustom_DB[],10,FALSE)</f>
        <v>Platinum</v>
      </c>
      <c r="S558" t="str">
        <f>IF(ESales_DB[[#This Row],[Quantity1]]&gt;3,"Bulk order","Normal order")</f>
        <v>Normal order</v>
      </c>
    </row>
    <row r="559" spans="1:19" x14ac:dyDescent="0.3">
      <c r="A559" t="s">
        <v>1841</v>
      </c>
      <c r="B559" s="4">
        <v>45636</v>
      </c>
      <c r="C559" s="4" t="str">
        <f>TEXT(ESales_DB[[#This Row],[Order_Date]],"mmm")</f>
        <v>Dec</v>
      </c>
      <c r="D559" t="s">
        <v>1349</v>
      </c>
      <c r="E559" t="s">
        <v>1620</v>
      </c>
      <c r="F559" t="s">
        <v>1786</v>
      </c>
      <c r="H559" s="10">
        <f>IF(ISBLANK(ESales_DB[[#This Row],[Quantity]]),AVERAGEIF(ESales_DB[Product_ID],ESales_DB[[#This Row],[Product_ID]],ESales_DB[Quantity]),ESales_DB[[#This Row],[Quantity]])</f>
        <v>2.125</v>
      </c>
      <c r="I559" s="2">
        <v>871.34</v>
      </c>
      <c r="J559">
        <v>0.04</v>
      </c>
      <c r="K559" t="s">
        <v>1829</v>
      </c>
      <c r="L559" s="2">
        <v>2509.4591999999998</v>
      </c>
      <c r="M559" s="2" t="str">
        <f>IF(ESales_DB[[#This Row],[Total_Amount]]&gt;1000,"High","Low")</f>
        <v>High</v>
      </c>
      <c r="N559" s="2" t="str">
        <f>VLOOKUP(ESales_DB[[#This Row],[Customer_ID]],Ecustom_DB[],3,FALSE)</f>
        <v>Lindsay Beasley</v>
      </c>
      <c r="O559" s="2" t="str">
        <f>_xlfn.XLOOKUP(ESales_DB[[#This Row],[Product_ID]],Eproduct_DB[Product_ID],Eproduct_DB[Category])</f>
        <v>Clothing</v>
      </c>
      <c r="P559" s="2" t="str">
        <f>_xlfn.XLOOKUP(ESales_DB[[#This Row],[Product_ID]],Eproduct_DB[Product_ID],Eproduct_DB[Product_Name])</f>
        <v>Women's Summer Dress</v>
      </c>
      <c r="Q559" s="2" t="str">
        <f>_xlfn.XLOOKUP(ESales_DB[[#This Row],[Store_ID]],Estore_DB[Store_ID],Estore_DB[Region])</f>
        <v>South</v>
      </c>
      <c r="R559" t="str">
        <f>VLOOKUP(ESales_DB[[#This Row],[Customer_ID]],Ecustom_DB[],10,FALSE)</f>
        <v>Silver</v>
      </c>
      <c r="S559" t="str">
        <f>IF(ESales_DB[[#This Row],[Quantity1]]&gt;3,"Bulk order","Normal order")</f>
        <v>Normal order</v>
      </c>
    </row>
    <row r="560" spans="1:19" x14ac:dyDescent="0.3">
      <c r="A560" t="s">
        <v>1976</v>
      </c>
      <c r="B560" s="4">
        <v>45433</v>
      </c>
      <c r="C560" s="4" t="str">
        <f>TEXT(ESales_DB[[#This Row],[Order_Date]],"mmm")</f>
        <v>May</v>
      </c>
      <c r="D560" t="s">
        <v>251</v>
      </c>
      <c r="E560" t="s">
        <v>1652</v>
      </c>
      <c r="F560" t="s">
        <v>1773</v>
      </c>
      <c r="G560">
        <v>4</v>
      </c>
      <c r="H560" s="10">
        <f>IF(ISBLANK(ESales_DB[[#This Row],[Quantity]]),AVERAGEIF(ESales_DB[Product_ID],ESales_DB[[#This Row],[Product_ID]],ESales_DB[Quantity]),ESales_DB[[#This Row],[Quantity]])</f>
        <v>4</v>
      </c>
      <c r="I560" s="2">
        <v>355.64</v>
      </c>
      <c r="J560">
        <v>0.16</v>
      </c>
      <c r="K560" t="s">
        <v>1829</v>
      </c>
      <c r="L560" s="2">
        <v>1194.9503999999999</v>
      </c>
      <c r="M560" s="2" t="str">
        <f>IF(ESales_DB[[#This Row],[Total_Amount]]&gt;1000,"High","Low")</f>
        <v>High</v>
      </c>
      <c r="N560" s="2" t="str">
        <f>VLOOKUP(ESales_DB[[#This Row],[Customer_ID]],Ecustom_DB[],3,FALSE)</f>
        <v>Mr. Mark Beasley</v>
      </c>
      <c r="O560" s="2" t="str">
        <f>_xlfn.XLOOKUP(ESales_DB[[#This Row],[Product_ID]],Eproduct_DB[Product_ID],Eproduct_DB[Category])</f>
        <v>Sports</v>
      </c>
      <c r="P560" s="2" t="str">
        <f>_xlfn.XLOOKUP(ESales_DB[[#This Row],[Product_ID]],Eproduct_DB[Product_ID],Eproduct_DB[Product_Name])</f>
        <v>Rugby Ball</v>
      </c>
      <c r="Q560" s="2" t="str">
        <f>_xlfn.XLOOKUP(ESales_DB[[#This Row],[Store_ID]],Estore_DB[Store_ID],Estore_DB[Region])</f>
        <v>North</v>
      </c>
      <c r="R560" t="str">
        <f>VLOOKUP(ESales_DB[[#This Row],[Customer_ID]],Ecustom_DB[],10,FALSE)</f>
        <v>Silver</v>
      </c>
      <c r="S560" t="str">
        <f>IF(ESales_DB[[#This Row],[Quantity1]]&gt;3,"Bulk order","Normal order")</f>
        <v>Bulk order</v>
      </c>
    </row>
    <row r="561" spans="1:19" x14ac:dyDescent="0.3">
      <c r="A561" t="s">
        <v>3326</v>
      </c>
      <c r="B561" s="4">
        <v>45618</v>
      </c>
      <c r="C561" s="4" t="str">
        <f>TEXT(ESales_DB[[#This Row],[Order_Date]],"mmm")</f>
        <v>Nov</v>
      </c>
      <c r="D561" t="s">
        <v>393</v>
      </c>
      <c r="E561" t="s">
        <v>1746</v>
      </c>
      <c r="F561" t="s">
        <v>1792</v>
      </c>
      <c r="G561">
        <v>1</v>
      </c>
      <c r="H561" s="10">
        <f>IF(ISBLANK(ESales_DB[[#This Row],[Quantity]]),AVERAGEIF(ESales_DB[Product_ID],ESales_DB[[#This Row],[Product_ID]],ESales_DB[Quantity]),ESales_DB[[#This Row],[Quantity]])</f>
        <v>1</v>
      </c>
      <c r="I561" s="2">
        <v>736.54</v>
      </c>
      <c r="J561">
        <v>0.16</v>
      </c>
      <c r="K561" t="s">
        <v>1826</v>
      </c>
      <c r="L561" s="2">
        <v>618.69359999999995</v>
      </c>
      <c r="M561" s="2" t="str">
        <f>IF(ESales_DB[[#This Row],[Total_Amount]]&gt;1000,"High","Low")</f>
        <v>Low</v>
      </c>
      <c r="N561" s="2" t="str">
        <f>VLOOKUP(ESales_DB[[#This Row],[Customer_ID]],Ecustom_DB[],3,FALSE)</f>
        <v>David Cole</v>
      </c>
      <c r="O561" s="2" t="str">
        <f>_xlfn.XLOOKUP(ESales_DB[[#This Row],[Product_ID]],Eproduct_DB[Product_ID],Eproduct_DB[Category])</f>
        <v>Home</v>
      </c>
      <c r="P561" s="2" t="str">
        <f>_xlfn.XLOOKUP(ESales_DB[[#This Row],[Product_ID]],Eproduct_DB[Product_ID],Eproduct_DB[Product_Name])</f>
        <v>Stainless Steel Cookware Set</v>
      </c>
      <c r="Q561" s="2" t="str">
        <f>_xlfn.XLOOKUP(ESales_DB[[#This Row],[Store_ID]],Estore_DB[Store_ID],Estore_DB[Region])</f>
        <v>South</v>
      </c>
      <c r="R561" t="str">
        <f>VLOOKUP(ESales_DB[[#This Row],[Customer_ID]],Ecustom_DB[],10,FALSE)</f>
        <v>Silver</v>
      </c>
      <c r="S561" t="str">
        <f>IF(ESales_DB[[#This Row],[Quantity1]]&gt;3,"Bulk order","Normal order")</f>
        <v>Normal order</v>
      </c>
    </row>
    <row r="562" spans="1:19" x14ac:dyDescent="0.3">
      <c r="A562" t="s">
        <v>3327</v>
      </c>
      <c r="B562" s="4">
        <v>45586</v>
      </c>
      <c r="C562" s="4" t="str">
        <f>TEXT(ESales_DB[[#This Row],[Order_Date]],"mmm")</f>
        <v>Oct</v>
      </c>
      <c r="D562" t="s">
        <v>1249</v>
      </c>
      <c r="E562" t="s">
        <v>1678</v>
      </c>
      <c r="F562" t="s">
        <v>1801</v>
      </c>
      <c r="G562">
        <v>1</v>
      </c>
      <c r="H562" s="10">
        <f>IF(ISBLANK(ESales_DB[[#This Row],[Quantity]]),AVERAGEIF(ESales_DB[Product_ID],ESales_DB[[#This Row],[Product_ID]],ESales_DB[Quantity]),ESales_DB[[#This Row],[Quantity]])</f>
        <v>1</v>
      </c>
      <c r="I562" s="2">
        <v>524</v>
      </c>
      <c r="J562">
        <v>0.28000000000000003</v>
      </c>
      <c r="K562" t="s">
        <v>1824</v>
      </c>
      <c r="L562" s="2">
        <v>377.28</v>
      </c>
      <c r="M562" s="2" t="str">
        <f>IF(ESales_DB[[#This Row],[Total_Amount]]&gt;1000,"High","Low")</f>
        <v>Low</v>
      </c>
      <c r="N562" s="2" t="str">
        <f>VLOOKUP(ESales_DB[[#This Row],[Customer_ID]],Ecustom_DB[],3,FALSE)</f>
        <v>Terry Moses</v>
      </c>
      <c r="O562" s="2" t="str">
        <f>_xlfn.XLOOKUP(ESales_DB[[#This Row],[Product_ID]],Eproduct_DB[Product_ID],Eproduct_DB[Category])</f>
        <v>Sports</v>
      </c>
      <c r="P562" s="2" t="str">
        <f>_xlfn.XLOOKUP(ESales_DB[[#This Row],[Product_ID]],Eproduct_DB[Product_ID],Eproduct_DB[Product_Name])</f>
        <v>Adjustable Dumbbells 20kg</v>
      </c>
      <c r="Q562" s="2" t="str">
        <f>_xlfn.XLOOKUP(ESales_DB[[#This Row],[Store_ID]],Estore_DB[Store_ID],Estore_DB[Region])</f>
        <v>North</v>
      </c>
      <c r="R562" t="str">
        <f>VLOOKUP(ESales_DB[[#This Row],[Customer_ID]],Ecustom_DB[],10,FALSE)</f>
        <v>Platinum</v>
      </c>
      <c r="S562" t="str">
        <f>IF(ESales_DB[[#This Row],[Quantity1]]&gt;3,"Bulk order","Normal order")</f>
        <v>Normal order</v>
      </c>
    </row>
    <row r="563" spans="1:19" x14ac:dyDescent="0.3">
      <c r="A563" t="s">
        <v>3328</v>
      </c>
      <c r="B563" s="4">
        <v>45548</v>
      </c>
      <c r="C563" s="4" t="str">
        <f>TEXT(ESales_DB[[#This Row],[Order_Date]],"mmm")</f>
        <v>Sep</v>
      </c>
      <c r="D563" t="s">
        <v>178</v>
      </c>
      <c r="E563" t="s">
        <v>1604</v>
      </c>
      <c r="F563" t="s">
        <v>1766</v>
      </c>
      <c r="G563">
        <v>4</v>
      </c>
      <c r="H563" s="10">
        <f>IF(ISBLANK(ESales_DB[[#This Row],[Quantity]]),AVERAGEIF(ESales_DB[Product_ID],ESales_DB[[#This Row],[Product_ID]],ESales_DB[Quantity]),ESales_DB[[#This Row],[Quantity]])</f>
        <v>4</v>
      </c>
      <c r="I563" s="2">
        <v>566.09</v>
      </c>
      <c r="J563">
        <v>0.28000000000000003</v>
      </c>
      <c r="K563" t="s">
        <v>1829</v>
      </c>
      <c r="L563" s="2">
        <v>1630.3391999999999</v>
      </c>
      <c r="M563" s="2" t="str">
        <f>IF(ESales_DB[[#This Row],[Total_Amount]]&gt;1000,"High","Low")</f>
        <v>High</v>
      </c>
      <c r="N563" s="2" t="str">
        <f>VLOOKUP(ESales_DB[[#This Row],[Customer_ID]],Ecustom_DB[],3,FALSE)</f>
        <v>Michelle Garcia Dds</v>
      </c>
      <c r="O563" s="2" t="str">
        <f>_xlfn.XLOOKUP(ESales_DB[[#This Row],[Product_ID]],Eproduct_DB[Product_ID],Eproduct_DB[Category])</f>
        <v>Sports</v>
      </c>
      <c r="P563" s="2" t="str">
        <f>_xlfn.XLOOKUP(ESales_DB[[#This Row],[Product_ID]],Eproduct_DB[Product_ID],Eproduct_DB[Product_Name])</f>
        <v>Sports Stopwatch Timer</v>
      </c>
      <c r="Q563" s="2" t="str">
        <f>_xlfn.XLOOKUP(ESales_DB[[#This Row],[Store_ID]],Estore_DB[Store_ID],Estore_DB[Region])</f>
        <v>North</v>
      </c>
      <c r="R563" t="str">
        <f>VLOOKUP(ESales_DB[[#This Row],[Customer_ID]],Ecustom_DB[],10,FALSE)</f>
        <v>Platinum</v>
      </c>
      <c r="S563" t="str">
        <f>IF(ESales_DB[[#This Row],[Quantity1]]&gt;3,"Bulk order","Normal order")</f>
        <v>Bulk order</v>
      </c>
    </row>
    <row r="564" spans="1:19" x14ac:dyDescent="0.3">
      <c r="A564" t="s">
        <v>3329</v>
      </c>
      <c r="B564" s="4">
        <v>45772</v>
      </c>
      <c r="C564" s="4" t="str">
        <f>TEXT(ESales_DB[[#This Row],[Order_Date]],"mmm")</f>
        <v>Apr</v>
      </c>
      <c r="D564" t="s">
        <v>827</v>
      </c>
      <c r="E564" t="s">
        <v>1590</v>
      </c>
      <c r="F564" t="s">
        <v>1789</v>
      </c>
      <c r="G564">
        <v>1</v>
      </c>
      <c r="H564" s="10">
        <f>IF(ISBLANK(ESales_DB[[#This Row],[Quantity]]),AVERAGEIF(ESales_DB[Product_ID],ESales_DB[[#This Row],[Product_ID]],ESales_DB[Quantity]),ESales_DB[[#This Row],[Quantity]])</f>
        <v>1</v>
      </c>
      <c r="I564" s="2">
        <v>251.99</v>
      </c>
      <c r="J564">
        <v>0.09</v>
      </c>
      <c r="K564" t="s">
        <v>1824</v>
      </c>
      <c r="L564" s="2">
        <v>229.3109</v>
      </c>
      <c r="M564" s="2" t="str">
        <f>IF(ESales_DB[[#This Row],[Total_Amount]]&gt;1000,"High","Low")</f>
        <v>Low</v>
      </c>
      <c r="N564" s="2" t="str">
        <f>VLOOKUP(ESales_DB[[#This Row],[Customer_ID]],Ecustom_DB[],3,FALSE)</f>
        <v>Beth Allen</v>
      </c>
      <c r="O564" s="2" t="str">
        <f>_xlfn.XLOOKUP(ESales_DB[[#This Row],[Product_ID]],Eproduct_DB[Product_ID],Eproduct_DB[Category])</f>
        <v>Home</v>
      </c>
      <c r="P564" s="2" t="str">
        <f>_xlfn.XLOOKUP(ESales_DB[[#This Row],[Product_ID]],Eproduct_DB[Product_ID],Eproduct_DB[Product_Name])</f>
        <v>Multi-Purpose Storage Box</v>
      </c>
      <c r="Q564" s="2" t="str">
        <f>_xlfn.XLOOKUP(ESales_DB[[#This Row],[Store_ID]],Estore_DB[Store_ID],Estore_DB[Region])</f>
        <v>East</v>
      </c>
      <c r="R564" t="str">
        <f>VLOOKUP(ESales_DB[[#This Row],[Customer_ID]],Ecustom_DB[],10,FALSE)</f>
        <v>Silver</v>
      </c>
      <c r="S564" t="str">
        <f>IF(ESales_DB[[#This Row],[Quantity1]]&gt;3,"Bulk order","Normal order")</f>
        <v>Normal order</v>
      </c>
    </row>
    <row r="565" spans="1:19" x14ac:dyDescent="0.3">
      <c r="A565" t="s">
        <v>3330</v>
      </c>
      <c r="B565" s="4">
        <v>45361</v>
      </c>
      <c r="C565" s="4" t="str">
        <f>TEXT(ESales_DB[[#This Row],[Order_Date]],"mmm")</f>
        <v>Mar</v>
      </c>
      <c r="D565" t="s">
        <v>716</v>
      </c>
      <c r="E565" t="s">
        <v>1582</v>
      </c>
      <c r="F565" t="s">
        <v>1813</v>
      </c>
      <c r="G565">
        <v>1</v>
      </c>
      <c r="H565" s="10">
        <f>IF(ISBLANK(ESales_DB[[#This Row],[Quantity]]),AVERAGEIF(ESales_DB[Product_ID],ESales_DB[[#This Row],[Product_ID]],ESales_DB[Quantity]),ESales_DB[[#This Row],[Quantity]])</f>
        <v>1</v>
      </c>
      <c r="I565" s="2">
        <v>259.2</v>
      </c>
      <c r="J565">
        <v>0.27</v>
      </c>
      <c r="K565" t="s">
        <v>1829</v>
      </c>
      <c r="L565" s="2">
        <v>189.21600000000001</v>
      </c>
      <c r="M565" s="2" t="str">
        <f>IF(ESales_DB[[#This Row],[Total_Amount]]&gt;1000,"High","Low")</f>
        <v>Low</v>
      </c>
      <c r="N565" s="2" t="str">
        <f>VLOOKUP(ESales_DB[[#This Row],[Customer_ID]],Ecustom_DB[],3,FALSE)</f>
        <v>Lisa Young</v>
      </c>
      <c r="O565" s="2" t="str">
        <f>_xlfn.XLOOKUP(ESales_DB[[#This Row],[Product_ID]],Eproduct_DB[Product_ID],Eproduct_DB[Category])</f>
        <v>Sports</v>
      </c>
      <c r="P565" s="2" t="str">
        <f>_xlfn.XLOOKUP(ESales_DB[[#This Row],[Product_ID]],Eproduct_DB[Product_ID],Eproduct_DB[Product_Name])</f>
        <v>Soccer Training Cone Set</v>
      </c>
      <c r="Q565" s="2" t="str">
        <f>_xlfn.XLOOKUP(ESales_DB[[#This Row],[Store_ID]],Estore_DB[Store_ID],Estore_DB[Region])</f>
        <v>East</v>
      </c>
      <c r="R565" t="str">
        <f>VLOOKUP(ESales_DB[[#This Row],[Customer_ID]],Ecustom_DB[],10,FALSE)</f>
        <v>Platinum</v>
      </c>
      <c r="S565" t="str">
        <f>IF(ESales_DB[[#This Row],[Quantity1]]&gt;3,"Bulk order","Normal order")</f>
        <v>Normal order</v>
      </c>
    </row>
    <row r="566" spans="1:19" x14ac:dyDescent="0.3">
      <c r="A566" t="s">
        <v>3331</v>
      </c>
      <c r="B566" s="4">
        <v>45235</v>
      </c>
      <c r="C566" s="4" t="str">
        <f>TEXT(ESales_DB[[#This Row],[Order_Date]],"mmm")</f>
        <v>Nov</v>
      </c>
      <c r="D566" t="s">
        <v>1380</v>
      </c>
      <c r="E566" t="s">
        <v>1666</v>
      </c>
      <c r="F566" t="s">
        <v>1801</v>
      </c>
      <c r="G566">
        <v>1</v>
      </c>
      <c r="H566" s="10">
        <f>IF(ISBLANK(ESales_DB[[#This Row],[Quantity]]),AVERAGEIF(ESales_DB[Product_ID],ESales_DB[[#This Row],[Product_ID]],ESales_DB[Quantity]),ESales_DB[[#This Row],[Quantity]])</f>
        <v>1</v>
      </c>
      <c r="I566" s="2">
        <v>935.66</v>
      </c>
      <c r="J566">
        <v>0.26</v>
      </c>
      <c r="K566" t="s">
        <v>1826</v>
      </c>
      <c r="L566" s="2">
        <v>692.38839999999993</v>
      </c>
      <c r="M566" s="2" t="str">
        <f>IF(ESales_DB[[#This Row],[Total_Amount]]&gt;1000,"High","Low")</f>
        <v>Low</v>
      </c>
      <c r="N566" s="2" t="str">
        <f>VLOOKUP(ESales_DB[[#This Row],[Customer_ID]],Ecustom_DB[],3,FALSE)</f>
        <v>Shannon Turner</v>
      </c>
      <c r="O566" s="2" t="str">
        <f>_xlfn.XLOOKUP(ESales_DB[[#This Row],[Product_ID]],Eproduct_DB[Product_ID],Eproduct_DB[Category])</f>
        <v>Beauty</v>
      </c>
      <c r="P566" s="2" t="str">
        <f>_xlfn.XLOOKUP(ESales_DB[[#This Row],[Product_ID]],Eproduct_DB[Product_ID],Eproduct_DB[Product_Name])</f>
        <v>Men's Hair Styling Gel</v>
      </c>
      <c r="Q566" s="2" t="str">
        <f>_xlfn.XLOOKUP(ESales_DB[[#This Row],[Store_ID]],Estore_DB[Store_ID],Estore_DB[Region])</f>
        <v>North</v>
      </c>
      <c r="R566" t="str">
        <f>VLOOKUP(ESales_DB[[#This Row],[Customer_ID]],Ecustom_DB[],10,FALSE)</f>
        <v>Silver</v>
      </c>
      <c r="S566" t="str">
        <f>IF(ESales_DB[[#This Row],[Quantity1]]&gt;3,"Bulk order","Normal order")</f>
        <v>Normal order</v>
      </c>
    </row>
    <row r="567" spans="1:19" x14ac:dyDescent="0.3">
      <c r="A567" t="s">
        <v>3332</v>
      </c>
      <c r="B567" s="4">
        <v>45864</v>
      </c>
      <c r="C567" s="4" t="str">
        <f>TEXT(ESales_DB[[#This Row],[Order_Date]],"mmm")</f>
        <v>Jul</v>
      </c>
      <c r="D567" t="s">
        <v>1446</v>
      </c>
      <c r="E567" t="s">
        <v>1618</v>
      </c>
      <c r="F567" t="s">
        <v>1782</v>
      </c>
      <c r="G567">
        <v>4</v>
      </c>
      <c r="H567" s="10">
        <f>IF(ISBLANK(ESales_DB[[#This Row],[Quantity]]),AVERAGEIF(ESales_DB[Product_ID],ESales_DB[[#This Row],[Product_ID]],ESales_DB[Quantity]),ESales_DB[[#This Row],[Quantity]])</f>
        <v>4</v>
      </c>
      <c r="I567" s="2">
        <v>480.75</v>
      </c>
      <c r="J567">
        <v>0.02</v>
      </c>
      <c r="K567" t="s">
        <v>1824</v>
      </c>
      <c r="L567" s="2">
        <v>1884.54</v>
      </c>
      <c r="M567" s="2" t="str">
        <f>IF(ESales_DB[[#This Row],[Total_Amount]]&gt;1000,"High","Low")</f>
        <v>High</v>
      </c>
      <c r="N567" s="2" t="str">
        <f>VLOOKUP(ESales_DB[[#This Row],[Customer_ID]],Ecustom_DB[],3,FALSE)</f>
        <v>James Foster</v>
      </c>
      <c r="O567" s="2" t="str">
        <f>_xlfn.XLOOKUP(ESales_DB[[#This Row],[Product_ID]],Eproduct_DB[Product_ID],Eproduct_DB[Category])</f>
        <v>Home</v>
      </c>
      <c r="P567" s="2" t="str">
        <f>_xlfn.XLOOKUP(ESales_DB[[#This Row],[Product_ID]],Eproduct_DB[Product_ID],Eproduct_DB[Product_Name])</f>
        <v>Bedroom Table Lamp</v>
      </c>
      <c r="Q567" s="2" t="str">
        <f>_xlfn.XLOOKUP(ESales_DB[[#This Row],[Store_ID]],Estore_DB[Store_ID],Estore_DB[Region])</f>
        <v>West</v>
      </c>
      <c r="R567" t="str">
        <f>VLOOKUP(ESales_DB[[#This Row],[Customer_ID]],Ecustom_DB[],10,FALSE)</f>
        <v>Gold</v>
      </c>
      <c r="S567" t="str">
        <f>IF(ESales_DB[[#This Row],[Quantity1]]&gt;3,"Bulk order","Normal order")</f>
        <v>Bulk order</v>
      </c>
    </row>
    <row r="568" spans="1:19" x14ac:dyDescent="0.3">
      <c r="A568" t="s">
        <v>3333</v>
      </c>
      <c r="B568" s="4">
        <v>45681</v>
      </c>
      <c r="C568" s="4" t="str">
        <f>TEXT(ESales_DB[[#This Row],[Order_Date]],"mmm")</f>
        <v>Jan</v>
      </c>
      <c r="D568" t="s">
        <v>1154</v>
      </c>
      <c r="E568" t="s">
        <v>1710</v>
      </c>
      <c r="F568" t="s">
        <v>1801</v>
      </c>
      <c r="G568">
        <v>2</v>
      </c>
      <c r="H568" s="10">
        <f>IF(ISBLANK(ESales_DB[[#This Row],[Quantity]]),AVERAGEIF(ESales_DB[Product_ID],ESales_DB[[#This Row],[Product_ID]],ESales_DB[Quantity]),ESales_DB[[#This Row],[Quantity]])</f>
        <v>2</v>
      </c>
      <c r="I568" s="2">
        <v>457.83</v>
      </c>
      <c r="J568">
        <v>0.01</v>
      </c>
      <c r="K568" t="s">
        <v>1829</v>
      </c>
      <c r="L568" s="2">
        <v>906.50339999999994</v>
      </c>
      <c r="M568" s="2" t="str">
        <f>IF(ESales_DB[[#This Row],[Total_Amount]]&gt;1000,"High","Low")</f>
        <v>Low</v>
      </c>
      <c r="N568" s="2" t="str">
        <f>VLOOKUP(ESales_DB[[#This Row],[Customer_ID]],Ecustom_DB[],3,FALSE)</f>
        <v>Gregory Allen</v>
      </c>
      <c r="O568" s="2" t="str">
        <f>_xlfn.XLOOKUP(ESales_DB[[#This Row],[Product_ID]],Eproduct_DB[Product_ID],Eproduct_DB[Category])</f>
        <v>Sports</v>
      </c>
      <c r="P568" s="2" t="str">
        <f>_xlfn.XLOOKUP(ESales_DB[[#This Row],[Product_ID]],Eproduct_DB[Product_ID],Eproduct_DB[Product_Name])</f>
        <v>Badminton Racket Set</v>
      </c>
      <c r="Q568" s="2" t="str">
        <f>_xlfn.XLOOKUP(ESales_DB[[#This Row],[Store_ID]],Estore_DB[Store_ID],Estore_DB[Region])</f>
        <v>North</v>
      </c>
      <c r="R568" t="str">
        <f>VLOOKUP(ESales_DB[[#This Row],[Customer_ID]],Ecustom_DB[],10,FALSE)</f>
        <v>Platinum</v>
      </c>
      <c r="S568" t="str">
        <f>IF(ESales_DB[[#This Row],[Quantity1]]&gt;3,"Bulk order","Normal order")</f>
        <v>Normal order</v>
      </c>
    </row>
    <row r="569" spans="1:19" x14ac:dyDescent="0.3">
      <c r="A569" t="s">
        <v>3334</v>
      </c>
      <c r="B569" s="4">
        <v>45905</v>
      </c>
      <c r="C569" s="4" t="str">
        <f>TEXT(ESales_DB[[#This Row],[Order_Date]],"mmm")</f>
        <v>Sep</v>
      </c>
      <c r="D569" t="s">
        <v>547</v>
      </c>
      <c r="E569" t="s">
        <v>1644</v>
      </c>
      <c r="F569" t="s">
        <v>1799</v>
      </c>
      <c r="G569">
        <v>1</v>
      </c>
      <c r="H569" s="10">
        <f>IF(ISBLANK(ESales_DB[[#This Row],[Quantity]]),AVERAGEIF(ESales_DB[Product_ID],ESales_DB[[#This Row],[Product_ID]],ESales_DB[Quantity]),ESales_DB[[#This Row],[Quantity]])</f>
        <v>1</v>
      </c>
      <c r="I569" s="2">
        <v>994.63</v>
      </c>
      <c r="J569">
        <v>0.28000000000000003</v>
      </c>
      <c r="K569" t="s">
        <v>1824</v>
      </c>
      <c r="L569" s="2">
        <v>716.1336</v>
      </c>
      <c r="M569" s="2" t="str">
        <f>IF(ESales_DB[[#This Row],[Total_Amount]]&gt;1000,"High","Low")</f>
        <v>Low</v>
      </c>
      <c r="N569" s="2" t="str">
        <f>VLOOKUP(ESales_DB[[#This Row],[Customer_ID]],Ecustom_DB[],3,FALSE)</f>
        <v>Daniel Rivas</v>
      </c>
      <c r="O569" s="2" t="str">
        <f>_xlfn.XLOOKUP(ESales_DB[[#This Row],[Product_ID]],Eproduct_DB[Product_ID],Eproduct_DB[Category])</f>
        <v>Electronics</v>
      </c>
      <c r="P569" s="2" t="str">
        <f>_xlfn.XLOOKUP(ESales_DB[[#This Row],[Product_ID]],Eproduct_DB[Product_ID],Eproduct_DB[Product_Name])</f>
        <v>Car Dashboard Phone Holder</v>
      </c>
      <c r="Q569" s="2" t="str">
        <f>_xlfn.XLOOKUP(ESales_DB[[#This Row],[Store_ID]],Estore_DB[Store_ID],Estore_DB[Region])</f>
        <v>South</v>
      </c>
      <c r="R569" t="str">
        <f>VLOOKUP(ESales_DB[[#This Row],[Customer_ID]],Ecustom_DB[],10,FALSE)</f>
        <v>Silver</v>
      </c>
      <c r="S569" t="str">
        <f>IF(ESales_DB[[#This Row],[Quantity1]]&gt;3,"Bulk order","Normal order")</f>
        <v>Normal order</v>
      </c>
    </row>
    <row r="570" spans="1:19" x14ac:dyDescent="0.3">
      <c r="A570" t="s">
        <v>3335</v>
      </c>
      <c r="B570" s="4">
        <v>45765</v>
      </c>
      <c r="C570" s="4" t="str">
        <f>TEXT(ESales_DB[[#This Row],[Order_Date]],"mmm")</f>
        <v>Apr</v>
      </c>
      <c r="D570" t="s">
        <v>785</v>
      </c>
      <c r="E570" t="s">
        <v>1728</v>
      </c>
      <c r="F570" t="s">
        <v>1752</v>
      </c>
      <c r="G570">
        <v>3</v>
      </c>
      <c r="H570" s="10">
        <f>IF(ISBLANK(ESales_DB[[#This Row],[Quantity]]),AVERAGEIF(ESales_DB[Product_ID],ESales_DB[[#This Row],[Product_ID]],ESales_DB[Quantity]),ESales_DB[[#This Row],[Quantity]])</f>
        <v>3</v>
      </c>
      <c r="I570" s="2">
        <v>65.569999999999993</v>
      </c>
      <c r="J570">
        <v>0.3</v>
      </c>
      <c r="K570" t="s">
        <v>1829</v>
      </c>
      <c r="L570" s="2">
        <v>137.697</v>
      </c>
      <c r="M570" s="2" t="str">
        <f>IF(ESales_DB[[#This Row],[Total_Amount]]&gt;1000,"High","Low")</f>
        <v>Low</v>
      </c>
      <c r="N570" s="2" t="str">
        <f>VLOOKUP(ESales_DB[[#This Row],[Customer_ID]],Ecustom_DB[],3,FALSE)</f>
        <v>Laura Soto</v>
      </c>
      <c r="O570" s="2" t="str">
        <f>_xlfn.XLOOKUP(ESales_DB[[#This Row],[Product_ID]],Eproduct_DB[Product_ID],Eproduct_DB[Category])</f>
        <v>Electronics</v>
      </c>
      <c r="P570" s="2" t="str">
        <f>_xlfn.XLOOKUP(ESales_DB[[#This Row],[Product_ID]],Eproduct_DB[Product_ID],Eproduct_DB[Product_Name])</f>
        <v>Gaming Mouse Pad XL</v>
      </c>
      <c r="Q570" s="2" t="str">
        <f>_xlfn.XLOOKUP(ESales_DB[[#This Row],[Store_ID]],Estore_DB[Store_ID],Estore_DB[Region])</f>
        <v>East</v>
      </c>
      <c r="R570" t="str">
        <f>VLOOKUP(ESales_DB[[#This Row],[Customer_ID]],Ecustom_DB[],10,FALSE)</f>
        <v>Platinum</v>
      </c>
      <c r="S570" t="str">
        <f>IF(ESales_DB[[#This Row],[Quantity1]]&gt;3,"Bulk order","Normal order")</f>
        <v>Normal order</v>
      </c>
    </row>
    <row r="571" spans="1:19" x14ac:dyDescent="0.3">
      <c r="A571" t="s">
        <v>1977</v>
      </c>
      <c r="B571" s="4">
        <v>45594</v>
      </c>
      <c r="C571" s="4" t="str">
        <f>TEXT(ESales_DB[[#This Row],[Order_Date]],"mmm")</f>
        <v>Oct</v>
      </c>
      <c r="D571" t="s">
        <v>97</v>
      </c>
      <c r="E571" t="s">
        <v>1574</v>
      </c>
      <c r="F571" t="s">
        <v>1782</v>
      </c>
      <c r="G571">
        <v>4</v>
      </c>
      <c r="H571" s="10">
        <f>IF(ISBLANK(ESales_DB[[#This Row],[Quantity]]),AVERAGEIF(ESales_DB[Product_ID],ESales_DB[[#This Row],[Product_ID]],ESales_DB[Quantity]),ESales_DB[[#This Row],[Quantity]])</f>
        <v>4</v>
      </c>
      <c r="I571" s="2">
        <v>535.4</v>
      </c>
      <c r="J571">
        <v>0.26</v>
      </c>
      <c r="K571" t="s">
        <v>1826</v>
      </c>
      <c r="L571" s="2">
        <v>1584.7840000000001</v>
      </c>
      <c r="M571" s="2" t="str">
        <f>IF(ESales_DB[[#This Row],[Total_Amount]]&gt;1000,"High","Low")</f>
        <v>High</v>
      </c>
      <c r="N571" s="2" t="str">
        <f>VLOOKUP(ESales_DB[[#This Row],[Customer_ID]],Ecustom_DB[],3,FALSE)</f>
        <v>Paul Fox</v>
      </c>
      <c r="O571" s="2" t="str">
        <f>_xlfn.XLOOKUP(ESales_DB[[#This Row],[Product_ID]],Eproduct_DB[Product_ID],Eproduct_DB[Category])</f>
        <v>Electronics</v>
      </c>
      <c r="P571" s="2" t="str">
        <f>_xlfn.XLOOKUP(ESales_DB[[#This Row],[Product_ID]],Eproduct_DB[Product_ID],Eproduct_DB[Product_Name])</f>
        <v>USB-C Fast Charger</v>
      </c>
      <c r="Q571" s="2" t="str">
        <f>_xlfn.XLOOKUP(ESales_DB[[#This Row],[Store_ID]],Estore_DB[Store_ID],Estore_DB[Region])</f>
        <v>West</v>
      </c>
      <c r="R571" t="str">
        <f>VLOOKUP(ESales_DB[[#This Row],[Customer_ID]],Ecustom_DB[],10,FALSE)</f>
        <v>Silver</v>
      </c>
      <c r="S571" t="str">
        <f>IF(ESales_DB[[#This Row],[Quantity1]]&gt;3,"Bulk order","Normal order")</f>
        <v>Bulk order</v>
      </c>
    </row>
    <row r="572" spans="1:19" x14ac:dyDescent="0.3">
      <c r="A572" t="s">
        <v>3336</v>
      </c>
      <c r="B572" s="4">
        <v>45821</v>
      </c>
      <c r="C572" s="4" t="str">
        <f>TEXT(ESales_DB[[#This Row],[Order_Date]],"mmm")</f>
        <v>Jun</v>
      </c>
      <c r="D572" t="s">
        <v>535</v>
      </c>
      <c r="E572" t="s">
        <v>1664</v>
      </c>
      <c r="F572" t="s">
        <v>1807</v>
      </c>
      <c r="G572">
        <v>3</v>
      </c>
      <c r="H572" s="10">
        <f>IF(ISBLANK(ESales_DB[[#This Row],[Quantity]]),AVERAGEIF(ESales_DB[Product_ID],ESales_DB[[#This Row],[Product_ID]],ESales_DB[Quantity]),ESales_DB[[#This Row],[Quantity]])</f>
        <v>3</v>
      </c>
      <c r="I572" s="2">
        <v>622.98</v>
      </c>
      <c r="J572">
        <v>0.28000000000000003</v>
      </c>
      <c r="K572" t="s">
        <v>1826</v>
      </c>
      <c r="L572" s="2">
        <v>1345.6368</v>
      </c>
      <c r="M572" s="2" t="str">
        <f>IF(ESales_DB[[#This Row],[Total_Amount]]&gt;1000,"High","Low")</f>
        <v>High</v>
      </c>
      <c r="N572" s="2" t="str">
        <f>VLOOKUP(ESales_DB[[#This Row],[Customer_ID]],Ecustom_DB[],3,FALSE)</f>
        <v>John Lawson</v>
      </c>
      <c r="O572" s="2" t="str">
        <f>_xlfn.XLOOKUP(ESales_DB[[#This Row],[Product_ID]],Eproduct_DB[Product_ID],Eproduct_DB[Category])</f>
        <v>Clothing</v>
      </c>
      <c r="P572" s="2" t="str">
        <f>_xlfn.XLOOKUP(ESales_DB[[#This Row],[Product_ID]],Eproduct_DB[Product_ID],Eproduct_DB[Product_Name])</f>
        <v>Womens Cotton Scarf</v>
      </c>
      <c r="Q572" s="2" t="str">
        <f>_xlfn.XLOOKUP(ESales_DB[[#This Row],[Store_ID]],Estore_DB[Store_ID],Estore_DB[Region])</f>
        <v>North</v>
      </c>
      <c r="R572" t="str">
        <f>VLOOKUP(ESales_DB[[#This Row],[Customer_ID]],Ecustom_DB[],10,FALSE)</f>
        <v>Platinum</v>
      </c>
      <c r="S572" t="str">
        <f>IF(ESales_DB[[#This Row],[Quantity1]]&gt;3,"Bulk order","Normal order")</f>
        <v>Normal order</v>
      </c>
    </row>
    <row r="573" spans="1:19" x14ac:dyDescent="0.3">
      <c r="A573" t="s">
        <v>3337</v>
      </c>
      <c r="B573" s="4">
        <v>45691</v>
      </c>
      <c r="C573" s="4" t="str">
        <f>TEXT(ESales_DB[[#This Row],[Order_Date]],"mmm")</f>
        <v>Feb</v>
      </c>
      <c r="D573" t="s">
        <v>800</v>
      </c>
      <c r="E573" t="s">
        <v>1658</v>
      </c>
      <c r="F573" t="s">
        <v>1797</v>
      </c>
      <c r="G573">
        <v>1</v>
      </c>
      <c r="H573" s="10">
        <f>IF(ISBLANK(ESales_DB[[#This Row],[Quantity]]),AVERAGEIF(ESales_DB[Product_ID],ESales_DB[[#This Row],[Product_ID]],ESales_DB[Quantity]),ESales_DB[[#This Row],[Quantity]])</f>
        <v>1</v>
      </c>
      <c r="I573" s="2">
        <v>170.68</v>
      </c>
      <c r="J573">
        <v>0.13</v>
      </c>
      <c r="K573" t="s">
        <v>1826</v>
      </c>
      <c r="L573" s="2">
        <v>148.49160000000001</v>
      </c>
      <c r="M573" s="2" t="str">
        <f>IF(ESales_DB[[#This Row],[Total_Amount]]&gt;1000,"High","Low")</f>
        <v>Low</v>
      </c>
      <c r="N573" s="2" t="str">
        <f>VLOOKUP(ESales_DB[[#This Row],[Customer_ID]],Ecustom_DB[],3,FALSE)</f>
        <v>Veronica Newman</v>
      </c>
      <c r="O573" s="2" t="str">
        <f>_xlfn.XLOOKUP(ESales_DB[[#This Row],[Product_ID]],Eproduct_DB[Product_ID],Eproduct_DB[Category])</f>
        <v>Home</v>
      </c>
      <c r="P573" s="2" t="str">
        <f>_xlfn.XLOOKUP(ESales_DB[[#This Row],[Product_ID]],Eproduct_DB[Product_ID],Eproduct_DB[Product_Name])</f>
        <v>Ceramic Plant Pot</v>
      </c>
      <c r="Q573" s="2" t="str">
        <f>_xlfn.XLOOKUP(ESales_DB[[#This Row],[Store_ID]],Estore_DB[Store_ID],Estore_DB[Region])</f>
        <v>East</v>
      </c>
      <c r="R573" t="str">
        <f>VLOOKUP(ESales_DB[[#This Row],[Customer_ID]],Ecustom_DB[],10,FALSE)</f>
        <v>Platinum</v>
      </c>
      <c r="S573" t="str">
        <f>IF(ESales_DB[[#This Row],[Quantity1]]&gt;3,"Bulk order","Normal order")</f>
        <v>Normal order</v>
      </c>
    </row>
    <row r="574" spans="1:19" x14ac:dyDescent="0.3">
      <c r="A574" t="s">
        <v>3338</v>
      </c>
      <c r="B574" s="4">
        <v>45860</v>
      </c>
      <c r="C574" s="4" t="str">
        <f>TEXT(ESales_DB[[#This Row],[Order_Date]],"mmm")</f>
        <v>Jul</v>
      </c>
      <c r="D574" t="s">
        <v>344</v>
      </c>
      <c r="E574" t="s">
        <v>1560</v>
      </c>
      <c r="F574" t="s">
        <v>1782</v>
      </c>
      <c r="G574">
        <v>4</v>
      </c>
      <c r="H574" s="10">
        <f>IF(ISBLANK(ESales_DB[[#This Row],[Quantity]]),AVERAGEIF(ESales_DB[Product_ID],ESales_DB[[#This Row],[Product_ID]],ESales_DB[Quantity]),ESales_DB[[#This Row],[Quantity]])</f>
        <v>4</v>
      </c>
      <c r="I574" s="2">
        <v>797.83</v>
      </c>
      <c r="J574">
        <v>0.08</v>
      </c>
      <c r="K574" t="s">
        <v>1824</v>
      </c>
      <c r="L574" s="2">
        <v>2936.0144</v>
      </c>
      <c r="M574" s="2" t="str">
        <f>IF(ESales_DB[[#This Row],[Total_Amount]]&gt;1000,"High","Low")</f>
        <v>High</v>
      </c>
      <c r="N574" s="2" t="str">
        <f>VLOOKUP(ESales_DB[[#This Row],[Customer_ID]],Ecustom_DB[],3,FALSE)</f>
        <v>Samantha Walker</v>
      </c>
      <c r="O574" s="2" t="str">
        <f>_xlfn.XLOOKUP(ESales_DB[[#This Row],[Product_ID]],Eproduct_DB[Product_ID],Eproduct_DB[Category])</f>
        <v>Home</v>
      </c>
      <c r="P574" s="2" t="str">
        <f>_xlfn.XLOOKUP(ESales_DB[[#This Row],[Product_ID]],Eproduct_DB[Product_ID],Eproduct_DB[Product_Name])</f>
        <v>LED Table Lamp</v>
      </c>
      <c r="Q574" s="2" t="str">
        <f>_xlfn.XLOOKUP(ESales_DB[[#This Row],[Store_ID]],Estore_DB[Store_ID],Estore_DB[Region])</f>
        <v>West</v>
      </c>
      <c r="R574" t="str">
        <f>VLOOKUP(ESales_DB[[#This Row],[Customer_ID]],Ecustom_DB[],10,FALSE)</f>
        <v>Platinum</v>
      </c>
      <c r="S574" t="str">
        <f>IF(ESales_DB[[#This Row],[Quantity1]]&gt;3,"Bulk order","Normal order")</f>
        <v>Bulk order</v>
      </c>
    </row>
    <row r="575" spans="1:19" x14ac:dyDescent="0.3">
      <c r="A575" t="s">
        <v>3339</v>
      </c>
      <c r="B575" s="4">
        <v>45922</v>
      </c>
      <c r="C575" s="4" t="str">
        <f>TEXT(ESales_DB[[#This Row],[Order_Date]],"mmm")</f>
        <v>Sep</v>
      </c>
      <c r="D575" t="s">
        <v>350</v>
      </c>
      <c r="E575" t="s">
        <v>1549</v>
      </c>
      <c r="F575" t="s">
        <v>1804</v>
      </c>
      <c r="G575">
        <v>1</v>
      </c>
      <c r="H575" s="10">
        <f>IF(ISBLANK(ESales_DB[[#This Row],[Quantity]]),AVERAGEIF(ESales_DB[Product_ID],ESales_DB[[#This Row],[Product_ID]],ESales_DB[Quantity]),ESales_DB[[#This Row],[Quantity]])</f>
        <v>1</v>
      </c>
      <c r="I575" s="2">
        <v>372.75</v>
      </c>
      <c r="J575">
        <v>0.12</v>
      </c>
      <c r="K575" t="s">
        <v>1824</v>
      </c>
      <c r="L575" s="2">
        <v>328.02</v>
      </c>
      <c r="M575" s="2" t="str">
        <f>IF(ESales_DB[[#This Row],[Total_Amount]]&gt;1000,"High","Low")</f>
        <v>Low</v>
      </c>
      <c r="N575" s="2" t="str">
        <f>VLOOKUP(ESales_DB[[#This Row],[Customer_ID]],Ecustom_DB[],3,FALSE)</f>
        <v>Brittney Morgan</v>
      </c>
      <c r="O575" s="2" t="str">
        <f>_xlfn.XLOOKUP(ESales_DB[[#This Row],[Product_ID]],Eproduct_DB[Product_ID],Eproduct_DB[Category])</f>
        <v>Clothing</v>
      </c>
      <c r="P575" s="2" t="str">
        <f>_xlfn.XLOOKUP(ESales_DB[[#This Row],[Product_ID]],Eproduct_DB[Product_ID],Eproduct_DB[Product_Name])</f>
        <v>Women's Casual Hoodie</v>
      </c>
      <c r="Q575" s="2" t="str">
        <f>_xlfn.XLOOKUP(ESales_DB[[#This Row],[Store_ID]],Estore_DB[Store_ID],Estore_DB[Region])</f>
        <v>West</v>
      </c>
      <c r="R575" t="str">
        <f>VLOOKUP(ESales_DB[[#This Row],[Customer_ID]],Ecustom_DB[],10,FALSE)</f>
        <v>Gold</v>
      </c>
      <c r="S575" t="str">
        <f>IF(ESales_DB[[#This Row],[Quantity1]]&gt;3,"Bulk order","Normal order")</f>
        <v>Normal order</v>
      </c>
    </row>
    <row r="576" spans="1:19" x14ac:dyDescent="0.3">
      <c r="A576" t="s">
        <v>3340</v>
      </c>
      <c r="B576" s="4">
        <v>45477</v>
      </c>
      <c r="C576" s="4" t="str">
        <f>TEXT(ESales_DB[[#This Row],[Order_Date]],"mmm")</f>
        <v>Jul</v>
      </c>
      <c r="D576" t="s">
        <v>1235</v>
      </c>
      <c r="E576" t="s">
        <v>1670</v>
      </c>
      <c r="F576" t="s">
        <v>1769</v>
      </c>
      <c r="G576">
        <v>1</v>
      </c>
      <c r="H576" s="10">
        <f>IF(ISBLANK(ESales_DB[[#This Row],[Quantity]]),AVERAGEIF(ESales_DB[Product_ID],ESales_DB[[#This Row],[Product_ID]],ESales_DB[Quantity]),ESales_DB[[#This Row],[Quantity]])</f>
        <v>1</v>
      </c>
      <c r="I576" s="2">
        <v>994.18</v>
      </c>
      <c r="J576">
        <v>0.05</v>
      </c>
      <c r="K576" t="s">
        <v>1826</v>
      </c>
      <c r="L576" s="2">
        <v>944.47099999999989</v>
      </c>
      <c r="M576" s="2" t="str">
        <f>IF(ESales_DB[[#This Row],[Total_Amount]]&gt;1000,"High","Low")</f>
        <v>Low</v>
      </c>
      <c r="N576" s="2" t="str">
        <f>VLOOKUP(ESales_DB[[#This Row],[Customer_ID]],Ecustom_DB[],3,FALSE)</f>
        <v>Alexander Byrd</v>
      </c>
      <c r="O576" s="2" t="str">
        <f>_xlfn.XLOOKUP(ESales_DB[[#This Row],[Product_ID]],Eproduct_DB[Product_ID],Eproduct_DB[Category])</f>
        <v>Sports</v>
      </c>
      <c r="P576" s="2" t="str">
        <f>_xlfn.XLOOKUP(ESales_DB[[#This Row],[Product_ID]],Eproduct_DB[Product_ID],Eproduct_DB[Product_Name])</f>
        <v>Tennis Ball 3-Pack</v>
      </c>
      <c r="Q576" s="2" t="str">
        <f>_xlfn.XLOOKUP(ESales_DB[[#This Row],[Store_ID]],Estore_DB[Store_ID],Estore_DB[Region])</f>
        <v>South</v>
      </c>
      <c r="R576" t="str">
        <f>VLOOKUP(ESales_DB[[#This Row],[Customer_ID]],Ecustom_DB[],10,FALSE)</f>
        <v>Silver</v>
      </c>
      <c r="S576" t="str">
        <f>IF(ESales_DB[[#This Row],[Quantity1]]&gt;3,"Bulk order","Normal order")</f>
        <v>Normal order</v>
      </c>
    </row>
    <row r="577" spans="1:19" x14ac:dyDescent="0.3">
      <c r="A577" t="s">
        <v>3341</v>
      </c>
      <c r="B577" s="4">
        <v>45504</v>
      </c>
      <c r="C577" s="4" t="str">
        <f>TEXT(ESales_DB[[#This Row],[Order_Date]],"mmm")</f>
        <v>Jul</v>
      </c>
      <c r="D577" t="s">
        <v>1310</v>
      </c>
      <c r="E577" t="s">
        <v>1588</v>
      </c>
      <c r="F577" t="s">
        <v>1797</v>
      </c>
      <c r="G577">
        <v>1</v>
      </c>
      <c r="H577" s="10">
        <f>IF(ISBLANK(ESales_DB[[#This Row],[Quantity]]),AVERAGEIF(ESales_DB[Product_ID],ESales_DB[[#This Row],[Product_ID]],ESales_DB[Quantity]),ESales_DB[[#This Row],[Quantity]])</f>
        <v>1</v>
      </c>
      <c r="I577" s="2">
        <v>136.12</v>
      </c>
      <c r="J577">
        <v>7.0000000000000007E-2</v>
      </c>
      <c r="K577" t="s">
        <v>1824</v>
      </c>
      <c r="L577" s="2">
        <v>126.5916</v>
      </c>
      <c r="M577" s="2" t="str">
        <f>IF(ESales_DB[[#This Row],[Total_Amount]]&gt;1000,"High","Low")</f>
        <v>Low</v>
      </c>
      <c r="N577" s="2" t="str">
        <f>VLOOKUP(ESales_DB[[#This Row],[Customer_ID]],Ecustom_DB[],3,FALSE)</f>
        <v>Brittany Edwards Dds</v>
      </c>
      <c r="O577" s="2" t="str">
        <f>_xlfn.XLOOKUP(ESales_DB[[#This Row],[Product_ID]],Eproduct_DB[Product_ID],Eproduct_DB[Category])</f>
        <v>Sports</v>
      </c>
      <c r="P577" s="2" t="str">
        <f>_xlfn.XLOOKUP(ESales_DB[[#This Row],[Product_ID]],Eproduct_DB[Product_ID],Eproduct_DB[Product_Name])</f>
        <v>Outdoor Sports Water Bottle</v>
      </c>
      <c r="Q577" s="2" t="str">
        <f>_xlfn.XLOOKUP(ESales_DB[[#This Row],[Store_ID]],Estore_DB[Store_ID],Estore_DB[Region])</f>
        <v>East</v>
      </c>
      <c r="R577" t="str">
        <f>VLOOKUP(ESales_DB[[#This Row],[Customer_ID]],Ecustom_DB[],10,FALSE)</f>
        <v>Platinum</v>
      </c>
      <c r="S577" t="str">
        <f>IF(ESales_DB[[#This Row],[Quantity1]]&gt;3,"Bulk order","Normal order")</f>
        <v>Normal order</v>
      </c>
    </row>
    <row r="578" spans="1:19" x14ac:dyDescent="0.3">
      <c r="A578" t="s">
        <v>3342</v>
      </c>
      <c r="B578" s="4">
        <v>45862</v>
      </c>
      <c r="C578" s="4" t="str">
        <f>TEXT(ESales_DB[[#This Row],[Order_Date]],"mmm")</f>
        <v>Jul</v>
      </c>
      <c r="D578" t="s">
        <v>124</v>
      </c>
      <c r="E578" t="s">
        <v>1652</v>
      </c>
      <c r="F578" t="s">
        <v>1810</v>
      </c>
      <c r="G578">
        <v>3</v>
      </c>
      <c r="H578" s="10">
        <f>IF(ISBLANK(ESales_DB[[#This Row],[Quantity]]),AVERAGEIF(ESales_DB[Product_ID],ESales_DB[[#This Row],[Product_ID]],ESales_DB[Quantity]),ESales_DB[[#This Row],[Quantity]])</f>
        <v>3</v>
      </c>
      <c r="I578" s="2">
        <v>634.45000000000005</v>
      </c>
      <c r="J578">
        <v>0.17</v>
      </c>
      <c r="K578" t="s">
        <v>1826</v>
      </c>
      <c r="L578" s="2">
        <v>1579.7805000000001</v>
      </c>
      <c r="M578" s="2" t="str">
        <f>IF(ESales_DB[[#This Row],[Total_Amount]]&gt;1000,"High","Low")</f>
        <v>High</v>
      </c>
      <c r="N578" s="2" t="str">
        <f>VLOOKUP(ESales_DB[[#This Row],[Customer_ID]],Ecustom_DB[],3,FALSE)</f>
        <v>Jessica Acevedo</v>
      </c>
      <c r="O578" s="2" t="str">
        <f>_xlfn.XLOOKUP(ESales_DB[[#This Row],[Product_ID]],Eproduct_DB[Product_ID],Eproduct_DB[Category])</f>
        <v>Sports</v>
      </c>
      <c r="P578" s="2" t="str">
        <f>_xlfn.XLOOKUP(ESales_DB[[#This Row],[Product_ID]],Eproduct_DB[Product_ID],Eproduct_DB[Product_Name])</f>
        <v>Rugby Ball</v>
      </c>
      <c r="Q578" s="2" t="str">
        <f>_xlfn.XLOOKUP(ESales_DB[[#This Row],[Store_ID]],Estore_DB[Store_ID],Estore_DB[Region])</f>
        <v>East</v>
      </c>
      <c r="R578" t="str">
        <f>VLOOKUP(ESales_DB[[#This Row],[Customer_ID]],Ecustom_DB[],10,FALSE)</f>
        <v>Bronze</v>
      </c>
      <c r="S578" t="str">
        <f>IF(ESales_DB[[#This Row],[Quantity1]]&gt;3,"Bulk order","Normal order")</f>
        <v>Normal order</v>
      </c>
    </row>
    <row r="579" spans="1:19" x14ac:dyDescent="0.3">
      <c r="A579" t="s">
        <v>3343</v>
      </c>
      <c r="B579" s="4">
        <v>45579</v>
      </c>
      <c r="C579" s="4" t="str">
        <f>TEXT(ESales_DB[[#This Row],[Order_Date]],"mmm")</f>
        <v>Oct</v>
      </c>
      <c r="D579" t="s">
        <v>1035</v>
      </c>
      <c r="E579" t="s">
        <v>1676</v>
      </c>
      <c r="F579" t="s">
        <v>1752</v>
      </c>
      <c r="G579">
        <v>4</v>
      </c>
      <c r="H579" s="10">
        <f>IF(ISBLANK(ESales_DB[[#This Row],[Quantity]]),AVERAGEIF(ESales_DB[Product_ID],ESales_DB[[#This Row],[Product_ID]],ESales_DB[Quantity]),ESales_DB[[#This Row],[Quantity]])</f>
        <v>4</v>
      </c>
      <c r="I579" s="2">
        <v>179.62</v>
      </c>
      <c r="J579">
        <v>0.05</v>
      </c>
      <c r="K579" t="s">
        <v>1824</v>
      </c>
      <c r="L579" s="2">
        <v>682.55600000000004</v>
      </c>
      <c r="M579" s="2" t="str">
        <f>IF(ESales_DB[[#This Row],[Total_Amount]]&gt;1000,"High","Low")</f>
        <v>Low</v>
      </c>
      <c r="N579" s="2" t="str">
        <f>VLOOKUP(ESales_DB[[#This Row],[Customer_ID]],Ecustom_DB[],3,FALSE)</f>
        <v>Victor Mcintosh</v>
      </c>
      <c r="O579" s="2" t="str">
        <f>_xlfn.XLOOKUP(ESales_DB[[#This Row],[Product_ID]],Eproduct_DB[Product_ID],Eproduct_DB[Category])</f>
        <v>Beauty</v>
      </c>
      <c r="P579" s="2" t="str">
        <f>_xlfn.XLOOKUP(ESales_DB[[#This Row],[Product_ID]],Eproduct_DB[Product_ID],Eproduct_DB[Product_Name])</f>
        <v>Matte Lipstick Set</v>
      </c>
      <c r="Q579" s="2" t="str">
        <f>_xlfn.XLOOKUP(ESales_DB[[#This Row],[Store_ID]],Estore_DB[Store_ID],Estore_DB[Region])</f>
        <v>East</v>
      </c>
      <c r="R579" t="str">
        <f>VLOOKUP(ESales_DB[[#This Row],[Customer_ID]],Ecustom_DB[],10,FALSE)</f>
        <v>Bronze</v>
      </c>
      <c r="S579" t="str">
        <f>IF(ESales_DB[[#This Row],[Quantity1]]&gt;3,"Bulk order","Normal order")</f>
        <v>Bulk order</v>
      </c>
    </row>
    <row r="580" spans="1:19" x14ac:dyDescent="0.3">
      <c r="A580" t="s">
        <v>3344</v>
      </c>
      <c r="B580" s="4">
        <v>45658</v>
      </c>
      <c r="C580" s="4" t="str">
        <f>TEXT(ESales_DB[[#This Row],[Order_Date]],"mmm")</f>
        <v>Jan</v>
      </c>
      <c r="D580" t="s">
        <v>932</v>
      </c>
      <c r="E580" t="s">
        <v>1588</v>
      </c>
      <c r="F580" t="s">
        <v>1810</v>
      </c>
      <c r="G580">
        <v>4</v>
      </c>
      <c r="H580" s="10">
        <f>IF(ISBLANK(ESales_DB[[#This Row],[Quantity]]),AVERAGEIF(ESales_DB[Product_ID],ESales_DB[[#This Row],[Product_ID]],ESales_DB[Quantity]),ESales_DB[[#This Row],[Quantity]])</f>
        <v>4</v>
      </c>
      <c r="I580" s="2">
        <v>558.83000000000004</v>
      </c>
      <c r="J580">
        <v>0.16</v>
      </c>
      <c r="K580" t="s">
        <v>1826</v>
      </c>
      <c r="L580" s="2">
        <v>1877.6687999999999</v>
      </c>
      <c r="M580" s="2" t="str">
        <f>IF(ESales_DB[[#This Row],[Total_Amount]]&gt;1000,"High","Low")</f>
        <v>High</v>
      </c>
      <c r="N580" s="2" t="str">
        <f>VLOOKUP(ESales_DB[[#This Row],[Customer_ID]],Ecustom_DB[],3,FALSE)</f>
        <v>Lisa Chandler</v>
      </c>
      <c r="O580" s="2" t="str">
        <f>_xlfn.XLOOKUP(ESales_DB[[#This Row],[Product_ID]],Eproduct_DB[Product_ID],Eproduct_DB[Category])</f>
        <v>Sports</v>
      </c>
      <c r="P580" s="2" t="str">
        <f>_xlfn.XLOOKUP(ESales_DB[[#This Row],[Product_ID]],Eproduct_DB[Product_ID],Eproduct_DB[Product_Name])</f>
        <v>Outdoor Sports Water Bottle</v>
      </c>
      <c r="Q580" s="2" t="str">
        <f>_xlfn.XLOOKUP(ESales_DB[[#This Row],[Store_ID]],Estore_DB[Store_ID],Estore_DB[Region])</f>
        <v>East</v>
      </c>
      <c r="R580" t="str">
        <f>VLOOKUP(ESales_DB[[#This Row],[Customer_ID]],Ecustom_DB[],10,FALSE)</f>
        <v>Platinum</v>
      </c>
      <c r="S580" t="str">
        <f>IF(ESales_DB[[#This Row],[Quantity1]]&gt;3,"Bulk order","Normal order")</f>
        <v>Bulk order</v>
      </c>
    </row>
    <row r="581" spans="1:19" x14ac:dyDescent="0.3">
      <c r="A581" t="s">
        <v>3345</v>
      </c>
      <c r="B581" s="4">
        <v>45664</v>
      </c>
      <c r="C581" s="4" t="str">
        <f>TEXT(ESales_DB[[#This Row],[Order_Date]],"mmm")</f>
        <v>Jan</v>
      </c>
      <c r="D581" t="s">
        <v>568</v>
      </c>
      <c r="E581" t="s">
        <v>1736</v>
      </c>
      <c r="F581" t="s">
        <v>1776</v>
      </c>
      <c r="G581">
        <v>2</v>
      </c>
      <c r="H581" s="10">
        <f>IF(ISBLANK(ESales_DB[[#This Row],[Quantity]]),AVERAGEIF(ESales_DB[Product_ID],ESales_DB[[#This Row],[Product_ID]],ESales_DB[Quantity]),ESales_DB[[#This Row],[Quantity]])</f>
        <v>2</v>
      </c>
      <c r="I581" s="2">
        <v>859.74</v>
      </c>
      <c r="J581">
        <v>0.25</v>
      </c>
      <c r="K581" t="s">
        <v>1829</v>
      </c>
      <c r="L581" s="2">
        <v>1289.6099999999999</v>
      </c>
      <c r="M581" s="2" t="str">
        <f>IF(ESales_DB[[#This Row],[Total_Amount]]&gt;1000,"High","Low")</f>
        <v>High</v>
      </c>
      <c r="N581" s="2" t="str">
        <f>VLOOKUP(ESales_DB[[#This Row],[Customer_ID]],Ecustom_DB[],3,FALSE)</f>
        <v>Amy Wilson</v>
      </c>
      <c r="O581" s="2" t="str">
        <f>_xlfn.XLOOKUP(ESales_DB[[#This Row],[Product_ID]],Eproduct_DB[Product_ID],Eproduct_DB[Category])</f>
        <v>Beauty</v>
      </c>
      <c r="P581" s="2" t="str">
        <f>_xlfn.XLOOKUP(ESales_DB[[#This Row],[Product_ID]],Eproduct_DB[Product_ID],Eproduct_DB[Product_Name])</f>
        <v>Vitamin E Body Lotion</v>
      </c>
      <c r="Q581" s="2" t="str">
        <f>_xlfn.XLOOKUP(ESales_DB[[#This Row],[Store_ID]],Estore_DB[Store_ID],Estore_DB[Region])</f>
        <v>East</v>
      </c>
      <c r="R581" t="str">
        <f>VLOOKUP(ESales_DB[[#This Row],[Customer_ID]],Ecustom_DB[],10,FALSE)</f>
        <v>Platinum</v>
      </c>
      <c r="S581" t="str">
        <f>IF(ESales_DB[[#This Row],[Quantity1]]&gt;3,"Bulk order","Normal order")</f>
        <v>Normal order</v>
      </c>
    </row>
    <row r="582" spans="1:19" x14ac:dyDescent="0.3">
      <c r="A582" t="s">
        <v>1978</v>
      </c>
      <c r="B582" s="4">
        <v>45798</v>
      </c>
      <c r="C582" s="4" t="str">
        <f>TEXT(ESales_DB[[#This Row],[Order_Date]],"mmm")</f>
        <v>May</v>
      </c>
      <c r="D582" t="s">
        <v>779</v>
      </c>
      <c r="E582" t="s">
        <v>1686</v>
      </c>
      <c r="F582" t="s">
        <v>1813</v>
      </c>
      <c r="G582">
        <v>2</v>
      </c>
      <c r="H582" s="10">
        <f>IF(ISBLANK(ESales_DB[[#This Row],[Quantity]]),AVERAGEIF(ESales_DB[Product_ID],ESales_DB[[#This Row],[Product_ID]],ESales_DB[Quantity]),ESales_DB[[#This Row],[Quantity]])</f>
        <v>2</v>
      </c>
      <c r="I582" s="2">
        <v>108.74</v>
      </c>
      <c r="J582">
        <v>0.11</v>
      </c>
      <c r="K582" t="s">
        <v>1826</v>
      </c>
      <c r="L582" s="2">
        <v>193.55719999999999</v>
      </c>
      <c r="M582" s="2" t="str">
        <f>IF(ESales_DB[[#This Row],[Total_Amount]]&gt;1000,"High","Low")</f>
        <v>Low</v>
      </c>
      <c r="N582" s="2" t="str">
        <f>VLOOKUP(ESales_DB[[#This Row],[Customer_ID]],Ecustom_DB[],3,FALSE)</f>
        <v>Brian Hammond</v>
      </c>
      <c r="O582" s="2" t="str">
        <f>_xlfn.XLOOKUP(ESales_DB[[#This Row],[Product_ID]],Eproduct_DB[Product_ID],Eproduct_DB[Category])</f>
        <v>Clothing</v>
      </c>
      <c r="P582" s="2" t="str">
        <f>_xlfn.XLOOKUP(ESales_DB[[#This Row],[Product_ID]],Eproduct_DB[Product_ID],Eproduct_DB[Product_Name])</f>
        <v>Men's Sports Shorts</v>
      </c>
      <c r="Q582" s="2" t="str">
        <f>_xlfn.XLOOKUP(ESales_DB[[#This Row],[Store_ID]],Estore_DB[Store_ID],Estore_DB[Region])</f>
        <v>East</v>
      </c>
      <c r="R582" t="str">
        <f>VLOOKUP(ESales_DB[[#This Row],[Customer_ID]],Ecustom_DB[],10,FALSE)</f>
        <v>Gold</v>
      </c>
      <c r="S582" t="str">
        <f>IF(ESales_DB[[#This Row],[Quantity1]]&gt;3,"Bulk order","Normal order")</f>
        <v>Normal order</v>
      </c>
    </row>
    <row r="583" spans="1:19" x14ac:dyDescent="0.3">
      <c r="A583" t="s">
        <v>3346</v>
      </c>
      <c r="B583" s="4">
        <v>45936</v>
      </c>
      <c r="C583" s="4" t="str">
        <f>TEXT(ESales_DB[[#This Row],[Order_Date]],"mmm")</f>
        <v>Oct</v>
      </c>
      <c r="D583" t="s">
        <v>375</v>
      </c>
      <c r="E583" t="s">
        <v>1678</v>
      </c>
      <c r="F583" t="s">
        <v>1804</v>
      </c>
      <c r="G583">
        <v>3</v>
      </c>
      <c r="H583" s="10">
        <f>IF(ISBLANK(ESales_DB[[#This Row],[Quantity]]),AVERAGEIF(ESales_DB[Product_ID],ESales_DB[[#This Row],[Product_ID]],ESales_DB[Quantity]),ESales_DB[[#This Row],[Quantity]])</f>
        <v>3</v>
      </c>
      <c r="I583" s="2">
        <v>578.47</v>
      </c>
      <c r="J583">
        <v>0.06</v>
      </c>
      <c r="K583" t="s">
        <v>1829</v>
      </c>
      <c r="L583" s="2">
        <v>1631.2854</v>
      </c>
      <c r="M583" s="2" t="str">
        <f>IF(ESales_DB[[#This Row],[Total_Amount]]&gt;1000,"High","Low")</f>
        <v>High</v>
      </c>
      <c r="N583" s="2" t="str">
        <f>VLOOKUP(ESales_DB[[#This Row],[Customer_ID]],Ecustom_DB[],3,FALSE)</f>
        <v>Howard Summers</v>
      </c>
      <c r="O583" s="2" t="str">
        <f>_xlfn.XLOOKUP(ESales_DB[[#This Row],[Product_ID]],Eproduct_DB[Product_ID],Eproduct_DB[Category])</f>
        <v>Sports</v>
      </c>
      <c r="P583" s="2" t="str">
        <f>_xlfn.XLOOKUP(ESales_DB[[#This Row],[Product_ID]],Eproduct_DB[Product_ID],Eproduct_DB[Product_Name])</f>
        <v>Adjustable Dumbbells 20kg</v>
      </c>
      <c r="Q583" s="2" t="str">
        <f>_xlfn.XLOOKUP(ESales_DB[[#This Row],[Store_ID]],Estore_DB[Store_ID],Estore_DB[Region])</f>
        <v>West</v>
      </c>
      <c r="R583" t="str">
        <f>VLOOKUP(ESales_DB[[#This Row],[Customer_ID]],Ecustom_DB[],10,FALSE)</f>
        <v>Bronze</v>
      </c>
      <c r="S583" t="str">
        <f>IF(ESales_DB[[#This Row],[Quantity1]]&gt;3,"Bulk order","Normal order")</f>
        <v>Normal order</v>
      </c>
    </row>
    <row r="584" spans="1:19" x14ac:dyDescent="0.3">
      <c r="A584" t="s">
        <v>3347</v>
      </c>
      <c r="B584" s="4">
        <v>45344</v>
      </c>
      <c r="C584" s="4" t="str">
        <f>TEXT(ESales_DB[[#This Row],[Order_Date]],"mmm")</f>
        <v>Feb</v>
      </c>
      <c r="D584" t="s">
        <v>208</v>
      </c>
      <c r="E584" t="s">
        <v>1590</v>
      </c>
      <c r="F584" t="s">
        <v>1794</v>
      </c>
      <c r="G584">
        <v>1</v>
      </c>
      <c r="H584" s="10">
        <f>IF(ISBLANK(ESales_DB[[#This Row],[Quantity]]),AVERAGEIF(ESales_DB[Product_ID],ESales_DB[[#This Row],[Product_ID]],ESales_DB[Quantity]),ESales_DB[[#This Row],[Quantity]])</f>
        <v>1</v>
      </c>
      <c r="I584" s="2">
        <v>440.48</v>
      </c>
      <c r="J584">
        <v>0.11</v>
      </c>
      <c r="K584" t="s">
        <v>1829</v>
      </c>
      <c r="L584" s="2">
        <v>392.02720000000011</v>
      </c>
      <c r="M584" s="2" t="str">
        <f>IF(ESales_DB[[#This Row],[Total_Amount]]&gt;1000,"High","Low")</f>
        <v>Low</v>
      </c>
      <c r="N584" s="2" t="str">
        <f>VLOOKUP(ESales_DB[[#This Row],[Customer_ID]],Ecustom_DB[],3,FALSE)</f>
        <v>Wayne Mcpherson</v>
      </c>
      <c r="O584" s="2" t="str">
        <f>_xlfn.XLOOKUP(ESales_DB[[#This Row],[Product_ID]],Eproduct_DB[Product_ID],Eproduct_DB[Category])</f>
        <v>Home</v>
      </c>
      <c r="P584" s="2" t="str">
        <f>_xlfn.XLOOKUP(ESales_DB[[#This Row],[Product_ID]],Eproduct_DB[Product_ID],Eproduct_DB[Product_Name])</f>
        <v>Multi-Purpose Storage Box</v>
      </c>
      <c r="Q584" s="2" t="str">
        <f>_xlfn.XLOOKUP(ESales_DB[[#This Row],[Store_ID]],Estore_DB[Store_ID],Estore_DB[Region])</f>
        <v>North</v>
      </c>
      <c r="R584" t="str">
        <f>VLOOKUP(ESales_DB[[#This Row],[Customer_ID]],Ecustom_DB[],10,FALSE)</f>
        <v>Bronze</v>
      </c>
      <c r="S584" t="str">
        <f>IF(ESales_DB[[#This Row],[Quantity1]]&gt;3,"Bulk order","Normal order")</f>
        <v>Normal order</v>
      </c>
    </row>
    <row r="585" spans="1:19" x14ac:dyDescent="0.3">
      <c r="A585" t="s">
        <v>3348</v>
      </c>
      <c r="B585" s="4">
        <v>45329</v>
      </c>
      <c r="C585" s="4" t="str">
        <f>TEXT(ESales_DB[[#This Row],[Order_Date]],"mmm")</f>
        <v>Feb</v>
      </c>
      <c r="D585" t="s">
        <v>75</v>
      </c>
      <c r="E585" t="s">
        <v>1580</v>
      </c>
      <c r="F585" t="s">
        <v>1813</v>
      </c>
      <c r="G585">
        <v>2</v>
      </c>
      <c r="H585" s="10">
        <f>IF(ISBLANK(ESales_DB[[#This Row],[Quantity]]),AVERAGEIF(ESales_DB[Product_ID],ESales_DB[[#This Row],[Product_ID]],ESales_DB[Quantity]),ESales_DB[[#This Row],[Quantity]])</f>
        <v>2</v>
      </c>
      <c r="I585" s="2">
        <v>303.67</v>
      </c>
      <c r="J585">
        <v>0.05</v>
      </c>
      <c r="K585" t="s">
        <v>1826</v>
      </c>
      <c r="L585" s="2">
        <v>576.97299999999996</v>
      </c>
      <c r="M585" s="2" t="str">
        <f>IF(ESales_DB[[#This Row],[Total_Amount]]&gt;1000,"High","Low")</f>
        <v>Low</v>
      </c>
      <c r="N585" s="2" t="str">
        <f>VLOOKUP(ESales_DB[[#This Row],[Customer_ID]],Ecustom_DB[],3,FALSE)</f>
        <v>John Scott</v>
      </c>
      <c r="O585" s="2" t="str">
        <f>_xlfn.XLOOKUP(ESales_DB[[#This Row],[Product_ID]],Eproduct_DB[Product_ID],Eproduct_DB[Category])</f>
        <v>Beauty</v>
      </c>
      <c r="P585" s="2" t="str">
        <f>_xlfn.XLOOKUP(ESales_DB[[#This Row],[Product_ID]],Eproduct_DB[Product_ID],Eproduct_DB[Product_Name])</f>
        <v>Beard Grooming Kit</v>
      </c>
      <c r="Q585" s="2" t="str">
        <f>_xlfn.XLOOKUP(ESales_DB[[#This Row],[Store_ID]],Estore_DB[Store_ID],Estore_DB[Region])</f>
        <v>East</v>
      </c>
      <c r="R585" t="str">
        <f>VLOOKUP(ESales_DB[[#This Row],[Customer_ID]],Ecustom_DB[],10,FALSE)</f>
        <v>Bronze</v>
      </c>
      <c r="S585" t="str">
        <f>IF(ESales_DB[[#This Row],[Quantity1]]&gt;3,"Bulk order","Normal order")</f>
        <v>Normal order</v>
      </c>
    </row>
    <row r="586" spans="1:19" x14ac:dyDescent="0.3">
      <c r="A586" t="s">
        <v>3349</v>
      </c>
      <c r="B586" s="4">
        <v>45895</v>
      </c>
      <c r="C586" s="4" t="str">
        <f>TEXT(ESales_DB[[#This Row],[Order_Date]],"mmm")</f>
        <v>Aug</v>
      </c>
      <c r="D586" t="s">
        <v>1056</v>
      </c>
      <c r="E586" t="s">
        <v>1696</v>
      </c>
      <c r="F586" t="s">
        <v>1799</v>
      </c>
      <c r="G586">
        <v>2</v>
      </c>
      <c r="H586" s="10">
        <f>IF(ISBLANK(ESales_DB[[#This Row],[Quantity]]),AVERAGEIF(ESales_DB[Product_ID],ESales_DB[[#This Row],[Product_ID]],ESales_DB[Quantity]),ESales_DB[[#This Row],[Quantity]])</f>
        <v>2</v>
      </c>
      <c r="I586" s="2">
        <v>611.21</v>
      </c>
      <c r="J586">
        <v>0.22</v>
      </c>
      <c r="K586" t="s">
        <v>1829</v>
      </c>
      <c r="L586" s="2">
        <v>953.48760000000004</v>
      </c>
      <c r="M586" s="2" t="str">
        <f>IF(ESales_DB[[#This Row],[Total_Amount]]&gt;1000,"High","Low")</f>
        <v>Low</v>
      </c>
      <c r="N586" s="2" t="str">
        <f>VLOOKUP(ESales_DB[[#This Row],[Customer_ID]],Ecustom_DB[],3,FALSE)</f>
        <v>John Jones</v>
      </c>
      <c r="O586" s="2" t="str">
        <f>_xlfn.XLOOKUP(ESales_DB[[#This Row],[Product_ID]],Eproduct_DB[Product_ID],Eproduct_DB[Category])</f>
        <v>Electronics</v>
      </c>
      <c r="P586" s="2" t="str">
        <f>_xlfn.XLOOKUP(ESales_DB[[#This Row],[Product_ID]],Eproduct_DB[Product_ID],Eproduct_DB[Product_Name])</f>
        <v>Bluetooth Car Audio System</v>
      </c>
      <c r="Q586" s="2" t="str">
        <f>_xlfn.XLOOKUP(ESales_DB[[#This Row],[Store_ID]],Estore_DB[Store_ID],Estore_DB[Region])</f>
        <v>South</v>
      </c>
      <c r="R586" t="str">
        <f>VLOOKUP(ESales_DB[[#This Row],[Customer_ID]],Ecustom_DB[],10,FALSE)</f>
        <v>Silver</v>
      </c>
      <c r="S586" t="str">
        <f>IF(ESales_DB[[#This Row],[Quantity1]]&gt;3,"Bulk order","Normal order")</f>
        <v>Normal order</v>
      </c>
    </row>
    <row r="587" spans="1:19" x14ac:dyDescent="0.3">
      <c r="A587" t="s">
        <v>3350</v>
      </c>
      <c r="B587" s="4">
        <v>45239</v>
      </c>
      <c r="C587" s="4" t="str">
        <f>TEXT(ESales_DB[[#This Row],[Order_Date]],"mmm")</f>
        <v>Nov</v>
      </c>
      <c r="D587" t="s">
        <v>660</v>
      </c>
      <c r="E587" t="s">
        <v>1626</v>
      </c>
      <c r="F587" t="s">
        <v>1801</v>
      </c>
      <c r="G587">
        <v>2</v>
      </c>
      <c r="H587" s="10">
        <f>IF(ISBLANK(ESales_DB[[#This Row],[Quantity]]),AVERAGEIF(ESales_DB[Product_ID],ESales_DB[[#This Row],[Product_ID]],ESales_DB[Quantity]),ESales_DB[[#This Row],[Quantity]])</f>
        <v>2</v>
      </c>
      <c r="I587" s="2">
        <v>768.08</v>
      </c>
      <c r="J587">
        <v>0.26</v>
      </c>
      <c r="K587" t="s">
        <v>1826</v>
      </c>
      <c r="L587" s="2">
        <v>1136.7583999999999</v>
      </c>
      <c r="M587" s="2" t="str">
        <f>IF(ESales_DB[[#This Row],[Total_Amount]]&gt;1000,"High","Low")</f>
        <v>High</v>
      </c>
      <c r="N587" s="2" t="str">
        <f>VLOOKUP(ESales_DB[[#This Row],[Customer_ID]],Ecustom_DB[],3,FALSE)</f>
        <v>Christina Garcia</v>
      </c>
      <c r="O587" s="2" t="str">
        <f>_xlfn.XLOOKUP(ESales_DB[[#This Row],[Product_ID]],Eproduct_DB[Product_ID],Eproduct_DB[Category])</f>
        <v>Electronics</v>
      </c>
      <c r="P587" s="2" t="str">
        <f>_xlfn.XLOOKUP(ESales_DB[[#This Row],[Product_ID]],Eproduct_DB[Product_ID],Eproduct_DB[Product_Name])</f>
        <v>Portable Power Bank</v>
      </c>
      <c r="Q587" s="2" t="str">
        <f>_xlfn.XLOOKUP(ESales_DB[[#This Row],[Store_ID]],Estore_DB[Store_ID],Estore_DB[Region])</f>
        <v>North</v>
      </c>
      <c r="R587" t="str">
        <f>VLOOKUP(ESales_DB[[#This Row],[Customer_ID]],Ecustom_DB[],10,FALSE)</f>
        <v>Platinum</v>
      </c>
      <c r="S587" t="str">
        <f>IF(ESales_DB[[#This Row],[Quantity1]]&gt;3,"Bulk order","Normal order")</f>
        <v>Normal order</v>
      </c>
    </row>
    <row r="588" spans="1:19" x14ac:dyDescent="0.3">
      <c r="A588" t="s">
        <v>3351</v>
      </c>
      <c r="B588" s="4">
        <v>45296</v>
      </c>
      <c r="C588" s="4" t="str">
        <f>TEXT(ESales_DB[[#This Row],[Order_Date]],"mmm")</f>
        <v>Jan</v>
      </c>
      <c r="D588" t="s">
        <v>937</v>
      </c>
      <c r="E588" t="s">
        <v>1594</v>
      </c>
      <c r="F588" t="s">
        <v>1810</v>
      </c>
      <c r="G588">
        <v>1</v>
      </c>
      <c r="H588" s="10">
        <f>IF(ISBLANK(ESales_DB[[#This Row],[Quantity]]),AVERAGEIF(ESales_DB[Product_ID],ESales_DB[[#This Row],[Product_ID]],ESales_DB[Quantity]),ESales_DB[[#This Row],[Quantity]])</f>
        <v>1</v>
      </c>
      <c r="I588" s="2">
        <v>616.82000000000005</v>
      </c>
      <c r="J588">
        <v>0.24</v>
      </c>
      <c r="K588" t="s">
        <v>1824</v>
      </c>
      <c r="L588" s="2">
        <v>468.78320000000002</v>
      </c>
      <c r="M588" s="2" t="str">
        <f>IF(ESales_DB[[#This Row],[Total_Amount]]&gt;1000,"High","Low")</f>
        <v>Low</v>
      </c>
      <c r="N588" s="2" t="str">
        <f>VLOOKUP(ESales_DB[[#This Row],[Customer_ID]],Ecustom_DB[],3,FALSE)</f>
        <v>Jared Moran</v>
      </c>
      <c r="O588" s="2" t="str">
        <f>_xlfn.XLOOKUP(ESales_DB[[#This Row],[Product_ID]],Eproduct_DB[Product_ID],Eproduct_DB[Category])</f>
        <v>Clothing</v>
      </c>
      <c r="P588" s="2" t="str">
        <f>_xlfn.XLOOKUP(ESales_DB[[#This Row],[Product_ID]],Eproduct_DB[Product_ID],Eproduct_DB[Product_Name])</f>
        <v>Men's Formal Shirt</v>
      </c>
      <c r="Q588" s="2" t="str">
        <f>_xlfn.XLOOKUP(ESales_DB[[#This Row],[Store_ID]],Estore_DB[Store_ID],Estore_DB[Region])</f>
        <v>East</v>
      </c>
      <c r="R588" t="str">
        <f>VLOOKUP(ESales_DB[[#This Row],[Customer_ID]],Ecustom_DB[],10,FALSE)</f>
        <v>Bronze</v>
      </c>
      <c r="S588" t="str">
        <f>IF(ESales_DB[[#This Row],[Quantity1]]&gt;3,"Bulk order","Normal order")</f>
        <v>Normal order</v>
      </c>
    </row>
    <row r="589" spans="1:19" x14ac:dyDescent="0.3">
      <c r="A589" t="s">
        <v>3352</v>
      </c>
      <c r="B589" s="4">
        <v>45672</v>
      </c>
      <c r="C589" s="4" t="str">
        <f>TEXT(ESales_DB[[#This Row],[Order_Date]],"mmm")</f>
        <v>Jan</v>
      </c>
      <c r="D589" t="s">
        <v>604</v>
      </c>
      <c r="E589" t="s">
        <v>1628</v>
      </c>
      <c r="F589" t="s">
        <v>1810</v>
      </c>
      <c r="G589">
        <v>1</v>
      </c>
      <c r="H589" s="10">
        <f>IF(ISBLANK(ESales_DB[[#This Row],[Quantity]]),AVERAGEIF(ESales_DB[Product_ID],ESales_DB[[#This Row],[Product_ID]],ESales_DB[Quantity]),ESales_DB[[#This Row],[Quantity]])</f>
        <v>1</v>
      </c>
      <c r="I589" s="2">
        <v>470.34</v>
      </c>
      <c r="J589">
        <v>0.18</v>
      </c>
      <c r="K589" t="s">
        <v>1829</v>
      </c>
      <c r="L589" s="2">
        <v>385.67880000000002</v>
      </c>
      <c r="M589" s="2" t="str">
        <f>IF(ESales_DB[[#This Row],[Total_Amount]]&gt;1000,"High","Low")</f>
        <v>Low</v>
      </c>
      <c r="N589" s="2" t="str">
        <f>VLOOKUP(ESales_DB[[#This Row],[Customer_ID]],Ecustom_DB[],3,FALSE)</f>
        <v>Mario Jacobs</v>
      </c>
      <c r="O589" s="2" t="str">
        <f>_xlfn.XLOOKUP(ESales_DB[[#This Row],[Product_ID]],Eproduct_DB[Product_ID],Eproduct_DB[Category])</f>
        <v>Electronics</v>
      </c>
      <c r="P589" s="2" t="str">
        <f>_xlfn.XLOOKUP(ESales_DB[[#This Row],[Product_ID]],Eproduct_DB[Product_ID],Eproduct_DB[Product_Name])</f>
        <v>Noise-Canceling Headphones</v>
      </c>
      <c r="Q589" s="2" t="str">
        <f>_xlfn.XLOOKUP(ESales_DB[[#This Row],[Store_ID]],Estore_DB[Store_ID],Estore_DB[Region])</f>
        <v>East</v>
      </c>
      <c r="R589" t="str">
        <f>VLOOKUP(ESales_DB[[#This Row],[Customer_ID]],Ecustom_DB[],10,FALSE)</f>
        <v>Platinum</v>
      </c>
      <c r="S589" t="str">
        <f>IF(ESales_DB[[#This Row],[Quantity1]]&gt;3,"Bulk order","Normal order")</f>
        <v>Normal order</v>
      </c>
    </row>
    <row r="590" spans="1:19" x14ac:dyDescent="0.3">
      <c r="A590" t="s">
        <v>3353</v>
      </c>
      <c r="B590" s="4">
        <v>45499</v>
      </c>
      <c r="C590" s="4" t="str">
        <f>TEXT(ESales_DB[[#This Row],[Order_Date]],"mmm")</f>
        <v>Jul</v>
      </c>
      <c r="D590" t="s">
        <v>711</v>
      </c>
      <c r="E590" t="s">
        <v>1654</v>
      </c>
      <c r="F590" t="s">
        <v>1782</v>
      </c>
      <c r="G590">
        <v>2</v>
      </c>
      <c r="H590" s="10">
        <f>IF(ISBLANK(ESales_DB[[#This Row],[Quantity]]),AVERAGEIF(ESales_DB[Product_ID],ESales_DB[[#This Row],[Product_ID]],ESales_DB[Quantity]),ESales_DB[[#This Row],[Quantity]])</f>
        <v>2</v>
      </c>
      <c r="I590" s="2">
        <v>616.36</v>
      </c>
      <c r="J590">
        <v>0.12</v>
      </c>
      <c r="K590" t="s">
        <v>1826</v>
      </c>
      <c r="L590" s="2">
        <v>1084.7936</v>
      </c>
      <c r="M590" s="2" t="str">
        <f>IF(ESales_DB[[#This Row],[Total_Amount]]&gt;1000,"High","Low")</f>
        <v>High</v>
      </c>
      <c r="N590" s="2" t="str">
        <f>VLOOKUP(ESales_DB[[#This Row],[Customer_ID]],Ecustom_DB[],3,FALSE)</f>
        <v>Jordan Wells</v>
      </c>
      <c r="O590" s="2" t="str">
        <f>_xlfn.XLOOKUP(ESales_DB[[#This Row],[Product_ID]],Eproduct_DB[Product_ID],Eproduct_DB[Category])</f>
        <v>Clothing</v>
      </c>
      <c r="P590" s="2" t="str">
        <f>_xlfn.XLOOKUP(ESales_DB[[#This Row],[Product_ID]],Eproduct_DB[Product_ID],Eproduct_DB[Product_Name])</f>
        <v>Men's Track Pants</v>
      </c>
      <c r="Q590" s="2" t="str">
        <f>_xlfn.XLOOKUP(ESales_DB[[#This Row],[Store_ID]],Estore_DB[Store_ID],Estore_DB[Region])</f>
        <v>West</v>
      </c>
      <c r="R590" t="str">
        <f>VLOOKUP(ESales_DB[[#This Row],[Customer_ID]],Ecustom_DB[],10,FALSE)</f>
        <v>Gold</v>
      </c>
      <c r="S590" t="str">
        <f>IF(ESales_DB[[#This Row],[Quantity1]]&gt;3,"Bulk order","Normal order")</f>
        <v>Normal order</v>
      </c>
    </row>
    <row r="591" spans="1:19" x14ac:dyDescent="0.3">
      <c r="A591" t="s">
        <v>3354</v>
      </c>
      <c r="B591" s="4">
        <v>45434</v>
      </c>
      <c r="C591" s="4" t="str">
        <f>TEXT(ESales_DB[[#This Row],[Order_Date]],"mmm")</f>
        <v>May</v>
      </c>
      <c r="D591" t="s">
        <v>298</v>
      </c>
      <c r="E591" t="s">
        <v>1551</v>
      </c>
      <c r="F591" t="s">
        <v>1786</v>
      </c>
      <c r="G591">
        <v>3</v>
      </c>
      <c r="H591" s="10">
        <f>IF(ISBLANK(ESales_DB[[#This Row],[Quantity]]),AVERAGEIF(ESales_DB[Product_ID],ESales_DB[[#This Row],[Product_ID]],ESales_DB[Quantity]),ESales_DB[[#This Row],[Quantity]])</f>
        <v>3</v>
      </c>
      <c r="I591" s="2">
        <v>657.24</v>
      </c>
      <c r="J591">
        <v>0.18</v>
      </c>
      <c r="K591" t="s">
        <v>1826</v>
      </c>
      <c r="L591" s="2">
        <v>1616.8104000000001</v>
      </c>
      <c r="M591" s="2" t="str">
        <f>IF(ESales_DB[[#This Row],[Total_Amount]]&gt;1000,"High","Low")</f>
        <v>High</v>
      </c>
      <c r="N591" s="2" t="str">
        <f>VLOOKUP(ESales_DB[[#This Row],[Customer_ID]],Ecustom_DB[],3,FALSE)</f>
        <v>George Rosario</v>
      </c>
      <c r="O591" s="2" t="str">
        <f>_xlfn.XLOOKUP(ESales_DB[[#This Row],[Product_ID]],Eproduct_DB[Product_ID],Eproduct_DB[Category])</f>
        <v>Clothing</v>
      </c>
      <c r="P591" s="2" t="str">
        <f>_xlfn.XLOOKUP(ESales_DB[[#This Row],[Product_ID]],Eproduct_DB[Product_ID],Eproduct_DB[Product_Name])</f>
        <v>Men's Running Jacket</v>
      </c>
      <c r="Q591" s="2" t="str">
        <f>_xlfn.XLOOKUP(ESales_DB[[#This Row],[Store_ID]],Estore_DB[Store_ID],Estore_DB[Region])</f>
        <v>South</v>
      </c>
      <c r="R591" t="str">
        <f>VLOOKUP(ESales_DB[[#This Row],[Customer_ID]],Ecustom_DB[],10,FALSE)</f>
        <v>Bronze</v>
      </c>
      <c r="S591" t="str">
        <f>IF(ESales_DB[[#This Row],[Quantity1]]&gt;3,"Bulk order","Normal order")</f>
        <v>Normal order</v>
      </c>
    </row>
    <row r="592" spans="1:19" x14ac:dyDescent="0.3">
      <c r="A592" t="s">
        <v>3355</v>
      </c>
      <c r="B592" s="4">
        <v>45893</v>
      </c>
      <c r="C592" s="4" t="str">
        <f>TEXT(ESales_DB[[#This Row],[Order_Date]],"mmm")</f>
        <v>Aug</v>
      </c>
      <c r="D592" t="s">
        <v>137</v>
      </c>
      <c r="E592" t="s">
        <v>1630</v>
      </c>
      <c r="F592" t="s">
        <v>1813</v>
      </c>
      <c r="G592">
        <v>2</v>
      </c>
      <c r="H592" s="10">
        <f>IF(ISBLANK(ESales_DB[[#This Row],[Quantity]]),AVERAGEIF(ESales_DB[Product_ID],ESales_DB[[#This Row],[Product_ID]],ESales_DB[Quantity]),ESales_DB[[#This Row],[Quantity]])</f>
        <v>2</v>
      </c>
      <c r="I592" s="2">
        <v>392.45</v>
      </c>
      <c r="J592">
        <v>0.04</v>
      </c>
      <c r="K592" t="s">
        <v>1826</v>
      </c>
      <c r="L592" s="2">
        <v>753.50399999999991</v>
      </c>
      <c r="M592" s="2" t="str">
        <f>IF(ESales_DB[[#This Row],[Total_Amount]]&gt;1000,"High","Low")</f>
        <v>Low</v>
      </c>
      <c r="N592" s="2" t="str">
        <f>VLOOKUP(ESales_DB[[#This Row],[Customer_ID]],Ecustom_DB[],3,FALSE)</f>
        <v>Christopher Olson</v>
      </c>
      <c r="O592" s="2" t="str">
        <f>_xlfn.XLOOKUP(ESales_DB[[#This Row],[Product_ID]],Eproduct_DB[Product_ID],Eproduct_DB[Category])</f>
        <v>Sports</v>
      </c>
      <c r="P592" s="2" t="str">
        <f>_xlfn.XLOOKUP(ESales_DB[[#This Row],[Product_ID]],Eproduct_DB[Product_ID],Eproduct_DB[Product_Name])</f>
        <v>Yoga Exercise Mat</v>
      </c>
      <c r="Q592" s="2" t="str">
        <f>_xlfn.XLOOKUP(ESales_DB[[#This Row],[Store_ID]],Estore_DB[Store_ID],Estore_DB[Region])</f>
        <v>East</v>
      </c>
      <c r="R592" t="str">
        <f>VLOOKUP(ESales_DB[[#This Row],[Customer_ID]],Ecustom_DB[],10,FALSE)</f>
        <v>Platinum</v>
      </c>
      <c r="S592" t="str">
        <f>IF(ESales_DB[[#This Row],[Quantity1]]&gt;3,"Bulk order","Normal order")</f>
        <v>Normal order</v>
      </c>
    </row>
    <row r="593" spans="1:19" x14ac:dyDescent="0.3">
      <c r="A593" t="s">
        <v>1979</v>
      </c>
      <c r="B593" s="4">
        <v>45579</v>
      </c>
      <c r="C593" s="4" t="str">
        <f>TEXT(ESales_DB[[#This Row],[Order_Date]],"mmm")</f>
        <v>Oct</v>
      </c>
      <c r="D593" t="s">
        <v>990</v>
      </c>
      <c r="E593" t="s">
        <v>1570</v>
      </c>
      <c r="F593" t="s">
        <v>1813</v>
      </c>
      <c r="G593">
        <v>3</v>
      </c>
      <c r="H593" s="10">
        <f>IF(ISBLANK(ESales_DB[[#This Row],[Quantity]]),AVERAGEIF(ESales_DB[Product_ID],ESales_DB[[#This Row],[Product_ID]],ESales_DB[Quantity]),ESales_DB[[#This Row],[Quantity]])</f>
        <v>3</v>
      </c>
      <c r="I593" s="2">
        <v>591.98</v>
      </c>
      <c r="J593">
        <v>0.16</v>
      </c>
      <c r="K593" t="s">
        <v>1824</v>
      </c>
      <c r="L593" s="2">
        <v>1491.7896000000001</v>
      </c>
      <c r="M593" s="2" t="str">
        <f>IF(ESales_DB[[#This Row],[Total_Amount]]&gt;1000,"High","Low")</f>
        <v>High</v>
      </c>
      <c r="N593" s="2" t="str">
        <f>VLOOKUP(ESales_DB[[#This Row],[Customer_ID]],Ecustom_DB[],3,FALSE)</f>
        <v>Elizabeth Johnson</v>
      </c>
      <c r="O593" s="2" t="str">
        <f>_xlfn.XLOOKUP(ESales_DB[[#This Row],[Product_ID]],Eproduct_DB[Product_ID],Eproduct_DB[Category])</f>
        <v>Electronics</v>
      </c>
      <c r="P593" s="2" t="str">
        <f>_xlfn.XLOOKUP(ESales_DB[[#This Row],[Product_ID]],Eproduct_DB[Product_ID],Eproduct_DB[Product_Name])</f>
        <v>HD Smart TV Stick</v>
      </c>
      <c r="Q593" s="2" t="str">
        <f>_xlfn.XLOOKUP(ESales_DB[[#This Row],[Store_ID]],Estore_DB[Store_ID],Estore_DB[Region])</f>
        <v>East</v>
      </c>
      <c r="R593" t="str">
        <f>VLOOKUP(ESales_DB[[#This Row],[Customer_ID]],Ecustom_DB[],10,FALSE)</f>
        <v>Silver</v>
      </c>
      <c r="S593" t="str">
        <f>IF(ESales_DB[[#This Row],[Quantity1]]&gt;3,"Bulk order","Normal order")</f>
        <v>Normal order</v>
      </c>
    </row>
    <row r="594" spans="1:19" x14ac:dyDescent="0.3">
      <c r="A594" t="s">
        <v>3356</v>
      </c>
      <c r="B594" s="4">
        <v>45346</v>
      </c>
      <c r="C594" s="4" t="str">
        <f>TEXT(ESales_DB[[#This Row],[Order_Date]],"mmm")</f>
        <v>Feb</v>
      </c>
      <c r="D594" t="s">
        <v>785</v>
      </c>
      <c r="E594" t="s">
        <v>1628</v>
      </c>
      <c r="F594" t="s">
        <v>1799</v>
      </c>
      <c r="G594">
        <v>3</v>
      </c>
      <c r="H594" s="10">
        <f>IF(ISBLANK(ESales_DB[[#This Row],[Quantity]]),AVERAGEIF(ESales_DB[Product_ID],ESales_DB[[#This Row],[Product_ID]],ESales_DB[Quantity]),ESales_DB[[#This Row],[Quantity]])</f>
        <v>3</v>
      </c>
      <c r="I594" s="2">
        <v>62.03</v>
      </c>
      <c r="J594">
        <v>0.01</v>
      </c>
      <c r="K594" t="s">
        <v>1829</v>
      </c>
      <c r="L594" s="2">
        <v>184.22909999999999</v>
      </c>
      <c r="M594" s="2" t="str">
        <f>IF(ESales_DB[[#This Row],[Total_Amount]]&gt;1000,"High","Low")</f>
        <v>Low</v>
      </c>
      <c r="N594" s="2" t="str">
        <f>VLOOKUP(ESales_DB[[#This Row],[Customer_ID]],Ecustom_DB[],3,FALSE)</f>
        <v>Laura Soto</v>
      </c>
      <c r="O594" s="2" t="str">
        <f>_xlfn.XLOOKUP(ESales_DB[[#This Row],[Product_ID]],Eproduct_DB[Product_ID],Eproduct_DB[Category])</f>
        <v>Electronics</v>
      </c>
      <c r="P594" s="2" t="str">
        <f>_xlfn.XLOOKUP(ESales_DB[[#This Row],[Product_ID]],Eproduct_DB[Product_ID],Eproduct_DB[Product_Name])</f>
        <v>Noise-Canceling Headphones</v>
      </c>
      <c r="Q594" s="2" t="str">
        <f>_xlfn.XLOOKUP(ESales_DB[[#This Row],[Store_ID]],Estore_DB[Store_ID],Estore_DB[Region])</f>
        <v>South</v>
      </c>
      <c r="R594" t="str">
        <f>VLOOKUP(ESales_DB[[#This Row],[Customer_ID]],Ecustom_DB[],10,FALSE)</f>
        <v>Platinum</v>
      </c>
      <c r="S594" t="str">
        <f>IF(ESales_DB[[#This Row],[Quantity1]]&gt;3,"Bulk order","Normal order")</f>
        <v>Normal order</v>
      </c>
    </row>
    <row r="595" spans="1:19" x14ac:dyDescent="0.3">
      <c r="A595" t="s">
        <v>3357</v>
      </c>
      <c r="B595" s="4">
        <v>45613</v>
      </c>
      <c r="C595" s="4" t="str">
        <f>TEXT(ESales_DB[[#This Row],[Order_Date]],"mmm")</f>
        <v>Nov</v>
      </c>
      <c r="D595" t="s">
        <v>332</v>
      </c>
      <c r="E595" t="s">
        <v>1740</v>
      </c>
      <c r="F595" t="s">
        <v>1766</v>
      </c>
      <c r="G595">
        <v>4</v>
      </c>
      <c r="H595" s="10">
        <f>IF(ISBLANK(ESales_DB[[#This Row],[Quantity]]),AVERAGEIF(ESales_DB[Product_ID],ESales_DB[[#This Row],[Product_ID]],ESales_DB[Quantity]),ESales_DB[[#This Row],[Quantity]])</f>
        <v>4</v>
      </c>
      <c r="I595" s="2">
        <v>933.73</v>
      </c>
      <c r="J595">
        <v>0.25</v>
      </c>
      <c r="K595" t="s">
        <v>1826</v>
      </c>
      <c r="L595" s="2">
        <v>2801.19</v>
      </c>
      <c r="M595" s="2" t="str">
        <f>IF(ESales_DB[[#This Row],[Total_Amount]]&gt;1000,"High","Low")</f>
        <v>High</v>
      </c>
      <c r="N595" s="2" t="str">
        <f>VLOOKUP(ESales_DB[[#This Row],[Customer_ID]],Ecustom_DB[],3,FALSE)</f>
        <v>Robert Jackson</v>
      </c>
      <c r="O595" s="2" t="str">
        <f>_xlfn.XLOOKUP(ESales_DB[[#This Row],[Product_ID]],Eproduct_DB[Product_ID],Eproduct_DB[Category])</f>
        <v>Clothing</v>
      </c>
      <c r="P595" s="2" t="str">
        <f>_xlfn.XLOOKUP(ESales_DB[[#This Row],[Product_ID]],Eproduct_DB[Product_ID],Eproduct_DB[Product_Name])</f>
        <v>Women's Formal Blazer</v>
      </c>
      <c r="Q595" s="2" t="str">
        <f>_xlfn.XLOOKUP(ESales_DB[[#This Row],[Store_ID]],Estore_DB[Store_ID],Estore_DB[Region])</f>
        <v>North</v>
      </c>
      <c r="R595" t="str">
        <f>VLOOKUP(ESales_DB[[#This Row],[Customer_ID]],Ecustom_DB[],10,FALSE)</f>
        <v>Platinum</v>
      </c>
      <c r="S595" t="str">
        <f>IF(ESales_DB[[#This Row],[Quantity1]]&gt;3,"Bulk order","Normal order")</f>
        <v>Bulk order</v>
      </c>
    </row>
    <row r="596" spans="1:19" x14ac:dyDescent="0.3">
      <c r="A596" t="s">
        <v>3358</v>
      </c>
      <c r="B596" s="4">
        <v>45928</v>
      </c>
      <c r="C596" s="4" t="str">
        <f>TEXT(ESales_DB[[#This Row],[Order_Date]],"mmm")</f>
        <v>Sep</v>
      </c>
      <c r="D596" t="s">
        <v>520</v>
      </c>
      <c r="E596" t="s">
        <v>1718</v>
      </c>
      <c r="F596" t="s">
        <v>1804</v>
      </c>
      <c r="G596">
        <v>3</v>
      </c>
      <c r="H596" s="10">
        <f>IF(ISBLANK(ESales_DB[[#This Row],[Quantity]]),AVERAGEIF(ESales_DB[Product_ID],ESales_DB[[#This Row],[Product_ID]],ESales_DB[Quantity]),ESales_DB[[#This Row],[Quantity]])</f>
        <v>3</v>
      </c>
      <c r="I596" s="2">
        <v>615.30999999999995</v>
      </c>
      <c r="J596">
        <v>0.14000000000000001</v>
      </c>
      <c r="K596" t="s">
        <v>1826</v>
      </c>
      <c r="L596" s="2">
        <v>1587.4998000000001</v>
      </c>
      <c r="M596" s="2" t="str">
        <f>IF(ESales_DB[[#This Row],[Total_Amount]]&gt;1000,"High","Low")</f>
        <v>High</v>
      </c>
      <c r="N596" s="2" t="str">
        <f>VLOOKUP(ESales_DB[[#This Row],[Customer_ID]],Ecustom_DB[],3,FALSE)</f>
        <v>Curtis Haynes</v>
      </c>
      <c r="O596" s="2" t="str">
        <f>_xlfn.XLOOKUP(ESales_DB[[#This Row],[Product_ID]],Eproduct_DB[Product_ID],Eproduct_DB[Category])</f>
        <v>Clothing</v>
      </c>
      <c r="P596" s="2" t="str">
        <f>_xlfn.XLOOKUP(ESales_DB[[#This Row],[Product_ID]],Eproduct_DB[Product_ID],Eproduct_DB[Product_Name])</f>
        <v>Women's Beanie Hat</v>
      </c>
      <c r="Q596" s="2" t="str">
        <f>_xlfn.XLOOKUP(ESales_DB[[#This Row],[Store_ID]],Estore_DB[Store_ID],Estore_DB[Region])</f>
        <v>West</v>
      </c>
      <c r="R596" t="str">
        <f>VLOOKUP(ESales_DB[[#This Row],[Customer_ID]],Ecustom_DB[],10,FALSE)</f>
        <v>Gold</v>
      </c>
      <c r="S596" t="str">
        <f>IF(ESales_DB[[#This Row],[Quantity1]]&gt;3,"Bulk order","Normal order")</f>
        <v>Normal order</v>
      </c>
    </row>
    <row r="597" spans="1:19" x14ac:dyDescent="0.3">
      <c r="A597" t="s">
        <v>3359</v>
      </c>
      <c r="B597" s="4">
        <v>45619</v>
      </c>
      <c r="C597" s="4" t="str">
        <f>TEXT(ESales_DB[[#This Row],[Order_Date]],"mmm")</f>
        <v>Nov</v>
      </c>
      <c r="D597" t="s">
        <v>1166</v>
      </c>
      <c r="E597" t="s">
        <v>1666</v>
      </c>
      <c r="F597" t="s">
        <v>1810</v>
      </c>
      <c r="G597">
        <v>4</v>
      </c>
      <c r="H597" s="10">
        <f>IF(ISBLANK(ESales_DB[[#This Row],[Quantity]]),AVERAGEIF(ESales_DB[Product_ID],ESales_DB[[#This Row],[Product_ID]],ESales_DB[Quantity]),ESales_DB[[#This Row],[Quantity]])</f>
        <v>4</v>
      </c>
      <c r="I597" s="2">
        <v>790.38</v>
      </c>
      <c r="J597">
        <v>0.22</v>
      </c>
      <c r="K597" t="s">
        <v>1829</v>
      </c>
      <c r="L597" s="2">
        <v>2465.9856</v>
      </c>
      <c r="M597" s="2" t="str">
        <f>IF(ESales_DB[[#This Row],[Total_Amount]]&gt;1000,"High","Low")</f>
        <v>High</v>
      </c>
      <c r="N597" s="2" t="str">
        <f>VLOOKUP(ESales_DB[[#This Row],[Customer_ID]],Ecustom_DB[],3,FALSE)</f>
        <v>James Orozco</v>
      </c>
      <c r="O597" s="2" t="str">
        <f>_xlfn.XLOOKUP(ESales_DB[[#This Row],[Product_ID]],Eproduct_DB[Product_ID],Eproduct_DB[Category])</f>
        <v>Beauty</v>
      </c>
      <c r="P597" s="2" t="str">
        <f>_xlfn.XLOOKUP(ESales_DB[[#This Row],[Product_ID]],Eproduct_DB[Product_ID],Eproduct_DB[Product_Name])</f>
        <v>Men's Hair Styling Gel</v>
      </c>
      <c r="Q597" s="2" t="str">
        <f>_xlfn.XLOOKUP(ESales_DB[[#This Row],[Store_ID]],Estore_DB[Store_ID],Estore_DB[Region])</f>
        <v>East</v>
      </c>
      <c r="R597" t="str">
        <f>VLOOKUP(ESales_DB[[#This Row],[Customer_ID]],Ecustom_DB[],10,FALSE)</f>
        <v>Gold</v>
      </c>
      <c r="S597" t="str">
        <f>IF(ESales_DB[[#This Row],[Quantity1]]&gt;3,"Bulk order","Normal order")</f>
        <v>Bulk order</v>
      </c>
    </row>
    <row r="598" spans="1:19" x14ac:dyDescent="0.3">
      <c r="A598" t="s">
        <v>3360</v>
      </c>
      <c r="B598" s="4">
        <v>45533</v>
      </c>
      <c r="C598" s="4" t="str">
        <f>TEXT(ESales_DB[[#This Row],[Order_Date]],"mmm")</f>
        <v>Aug</v>
      </c>
      <c r="D598" t="s">
        <v>857</v>
      </c>
      <c r="E598" t="s">
        <v>1666</v>
      </c>
      <c r="F598" t="s">
        <v>1807</v>
      </c>
      <c r="G598">
        <v>2</v>
      </c>
      <c r="H598" s="10">
        <f>IF(ISBLANK(ESales_DB[[#This Row],[Quantity]]),AVERAGEIF(ESales_DB[Product_ID],ESales_DB[[#This Row],[Product_ID]],ESales_DB[Quantity]),ESales_DB[[#This Row],[Quantity]])</f>
        <v>2</v>
      </c>
      <c r="I598" s="2">
        <v>102.85</v>
      </c>
      <c r="J598">
        <v>0.08</v>
      </c>
      <c r="K598" t="s">
        <v>1826</v>
      </c>
      <c r="L598" s="2">
        <v>189.244</v>
      </c>
      <c r="M598" s="2" t="str">
        <f>IF(ESales_DB[[#This Row],[Total_Amount]]&gt;1000,"High","Low")</f>
        <v>Low</v>
      </c>
      <c r="N598" s="2" t="str">
        <f>VLOOKUP(ESales_DB[[#This Row],[Customer_ID]],Ecustom_DB[],3,FALSE)</f>
        <v>Tyrone Olson</v>
      </c>
      <c r="O598" s="2" t="str">
        <f>_xlfn.XLOOKUP(ESales_DB[[#This Row],[Product_ID]],Eproduct_DB[Product_ID],Eproduct_DB[Category])</f>
        <v>Beauty</v>
      </c>
      <c r="P598" s="2" t="str">
        <f>_xlfn.XLOOKUP(ESales_DB[[#This Row],[Product_ID]],Eproduct_DB[Product_ID],Eproduct_DB[Product_Name])</f>
        <v>Men's Hair Styling Gel</v>
      </c>
      <c r="Q598" s="2" t="str">
        <f>_xlfn.XLOOKUP(ESales_DB[[#This Row],[Store_ID]],Estore_DB[Store_ID],Estore_DB[Region])</f>
        <v>North</v>
      </c>
      <c r="R598" t="str">
        <f>VLOOKUP(ESales_DB[[#This Row],[Customer_ID]],Ecustom_DB[],10,FALSE)</f>
        <v>Silver</v>
      </c>
      <c r="S598" t="str">
        <f>IF(ESales_DB[[#This Row],[Quantity1]]&gt;3,"Bulk order","Normal order")</f>
        <v>Normal order</v>
      </c>
    </row>
    <row r="599" spans="1:19" x14ac:dyDescent="0.3">
      <c r="A599" t="s">
        <v>3361</v>
      </c>
      <c r="B599" s="4">
        <v>45781</v>
      </c>
      <c r="C599" s="4" t="str">
        <f>TEXT(ESales_DB[[#This Row],[Order_Date]],"mmm")</f>
        <v>May</v>
      </c>
      <c r="D599" t="s">
        <v>153</v>
      </c>
      <c r="E599" t="s">
        <v>1570</v>
      </c>
      <c r="F599" t="s">
        <v>1804</v>
      </c>
      <c r="G599">
        <v>3</v>
      </c>
      <c r="H599" s="10">
        <f>IF(ISBLANK(ESales_DB[[#This Row],[Quantity]]),AVERAGEIF(ESales_DB[Product_ID],ESales_DB[[#This Row],[Product_ID]],ESales_DB[Quantity]),ESales_DB[[#This Row],[Quantity]])</f>
        <v>3</v>
      </c>
      <c r="I599" s="2">
        <v>866.78</v>
      </c>
      <c r="J599">
        <v>0.27</v>
      </c>
      <c r="K599" t="s">
        <v>1826</v>
      </c>
      <c r="L599" s="2">
        <v>1898.2482</v>
      </c>
      <c r="M599" s="2" t="str">
        <f>IF(ESales_DB[[#This Row],[Total_Amount]]&gt;1000,"High","Low")</f>
        <v>High</v>
      </c>
      <c r="N599" s="2" t="str">
        <f>VLOOKUP(ESales_DB[[#This Row],[Customer_ID]],Ecustom_DB[],3,FALSE)</f>
        <v>Tonya Reynolds</v>
      </c>
      <c r="O599" s="2" t="str">
        <f>_xlfn.XLOOKUP(ESales_DB[[#This Row],[Product_ID]],Eproduct_DB[Product_ID],Eproduct_DB[Category])</f>
        <v>Electronics</v>
      </c>
      <c r="P599" s="2" t="str">
        <f>_xlfn.XLOOKUP(ESales_DB[[#This Row],[Product_ID]],Eproduct_DB[Product_ID],Eproduct_DB[Product_Name])</f>
        <v>HD Smart TV Stick</v>
      </c>
      <c r="Q599" s="2" t="str">
        <f>_xlfn.XLOOKUP(ESales_DB[[#This Row],[Store_ID]],Estore_DB[Store_ID],Estore_DB[Region])</f>
        <v>West</v>
      </c>
      <c r="R599" t="str">
        <f>VLOOKUP(ESales_DB[[#This Row],[Customer_ID]],Ecustom_DB[],10,FALSE)</f>
        <v>Gold</v>
      </c>
      <c r="S599" t="str">
        <f>IF(ESales_DB[[#This Row],[Quantity1]]&gt;3,"Bulk order","Normal order")</f>
        <v>Normal order</v>
      </c>
    </row>
    <row r="600" spans="1:19" x14ac:dyDescent="0.3">
      <c r="A600" t="s">
        <v>3362</v>
      </c>
      <c r="B600" s="4">
        <v>45378</v>
      </c>
      <c r="C600" s="4" t="str">
        <f>TEXT(ESales_DB[[#This Row],[Order_Date]],"mmm")</f>
        <v>Mar</v>
      </c>
      <c r="D600" t="s">
        <v>678</v>
      </c>
      <c r="E600" t="s">
        <v>1704</v>
      </c>
      <c r="F600" t="s">
        <v>1804</v>
      </c>
      <c r="G600">
        <v>3</v>
      </c>
      <c r="H600" s="10">
        <f>IF(ISBLANK(ESales_DB[[#This Row],[Quantity]]),AVERAGEIF(ESales_DB[Product_ID],ESales_DB[[#This Row],[Product_ID]],ESales_DB[Quantity]),ESales_DB[[#This Row],[Quantity]])</f>
        <v>3</v>
      </c>
      <c r="I600" s="2">
        <v>392.84</v>
      </c>
      <c r="J600">
        <v>0.27</v>
      </c>
      <c r="K600" t="s">
        <v>1826</v>
      </c>
      <c r="L600" s="2">
        <v>860.31959999999992</v>
      </c>
      <c r="M600" s="2" t="str">
        <f>IF(ESales_DB[[#This Row],[Total_Amount]]&gt;1000,"High","Low")</f>
        <v>Low</v>
      </c>
      <c r="N600" s="2" t="str">
        <f>VLOOKUP(ESales_DB[[#This Row],[Customer_ID]],Ecustom_DB[],3,FALSE)</f>
        <v>John Perez</v>
      </c>
      <c r="O600" s="2" t="str">
        <f>_xlfn.XLOOKUP(ESales_DB[[#This Row],[Product_ID]],Eproduct_DB[Product_ID],Eproduct_DB[Category])</f>
        <v>Home</v>
      </c>
      <c r="P600" s="2" t="str">
        <f>_xlfn.XLOOKUP(ESales_DB[[#This Row],[Product_ID]],Eproduct_DB[Product_ID],Eproduct_DB[Product_Name])</f>
        <v>Essential Oil Diffuser</v>
      </c>
      <c r="Q600" s="2" t="str">
        <f>_xlfn.XLOOKUP(ESales_DB[[#This Row],[Store_ID]],Estore_DB[Store_ID],Estore_DB[Region])</f>
        <v>West</v>
      </c>
      <c r="R600" t="str">
        <f>VLOOKUP(ESales_DB[[#This Row],[Customer_ID]],Ecustom_DB[],10,FALSE)</f>
        <v>Platinum</v>
      </c>
      <c r="S600" t="str">
        <f>IF(ESales_DB[[#This Row],[Quantity1]]&gt;3,"Bulk order","Normal order")</f>
        <v>Normal order</v>
      </c>
    </row>
    <row r="601" spans="1:19" x14ac:dyDescent="0.3">
      <c r="A601" t="s">
        <v>3363</v>
      </c>
      <c r="B601" s="4">
        <v>45688</v>
      </c>
      <c r="C601" s="4" t="str">
        <f>TEXT(ESales_DB[[#This Row],[Order_Date]],"mmm")</f>
        <v>Jan</v>
      </c>
      <c r="D601" t="s">
        <v>1017</v>
      </c>
      <c r="E601" t="s">
        <v>1565</v>
      </c>
      <c r="F601" t="s">
        <v>1773</v>
      </c>
      <c r="G601">
        <v>2</v>
      </c>
      <c r="H601" s="10">
        <f>IF(ISBLANK(ESales_DB[[#This Row],[Quantity]]),AVERAGEIF(ESales_DB[Product_ID],ESales_DB[[#This Row],[Product_ID]],ESales_DB[Quantity]),ESales_DB[[#This Row],[Quantity]])</f>
        <v>2</v>
      </c>
      <c r="I601" s="2">
        <v>753.1</v>
      </c>
      <c r="J601">
        <v>0.19</v>
      </c>
      <c r="K601" t="s">
        <v>1826</v>
      </c>
      <c r="L601" s="2">
        <v>1220.0219999999999</v>
      </c>
      <c r="M601" s="2" t="str">
        <f>IF(ESales_DB[[#This Row],[Total_Amount]]&gt;1000,"High","Low")</f>
        <v>High</v>
      </c>
      <c r="N601" s="2" t="str">
        <f>VLOOKUP(ESales_DB[[#This Row],[Customer_ID]],Ecustom_DB[],3,FALSE)</f>
        <v>Kristy Dunlap</v>
      </c>
      <c r="O601" s="2" t="str">
        <f>_xlfn.XLOOKUP(ESales_DB[[#This Row],[Product_ID]],Eproduct_DB[Product_ID],Eproduct_DB[Category])</f>
        <v>Sports</v>
      </c>
      <c r="P601" s="2" t="str">
        <f>_xlfn.XLOOKUP(ESales_DB[[#This Row],[Product_ID]],Eproduct_DB[Product_ID],Eproduct_DB[Product_Name])</f>
        <v>Adjustable Dumbbell Set</v>
      </c>
      <c r="Q601" s="2" t="str">
        <f>_xlfn.XLOOKUP(ESales_DB[[#This Row],[Store_ID]],Estore_DB[Store_ID],Estore_DB[Region])</f>
        <v>North</v>
      </c>
      <c r="R601" t="str">
        <f>VLOOKUP(ESales_DB[[#This Row],[Customer_ID]],Ecustom_DB[],10,FALSE)</f>
        <v>Platinum</v>
      </c>
      <c r="S601" t="str">
        <f>IF(ESales_DB[[#This Row],[Quantity1]]&gt;3,"Bulk order","Normal order")</f>
        <v>Normal order</v>
      </c>
    </row>
    <row r="602" spans="1:19" x14ac:dyDescent="0.3">
      <c r="A602" t="s">
        <v>3364</v>
      </c>
      <c r="B602" s="4">
        <v>45927</v>
      </c>
      <c r="C602" s="4" t="str">
        <f>TEXT(ESales_DB[[#This Row],[Order_Date]],"mmm")</f>
        <v>Sep</v>
      </c>
      <c r="D602" t="s">
        <v>40</v>
      </c>
      <c r="E602" t="s">
        <v>1656</v>
      </c>
      <c r="F602" t="s">
        <v>1807</v>
      </c>
      <c r="G602">
        <v>2</v>
      </c>
      <c r="H602" s="10">
        <f>IF(ISBLANK(ESales_DB[[#This Row],[Quantity]]),AVERAGEIF(ESales_DB[Product_ID],ESales_DB[[#This Row],[Product_ID]],ESales_DB[Quantity]),ESales_DB[[#This Row],[Quantity]])</f>
        <v>2</v>
      </c>
      <c r="I602" s="2">
        <v>700.91</v>
      </c>
      <c r="J602">
        <v>0.1</v>
      </c>
      <c r="K602" t="s">
        <v>1826</v>
      </c>
      <c r="L602" s="2">
        <v>1261.6379999999999</v>
      </c>
      <c r="M602" s="2" t="str">
        <f>IF(ESales_DB[[#This Row],[Total_Amount]]&gt;1000,"High","Low")</f>
        <v>High</v>
      </c>
      <c r="N602" s="2" t="str">
        <f>VLOOKUP(ESales_DB[[#This Row],[Customer_ID]],Ecustom_DB[],3,FALSE)</f>
        <v>Daniel Boyd</v>
      </c>
      <c r="O602" s="2" t="str">
        <f>_xlfn.XLOOKUP(ESales_DB[[#This Row],[Product_ID]],Eproduct_DB[Product_ID],Eproduct_DB[Category])</f>
        <v>Sports</v>
      </c>
      <c r="P602" s="2" t="str">
        <f>_xlfn.XLOOKUP(ESales_DB[[#This Row],[Product_ID]],Eproduct_DB[Product_ID],Eproduct_DB[Product_Name])</f>
        <v>Sports Stopwatch Pro</v>
      </c>
      <c r="Q602" s="2" t="str">
        <f>_xlfn.XLOOKUP(ESales_DB[[#This Row],[Store_ID]],Estore_DB[Store_ID],Estore_DB[Region])</f>
        <v>North</v>
      </c>
      <c r="R602" t="str">
        <f>VLOOKUP(ESales_DB[[#This Row],[Customer_ID]],Ecustom_DB[],10,FALSE)</f>
        <v>Bronze</v>
      </c>
      <c r="S602" t="str">
        <f>IF(ESales_DB[[#This Row],[Quantity1]]&gt;3,"Bulk order","Normal order")</f>
        <v>Normal order</v>
      </c>
    </row>
    <row r="603" spans="1:19" x14ac:dyDescent="0.3">
      <c r="A603" t="s">
        <v>3365</v>
      </c>
      <c r="B603" s="4">
        <v>45775</v>
      </c>
      <c r="C603" s="4" t="str">
        <f>TEXT(ESales_DB[[#This Row],[Order_Date]],"mmm")</f>
        <v>Apr</v>
      </c>
      <c r="D603" t="s">
        <v>264</v>
      </c>
      <c r="E603" t="s">
        <v>1578</v>
      </c>
      <c r="F603" t="s">
        <v>1794</v>
      </c>
      <c r="G603">
        <v>4</v>
      </c>
      <c r="H603" s="10">
        <f>IF(ISBLANK(ESales_DB[[#This Row],[Quantity]]),AVERAGEIF(ESales_DB[Product_ID],ESales_DB[[#This Row],[Product_ID]],ESales_DB[Quantity]),ESales_DB[[#This Row],[Quantity]])</f>
        <v>4</v>
      </c>
      <c r="I603" s="2">
        <v>935.98</v>
      </c>
      <c r="J603">
        <v>0.11</v>
      </c>
      <c r="K603" t="s">
        <v>1826</v>
      </c>
      <c r="L603" s="2">
        <v>3332.0888</v>
      </c>
      <c r="M603" s="2" t="str">
        <f>IF(ESales_DB[[#This Row],[Total_Amount]]&gt;1000,"High","Low")</f>
        <v>High</v>
      </c>
      <c r="N603" s="2" t="str">
        <f>VLOOKUP(ESales_DB[[#This Row],[Customer_ID]],Ecustom_DB[],3,FALSE)</f>
        <v>Tonya Burch</v>
      </c>
      <c r="O603" s="2" t="str">
        <f>_xlfn.XLOOKUP(ESales_DB[[#This Row],[Product_ID]],Eproduct_DB[Product_ID],Eproduct_DB[Category])</f>
        <v>Electronics</v>
      </c>
      <c r="P603" s="2" t="str">
        <f>_xlfn.XLOOKUP(ESales_DB[[#This Row],[Product_ID]],Eproduct_DB[Product_ID],Eproduct_DB[Product_Name])</f>
        <v>4K Home Projector</v>
      </c>
      <c r="Q603" s="2" t="str">
        <f>_xlfn.XLOOKUP(ESales_DB[[#This Row],[Store_ID]],Estore_DB[Store_ID],Estore_DB[Region])</f>
        <v>North</v>
      </c>
      <c r="R603" t="str">
        <f>VLOOKUP(ESales_DB[[#This Row],[Customer_ID]],Ecustom_DB[],10,FALSE)</f>
        <v>Gold</v>
      </c>
      <c r="S603" t="str">
        <f>IF(ESales_DB[[#This Row],[Quantity1]]&gt;3,"Bulk order","Normal order")</f>
        <v>Bulk order</v>
      </c>
    </row>
    <row r="604" spans="1:19" x14ac:dyDescent="0.3">
      <c r="A604" t="s">
        <v>1980</v>
      </c>
      <c r="B604" s="4">
        <v>45613</v>
      </c>
      <c r="C604" s="4" t="str">
        <f>TEXT(ESales_DB[[#This Row],[Order_Date]],"mmm")</f>
        <v>Nov</v>
      </c>
      <c r="D604" t="s">
        <v>1260</v>
      </c>
      <c r="E604" t="s">
        <v>1644</v>
      </c>
      <c r="F604" t="s">
        <v>1761</v>
      </c>
      <c r="G604">
        <v>1</v>
      </c>
      <c r="H604" s="10">
        <f>IF(ISBLANK(ESales_DB[[#This Row],[Quantity]]),AVERAGEIF(ESales_DB[Product_ID],ESales_DB[[#This Row],[Product_ID]],ESales_DB[Quantity]),ESales_DB[[#This Row],[Quantity]])</f>
        <v>1</v>
      </c>
      <c r="I604" s="2">
        <v>345.06</v>
      </c>
      <c r="J604">
        <v>0.13</v>
      </c>
      <c r="K604" t="s">
        <v>1829</v>
      </c>
      <c r="L604" s="2">
        <v>300.2022</v>
      </c>
      <c r="M604" s="2" t="str">
        <f>IF(ESales_DB[[#This Row],[Total_Amount]]&gt;1000,"High","Low")</f>
        <v>Low</v>
      </c>
      <c r="N604" s="2" t="str">
        <f>VLOOKUP(ESales_DB[[#This Row],[Customer_ID]],Ecustom_DB[],3,FALSE)</f>
        <v>Eric Wolfe</v>
      </c>
      <c r="O604" s="2" t="str">
        <f>_xlfn.XLOOKUP(ESales_DB[[#This Row],[Product_ID]],Eproduct_DB[Product_ID],Eproduct_DB[Category])</f>
        <v>Electronics</v>
      </c>
      <c r="P604" s="2" t="str">
        <f>_xlfn.XLOOKUP(ESales_DB[[#This Row],[Product_ID]],Eproduct_DB[Product_ID],Eproduct_DB[Product_Name])</f>
        <v>Car Dashboard Phone Holder</v>
      </c>
      <c r="Q604" s="2" t="str">
        <f>_xlfn.XLOOKUP(ESales_DB[[#This Row],[Store_ID]],Estore_DB[Store_ID],Estore_DB[Region])</f>
        <v>South</v>
      </c>
      <c r="R604" t="str">
        <f>VLOOKUP(ESales_DB[[#This Row],[Customer_ID]],Ecustom_DB[],10,FALSE)</f>
        <v>Gold</v>
      </c>
      <c r="S604" t="str">
        <f>IF(ESales_DB[[#This Row],[Quantity1]]&gt;3,"Bulk order","Normal order")</f>
        <v>Normal order</v>
      </c>
    </row>
    <row r="605" spans="1:19" x14ac:dyDescent="0.3">
      <c r="A605" t="s">
        <v>3366</v>
      </c>
      <c r="B605" s="4">
        <v>45849</v>
      </c>
      <c r="C605" s="4" t="str">
        <f>TEXT(ESales_DB[[#This Row],[Order_Date]],"mmm")</f>
        <v>Jul</v>
      </c>
      <c r="D605" t="s">
        <v>1492</v>
      </c>
      <c r="E605" t="s">
        <v>1700</v>
      </c>
      <c r="F605" t="s">
        <v>1804</v>
      </c>
      <c r="G605">
        <v>1</v>
      </c>
      <c r="H605" s="10">
        <f>IF(ISBLANK(ESales_DB[[#This Row],[Quantity]]),AVERAGEIF(ESales_DB[Product_ID],ESales_DB[[#This Row],[Product_ID]],ESales_DB[Quantity]),ESales_DB[[#This Row],[Quantity]])</f>
        <v>1</v>
      </c>
      <c r="I605" s="2">
        <v>539.9</v>
      </c>
      <c r="J605">
        <v>7.0000000000000007E-2</v>
      </c>
      <c r="K605" t="s">
        <v>1824</v>
      </c>
      <c r="L605" s="2">
        <v>502.10700000000003</v>
      </c>
      <c r="M605" s="2" t="str">
        <f>IF(ESales_DB[[#This Row],[Total_Amount]]&gt;1000,"High","Low")</f>
        <v>Low</v>
      </c>
      <c r="N605" s="2" t="str">
        <f>VLOOKUP(ESales_DB[[#This Row],[Customer_ID]],Ecustom_DB[],3,FALSE)</f>
        <v>Sara Ingram</v>
      </c>
      <c r="O605" s="2" t="str">
        <f>_xlfn.XLOOKUP(ESales_DB[[#This Row],[Product_ID]],Eproduct_DB[Product_ID],Eproduct_DB[Category])</f>
        <v>Electronics</v>
      </c>
      <c r="P605" s="2" t="str">
        <f>_xlfn.XLOOKUP(ESales_DB[[#This Row],[Product_ID]],Eproduct_DB[Product_ID],Eproduct_DB[Product_Name])</f>
        <v>Wireless Mouse</v>
      </c>
      <c r="Q605" s="2" t="str">
        <f>_xlfn.XLOOKUP(ESales_DB[[#This Row],[Store_ID]],Estore_DB[Store_ID],Estore_DB[Region])</f>
        <v>West</v>
      </c>
      <c r="R605" t="str">
        <f>VLOOKUP(ESales_DB[[#This Row],[Customer_ID]],Ecustom_DB[],10,FALSE)</f>
        <v>Bronze</v>
      </c>
      <c r="S605" t="str">
        <f>IF(ESales_DB[[#This Row],[Quantity1]]&gt;3,"Bulk order","Normal order")</f>
        <v>Normal order</v>
      </c>
    </row>
    <row r="606" spans="1:19" x14ac:dyDescent="0.3">
      <c r="A606" t="s">
        <v>3367</v>
      </c>
      <c r="B606" s="4">
        <v>45573</v>
      </c>
      <c r="C606" s="4" t="str">
        <f>TEXT(ESales_DB[[#This Row],[Order_Date]],"mmm")</f>
        <v>Oct</v>
      </c>
      <c r="D606" t="s">
        <v>568</v>
      </c>
      <c r="E606" t="s">
        <v>1628</v>
      </c>
      <c r="F606" t="s">
        <v>1776</v>
      </c>
      <c r="G606">
        <v>1</v>
      </c>
      <c r="H606" s="10">
        <f>IF(ISBLANK(ESales_DB[[#This Row],[Quantity]]),AVERAGEIF(ESales_DB[Product_ID],ESales_DB[[#This Row],[Product_ID]],ESales_DB[Quantity]),ESales_DB[[#This Row],[Quantity]])</f>
        <v>1</v>
      </c>
      <c r="I606" s="2">
        <v>312.81</v>
      </c>
      <c r="J606">
        <v>0.14000000000000001</v>
      </c>
      <c r="K606" t="s">
        <v>1826</v>
      </c>
      <c r="L606" s="2">
        <v>269.01659999999998</v>
      </c>
      <c r="M606" s="2" t="str">
        <f>IF(ESales_DB[[#This Row],[Total_Amount]]&gt;1000,"High","Low")</f>
        <v>Low</v>
      </c>
      <c r="N606" s="2" t="str">
        <f>VLOOKUP(ESales_DB[[#This Row],[Customer_ID]],Ecustom_DB[],3,FALSE)</f>
        <v>Amy Wilson</v>
      </c>
      <c r="O606" s="2" t="str">
        <f>_xlfn.XLOOKUP(ESales_DB[[#This Row],[Product_ID]],Eproduct_DB[Product_ID],Eproduct_DB[Category])</f>
        <v>Electronics</v>
      </c>
      <c r="P606" s="2" t="str">
        <f>_xlfn.XLOOKUP(ESales_DB[[#This Row],[Product_ID]],Eproduct_DB[Product_ID],Eproduct_DB[Product_Name])</f>
        <v>Noise-Canceling Headphones</v>
      </c>
      <c r="Q606" s="2" t="str">
        <f>_xlfn.XLOOKUP(ESales_DB[[#This Row],[Store_ID]],Estore_DB[Store_ID],Estore_DB[Region])</f>
        <v>East</v>
      </c>
      <c r="R606" t="str">
        <f>VLOOKUP(ESales_DB[[#This Row],[Customer_ID]],Ecustom_DB[],10,FALSE)</f>
        <v>Platinum</v>
      </c>
      <c r="S606" t="str">
        <f>IF(ESales_DB[[#This Row],[Quantity1]]&gt;3,"Bulk order","Normal order")</f>
        <v>Normal order</v>
      </c>
    </row>
    <row r="607" spans="1:19" x14ac:dyDescent="0.3">
      <c r="A607" t="s">
        <v>3368</v>
      </c>
      <c r="B607" s="4">
        <v>45356</v>
      </c>
      <c r="C607" s="4" t="str">
        <f>TEXT(ESales_DB[[#This Row],[Order_Date]],"mmm")</f>
        <v>Mar</v>
      </c>
      <c r="D607" t="s">
        <v>797</v>
      </c>
      <c r="E607" t="s">
        <v>1644</v>
      </c>
      <c r="F607" t="s">
        <v>1779</v>
      </c>
      <c r="G607">
        <v>3</v>
      </c>
      <c r="H607" s="10">
        <f>IF(ISBLANK(ESales_DB[[#This Row],[Quantity]]),AVERAGEIF(ESales_DB[Product_ID],ESales_DB[[#This Row],[Product_ID]],ESales_DB[Quantity]),ESales_DB[[#This Row],[Quantity]])</f>
        <v>3</v>
      </c>
      <c r="I607" s="2">
        <v>855.96</v>
      </c>
      <c r="J607">
        <v>0.28999999999999998</v>
      </c>
      <c r="K607" t="s">
        <v>1829</v>
      </c>
      <c r="L607" s="2">
        <v>1823.1948</v>
      </c>
      <c r="M607" s="2" t="str">
        <f>IF(ESales_DB[[#This Row],[Total_Amount]]&gt;1000,"High","Low")</f>
        <v>High</v>
      </c>
      <c r="N607" s="2" t="str">
        <f>VLOOKUP(ESales_DB[[#This Row],[Customer_ID]],Ecustom_DB[],3,FALSE)</f>
        <v>Lauren George</v>
      </c>
      <c r="O607" s="2" t="str">
        <f>_xlfn.XLOOKUP(ESales_DB[[#This Row],[Product_ID]],Eproduct_DB[Product_ID],Eproduct_DB[Category])</f>
        <v>Electronics</v>
      </c>
      <c r="P607" s="2" t="str">
        <f>_xlfn.XLOOKUP(ESales_DB[[#This Row],[Product_ID]],Eproduct_DB[Product_ID],Eproduct_DB[Product_Name])</f>
        <v>Car Dashboard Phone Holder</v>
      </c>
      <c r="Q607" s="2" t="str">
        <f>_xlfn.XLOOKUP(ESales_DB[[#This Row],[Store_ID]],Estore_DB[Store_ID],Estore_DB[Region])</f>
        <v>South</v>
      </c>
      <c r="R607" t="str">
        <f>VLOOKUP(ESales_DB[[#This Row],[Customer_ID]],Ecustom_DB[],10,FALSE)</f>
        <v>Gold</v>
      </c>
      <c r="S607" t="str">
        <f>IF(ESales_DB[[#This Row],[Quantity1]]&gt;3,"Bulk order","Normal order")</f>
        <v>Normal order</v>
      </c>
    </row>
    <row r="608" spans="1:19" x14ac:dyDescent="0.3">
      <c r="A608" t="s">
        <v>3369</v>
      </c>
      <c r="B608" s="4">
        <v>45326</v>
      </c>
      <c r="C608" s="4" t="str">
        <f>TEXT(ESales_DB[[#This Row],[Order_Date]],"mmm")</f>
        <v>Feb</v>
      </c>
      <c r="D608" t="s">
        <v>1112</v>
      </c>
      <c r="E608" t="s">
        <v>1546</v>
      </c>
      <c r="F608" t="s">
        <v>1792</v>
      </c>
      <c r="G608">
        <v>3</v>
      </c>
      <c r="H608" s="10">
        <f>IF(ISBLANK(ESales_DB[[#This Row],[Quantity]]),AVERAGEIF(ESales_DB[Product_ID],ESales_DB[[#This Row],[Product_ID]],ESales_DB[Quantity]),ESales_DB[[#This Row],[Quantity]])</f>
        <v>3</v>
      </c>
      <c r="I608" s="2">
        <v>305</v>
      </c>
      <c r="J608">
        <v>0.01</v>
      </c>
      <c r="K608" t="s">
        <v>1829</v>
      </c>
      <c r="L608" s="2">
        <v>905.85</v>
      </c>
      <c r="M608" s="2" t="str">
        <f>IF(ESales_DB[[#This Row],[Total_Amount]]&gt;1000,"High","Low")</f>
        <v>Low</v>
      </c>
      <c r="N608" s="2" t="str">
        <f>VLOOKUP(ESales_DB[[#This Row],[Customer_ID]],Ecustom_DB[],3,FALSE)</f>
        <v>Carlos Flores</v>
      </c>
      <c r="O608" s="2" t="str">
        <f>_xlfn.XLOOKUP(ESales_DB[[#This Row],[Product_ID]],Eproduct_DB[Product_ID],Eproduct_DB[Category])</f>
        <v>Clothing</v>
      </c>
      <c r="P608" s="2" t="str">
        <f>_xlfn.XLOOKUP(ESales_DB[[#This Row],[Product_ID]],Eproduct_DB[Product_ID],Eproduct_DB[Product_Name])</f>
        <v>Men's Graphic T-Shirt</v>
      </c>
      <c r="Q608" s="2" t="str">
        <f>_xlfn.XLOOKUP(ESales_DB[[#This Row],[Store_ID]],Estore_DB[Store_ID],Estore_DB[Region])</f>
        <v>South</v>
      </c>
      <c r="R608" t="str">
        <f>VLOOKUP(ESales_DB[[#This Row],[Customer_ID]],Ecustom_DB[],10,FALSE)</f>
        <v>Gold</v>
      </c>
      <c r="S608" t="str">
        <f>IF(ESales_DB[[#This Row],[Quantity1]]&gt;3,"Bulk order","Normal order")</f>
        <v>Normal order</v>
      </c>
    </row>
    <row r="609" spans="1:19" x14ac:dyDescent="0.3">
      <c r="A609" t="s">
        <v>3370</v>
      </c>
      <c r="B609" s="4">
        <v>45361</v>
      </c>
      <c r="C609" s="4" t="str">
        <f>TEXT(ESales_DB[[#This Row],[Order_Date]],"mmm")</f>
        <v>Mar</v>
      </c>
      <c r="D609" t="s">
        <v>1443</v>
      </c>
      <c r="E609" t="s">
        <v>1746</v>
      </c>
      <c r="F609" t="s">
        <v>1794</v>
      </c>
      <c r="G609">
        <v>3</v>
      </c>
      <c r="H609" s="10">
        <f>IF(ISBLANK(ESales_DB[[#This Row],[Quantity]]),AVERAGEIF(ESales_DB[Product_ID],ESales_DB[[#This Row],[Product_ID]],ESales_DB[Quantity]),ESales_DB[[#This Row],[Quantity]])</f>
        <v>3</v>
      </c>
      <c r="I609" s="2">
        <v>831.15</v>
      </c>
      <c r="J609">
        <v>0.19</v>
      </c>
      <c r="K609" t="s">
        <v>1824</v>
      </c>
      <c r="L609" s="2">
        <v>2019.6945000000001</v>
      </c>
      <c r="M609" s="2" t="str">
        <f>IF(ESales_DB[[#This Row],[Total_Amount]]&gt;1000,"High","Low")</f>
        <v>High</v>
      </c>
      <c r="N609" s="2" t="str">
        <f>VLOOKUP(ESales_DB[[#This Row],[Customer_ID]],Ecustom_DB[],3,FALSE)</f>
        <v>Gregory Curtis</v>
      </c>
      <c r="O609" s="2" t="str">
        <f>_xlfn.XLOOKUP(ESales_DB[[#This Row],[Product_ID]],Eproduct_DB[Product_ID],Eproduct_DB[Category])</f>
        <v>Home</v>
      </c>
      <c r="P609" s="2" t="str">
        <f>_xlfn.XLOOKUP(ESales_DB[[#This Row],[Product_ID]],Eproduct_DB[Product_ID],Eproduct_DB[Product_Name])</f>
        <v>Stainless Steel Cookware Set</v>
      </c>
      <c r="Q609" s="2" t="str">
        <f>_xlfn.XLOOKUP(ESales_DB[[#This Row],[Store_ID]],Estore_DB[Store_ID],Estore_DB[Region])</f>
        <v>North</v>
      </c>
      <c r="R609" t="str">
        <f>VLOOKUP(ESales_DB[[#This Row],[Customer_ID]],Ecustom_DB[],10,FALSE)</f>
        <v>Bronze</v>
      </c>
      <c r="S609" t="str">
        <f>IF(ESales_DB[[#This Row],[Quantity1]]&gt;3,"Bulk order","Normal order")</f>
        <v>Normal order</v>
      </c>
    </row>
    <row r="610" spans="1:19" x14ac:dyDescent="0.3">
      <c r="A610" t="s">
        <v>3371</v>
      </c>
      <c r="B610" s="4">
        <v>45926</v>
      </c>
      <c r="C610" s="4" t="str">
        <f>TEXT(ESales_DB[[#This Row],[Order_Date]],"mmm")</f>
        <v>Sep</v>
      </c>
      <c r="D610" t="s">
        <v>675</v>
      </c>
      <c r="E610" t="s">
        <v>1740</v>
      </c>
      <c r="F610" t="s">
        <v>1766</v>
      </c>
      <c r="G610">
        <v>2</v>
      </c>
      <c r="H610" s="10">
        <f>IF(ISBLANK(ESales_DB[[#This Row],[Quantity]]),AVERAGEIF(ESales_DB[Product_ID],ESales_DB[[#This Row],[Product_ID]],ESales_DB[Quantity]),ESales_DB[[#This Row],[Quantity]])</f>
        <v>2</v>
      </c>
      <c r="I610" s="2">
        <v>644.97</v>
      </c>
      <c r="J610">
        <v>0.24</v>
      </c>
      <c r="K610" t="s">
        <v>1829</v>
      </c>
      <c r="L610" s="2">
        <v>980.35440000000006</v>
      </c>
      <c r="M610" s="2" t="str">
        <f>IF(ESales_DB[[#This Row],[Total_Amount]]&gt;1000,"High","Low")</f>
        <v>Low</v>
      </c>
      <c r="N610" s="2" t="str">
        <f>VLOOKUP(ESales_DB[[#This Row],[Customer_ID]],Ecustom_DB[],3,FALSE)</f>
        <v>Jacqueline Pacheco</v>
      </c>
      <c r="O610" s="2" t="str">
        <f>_xlfn.XLOOKUP(ESales_DB[[#This Row],[Product_ID]],Eproduct_DB[Product_ID],Eproduct_DB[Category])</f>
        <v>Clothing</v>
      </c>
      <c r="P610" s="2" t="str">
        <f>_xlfn.XLOOKUP(ESales_DB[[#This Row],[Product_ID]],Eproduct_DB[Product_ID],Eproduct_DB[Product_Name])</f>
        <v>Women's Formal Blazer</v>
      </c>
      <c r="Q610" s="2" t="str">
        <f>_xlfn.XLOOKUP(ESales_DB[[#This Row],[Store_ID]],Estore_DB[Store_ID],Estore_DB[Region])</f>
        <v>North</v>
      </c>
      <c r="R610" t="str">
        <f>VLOOKUP(ESales_DB[[#This Row],[Customer_ID]],Ecustom_DB[],10,FALSE)</f>
        <v>Bronze</v>
      </c>
      <c r="S610" t="str">
        <f>IF(ESales_DB[[#This Row],[Quantity1]]&gt;3,"Bulk order","Normal order")</f>
        <v>Normal order</v>
      </c>
    </row>
    <row r="611" spans="1:19" x14ac:dyDescent="0.3">
      <c r="A611" t="s">
        <v>3372</v>
      </c>
      <c r="B611" s="4">
        <v>45839</v>
      </c>
      <c r="C611" s="4" t="str">
        <f>TEXT(ESales_DB[[#This Row],[Order_Date]],"mmm")</f>
        <v>Jul</v>
      </c>
      <c r="D611" t="s">
        <v>341</v>
      </c>
      <c r="E611" t="s">
        <v>1724</v>
      </c>
      <c r="F611" t="s">
        <v>1757</v>
      </c>
      <c r="G611">
        <v>1</v>
      </c>
      <c r="H611" s="10">
        <f>IF(ISBLANK(ESales_DB[[#This Row],[Quantity]]),AVERAGEIF(ESales_DB[Product_ID],ESales_DB[[#This Row],[Product_ID]],ESales_DB[Quantity]),ESales_DB[[#This Row],[Quantity]])</f>
        <v>1</v>
      </c>
      <c r="I611" s="2">
        <v>149.56</v>
      </c>
      <c r="J611">
        <v>0.09</v>
      </c>
      <c r="K611" t="s">
        <v>1824</v>
      </c>
      <c r="L611" s="2">
        <v>136.09960000000001</v>
      </c>
      <c r="M611" s="2" t="str">
        <f>IF(ESales_DB[[#This Row],[Total_Amount]]&gt;1000,"High","Low")</f>
        <v>Low</v>
      </c>
      <c r="N611" s="2" t="str">
        <f>VLOOKUP(ESales_DB[[#This Row],[Customer_ID]],Ecustom_DB[],3,FALSE)</f>
        <v>Amy Fowler</v>
      </c>
      <c r="O611" s="2" t="str">
        <f>_xlfn.XLOOKUP(ESales_DB[[#This Row],[Product_ID]],Eproduct_DB[Product_ID],Eproduct_DB[Category])</f>
        <v>Sports</v>
      </c>
      <c r="P611" s="2" t="str">
        <f>_xlfn.XLOOKUP(ESales_DB[[#This Row],[Product_ID]],Eproduct_DB[Product_ID],Eproduct_DB[Product_Name])</f>
        <v>Sports Wrist Sweatbands</v>
      </c>
      <c r="Q611" s="2" t="str">
        <f>_xlfn.XLOOKUP(ESales_DB[[#This Row],[Store_ID]],Estore_DB[Store_ID],Estore_DB[Region])</f>
        <v>North</v>
      </c>
      <c r="R611" t="str">
        <f>VLOOKUP(ESales_DB[[#This Row],[Customer_ID]],Ecustom_DB[],10,FALSE)</f>
        <v>Platinum</v>
      </c>
      <c r="S611" t="str">
        <f>IF(ESales_DB[[#This Row],[Quantity1]]&gt;3,"Bulk order","Normal order")</f>
        <v>Normal order</v>
      </c>
    </row>
    <row r="612" spans="1:19" x14ac:dyDescent="0.3">
      <c r="A612" t="s">
        <v>3373</v>
      </c>
      <c r="B612" s="4">
        <v>45434</v>
      </c>
      <c r="C612" s="4" t="str">
        <f>TEXT(ESales_DB[[#This Row],[Order_Date]],"mmm")</f>
        <v>May</v>
      </c>
      <c r="D612" t="s">
        <v>705</v>
      </c>
      <c r="E612" t="s">
        <v>1634</v>
      </c>
      <c r="F612" t="s">
        <v>1813</v>
      </c>
      <c r="G612">
        <v>1</v>
      </c>
      <c r="H612" s="10">
        <f>IF(ISBLANK(ESales_DB[[#This Row],[Quantity]]),AVERAGEIF(ESales_DB[Product_ID],ESales_DB[[#This Row],[Product_ID]],ESales_DB[Quantity]),ESales_DB[[#This Row],[Quantity]])</f>
        <v>1</v>
      </c>
      <c r="I612" s="2">
        <v>661.77</v>
      </c>
      <c r="J612">
        <v>0.03</v>
      </c>
      <c r="K612" t="s">
        <v>1826</v>
      </c>
      <c r="L612" s="2">
        <v>641.91689999999994</v>
      </c>
      <c r="M612" s="2" t="str">
        <f>IF(ESales_DB[[#This Row],[Total_Amount]]&gt;1000,"High","Low")</f>
        <v>Low</v>
      </c>
      <c r="N612" s="2" t="str">
        <f>VLOOKUP(ESales_DB[[#This Row],[Customer_ID]],Ecustom_DB[],3,FALSE)</f>
        <v>Kathy Copeland</v>
      </c>
      <c r="O612" s="2" t="str">
        <f>_xlfn.XLOOKUP(ESales_DB[[#This Row],[Product_ID]],Eproduct_DB[Product_ID],Eproduct_DB[Category])</f>
        <v>Electronics</v>
      </c>
      <c r="P612" s="2" t="str">
        <f>_xlfn.XLOOKUP(ESales_DB[[#This Row],[Product_ID]],Eproduct_DB[Product_ID],Eproduct_DB[Product_Name])</f>
        <v>USB External Hard Drive</v>
      </c>
      <c r="Q612" s="2" t="str">
        <f>_xlfn.XLOOKUP(ESales_DB[[#This Row],[Store_ID]],Estore_DB[Store_ID],Estore_DB[Region])</f>
        <v>East</v>
      </c>
      <c r="R612" t="str">
        <f>VLOOKUP(ESales_DB[[#This Row],[Customer_ID]],Ecustom_DB[],10,FALSE)</f>
        <v>Silver</v>
      </c>
      <c r="S612" t="str">
        <f>IF(ESales_DB[[#This Row],[Quantity1]]&gt;3,"Bulk order","Normal order")</f>
        <v>Normal order</v>
      </c>
    </row>
    <row r="613" spans="1:19" x14ac:dyDescent="0.3">
      <c r="A613" t="s">
        <v>3374</v>
      </c>
      <c r="B613" s="4">
        <v>45819</v>
      </c>
      <c r="C613" s="4" t="str">
        <f>TEXT(ESales_DB[[#This Row],[Order_Date]],"mmm")</f>
        <v>Jun</v>
      </c>
      <c r="D613" t="s">
        <v>381</v>
      </c>
      <c r="E613" t="s">
        <v>1736</v>
      </c>
      <c r="F613" t="s">
        <v>1779</v>
      </c>
      <c r="G613">
        <v>3</v>
      </c>
      <c r="H613" s="10">
        <f>IF(ISBLANK(ESales_DB[[#This Row],[Quantity]]),AVERAGEIF(ESales_DB[Product_ID],ESales_DB[[#This Row],[Product_ID]],ESales_DB[Quantity]),ESales_DB[[#This Row],[Quantity]])</f>
        <v>3</v>
      </c>
      <c r="I613" s="2">
        <v>99.67</v>
      </c>
      <c r="J613">
        <v>0.17</v>
      </c>
      <c r="K613" t="s">
        <v>1824</v>
      </c>
      <c r="L613" s="2">
        <v>248.17830000000001</v>
      </c>
      <c r="M613" s="2" t="str">
        <f>IF(ESales_DB[[#This Row],[Total_Amount]]&gt;1000,"High","Low")</f>
        <v>Low</v>
      </c>
      <c r="N613" s="2" t="str">
        <f>VLOOKUP(ESales_DB[[#This Row],[Customer_ID]],Ecustom_DB[],3,FALSE)</f>
        <v>Travis Holland</v>
      </c>
      <c r="O613" s="2" t="str">
        <f>_xlfn.XLOOKUP(ESales_DB[[#This Row],[Product_ID]],Eproduct_DB[Product_ID],Eproduct_DB[Category])</f>
        <v>Beauty</v>
      </c>
      <c r="P613" s="2" t="str">
        <f>_xlfn.XLOOKUP(ESales_DB[[#This Row],[Product_ID]],Eproduct_DB[Product_ID],Eproduct_DB[Product_Name])</f>
        <v>Vitamin E Body Lotion</v>
      </c>
      <c r="Q613" s="2" t="str">
        <f>_xlfn.XLOOKUP(ESales_DB[[#This Row],[Store_ID]],Estore_DB[Store_ID],Estore_DB[Region])</f>
        <v>South</v>
      </c>
      <c r="R613" t="str">
        <f>VLOOKUP(ESales_DB[[#This Row],[Customer_ID]],Ecustom_DB[],10,FALSE)</f>
        <v>Bronze</v>
      </c>
      <c r="S613" t="str">
        <f>IF(ESales_DB[[#This Row],[Quantity1]]&gt;3,"Bulk order","Normal order")</f>
        <v>Normal order</v>
      </c>
    </row>
    <row r="614" spans="1:19" x14ac:dyDescent="0.3">
      <c r="A614" t="s">
        <v>3375</v>
      </c>
      <c r="B614" s="4">
        <v>45553</v>
      </c>
      <c r="C614" s="4" t="str">
        <f>TEXT(ESales_DB[[#This Row],[Order_Date]],"mmm")</f>
        <v>Sep</v>
      </c>
      <c r="D614" t="s">
        <v>716</v>
      </c>
      <c r="E614" t="s">
        <v>1672</v>
      </c>
      <c r="F614" t="s">
        <v>1757</v>
      </c>
      <c r="G614">
        <v>3</v>
      </c>
      <c r="H614" s="10">
        <f>IF(ISBLANK(ESales_DB[[#This Row],[Quantity]]),AVERAGEIF(ESales_DB[Product_ID],ESales_DB[[#This Row],[Product_ID]],ESales_DB[Quantity]),ESales_DB[[#This Row],[Quantity]])</f>
        <v>3</v>
      </c>
      <c r="I614" s="2">
        <v>103.66</v>
      </c>
      <c r="J614">
        <v>0.26</v>
      </c>
      <c r="K614" t="s">
        <v>1829</v>
      </c>
      <c r="L614" s="2">
        <v>230.12520000000001</v>
      </c>
      <c r="M614" s="2" t="str">
        <f>IF(ESales_DB[[#This Row],[Total_Amount]]&gt;1000,"High","Low")</f>
        <v>Low</v>
      </c>
      <c r="N614" s="2" t="str">
        <f>VLOOKUP(ESales_DB[[#This Row],[Customer_ID]],Ecustom_DB[],3,FALSE)</f>
        <v>Lisa Young</v>
      </c>
      <c r="O614" s="2" t="str">
        <f>_xlfn.XLOOKUP(ESales_DB[[#This Row],[Product_ID]],Eproduct_DB[Product_ID],Eproduct_DB[Category])</f>
        <v>Electronics</v>
      </c>
      <c r="P614" s="2" t="str">
        <f>_xlfn.XLOOKUP(ESales_DB[[#This Row],[Product_ID]],Eproduct_DB[Product_ID],Eproduct_DB[Product_Name])</f>
        <v>Laptop Cooling Pad</v>
      </c>
      <c r="Q614" s="2" t="str">
        <f>_xlfn.XLOOKUP(ESales_DB[[#This Row],[Store_ID]],Estore_DB[Store_ID],Estore_DB[Region])</f>
        <v>North</v>
      </c>
      <c r="R614" t="str">
        <f>VLOOKUP(ESales_DB[[#This Row],[Customer_ID]],Ecustom_DB[],10,FALSE)</f>
        <v>Platinum</v>
      </c>
      <c r="S614" t="str">
        <f>IF(ESales_DB[[#This Row],[Quantity1]]&gt;3,"Bulk order","Normal order")</f>
        <v>Normal order</v>
      </c>
    </row>
    <row r="615" spans="1:19" x14ac:dyDescent="0.3">
      <c r="A615" t="s">
        <v>1981</v>
      </c>
      <c r="B615" s="4">
        <v>45745</v>
      </c>
      <c r="C615" s="4" t="str">
        <f>TEXT(ESales_DB[[#This Row],[Order_Date]],"mmm")</f>
        <v>Mar</v>
      </c>
      <c r="D615" t="s">
        <v>969</v>
      </c>
      <c r="E615" t="s">
        <v>1734</v>
      </c>
      <c r="F615" t="s">
        <v>1794</v>
      </c>
      <c r="G615">
        <v>4</v>
      </c>
      <c r="H615" s="10">
        <f>IF(ISBLANK(ESales_DB[[#This Row],[Quantity]]),AVERAGEIF(ESales_DB[Product_ID],ESales_DB[[#This Row],[Product_ID]],ESales_DB[Quantity]),ESales_DB[[#This Row],[Quantity]])</f>
        <v>4</v>
      </c>
      <c r="I615" s="2">
        <v>986.41</v>
      </c>
      <c r="J615">
        <v>0.22</v>
      </c>
      <c r="K615" t="s">
        <v>1824</v>
      </c>
      <c r="L615" s="2">
        <v>3077.5992000000001</v>
      </c>
      <c r="M615" s="2" t="str">
        <f>IF(ESales_DB[[#This Row],[Total_Amount]]&gt;1000,"High","Low")</f>
        <v>High</v>
      </c>
      <c r="N615" s="2" t="str">
        <f>VLOOKUP(ESales_DB[[#This Row],[Customer_ID]],Ecustom_DB[],3,FALSE)</f>
        <v>Brandy Thompson</v>
      </c>
      <c r="O615" s="2" t="str">
        <f>_xlfn.XLOOKUP(ESales_DB[[#This Row],[Product_ID]],Eproduct_DB[Product_ID],Eproduct_DB[Category])</f>
        <v>Electronics</v>
      </c>
      <c r="P615" s="2" t="str">
        <f>_xlfn.XLOOKUP(ESales_DB[[#This Row],[Product_ID]],Eproduct_DB[Product_ID],Eproduct_DB[Product_Name])</f>
        <v>USB-C Laptop Charger</v>
      </c>
      <c r="Q615" s="2" t="str">
        <f>_xlfn.XLOOKUP(ESales_DB[[#This Row],[Store_ID]],Estore_DB[Store_ID],Estore_DB[Region])</f>
        <v>North</v>
      </c>
      <c r="R615" t="str">
        <f>VLOOKUP(ESales_DB[[#This Row],[Customer_ID]],Ecustom_DB[],10,FALSE)</f>
        <v>Bronze</v>
      </c>
      <c r="S615" t="str">
        <f>IF(ESales_DB[[#This Row],[Quantity1]]&gt;3,"Bulk order","Normal order")</f>
        <v>Bulk order</v>
      </c>
    </row>
    <row r="616" spans="1:19" x14ac:dyDescent="0.3">
      <c r="A616" t="s">
        <v>3376</v>
      </c>
      <c r="B616" s="4">
        <v>45258</v>
      </c>
      <c r="C616" s="4" t="str">
        <f>TEXT(ESales_DB[[#This Row],[Order_Date]],"mmm")</f>
        <v>Nov</v>
      </c>
      <c r="D616" t="s">
        <v>1352</v>
      </c>
      <c r="E616" t="s">
        <v>1628</v>
      </c>
      <c r="F616" t="s">
        <v>1761</v>
      </c>
      <c r="G616">
        <v>4</v>
      </c>
      <c r="H616" s="10">
        <f>IF(ISBLANK(ESales_DB[[#This Row],[Quantity]]),AVERAGEIF(ESales_DB[Product_ID],ESales_DB[[#This Row],[Product_ID]],ESales_DB[Quantity]),ESales_DB[[#This Row],[Quantity]])</f>
        <v>4</v>
      </c>
      <c r="I616" s="2">
        <v>54.4</v>
      </c>
      <c r="J616">
        <v>0.22</v>
      </c>
      <c r="K616" t="s">
        <v>1824</v>
      </c>
      <c r="L616" s="2">
        <v>169.72800000000001</v>
      </c>
      <c r="M616" s="2" t="str">
        <f>IF(ESales_DB[[#This Row],[Total_Amount]]&gt;1000,"High","Low")</f>
        <v>Low</v>
      </c>
      <c r="N616" s="2" t="str">
        <f>VLOOKUP(ESales_DB[[#This Row],[Customer_ID]],Ecustom_DB[],3,FALSE)</f>
        <v>Sharon Simpson</v>
      </c>
      <c r="O616" s="2" t="str">
        <f>_xlfn.XLOOKUP(ESales_DB[[#This Row],[Product_ID]],Eproduct_DB[Product_ID],Eproduct_DB[Category])</f>
        <v>Electronics</v>
      </c>
      <c r="P616" s="2" t="str">
        <f>_xlfn.XLOOKUP(ESales_DB[[#This Row],[Product_ID]],Eproduct_DB[Product_ID],Eproduct_DB[Product_Name])</f>
        <v>Noise-Canceling Headphones</v>
      </c>
      <c r="Q616" s="2" t="str">
        <f>_xlfn.XLOOKUP(ESales_DB[[#This Row],[Store_ID]],Estore_DB[Store_ID],Estore_DB[Region])</f>
        <v>South</v>
      </c>
      <c r="R616" t="str">
        <f>VLOOKUP(ESales_DB[[#This Row],[Customer_ID]],Ecustom_DB[],10,FALSE)</f>
        <v>Gold</v>
      </c>
      <c r="S616" t="str">
        <f>IF(ESales_DB[[#This Row],[Quantity1]]&gt;3,"Bulk order","Normal order")</f>
        <v>Bulk order</v>
      </c>
    </row>
    <row r="617" spans="1:19" x14ac:dyDescent="0.3">
      <c r="A617" t="s">
        <v>3377</v>
      </c>
      <c r="B617" s="4">
        <v>45435</v>
      </c>
      <c r="C617" s="4" t="str">
        <f>TEXT(ESales_DB[[#This Row],[Order_Date]],"mmm")</f>
        <v>May</v>
      </c>
      <c r="D617" t="s">
        <v>1507</v>
      </c>
      <c r="E617" t="s">
        <v>1716</v>
      </c>
      <c r="F617" t="s">
        <v>1799</v>
      </c>
      <c r="G617">
        <v>1</v>
      </c>
      <c r="H617" s="10">
        <f>IF(ISBLANK(ESales_DB[[#This Row],[Quantity]]),AVERAGEIF(ESales_DB[Product_ID],ESales_DB[[#This Row],[Product_ID]],ESales_DB[Quantity]),ESales_DB[[#This Row],[Quantity]])</f>
        <v>1</v>
      </c>
      <c r="I617" s="2">
        <v>46.66</v>
      </c>
      <c r="J617">
        <v>0.2</v>
      </c>
      <c r="K617" t="s">
        <v>1824</v>
      </c>
      <c r="L617" s="2">
        <v>37.328000000000003</v>
      </c>
      <c r="M617" s="2" t="str">
        <f>IF(ESales_DB[[#This Row],[Total_Amount]]&gt;1000,"High","Low")</f>
        <v>Low</v>
      </c>
      <c r="N617" s="2" t="str">
        <f>VLOOKUP(ESales_DB[[#This Row],[Customer_ID]],Ecustom_DB[],3,FALSE)</f>
        <v>Scott Harris</v>
      </c>
      <c r="O617" s="2" t="str">
        <f>_xlfn.XLOOKUP(ESales_DB[[#This Row],[Product_ID]],Eproduct_DB[Product_ID],Eproduct_DB[Category])</f>
        <v>Home</v>
      </c>
      <c r="P617" s="2" t="str">
        <f>_xlfn.XLOOKUP(ESales_DB[[#This Row],[Product_ID]],Eproduct_DB[Product_ID],Eproduct_DB[Product_Name])</f>
        <v>Wooden Bookshelf</v>
      </c>
      <c r="Q617" s="2" t="str">
        <f>_xlfn.XLOOKUP(ESales_DB[[#This Row],[Store_ID]],Estore_DB[Store_ID],Estore_DB[Region])</f>
        <v>South</v>
      </c>
      <c r="R617" t="str">
        <f>VLOOKUP(ESales_DB[[#This Row],[Customer_ID]],Ecustom_DB[],10,FALSE)</f>
        <v>Platinum</v>
      </c>
      <c r="S617" t="str">
        <f>IF(ESales_DB[[#This Row],[Quantity1]]&gt;3,"Bulk order","Normal order")</f>
        <v>Normal order</v>
      </c>
    </row>
    <row r="618" spans="1:19" x14ac:dyDescent="0.3">
      <c r="A618" t="s">
        <v>3378</v>
      </c>
      <c r="B618" s="4">
        <v>45447</v>
      </c>
      <c r="C618" s="4" t="str">
        <f>TEXT(ESales_DB[[#This Row],[Order_Date]],"mmm")</f>
        <v>Jun</v>
      </c>
      <c r="D618" t="s">
        <v>40</v>
      </c>
      <c r="E618" t="s">
        <v>1694</v>
      </c>
      <c r="F618" t="s">
        <v>1792</v>
      </c>
      <c r="G618">
        <v>4</v>
      </c>
      <c r="H618" s="10">
        <f>IF(ISBLANK(ESales_DB[[#This Row],[Quantity]]),AVERAGEIF(ESales_DB[Product_ID],ESales_DB[[#This Row],[Product_ID]],ESales_DB[Quantity]),ESales_DB[[#This Row],[Quantity]])</f>
        <v>4</v>
      </c>
      <c r="I618" s="2">
        <v>871.2</v>
      </c>
      <c r="J618">
        <v>0.28999999999999998</v>
      </c>
      <c r="K618" t="s">
        <v>1824</v>
      </c>
      <c r="L618" s="2">
        <v>2474.2080000000001</v>
      </c>
      <c r="M618" s="2" t="str">
        <f>IF(ESales_DB[[#This Row],[Total_Amount]]&gt;1000,"High","Low")</f>
        <v>High</v>
      </c>
      <c r="N618" s="2" t="str">
        <f>VLOOKUP(ESales_DB[[#This Row],[Customer_ID]],Ecustom_DB[],3,FALSE)</f>
        <v>Daniel Boyd</v>
      </c>
      <c r="O618" s="2" t="str">
        <f>_xlfn.XLOOKUP(ESales_DB[[#This Row],[Product_ID]],Eproduct_DB[Product_ID],Eproduct_DB[Category])</f>
        <v>Sports</v>
      </c>
      <c r="P618" s="2" t="str">
        <f>_xlfn.XLOOKUP(ESales_DB[[#This Row],[Product_ID]],Eproduct_DB[Product_ID],Eproduct_DB[Product_Name])</f>
        <v>Shin Guards – Adult</v>
      </c>
      <c r="Q618" s="2" t="str">
        <f>_xlfn.XLOOKUP(ESales_DB[[#This Row],[Store_ID]],Estore_DB[Store_ID],Estore_DB[Region])</f>
        <v>South</v>
      </c>
      <c r="R618" t="str">
        <f>VLOOKUP(ESales_DB[[#This Row],[Customer_ID]],Ecustom_DB[],10,FALSE)</f>
        <v>Bronze</v>
      </c>
      <c r="S618" t="str">
        <f>IF(ESales_DB[[#This Row],[Quantity1]]&gt;3,"Bulk order","Normal order")</f>
        <v>Bulk order</v>
      </c>
    </row>
    <row r="619" spans="1:19" x14ac:dyDescent="0.3">
      <c r="A619" t="s">
        <v>3379</v>
      </c>
      <c r="B619" s="4">
        <v>45724</v>
      </c>
      <c r="C619" s="4" t="str">
        <f>TEXT(ESales_DB[[#This Row],[Order_Date]],"mmm")</f>
        <v>Mar</v>
      </c>
      <c r="D619" t="s">
        <v>1184</v>
      </c>
      <c r="E619" t="s">
        <v>1584</v>
      </c>
      <c r="F619" t="s">
        <v>1799</v>
      </c>
      <c r="G619">
        <v>4</v>
      </c>
      <c r="H619" s="10">
        <f>IF(ISBLANK(ESales_DB[[#This Row],[Quantity]]),AVERAGEIF(ESales_DB[Product_ID],ESales_DB[[#This Row],[Product_ID]],ESales_DB[Quantity]),ESales_DB[[#This Row],[Quantity]])</f>
        <v>4</v>
      </c>
      <c r="I619" s="2">
        <v>317.11</v>
      </c>
      <c r="J619">
        <v>0.16</v>
      </c>
      <c r="K619" t="s">
        <v>1826</v>
      </c>
      <c r="L619" s="2">
        <v>1065.4896000000001</v>
      </c>
      <c r="M619" s="2" t="str">
        <f>IF(ESales_DB[[#This Row],[Total_Amount]]&gt;1000,"High","Low")</f>
        <v>High</v>
      </c>
      <c r="N619" s="2" t="str">
        <f>VLOOKUP(ESales_DB[[#This Row],[Customer_ID]],Ecustom_DB[],3,FALSE)</f>
        <v>Tanya Lopez</v>
      </c>
      <c r="O619" s="2" t="str">
        <f>_xlfn.XLOOKUP(ESales_DB[[#This Row],[Product_ID]],Eproduct_DB[Product_ID],Eproduct_DB[Category])</f>
        <v>Clothing</v>
      </c>
      <c r="P619" s="2" t="str">
        <f>_xlfn.XLOOKUP(ESales_DB[[#This Row],[Product_ID]],Eproduct_DB[Product_ID],Eproduct_DB[Product_Name])</f>
        <v>Women's Denim Jeans</v>
      </c>
      <c r="Q619" s="2" t="str">
        <f>_xlfn.XLOOKUP(ESales_DB[[#This Row],[Store_ID]],Estore_DB[Store_ID],Estore_DB[Region])</f>
        <v>South</v>
      </c>
      <c r="R619" t="str">
        <f>VLOOKUP(ESales_DB[[#This Row],[Customer_ID]],Ecustom_DB[],10,FALSE)</f>
        <v>Gold</v>
      </c>
      <c r="S619" t="str">
        <f>IF(ESales_DB[[#This Row],[Quantity1]]&gt;3,"Bulk order","Normal order")</f>
        <v>Bulk order</v>
      </c>
    </row>
    <row r="620" spans="1:19" x14ac:dyDescent="0.3">
      <c r="A620" t="s">
        <v>3380</v>
      </c>
      <c r="B620" s="4">
        <v>45338</v>
      </c>
      <c r="C620" s="4" t="str">
        <f>TEXT(ESales_DB[[#This Row],[Order_Date]],"mmm")</f>
        <v>Feb</v>
      </c>
      <c r="D620" t="s">
        <v>824</v>
      </c>
      <c r="E620" t="s">
        <v>1598</v>
      </c>
      <c r="F620" t="s">
        <v>1797</v>
      </c>
      <c r="G620">
        <v>2</v>
      </c>
      <c r="H620" s="10">
        <f>IF(ISBLANK(ESales_DB[[#This Row],[Quantity]]),AVERAGEIF(ESales_DB[Product_ID],ESales_DB[[#This Row],[Product_ID]],ESales_DB[Quantity]),ESales_DB[[#This Row],[Quantity]])</f>
        <v>2</v>
      </c>
      <c r="I620" s="2">
        <v>388.34</v>
      </c>
      <c r="J620">
        <v>0.09</v>
      </c>
      <c r="K620" t="s">
        <v>1826</v>
      </c>
      <c r="L620" s="2">
        <v>706.77879999999993</v>
      </c>
      <c r="M620" s="2" t="str">
        <f>IF(ESales_DB[[#This Row],[Total_Amount]]&gt;1000,"High","Low")</f>
        <v>Low</v>
      </c>
      <c r="N620" s="2" t="str">
        <f>VLOOKUP(ESales_DB[[#This Row],[Customer_ID]],Ecustom_DB[],3,FALSE)</f>
        <v>Sarah Stewart</v>
      </c>
      <c r="O620" s="2" t="str">
        <f>_xlfn.XLOOKUP(ESales_DB[[#This Row],[Product_ID]],Eproduct_DB[Product_ID],Eproduct_DB[Category])</f>
        <v>Clothing</v>
      </c>
      <c r="P620" s="2" t="str">
        <f>_xlfn.XLOOKUP(ESales_DB[[#This Row],[Product_ID]],Eproduct_DB[Product_ID],Eproduct_DB[Product_Name])</f>
        <v>Women's Scarf Set</v>
      </c>
      <c r="Q620" s="2" t="str">
        <f>_xlfn.XLOOKUP(ESales_DB[[#This Row],[Store_ID]],Estore_DB[Store_ID],Estore_DB[Region])</f>
        <v>East</v>
      </c>
      <c r="R620" t="str">
        <f>VLOOKUP(ESales_DB[[#This Row],[Customer_ID]],Ecustom_DB[],10,FALSE)</f>
        <v>Platinum</v>
      </c>
      <c r="S620" t="str">
        <f>IF(ESales_DB[[#This Row],[Quantity1]]&gt;3,"Bulk order","Normal order")</f>
        <v>Normal order</v>
      </c>
    </row>
    <row r="621" spans="1:19" x14ac:dyDescent="0.3">
      <c r="A621" t="s">
        <v>3381</v>
      </c>
      <c r="B621" s="4">
        <v>45252</v>
      </c>
      <c r="C621" s="4" t="str">
        <f>TEXT(ESales_DB[[#This Row],[Order_Date]],"mmm")</f>
        <v>Nov</v>
      </c>
      <c r="D621" t="s">
        <v>1005</v>
      </c>
      <c r="E621" t="s">
        <v>1608</v>
      </c>
      <c r="F621" t="s">
        <v>1776</v>
      </c>
      <c r="G621">
        <v>4</v>
      </c>
      <c r="H621" s="10">
        <f>IF(ISBLANK(ESales_DB[[#This Row],[Quantity]]),AVERAGEIF(ESales_DB[Product_ID],ESales_DB[[#This Row],[Product_ID]],ESales_DB[Quantity]),ESales_DB[[#This Row],[Quantity]])</f>
        <v>4</v>
      </c>
      <c r="I621" s="2">
        <v>998.2</v>
      </c>
      <c r="J621">
        <v>0.15</v>
      </c>
      <c r="K621" t="s">
        <v>1824</v>
      </c>
      <c r="L621" s="2">
        <v>3393.88</v>
      </c>
      <c r="M621" s="2" t="str">
        <f>IF(ESales_DB[[#This Row],[Total_Amount]]&gt;1000,"High","Low")</f>
        <v>High</v>
      </c>
      <c r="N621" s="2" t="str">
        <f>VLOOKUP(ESales_DB[[#This Row],[Customer_ID]],Ecustom_DB[],3,FALSE)</f>
        <v>Casey Simpson</v>
      </c>
      <c r="O621" s="2" t="str">
        <f>_xlfn.XLOOKUP(ESales_DB[[#This Row],[Product_ID]],Eproduct_DB[Product_ID],Eproduct_DB[Category])</f>
        <v>Home</v>
      </c>
      <c r="P621" s="2" t="str">
        <f>_xlfn.XLOOKUP(ESales_DB[[#This Row],[Product_ID]],Eproduct_DB[Product_ID],Eproduct_DB[Product_Name])</f>
        <v>Stainless Steel Cutlery Set</v>
      </c>
      <c r="Q621" s="2" t="str">
        <f>_xlfn.XLOOKUP(ESales_DB[[#This Row],[Store_ID]],Estore_DB[Store_ID],Estore_DB[Region])</f>
        <v>East</v>
      </c>
      <c r="R621" t="str">
        <f>VLOOKUP(ESales_DB[[#This Row],[Customer_ID]],Ecustom_DB[],10,FALSE)</f>
        <v>Platinum</v>
      </c>
      <c r="S621" t="str">
        <f>IF(ESales_DB[[#This Row],[Quantity1]]&gt;3,"Bulk order","Normal order")</f>
        <v>Bulk order</v>
      </c>
    </row>
    <row r="622" spans="1:19" x14ac:dyDescent="0.3">
      <c r="A622" t="s">
        <v>3382</v>
      </c>
      <c r="B622" s="4">
        <v>45606</v>
      </c>
      <c r="C622" s="4" t="str">
        <f>TEXT(ESales_DB[[#This Row],[Order_Date]],"mmm")</f>
        <v>Nov</v>
      </c>
      <c r="D622" t="s">
        <v>1516</v>
      </c>
      <c r="E622" t="s">
        <v>1620</v>
      </c>
      <c r="F622" t="s">
        <v>1752</v>
      </c>
      <c r="G622">
        <v>1</v>
      </c>
      <c r="H622" s="10">
        <f>IF(ISBLANK(ESales_DB[[#This Row],[Quantity]]),AVERAGEIF(ESales_DB[Product_ID],ESales_DB[[#This Row],[Product_ID]],ESales_DB[Quantity]),ESales_DB[[#This Row],[Quantity]])</f>
        <v>1</v>
      </c>
      <c r="I622" s="2">
        <v>887.38</v>
      </c>
      <c r="J622">
        <v>0.01</v>
      </c>
      <c r="K622" t="s">
        <v>1829</v>
      </c>
      <c r="L622" s="2">
        <v>878.50620000000004</v>
      </c>
      <c r="M622" s="2" t="str">
        <f>IF(ESales_DB[[#This Row],[Total_Amount]]&gt;1000,"High","Low")</f>
        <v>Low</v>
      </c>
      <c r="N622" s="2" t="str">
        <f>VLOOKUP(ESales_DB[[#This Row],[Customer_ID]],Ecustom_DB[],3,FALSE)</f>
        <v>Amanda Powell</v>
      </c>
      <c r="O622" s="2" t="str">
        <f>_xlfn.XLOOKUP(ESales_DB[[#This Row],[Product_ID]],Eproduct_DB[Product_ID],Eproduct_DB[Category])</f>
        <v>Clothing</v>
      </c>
      <c r="P622" s="2" t="str">
        <f>_xlfn.XLOOKUP(ESales_DB[[#This Row],[Product_ID]],Eproduct_DB[Product_ID],Eproduct_DB[Product_Name])</f>
        <v>Women's Summer Dress</v>
      </c>
      <c r="Q622" s="2" t="str">
        <f>_xlfn.XLOOKUP(ESales_DB[[#This Row],[Store_ID]],Estore_DB[Store_ID],Estore_DB[Region])</f>
        <v>East</v>
      </c>
      <c r="R622" t="str">
        <f>VLOOKUP(ESales_DB[[#This Row],[Customer_ID]],Ecustom_DB[],10,FALSE)</f>
        <v>Silver</v>
      </c>
      <c r="S622" t="str">
        <f>IF(ESales_DB[[#This Row],[Quantity1]]&gt;3,"Bulk order","Normal order")</f>
        <v>Normal order</v>
      </c>
    </row>
    <row r="623" spans="1:19" x14ac:dyDescent="0.3">
      <c r="A623" t="s">
        <v>3383</v>
      </c>
      <c r="B623" s="4">
        <v>45524</v>
      </c>
      <c r="C623" s="4" t="str">
        <f>TEXT(ESales_DB[[#This Row],[Order_Date]],"mmm")</f>
        <v>Aug</v>
      </c>
      <c r="D623" t="s">
        <v>984</v>
      </c>
      <c r="E623" t="s">
        <v>1622</v>
      </c>
      <c r="F623" t="s">
        <v>1794</v>
      </c>
      <c r="G623">
        <v>4</v>
      </c>
      <c r="H623" s="10">
        <f>IF(ISBLANK(ESales_DB[[#This Row],[Quantity]]),AVERAGEIF(ESales_DB[Product_ID],ESales_DB[[#This Row],[Product_ID]],ESales_DB[Quantity]),ESales_DB[[#This Row],[Quantity]])</f>
        <v>4</v>
      </c>
      <c r="I623" s="2">
        <v>332.97</v>
      </c>
      <c r="J623">
        <v>0.28000000000000003</v>
      </c>
      <c r="K623" t="s">
        <v>1824</v>
      </c>
      <c r="L623" s="2">
        <v>958.95360000000005</v>
      </c>
      <c r="M623" s="2" t="str">
        <f>IF(ESales_DB[[#This Row],[Total_Amount]]&gt;1000,"High","Low")</f>
        <v>Low</v>
      </c>
      <c r="N623" s="2" t="str">
        <f>VLOOKUP(ESales_DB[[#This Row],[Customer_ID]],Ecustom_DB[],3,FALSE)</f>
        <v>Jason Mullins</v>
      </c>
      <c r="O623" s="2" t="str">
        <f>_xlfn.XLOOKUP(ESales_DB[[#This Row],[Product_ID]],Eproduct_DB[Product_ID],Eproduct_DB[Category])</f>
        <v>Clothing</v>
      </c>
      <c r="P623" s="2" t="str">
        <f>_xlfn.XLOOKUP(ESales_DB[[#This Row],[Product_ID]],Eproduct_DB[Product_ID],Eproduct_DB[Product_Name])</f>
        <v>Men's Casual Sneakers</v>
      </c>
      <c r="Q623" s="2" t="str">
        <f>_xlfn.XLOOKUP(ESales_DB[[#This Row],[Store_ID]],Estore_DB[Store_ID],Estore_DB[Region])</f>
        <v>North</v>
      </c>
      <c r="R623" t="str">
        <f>VLOOKUP(ESales_DB[[#This Row],[Customer_ID]],Ecustom_DB[],10,FALSE)</f>
        <v>Silver</v>
      </c>
      <c r="S623" t="str">
        <f>IF(ESales_DB[[#This Row],[Quantity1]]&gt;3,"Bulk order","Normal order")</f>
        <v>Bulk order</v>
      </c>
    </row>
    <row r="624" spans="1:19" x14ac:dyDescent="0.3">
      <c r="A624" t="s">
        <v>3384</v>
      </c>
      <c r="B624" s="4">
        <v>45934</v>
      </c>
      <c r="C624" s="4" t="str">
        <f>TEXT(ESales_DB[[#This Row],[Order_Date]],"mmm")</f>
        <v>Oct</v>
      </c>
      <c r="D624" t="s">
        <v>93</v>
      </c>
      <c r="E624" t="s">
        <v>1640</v>
      </c>
      <c r="F624" t="s">
        <v>1752</v>
      </c>
      <c r="G624">
        <v>2</v>
      </c>
      <c r="H624" s="10">
        <f>IF(ISBLANK(ESales_DB[[#This Row],[Quantity]]),AVERAGEIF(ESales_DB[Product_ID],ESales_DB[[#This Row],[Product_ID]],ESales_DB[Quantity]),ESales_DB[[#This Row],[Quantity]])</f>
        <v>2</v>
      </c>
      <c r="I624" s="2">
        <v>157.91</v>
      </c>
      <c r="J624">
        <v>0.09</v>
      </c>
      <c r="K624" t="s">
        <v>1829</v>
      </c>
      <c r="L624" s="2">
        <v>287.39620000000002</v>
      </c>
      <c r="M624" s="2" t="str">
        <f>IF(ESales_DB[[#This Row],[Total_Amount]]&gt;1000,"High","Low")</f>
        <v>Low</v>
      </c>
      <c r="N624" s="2" t="str">
        <f>VLOOKUP(ESales_DB[[#This Row],[Customer_ID]],Ecustom_DB[],3,FALSE)</f>
        <v>Jeff Martinez</v>
      </c>
      <c r="O624" s="2" t="str">
        <f>_xlfn.XLOOKUP(ESales_DB[[#This Row],[Product_ID]],Eproduct_DB[Product_ID],Eproduct_DB[Category])</f>
        <v>Clothing</v>
      </c>
      <c r="P624" s="2" t="str">
        <f>_xlfn.XLOOKUP(ESales_DB[[#This Row],[Product_ID]],Eproduct_DB[Product_ID],Eproduct_DB[Product_Name])</f>
        <v>Men's Winter Jacket</v>
      </c>
      <c r="Q624" s="2" t="str">
        <f>_xlfn.XLOOKUP(ESales_DB[[#This Row],[Store_ID]],Estore_DB[Store_ID],Estore_DB[Region])</f>
        <v>East</v>
      </c>
      <c r="R624" t="str">
        <f>VLOOKUP(ESales_DB[[#This Row],[Customer_ID]],Ecustom_DB[],10,FALSE)</f>
        <v>Gold</v>
      </c>
      <c r="S624" t="str">
        <f>IF(ESales_DB[[#This Row],[Quantity1]]&gt;3,"Bulk order","Normal order")</f>
        <v>Normal order</v>
      </c>
    </row>
    <row r="625" spans="1:19" x14ac:dyDescent="0.3">
      <c r="A625" t="s">
        <v>3385</v>
      </c>
      <c r="B625" s="4">
        <v>45539</v>
      </c>
      <c r="C625" s="4" t="str">
        <f>TEXT(ESales_DB[[#This Row],[Order_Date]],"mmm")</f>
        <v>Sep</v>
      </c>
      <c r="D625" t="s">
        <v>1115</v>
      </c>
      <c r="E625" t="s">
        <v>1572</v>
      </c>
      <c r="F625" t="s">
        <v>1810</v>
      </c>
      <c r="G625">
        <v>1</v>
      </c>
      <c r="H625" s="10">
        <f>IF(ISBLANK(ESales_DB[[#This Row],[Quantity]]),AVERAGEIF(ESales_DB[Product_ID],ESales_DB[[#This Row],[Product_ID]],ESales_DB[Quantity]),ESales_DB[[#This Row],[Quantity]])</f>
        <v>1</v>
      </c>
      <c r="I625" s="2">
        <v>548.15</v>
      </c>
      <c r="J625">
        <v>0.11</v>
      </c>
      <c r="K625" t="s">
        <v>1824</v>
      </c>
      <c r="L625" s="2">
        <v>487.8535</v>
      </c>
      <c r="M625" s="2" t="str">
        <f>IF(ESales_DB[[#This Row],[Total_Amount]]&gt;1000,"High","Low")</f>
        <v>Low</v>
      </c>
      <c r="N625" s="2" t="str">
        <f>VLOOKUP(ESales_DB[[#This Row],[Customer_ID]],Ecustom_DB[],3,FALSE)</f>
        <v>Steve Hunt</v>
      </c>
      <c r="O625" s="2" t="str">
        <f>_xlfn.XLOOKUP(ESales_DB[[#This Row],[Product_ID]],Eproduct_DB[Product_ID],Eproduct_DB[Category])</f>
        <v>Beauty</v>
      </c>
      <c r="P625" s="2" t="str">
        <f>_xlfn.XLOOKUP(ESales_DB[[#This Row],[Product_ID]],Eproduct_DB[Product_ID],Eproduct_DB[Product_Name])</f>
        <v>Hair Strengthening Shampoo</v>
      </c>
      <c r="Q625" s="2" t="str">
        <f>_xlfn.XLOOKUP(ESales_DB[[#This Row],[Store_ID]],Estore_DB[Store_ID],Estore_DB[Region])</f>
        <v>East</v>
      </c>
      <c r="R625" t="str">
        <f>VLOOKUP(ESales_DB[[#This Row],[Customer_ID]],Ecustom_DB[],10,FALSE)</f>
        <v>Bronze</v>
      </c>
      <c r="S625" t="str">
        <f>IF(ESales_DB[[#This Row],[Quantity1]]&gt;3,"Bulk order","Normal order")</f>
        <v>Normal order</v>
      </c>
    </row>
    <row r="626" spans="1:19" x14ac:dyDescent="0.3">
      <c r="A626" t="s">
        <v>1982</v>
      </c>
      <c r="B626" s="4">
        <v>45494</v>
      </c>
      <c r="C626" s="4" t="str">
        <f>TEXT(ESales_DB[[#This Row],[Order_Date]],"mmm")</f>
        <v>Jul</v>
      </c>
      <c r="D626" t="s">
        <v>1005</v>
      </c>
      <c r="E626" t="s">
        <v>1646</v>
      </c>
      <c r="F626" t="s">
        <v>1752</v>
      </c>
      <c r="G626">
        <v>2</v>
      </c>
      <c r="H626" s="10">
        <f>IF(ISBLANK(ESales_DB[[#This Row],[Quantity]]),AVERAGEIF(ESales_DB[Product_ID],ESales_DB[[#This Row],[Product_ID]],ESales_DB[Quantity]),ESales_DB[[#This Row],[Quantity]])</f>
        <v>2</v>
      </c>
      <c r="I626" s="2">
        <v>921.52</v>
      </c>
      <c r="J626">
        <v>0</v>
      </c>
      <c r="K626" t="s">
        <v>1826</v>
      </c>
      <c r="L626" s="2">
        <v>1843.04</v>
      </c>
      <c r="M626" s="2" t="str">
        <f>IF(ESales_DB[[#This Row],[Total_Amount]]&gt;1000,"High","Low")</f>
        <v>High</v>
      </c>
      <c r="N626" s="2" t="str">
        <f>VLOOKUP(ESales_DB[[#This Row],[Customer_ID]],Ecustom_DB[],3,FALSE)</f>
        <v>Casey Simpson</v>
      </c>
      <c r="O626" s="2" t="str">
        <f>_xlfn.XLOOKUP(ESales_DB[[#This Row],[Product_ID]],Eproduct_DB[Product_ID],Eproduct_DB[Category])</f>
        <v>Beauty</v>
      </c>
      <c r="P626" s="2" t="str">
        <f>_xlfn.XLOOKUP(ESales_DB[[#This Row],[Product_ID]],Eproduct_DB[Product_ID],Eproduct_DB[Product_Name])</f>
        <v>Men's Roll-On Perfume</v>
      </c>
      <c r="Q626" s="2" t="str">
        <f>_xlfn.XLOOKUP(ESales_DB[[#This Row],[Store_ID]],Estore_DB[Store_ID],Estore_DB[Region])</f>
        <v>East</v>
      </c>
      <c r="R626" t="str">
        <f>VLOOKUP(ESales_DB[[#This Row],[Customer_ID]],Ecustom_DB[],10,FALSE)</f>
        <v>Platinum</v>
      </c>
      <c r="S626" t="str">
        <f>IF(ESales_DB[[#This Row],[Quantity1]]&gt;3,"Bulk order","Normal order")</f>
        <v>Normal order</v>
      </c>
    </row>
    <row r="627" spans="1:19" x14ac:dyDescent="0.3">
      <c r="A627" t="s">
        <v>3386</v>
      </c>
      <c r="B627" s="4">
        <v>45555</v>
      </c>
      <c r="C627" s="4" t="str">
        <f>TEXT(ESales_DB[[#This Row],[Order_Date]],"mmm")</f>
        <v>Sep</v>
      </c>
      <c r="D627" t="s">
        <v>681</v>
      </c>
      <c r="E627" t="s">
        <v>1644</v>
      </c>
      <c r="F627" t="s">
        <v>1801</v>
      </c>
      <c r="G627">
        <v>1</v>
      </c>
      <c r="H627" s="10">
        <f>IF(ISBLANK(ESales_DB[[#This Row],[Quantity]]),AVERAGEIF(ESales_DB[Product_ID],ESales_DB[[#This Row],[Product_ID]],ESales_DB[Quantity]),ESales_DB[[#This Row],[Quantity]])</f>
        <v>1</v>
      </c>
      <c r="I627" s="2">
        <v>135.13</v>
      </c>
      <c r="J627">
        <v>0.04</v>
      </c>
      <c r="K627" t="s">
        <v>1824</v>
      </c>
      <c r="L627" s="2">
        <v>129.72479999999999</v>
      </c>
      <c r="M627" s="2" t="str">
        <f>IF(ESales_DB[[#This Row],[Total_Amount]]&gt;1000,"High","Low")</f>
        <v>Low</v>
      </c>
      <c r="N627" s="2" t="str">
        <f>VLOOKUP(ESales_DB[[#This Row],[Customer_ID]],Ecustom_DB[],3,FALSE)</f>
        <v>Joan Johnson</v>
      </c>
      <c r="O627" s="2" t="str">
        <f>_xlfn.XLOOKUP(ESales_DB[[#This Row],[Product_ID]],Eproduct_DB[Product_ID],Eproduct_DB[Category])</f>
        <v>Electronics</v>
      </c>
      <c r="P627" s="2" t="str">
        <f>_xlfn.XLOOKUP(ESales_DB[[#This Row],[Product_ID]],Eproduct_DB[Product_ID],Eproduct_DB[Product_Name])</f>
        <v>Car Dashboard Phone Holder</v>
      </c>
      <c r="Q627" s="2" t="str">
        <f>_xlfn.XLOOKUP(ESales_DB[[#This Row],[Store_ID]],Estore_DB[Store_ID],Estore_DB[Region])</f>
        <v>North</v>
      </c>
      <c r="R627" t="str">
        <f>VLOOKUP(ESales_DB[[#This Row],[Customer_ID]],Ecustom_DB[],10,FALSE)</f>
        <v>Platinum</v>
      </c>
      <c r="S627" t="str">
        <f>IF(ESales_DB[[#This Row],[Quantity1]]&gt;3,"Bulk order","Normal order")</f>
        <v>Normal order</v>
      </c>
    </row>
    <row r="628" spans="1:19" x14ac:dyDescent="0.3">
      <c r="A628" t="s">
        <v>3387</v>
      </c>
      <c r="B628" s="4">
        <v>45281</v>
      </c>
      <c r="C628" s="4" t="str">
        <f>TEXT(ESales_DB[[#This Row],[Order_Date]],"mmm")</f>
        <v>Dec</v>
      </c>
      <c r="D628" t="s">
        <v>711</v>
      </c>
      <c r="E628" t="s">
        <v>1660</v>
      </c>
      <c r="F628" t="s">
        <v>1766</v>
      </c>
      <c r="G628">
        <v>3</v>
      </c>
      <c r="H628" s="10">
        <f>IF(ISBLANK(ESales_DB[[#This Row],[Quantity]]),AVERAGEIF(ESales_DB[Product_ID],ESales_DB[[#This Row],[Product_ID]],ESales_DB[Quantity]),ESales_DB[[#This Row],[Quantity]])</f>
        <v>3</v>
      </c>
      <c r="I628" s="2">
        <v>579.26</v>
      </c>
      <c r="J628">
        <v>0.19</v>
      </c>
      <c r="K628" t="s">
        <v>1824</v>
      </c>
      <c r="L628" s="2">
        <v>1407.6017999999999</v>
      </c>
      <c r="M628" s="2" t="str">
        <f>IF(ESales_DB[[#This Row],[Total_Amount]]&gt;1000,"High","Low")</f>
        <v>High</v>
      </c>
      <c r="N628" s="2" t="str">
        <f>VLOOKUP(ESales_DB[[#This Row],[Customer_ID]],Ecustom_DB[],3,FALSE)</f>
        <v>Jordan Wells</v>
      </c>
      <c r="O628" s="2" t="str">
        <f>_xlfn.XLOOKUP(ESales_DB[[#This Row],[Product_ID]],Eproduct_DB[Product_ID],Eproduct_DB[Category])</f>
        <v>Home</v>
      </c>
      <c r="P628" s="2" t="str">
        <f>_xlfn.XLOOKUP(ESales_DB[[#This Row],[Product_ID]],Eproduct_DB[Product_ID],Eproduct_DB[Product_Name])</f>
        <v>Premium Blanket Throw</v>
      </c>
      <c r="Q628" s="2" t="str">
        <f>_xlfn.XLOOKUP(ESales_DB[[#This Row],[Store_ID]],Estore_DB[Store_ID],Estore_DB[Region])</f>
        <v>North</v>
      </c>
      <c r="R628" t="str">
        <f>VLOOKUP(ESales_DB[[#This Row],[Customer_ID]],Ecustom_DB[],10,FALSE)</f>
        <v>Gold</v>
      </c>
      <c r="S628" t="str">
        <f>IF(ESales_DB[[#This Row],[Quantity1]]&gt;3,"Bulk order","Normal order")</f>
        <v>Normal order</v>
      </c>
    </row>
    <row r="629" spans="1:19" x14ac:dyDescent="0.3">
      <c r="A629" t="s">
        <v>3388</v>
      </c>
      <c r="B629" s="4">
        <v>45582</v>
      </c>
      <c r="C629" s="4" t="str">
        <f>TEXT(ESales_DB[[#This Row],[Order_Date]],"mmm")</f>
        <v>Oct</v>
      </c>
      <c r="D629" t="s">
        <v>1214</v>
      </c>
      <c r="E629" t="s">
        <v>1582</v>
      </c>
      <c r="F629" t="s">
        <v>1752</v>
      </c>
      <c r="G629">
        <v>1</v>
      </c>
      <c r="H629" s="10">
        <f>IF(ISBLANK(ESales_DB[[#This Row],[Quantity]]),AVERAGEIF(ESales_DB[Product_ID],ESales_DB[[#This Row],[Product_ID]],ESales_DB[Quantity]),ESales_DB[[#This Row],[Quantity]])</f>
        <v>1</v>
      </c>
      <c r="I629" s="2">
        <v>465.63</v>
      </c>
      <c r="J629">
        <v>0.25</v>
      </c>
      <c r="K629" t="s">
        <v>1824</v>
      </c>
      <c r="L629" s="2">
        <v>349.22250000000003</v>
      </c>
      <c r="M629" s="2" t="str">
        <f>IF(ESales_DB[[#This Row],[Total_Amount]]&gt;1000,"High","Low")</f>
        <v>Low</v>
      </c>
      <c r="N629" s="2" t="str">
        <f>VLOOKUP(ESales_DB[[#This Row],[Customer_ID]],Ecustom_DB[],3,FALSE)</f>
        <v>Cynthia Lopez</v>
      </c>
      <c r="O629" s="2" t="str">
        <f>_xlfn.XLOOKUP(ESales_DB[[#This Row],[Product_ID]],Eproduct_DB[Product_ID],Eproduct_DB[Category])</f>
        <v>Sports</v>
      </c>
      <c r="P629" s="2" t="str">
        <f>_xlfn.XLOOKUP(ESales_DB[[#This Row],[Product_ID]],Eproduct_DB[Product_ID],Eproduct_DB[Product_Name])</f>
        <v>Soccer Training Cone Set</v>
      </c>
      <c r="Q629" s="2" t="str">
        <f>_xlfn.XLOOKUP(ESales_DB[[#This Row],[Store_ID]],Estore_DB[Store_ID],Estore_DB[Region])</f>
        <v>East</v>
      </c>
      <c r="R629" t="str">
        <f>VLOOKUP(ESales_DB[[#This Row],[Customer_ID]],Ecustom_DB[],10,FALSE)</f>
        <v>Platinum</v>
      </c>
      <c r="S629" t="str">
        <f>IF(ESales_DB[[#This Row],[Quantity1]]&gt;3,"Bulk order","Normal order")</f>
        <v>Normal order</v>
      </c>
    </row>
    <row r="630" spans="1:19" x14ac:dyDescent="0.3">
      <c r="A630" t="s">
        <v>3389</v>
      </c>
      <c r="B630" s="4">
        <v>45372</v>
      </c>
      <c r="C630" s="4" t="str">
        <f>TEXT(ESales_DB[[#This Row],[Order_Date]],"mmm")</f>
        <v>Mar</v>
      </c>
      <c r="D630" t="s">
        <v>181</v>
      </c>
      <c r="E630" t="s">
        <v>1700</v>
      </c>
      <c r="F630" t="s">
        <v>1804</v>
      </c>
      <c r="G630">
        <v>2</v>
      </c>
      <c r="H630" s="10">
        <f>IF(ISBLANK(ESales_DB[[#This Row],[Quantity]]),AVERAGEIF(ESales_DB[Product_ID],ESales_DB[[#This Row],[Product_ID]],ESales_DB[Quantity]),ESales_DB[[#This Row],[Quantity]])</f>
        <v>2</v>
      </c>
      <c r="I630" s="2">
        <v>675.61</v>
      </c>
      <c r="J630">
        <v>0.08</v>
      </c>
      <c r="K630" t="s">
        <v>1829</v>
      </c>
      <c r="L630" s="2">
        <v>1243.1224</v>
      </c>
      <c r="M630" s="2" t="str">
        <f>IF(ESales_DB[[#This Row],[Total_Amount]]&gt;1000,"High","Low")</f>
        <v>High</v>
      </c>
      <c r="N630" s="2" t="str">
        <f>VLOOKUP(ESales_DB[[#This Row],[Customer_ID]],Ecustom_DB[],3,FALSE)</f>
        <v>Gina Knight</v>
      </c>
      <c r="O630" s="2" t="str">
        <f>_xlfn.XLOOKUP(ESales_DB[[#This Row],[Product_ID]],Eproduct_DB[Product_ID],Eproduct_DB[Category])</f>
        <v>Electronics</v>
      </c>
      <c r="P630" s="2" t="str">
        <f>_xlfn.XLOOKUP(ESales_DB[[#This Row],[Product_ID]],Eproduct_DB[Product_ID],Eproduct_DB[Product_Name])</f>
        <v>Wireless Mouse</v>
      </c>
      <c r="Q630" s="2" t="str">
        <f>_xlfn.XLOOKUP(ESales_DB[[#This Row],[Store_ID]],Estore_DB[Store_ID],Estore_DB[Region])</f>
        <v>West</v>
      </c>
      <c r="R630" t="str">
        <f>VLOOKUP(ESales_DB[[#This Row],[Customer_ID]],Ecustom_DB[],10,FALSE)</f>
        <v>Silver</v>
      </c>
      <c r="S630" t="str">
        <f>IF(ESales_DB[[#This Row],[Quantity1]]&gt;3,"Bulk order","Normal order")</f>
        <v>Normal order</v>
      </c>
    </row>
    <row r="631" spans="1:19" x14ac:dyDescent="0.3">
      <c r="A631" t="s">
        <v>3390</v>
      </c>
      <c r="B631" s="4">
        <v>45458</v>
      </c>
      <c r="C631" s="4" t="str">
        <f>TEXT(ESales_DB[[#This Row],[Order_Date]],"mmm")</f>
        <v>Jun</v>
      </c>
      <c r="D631" t="s">
        <v>1292</v>
      </c>
      <c r="E631" t="s">
        <v>1614</v>
      </c>
      <c r="F631" t="s">
        <v>1776</v>
      </c>
      <c r="G631">
        <v>1</v>
      </c>
      <c r="H631" s="10">
        <f>IF(ISBLANK(ESales_DB[[#This Row],[Quantity]]),AVERAGEIF(ESales_DB[Product_ID],ESales_DB[[#This Row],[Product_ID]],ESales_DB[Quantity]),ESales_DB[[#This Row],[Quantity]])</f>
        <v>1</v>
      </c>
      <c r="I631" s="2">
        <v>718.99</v>
      </c>
      <c r="J631">
        <v>0.08</v>
      </c>
      <c r="K631" t="s">
        <v>1826</v>
      </c>
      <c r="L631" s="2">
        <v>661.47080000000005</v>
      </c>
      <c r="M631" s="2" t="str">
        <f>IF(ESales_DB[[#This Row],[Total_Amount]]&gt;1000,"High","Low")</f>
        <v>Low</v>
      </c>
      <c r="N631" s="2" t="str">
        <f>VLOOKUP(ESales_DB[[#This Row],[Customer_ID]],Ecustom_DB[],3,FALSE)</f>
        <v>Jennifer Myers</v>
      </c>
      <c r="O631" s="2" t="str">
        <f>_xlfn.XLOOKUP(ESales_DB[[#This Row],[Product_ID]],Eproduct_DB[Product_ID],Eproduct_DB[Category])</f>
        <v>Home</v>
      </c>
      <c r="P631" s="2" t="str">
        <f>_xlfn.XLOOKUP(ESales_DB[[#This Row],[Product_ID]],Eproduct_DB[Product_ID],Eproduct_DB[Product_Name])</f>
        <v>Modern Wall Clock</v>
      </c>
      <c r="Q631" s="2" t="str">
        <f>_xlfn.XLOOKUP(ESales_DB[[#This Row],[Store_ID]],Estore_DB[Store_ID],Estore_DB[Region])</f>
        <v>East</v>
      </c>
      <c r="R631" t="str">
        <f>VLOOKUP(ESales_DB[[#This Row],[Customer_ID]],Ecustom_DB[],10,FALSE)</f>
        <v>Platinum</v>
      </c>
      <c r="S631" t="str">
        <f>IF(ESales_DB[[#This Row],[Quantity1]]&gt;3,"Bulk order","Normal order")</f>
        <v>Normal order</v>
      </c>
    </row>
    <row r="632" spans="1:19" x14ac:dyDescent="0.3">
      <c r="A632" t="s">
        <v>3391</v>
      </c>
      <c r="B632" s="4">
        <v>45943</v>
      </c>
      <c r="C632" s="4" t="str">
        <f>TEXT(ESales_DB[[#This Row],[Order_Date]],"mmm")</f>
        <v>Oct</v>
      </c>
      <c r="D632" t="s">
        <v>1175</v>
      </c>
      <c r="E632" t="s">
        <v>1576</v>
      </c>
      <c r="F632" t="s">
        <v>1789</v>
      </c>
      <c r="G632">
        <v>2</v>
      </c>
      <c r="H632" s="10">
        <f>IF(ISBLANK(ESales_DB[[#This Row],[Quantity]]),AVERAGEIF(ESales_DB[Product_ID],ESales_DB[[#This Row],[Product_ID]],ESales_DB[Quantity]),ESales_DB[[#This Row],[Quantity]])</f>
        <v>2</v>
      </c>
      <c r="I632" s="2">
        <v>675.65</v>
      </c>
      <c r="J632">
        <v>0.2</v>
      </c>
      <c r="K632" t="s">
        <v>1829</v>
      </c>
      <c r="L632" s="2">
        <v>1081.04</v>
      </c>
      <c r="M632" s="2" t="str">
        <f>IF(ESales_DB[[#This Row],[Total_Amount]]&gt;1000,"High","Low")</f>
        <v>High</v>
      </c>
      <c r="N632" s="2" t="str">
        <f>VLOOKUP(ESales_DB[[#This Row],[Customer_ID]],Ecustom_DB[],3,FALSE)</f>
        <v>Michele Burke</v>
      </c>
      <c r="O632" s="2" t="str">
        <f>_xlfn.XLOOKUP(ESales_DB[[#This Row],[Product_ID]],Eproduct_DB[Product_ID],Eproduct_DB[Category])</f>
        <v>Home</v>
      </c>
      <c r="P632" s="2" t="str">
        <f>_xlfn.XLOOKUP(ESales_DB[[#This Row],[Product_ID]],Eproduct_DB[Product_ID],Eproduct_DB[Product_Name])</f>
        <v>Decorative Wall Mirror</v>
      </c>
      <c r="Q632" s="2" t="str">
        <f>_xlfn.XLOOKUP(ESales_DB[[#This Row],[Store_ID]],Estore_DB[Store_ID],Estore_DB[Region])</f>
        <v>East</v>
      </c>
      <c r="R632" t="str">
        <f>VLOOKUP(ESales_DB[[#This Row],[Customer_ID]],Ecustom_DB[],10,FALSE)</f>
        <v>Bronze</v>
      </c>
      <c r="S632" t="str">
        <f>IF(ESales_DB[[#This Row],[Quantity1]]&gt;3,"Bulk order","Normal order")</f>
        <v>Normal order</v>
      </c>
    </row>
    <row r="633" spans="1:19" x14ac:dyDescent="0.3">
      <c r="A633" t="s">
        <v>3392</v>
      </c>
      <c r="B633" s="4">
        <v>45374</v>
      </c>
      <c r="C633" s="4" t="str">
        <f>TEXT(ESales_DB[[#This Row],[Order_Date]],"mmm")</f>
        <v>Mar</v>
      </c>
      <c r="D633" t="s">
        <v>1056</v>
      </c>
      <c r="E633" t="s">
        <v>1738</v>
      </c>
      <c r="F633" t="s">
        <v>1801</v>
      </c>
      <c r="G633">
        <v>4</v>
      </c>
      <c r="H633" s="10">
        <f>IF(ISBLANK(ESales_DB[[#This Row],[Quantity]]),AVERAGEIF(ESales_DB[Product_ID],ESales_DB[[#This Row],[Product_ID]],ESales_DB[Quantity]),ESales_DB[[#This Row],[Quantity]])</f>
        <v>4</v>
      </c>
      <c r="I633" s="2">
        <v>284.24</v>
      </c>
      <c r="J633">
        <v>0.1</v>
      </c>
      <c r="K633" t="s">
        <v>1824</v>
      </c>
      <c r="L633" s="2">
        <v>1023.264</v>
      </c>
      <c r="M633" s="2" t="str">
        <f>IF(ESales_DB[[#This Row],[Total_Amount]]&gt;1000,"High","Low")</f>
        <v>High</v>
      </c>
      <c r="N633" s="2" t="str">
        <f>VLOOKUP(ESales_DB[[#This Row],[Customer_ID]],Ecustom_DB[],3,FALSE)</f>
        <v>John Jones</v>
      </c>
      <c r="O633" s="2" t="str">
        <f>_xlfn.XLOOKUP(ESales_DB[[#This Row],[Product_ID]],Eproduct_DB[Product_ID],Eproduct_DB[Category])</f>
        <v>Sports</v>
      </c>
      <c r="P633" s="2" t="str">
        <f>_xlfn.XLOOKUP(ESales_DB[[#This Row],[Product_ID]],Eproduct_DB[Product_ID],Eproduct_DB[Product_Name])</f>
        <v>Sports Stopwatch Basic</v>
      </c>
      <c r="Q633" s="2" t="str">
        <f>_xlfn.XLOOKUP(ESales_DB[[#This Row],[Store_ID]],Estore_DB[Store_ID],Estore_DB[Region])</f>
        <v>North</v>
      </c>
      <c r="R633" t="str">
        <f>VLOOKUP(ESales_DB[[#This Row],[Customer_ID]],Ecustom_DB[],10,FALSE)</f>
        <v>Silver</v>
      </c>
      <c r="S633" t="str">
        <f>IF(ESales_DB[[#This Row],[Quantity1]]&gt;3,"Bulk order","Normal order")</f>
        <v>Bulk order</v>
      </c>
    </row>
    <row r="634" spans="1:19" x14ac:dyDescent="0.3">
      <c r="A634" t="s">
        <v>3393</v>
      </c>
      <c r="B634" s="4">
        <v>45374</v>
      </c>
      <c r="C634" s="4" t="str">
        <f>TEXT(ESales_DB[[#This Row],[Order_Date]],"mmm")</f>
        <v>Mar</v>
      </c>
      <c r="D634" t="s">
        <v>693</v>
      </c>
      <c r="E634" t="s">
        <v>1546</v>
      </c>
      <c r="F634" t="s">
        <v>1766</v>
      </c>
      <c r="G634">
        <v>1</v>
      </c>
      <c r="H634" s="10">
        <f>IF(ISBLANK(ESales_DB[[#This Row],[Quantity]]),AVERAGEIF(ESales_DB[Product_ID],ESales_DB[[#This Row],[Product_ID]],ESales_DB[Quantity]),ESales_DB[[#This Row],[Quantity]])</f>
        <v>1</v>
      </c>
      <c r="I634" s="2">
        <v>94.26</v>
      </c>
      <c r="J634">
        <v>0.18</v>
      </c>
      <c r="K634" t="s">
        <v>1826</v>
      </c>
      <c r="L634" s="2">
        <v>77.293200000000013</v>
      </c>
      <c r="M634" s="2" t="str">
        <f>IF(ESales_DB[[#This Row],[Total_Amount]]&gt;1000,"High","Low")</f>
        <v>Low</v>
      </c>
      <c r="N634" s="2" t="str">
        <f>VLOOKUP(ESales_DB[[#This Row],[Customer_ID]],Ecustom_DB[],3,FALSE)</f>
        <v>Stuart Johnson</v>
      </c>
      <c r="O634" s="2" t="str">
        <f>_xlfn.XLOOKUP(ESales_DB[[#This Row],[Product_ID]],Eproduct_DB[Product_ID],Eproduct_DB[Category])</f>
        <v>Clothing</v>
      </c>
      <c r="P634" s="2" t="str">
        <f>_xlfn.XLOOKUP(ESales_DB[[#This Row],[Product_ID]],Eproduct_DB[Product_ID],Eproduct_DB[Product_Name])</f>
        <v>Men's Graphic T-Shirt</v>
      </c>
      <c r="Q634" s="2" t="str">
        <f>_xlfn.XLOOKUP(ESales_DB[[#This Row],[Store_ID]],Estore_DB[Store_ID],Estore_DB[Region])</f>
        <v>North</v>
      </c>
      <c r="R634" t="str">
        <f>VLOOKUP(ESales_DB[[#This Row],[Customer_ID]],Ecustom_DB[],10,FALSE)</f>
        <v>Platinum</v>
      </c>
      <c r="S634" t="str">
        <f>IF(ESales_DB[[#This Row],[Quantity1]]&gt;3,"Bulk order","Normal order")</f>
        <v>Normal order</v>
      </c>
    </row>
    <row r="635" spans="1:19" x14ac:dyDescent="0.3">
      <c r="A635" t="s">
        <v>3394</v>
      </c>
      <c r="B635" s="4">
        <v>45789</v>
      </c>
      <c r="C635" s="4" t="str">
        <f>TEXT(ESales_DB[[#This Row],[Order_Date]],"mmm")</f>
        <v>May</v>
      </c>
      <c r="D635" t="s">
        <v>1292</v>
      </c>
      <c r="E635" t="s">
        <v>1557</v>
      </c>
      <c r="F635" t="s">
        <v>1789</v>
      </c>
      <c r="G635">
        <v>4</v>
      </c>
      <c r="H635" s="10">
        <f>IF(ISBLANK(ESales_DB[[#This Row],[Quantity]]),AVERAGEIF(ESales_DB[Product_ID],ESales_DB[[#This Row],[Product_ID]],ESales_DB[Quantity]),ESales_DB[[#This Row],[Quantity]])</f>
        <v>4</v>
      </c>
      <c r="I635" s="2">
        <v>458.58</v>
      </c>
      <c r="J635">
        <v>0.28999999999999998</v>
      </c>
      <c r="K635" t="s">
        <v>1829</v>
      </c>
      <c r="L635" s="2">
        <v>1302.3671999999999</v>
      </c>
      <c r="M635" s="2" t="str">
        <f>IF(ESales_DB[[#This Row],[Total_Amount]]&gt;1000,"High","Low")</f>
        <v>High</v>
      </c>
      <c r="N635" s="2" t="str">
        <f>VLOOKUP(ESales_DB[[#This Row],[Customer_ID]],Ecustom_DB[],3,FALSE)</f>
        <v>Jennifer Myers</v>
      </c>
      <c r="O635" s="2" t="str">
        <f>_xlfn.XLOOKUP(ESales_DB[[#This Row],[Product_ID]],Eproduct_DB[Product_ID],Eproduct_DB[Category])</f>
        <v>Beauty</v>
      </c>
      <c r="P635" s="2" t="str">
        <f>_xlfn.XLOOKUP(ESales_DB[[#This Row],[Product_ID]],Eproduct_DB[Product_ID],Eproduct_DB[Product_Name])</f>
        <v>Herbal Face Moisturizer</v>
      </c>
      <c r="Q635" s="2" t="str">
        <f>_xlfn.XLOOKUP(ESales_DB[[#This Row],[Store_ID]],Estore_DB[Store_ID],Estore_DB[Region])</f>
        <v>East</v>
      </c>
      <c r="R635" t="str">
        <f>VLOOKUP(ESales_DB[[#This Row],[Customer_ID]],Ecustom_DB[],10,FALSE)</f>
        <v>Platinum</v>
      </c>
      <c r="S635" t="str">
        <f>IF(ESales_DB[[#This Row],[Quantity1]]&gt;3,"Bulk order","Normal order")</f>
        <v>Bulk order</v>
      </c>
    </row>
    <row r="636" spans="1:19" x14ac:dyDescent="0.3">
      <c r="A636" t="s">
        <v>3395</v>
      </c>
      <c r="B636" s="4">
        <v>45452</v>
      </c>
      <c r="C636" s="4" t="str">
        <f>TEXT(ESales_DB[[#This Row],[Order_Date]],"mmm")</f>
        <v>Jun</v>
      </c>
      <c r="D636" t="s">
        <v>396</v>
      </c>
      <c r="E636" t="s">
        <v>1678</v>
      </c>
      <c r="F636" t="s">
        <v>1789</v>
      </c>
      <c r="G636">
        <v>4</v>
      </c>
      <c r="H636" s="10">
        <f>IF(ISBLANK(ESales_DB[[#This Row],[Quantity]]),AVERAGEIF(ESales_DB[Product_ID],ESales_DB[[#This Row],[Product_ID]],ESales_DB[Quantity]),ESales_DB[[#This Row],[Quantity]])</f>
        <v>4</v>
      </c>
      <c r="I636" s="2">
        <v>704.49</v>
      </c>
      <c r="J636">
        <v>0.05</v>
      </c>
      <c r="K636" t="s">
        <v>1829</v>
      </c>
      <c r="L636" s="2">
        <v>2677.0619999999999</v>
      </c>
      <c r="M636" s="2" t="str">
        <f>IF(ESales_DB[[#This Row],[Total_Amount]]&gt;1000,"High","Low")</f>
        <v>High</v>
      </c>
      <c r="N636" s="2" t="str">
        <f>VLOOKUP(ESales_DB[[#This Row],[Customer_ID]],Ecustom_DB[],3,FALSE)</f>
        <v>Edward Hall</v>
      </c>
      <c r="O636" s="2" t="str">
        <f>_xlfn.XLOOKUP(ESales_DB[[#This Row],[Product_ID]],Eproduct_DB[Product_ID],Eproduct_DB[Category])</f>
        <v>Sports</v>
      </c>
      <c r="P636" s="2" t="str">
        <f>_xlfn.XLOOKUP(ESales_DB[[#This Row],[Product_ID]],Eproduct_DB[Product_ID],Eproduct_DB[Product_Name])</f>
        <v>Adjustable Dumbbells 20kg</v>
      </c>
      <c r="Q636" s="2" t="str">
        <f>_xlfn.XLOOKUP(ESales_DB[[#This Row],[Store_ID]],Estore_DB[Store_ID],Estore_DB[Region])</f>
        <v>East</v>
      </c>
      <c r="R636" t="str">
        <f>VLOOKUP(ESales_DB[[#This Row],[Customer_ID]],Ecustom_DB[],10,FALSE)</f>
        <v>Gold</v>
      </c>
      <c r="S636" t="str">
        <f>IF(ESales_DB[[#This Row],[Quantity1]]&gt;3,"Bulk order","Normal order")</f>
        <v>Bulk order</v>
      </c>
    </row>
    <row r="637" spans="1:19" x14ac:dyDescent="0.3">
      <c r="A637" t="s">
        <v>1983</v>
      </c>
      <c r="B637" s="4">
        <v>45883</v>
      </c>
      <c r="C637" s="4" t="str">
        <f>TEXT(ESales_DB[[#This Row],[Order_Date]],"mmm")</f>
        <v>Aug</v>
      </c>
      <c r="D637" t="s">
        <v>347</v>
      </c>
      <c r="E637" t="s">
        <v>1658</v>
      </c>
      <c r="F637" t="s">
        <v>1773</v>
      </c>
      <c r="G637">
        <v>1</v>
      </c>
      <c r="H637" s="10">
        <f>IF(ISBLANK(ESales_DB[[#This Row],[Quantity]]),AVERAGEIF(ESales_DB[Product_ID],ESales_DB[[#This Row],[Product_ID]],ESales_DB[Quantity]),ESales_DB[[#This Row],[Quantity]])</f>
        <v>1</v>
      </c>
      <c r="I637" s="2">
        <v>83.1</v>
      </c>
      <c r="J637">
        <v>0.04</v>
      </c>
      <c r="K637" t="s">
        <v>1826</v>
      </c>
      <c r="L637" s="2">
        <v>79.775999999999996</v>
      </c>
      <c r="M637" s="2" t="str">
        <f>IF(ESales_DB[[#This Row],[Total_Amount]]&gt;1000,"High","Low")</f>
        <v>Low</v>
      </c>
      <c r="N637" s="2" t="str">
        <f>VLOOKUP(ESales_DB[[#This Row],[Customer_ID]],Ecustom_DB[],3,FALSE)</f>
        <v>David Cobb</v>
      </c>
      <c r="O637" s="2" t="str">
        <f>_xlfn.XLOOKUP(ESales_DB[[#This Row],[Product_ID]],Eproduct_DB[Product_ID],Eproduct_DB[Category])</f>
        <v>Home</v>
      </c>
      <c r="P637" s="2" t="str">
        <f>_xlfn.XLOOKUP(ESales_DB[[#This Row],[Product_ID]],Eproduct_DB[Product_ID],Eproduct_DB[Product_Name])</f>
        <v>Ceramic Plant Pot</v>
      </c>
      <c r="Q637" s="2" t="str">
        <f>_xlfn.XLOOKUP(ESales_DB[[#This Row],[Store_ID]],Estore_DB[Store_ID],Estore_DB[Region])</f>
        <v>North</v>
      </c>
      <c r="R637" t="str">
        <f>VLOOKUP(ESales_DB[[#This Row],[Customer_ID]],Ecustom_DB[],10,FALSE)</f>
        <v>Silver</v>
      </c>
      <c r="S637" t="str">
        <f>IF(ESales_DB[[#This Row],[Quantity1]]&gt;3,"Bulk order","Normal order")</f>
        <v>Normal order</v>
      </c>
    </row>
    <row r="638" spans="1:19" x14ac:dyDescent="0.3">
      <c r="A638" t="s">
        <v>3396</v>
      </c>
      <c r="B638" s="4">
        <v>45284</v>
      </c>
      <c r="C638" s="4" t="str">
        <f>TEXT(ESales_DB[[#This Row],[Order_Date]],"mmm")</f>
        <v>Dec</v>
      </c>
      <c r="D638" t="s">
        <v>130</v>
      </c>
      <c r="E638" t="s">
        <v>1602</v>
      </c>
      <c r="F638" t="s">
        <v>1813</v>
      </c>
      <c r="G638">
        <v>4</v>
      </c>
      <c r="H638" s="10">
        <f>IF(ISBLANK(ESales_DB[[#This Row],[Quantity]]),AVERAGEIF(ESales_DB[Product_ID],ESales_DB[[#This Row],[Product_ID]],ESales_DB[Quantity]),ESales_DB[[#This Row],[Quantity]])</f>
        <v>4</v>
      </c>
      <c r="I638" s="2">
        <v>822.32</v>
      </c>
      <c r="J638">
        <v>0.26</v>
      </c>
      <c r="K638" t="s">
        <v>1826</v>
      </c>
      <c r="L638" s="2">
        <v>2434.0672</v>
      </c>
      <c r="M638" s="2" t="str">
        <f>IF(ESales_DB[[#This Row],[Total_Amount]]&gt;1000,"High","Low")</f>
        <v>High</v>
      </c>
      <c r="N638" s="2" t="str">
        <f>VLOOKUP(ESales_DB[[#This Row],[Customer_ID]],Ecustom_DB[],3,FALSE)</f>
        <v>Mike Jennings</v>
      </c>
      <c r="O638" s="2" t="str">
        <f>_xlfn.XLOOKUP(ESales_DB[[#This Row],[Product_ID]],Eproduct_DB[Product_ID],Eproduct_DB[Category])</f>
        <v>Home</v>
      </c>
      <c r="P638" s="2" t="str">
        <f>_xlfn.XLOOKUP(ESales_DB[[#This Row],[Product_ID]],Eproduct_DB[Product_ID],Eproduct_DB[Product_Name])</f>
        <v>Decorative Floor Vase</v>
      </c>
      <c r="Q638" s="2" t="str">
        <f>_xlfn.XLOOKUP(ESales_DB[[#This Row],[Store_ID]],Estore_DB[Store_ID],Estore_DB[Region])</f>
        <v>East</v>
      </c>
      <c r="R638" t="str">
        <f>VLOOKUP(ESales_DB[[#This Row],[Customer_ID]],Ecustom_DB[],10,FALSE)</f>
        <v>Gold</v>
      </c>
      <c r="S638" t="str">
        <f>IF(ESales_DB[[#This Row],[Quantity1]]&gt;3,"Bulk order","Normal order")</f>
        <v>Bulk order</v>
      </c>
    </row>
    <row r="639" spans="1:19" x14ac:dyDescent="0.3">
      <c r="A639" t="s">
        <v>3397</v>
      </c>
      <c r="B639" s="4">
        <v>45325</v>
      </c>
      <c r="C639" s="4" t="str">
        <f>TEXT(ESales_DB[[#This Row],[Order_Date]],"mmm")</f>
        <v>Feb</v>
      </c>
      <c r="D639" t="s">
        <v>785</v>
      </c>
      <c r="E639" t="s">
        <v>1551</v>
      </c>
      <c r="F639" t="s">
        <v>1797</v>
      </c>
      <c r="G639">
        <v>4</v>
      </c>
      <c r="H639" s="10">
        <f>IF(ISBLANK(ESales_DB[[#This Row],[Quantity]]),AVERAGEIF(ESales_DB[Product_ID],ESales_DB[[#This Row],[Product_ID]],ESales_DB[Quantity]),ESales_DB[[#This Row],[Quantity]])</f>
        <v>4</v>
      </c>
      <c r="I639" s="2">
        <v>785.41</v>
      </c>
      <c r="J639">
        <v>0.13</v>
      </c>
      <c r="K639" t="s">
        <v>1829</v>
      </c>
      <c r="L639" s="2">
        <v>2733.2267999999999</v>
      </c>
      <c r="M639" s="2" t="str">
        <f>IF(ESales_DB[[#This Row],[Total_Amount]]&gt;1000,"High","Low")</f>
        <v>High</v>
      </c>
      <c r="N639" s="2" t="str">
        <f>VLOOKUP(ESales_DB[[#This Row],[Customer_ID]],Ecustom_DB[],3,FALSE)</f>
        <v>Laura Soto</v>
      </c>
      <c r="O639" s="2" t="str">
        <f>_xlfn.XLOOKUP(ESales_DB[[#This Row],[Product_ID]],Eproduct_DB[Product_ID],Eproduct_DB[Category])</f>
        <v>Clothing</v>
      </c>
      <c r="P639" s="2" t="str">
        <f>_xlfn.XLOOKUP(ESales_DB[[#This Row],[Product_ID]],Eproduct_DB[Product_ID],Eproduct_DB[Product_Name])</f>
        <v>Men's Running Jacket</v>
      </c>
      <c r="Q639" s="2" t="str">
        <f>_xlfn.XLOOKUP(ESales_DB[[#This Row],[Store_ID]],Estore_DB[Store_ID],Estore_DB[Region])</f>
        <v>East</v>
      </c>
      <c r="R639" t="str">
        <f>VLOOKUP(ESales_DB[[#This Row],[Customer_ID]],Ecustom_DB[],10,FALSE)</f>
        <v>Platinum</v>
      </c>
      <c r="S639" t="str">
        <f>IF(ESales_DB[[#This Row],[Quantity1]]&gt;3,"Bulk order","Normal order")</f>
        <v>Bulk order</v>
      </c>
    </row>
    <row r="640" spans="1:19" x14ac:dyDescent="0.3">
      <c r="A640" t="s">
        <v>3398</v>
      </c>
      <c r="B640" s="4">
        <v>45465</v>
      </c>
      <c r="C640" s="4" t="str">
        <f>TEXT(ESales_DB[[#This Row],[Order_Date]],"mmm")</f>
        <v>Jun</v>
      </c>
      <c r="D640" t="s">
        <v>127</v>
      </c>
      <c r="E640" t="s">
        <v>1626</v>
      </c>
      <c r="F640" t="s">
        <v>1799</v>
      </c>
      <c r="G640">
        <v>1</v>
      </c>
      <c r="H640" s="10">
        <f>IF(ISBLANK(ESales_DB[[#This Row],[Quantity]]),AVERAGEIF(ESales_DB[Product_ID],ESales_DB[[#This Row],[Product_ID]],ESales_DB[Quantity]),ESales_DB[[#This Row],[Quantity]])</f>
        <v>1</v>
      </c>
      <c r="I640" s="2">
        <v>405.8</v>
      </c>
      <c r="J640">
        <v>0.11</v>
      </c>
      <c r="K640" t="s">
        <v>1826</v>
      </c>
      <c r="L640" s="2">
        <v>361.16199999999998</v>
      </c>
      <c r="M640" s="2" t="str">
        <f>IF(ESales_DB[[#This Row],[Total_Amount]]&gt;1000,"High","Low")</f>
        <v>Low</v>
      </c>
      <c r="N640" s="2" t="str">
        <f>VLOOKUP(ESales_DB[[#This Row],[Customer_ID]],Ecustom_DB[],3,FALSE)</f>
        <v>Sarah Vance</v>
      </c>
      <c r="O640" s="2" t="str">
        <f>_xlfn.XLOOKUP(ESales_DB[[#This Row],[Product_ID]],Eproduct_DB[Product_ID],Eproduct_DB[Category])</f>
        <v>Electronics</v>
      </c>
      <c r="P640" s="2" t="str">
        <f>_xlfn.XLOOKUP(ESales_DB[[#This Row],[Product_ID]],Eproduct_DB[Product_ID],Eproduct_DB[Product_Name])</f>
        <v>Portable Power Bank</v>
      </c>
      <c r="Q640" s="2" t="str">
        <f>_xlfn.XLOOKUP(ESales_DB[[#This Row],[Store_ID]],Estore_DB[Store_ID],Estore_DB[Region])</f>
        <v>South</v>
      </c>
      <c r="R640" t="str">
        <f>VLOOKUP(ESales_DB[[#This Row],[Customer_ID]],Ecustom_DB[],10,FALSE)</f>
        <v>Silver</v>
      </c>
      <c r="S640" t="str">
        <f>IF(ESales_DB[[#This Row],[Quantity1]]&gt;3,"Bulk order","Normal order")</f>
        <v>Normal order</v>
      </c>
    </row>
    <row r="641" spans="1:19" x14ac:dyDescent="0.3">
      <c r="A641" t="s">
        <v>3399</v>
      </c>
      <c r="B641" s="4">
        <v>45612</v>
      </c>
      <c r="C641" s="4" t="str">
        <f>TEXT(ESales_DB[[#This Row],[Order_Date]],"mmm")</f>
        <v>Nov</v>
      </c>
      <c r="D641" t="s">
        <v>1343</v>
      </c>
      <c r="E641" t="s">
        <v>1730</v>
      </c>
      <c r="F641" t="s">
        <v>1786</v>
      </c>
      <c r="G641">
        <v>2</v>
      </c>
      <c r="H641" s="10">
        <f>IF(ISBLANK(ESales_DB[[#This Row],[Quantity]]),AVERAGEIF(ESales_DB[Product_ID],ESales_DB[[#This Row],[Product_ID]],ESales_DB[Quantity]),ESales_DB[[#This Row],[Quantity]])</f>
        <v>2</v>
      </c>
      <c r="I641" s="2">
        <v>976.83</v>
      </c>
      <c r="J641">
        <v>0.1</v>
      </c>
      <c r="K641" t="s">
        <v>1826</v>
      </c>
      <c r="L641" s="2">
        <v>1758.2940000000001</v>
      </c>
      <c r="M641" s="2" t="str">
        <f>IF(ESales_DB[[#This Row],[Total_Amount]]&gt;1000,"High","Low")</f>
        <v>High</v>
      </c>
      <c r="N641" s="2" t="str">
        <f>VLOOKUP(ESales_DB[[#This Row],[Customer_ID]],Ecustom_DB[],3,FALSE)</f>
        <v>Thomas Moore</v>
      </c>
      <c r="O641" s="2" t="str">
        <f>_xlfn.XLOOKUP(ESales_DB[[#This Row],[Product_ID]],Eproduct_DB[Product_ID],Eproduct_DB[Category])</f>
        <v>Clothing</v>
      </c>
      <c r="P641" s="2" t="str">
        <f>_xlfn.XLOOKUP(ESales_DB[[#This Row],[Product_ID]],Eproduct_DB[Product_ID],Eproduct_DB[Product_Name])</f>
        <v>Women's High Heels</v>
      </c>
      <c r="Q641" s="2" t="str">
        <f>_xlfn.XLOOKUP(ESales_DB[[#This Row],[Store_ID]],Estore_DB[Store_ID],Estore_DB[Region])</f>
        <v>South</v>
      </c>
      <c r="R641" t="str">
        <f>VLOOKUP(ESales_DB[[#This Row],[Customer_ID]],Ecustom_DB[],10,FALSE)</f>
        <v>Silver</v>
      </c>
      <c r="S641" t="str">
        <f>IF(ESales_DB[[#This Row],[Quantity1]]&gt;3,"Bulk order","Normal order")</f>
        <v>Normal order</v>
      </c>
    </row>
    <row r="642" spans="1:19" x14ac:dyDescent="0.3">
      <c r="A642" t="s">
        <v>3400</v>
      </c>
      <c r="B642" s="4">
        <v>45472</v>
      </c>
      <c r="C642" s="4" t="str">
        <f>TEXT(ESales_DB[[#This Row],[Order_Date]],"mmm")</f>
        <v>Jun</v>
      </c>
      <c r="D642" t="s">
        <v>869</v>
      </c>
      <c r="E642" t="s">
        <v>1676</v>
      </c>
      <c r="F642" t="s">
        <v>1761</v>
      </c>
      <c r="G642">
        <v>1</v>
      </c>
      <c r="H642" s="10">
        <f>IF(ISBLANK(ESales_DB[[#This Row],[Quantity]]),AVERAGEIF(ESales_DB[Product_ID],ESales_DB[[#This Row],[Product_ID]],ESales_DB[Quantity]),ESales_DB[[#This Row],[Quantity]])</f>
        <v>1</v>
      </c>
      <c r="I642" s="2">
        <v>644.15</v>
      </c>
      <c r="J642">
        <v>0.06</v>
      </c>
      <c r="K642" t="s">
        <v>1824</v>
      </c>
      <c r="L642" s="2">
        <v>605.50099999999998</v>
      </c>
      <c r="M642" s="2" t="str">
        <f>IF(ESales_DB[[#This Row],[Total_Amount]]&gt;1000,"High","Low")</f>
        <v>Low</v>
      </c>
      <c r="N642" s="2" t="str">
        <f>VLOOKUP(ESales_DB[[#This Row],[Customer_ID]],Ecustom_DB[],3,FALSE)</f>
        <v>Samantha Robinson</v>
      </c>
      <c r="O642" s="2" t="str">
        <f>_xlfn.XLOOKUP(ESales_DB[[#This Row],[Product_ID]],Eproduct_DB[Product_ID],Eproduct_DB[Category])</f>
        <v>Beauty</v>
      </c>
      <c r="P642" s="2" t="str">
        <f>_xlfn.XLOOKUP(ESales_DB[[#This Row],[Product_ID]],Eproduct_DB[Product_ID],Eproduct_DB[Product_Name])</f>
        <v>Matte Lipstick Set</v>
      </c>
      <c r="Q642" s="2" t="str">
        <f>_xlfn.XLOOKUP(ESales_DB[[#This Row],[Store_ID]],Estore_DB[Store_ID],Estore_DB[Region])</f>
        <v>South</v>
      </c>
      <c r="R642" t="str">
        <f>VLOOKUP(ESales_DB[[#This Row],[Customer_ID]],Ecustom_DB[],10,FALSE)</f>
        <v>Bronze</v>
      </c>
      <c r="S642" t="str">
        <f>IF(ESales_DB[[#This Row],[Quantity1]]&gt;3,"Bulk order","Normal order")</f>
        <v>Normal order</v>
      </c>
    </row>
    <row r="643" spans="1:19" x14ac:dyDescent="0.3">
      <c r="A643" t="s">
        <v>3401</v>
      </c>
      <c r="B643" s="4">
        <v>45897</v>
      </c>
      <c r="C643" s="4" t="str">
        <f>TEXT(ESales_DB[[#This Row],[Order_Date]],"mmm")</f>
        <v>Aug</v>
      </c>
      <c r="D643" t="s">
        <v>1059</v>
      </c>
      <c r="E643" t="s">
        <v>1682</v>
      </c>
      <c r="F643" t="s">
        <v>1797</v>
      </c>
      <c r="G643">
        <v>1</v>
      </c>
      <c r="H643" s="10">
        <f>IF(ISBLANK(ESales_DB[[#This Row],[Quantity]]),AVERAGEIF(ESales_DB[Product_ID],ESales_DB[[#This Row],[Product_ID]],ESales_DB[Quantity]),ESales_DB[[#This Row],[Quantity]])</f>
        <v>1</v>
      </c>
      <c r="I643" s="2">
        <v>470.55</v>
      </c>
      <c r="J643">
        <v>0.23</v>
      </c>
      <c r="K643" t="s">
        <v>1826</v>
      </c>
      <c r="L643" s="2">
        <v>362.32350000000002</v>
      </c>
      <c r="M643" s="2" t="str">
        <f>IF(ESales_DB[[#This Row],[Total_Amount]]&gt;1000,"High","Low")</f>
        <v>Low</v>
      </c>
      <c r="N643" s="2" t="str">
        <f>VLOOKUP(ESales_DB[[#This Row],[Customer_ID]],Ecustom_DB[],3,FALSE)</f>
        <v>Carol Lewis</v>
      </c>
      <c r="O643" s="2" t="str">
        <f>_xlfn.XLOOKUP(ESales_DB[[#This Row],[Product_ID]],Eproduct_DB[Product_ID],Eproduct_DB[Category])</f>
        <v>Electronics</v>
      </c>
      <c r="P643" s="2" t="str">
        <f>_xlfn.XLOOKUP(ESales_DB[[#This Row],[Product_ID]],Eproduct_DB[Product_ID],Eproduct_DB[Product_Name])</f>
        <v>Smart LED Light Strip</v>
      </c>
      <c r="Q643" s="2" t="str">
        <f>_xlfn.XLOOKUP(ESales_DB[[#This Row],[Store_ID]],Estore_DB[Store_ID],Estore_DB[Region])</f>
        <v>East</v>
      </c>
      <c r="R643" t="str">
        <f>VLOOKUP(ESales_DB[[#This Row],[Customer_ID]],Ecustom_DB[],10,FALSE)</f>
        <v>Bronze</v>
      </c>
      <c r="S643" t="str">
        <f>IF(ESales_DB[[#This Row],[Quantity1]]&gt;3,"Bulk order","Normal order")</f>
        <v>Normal order</v>
      </c>
    </row>
    <row r="644" spans="1:19" x14ac:dyDescent="0.3">
      <c r="A644" t="s">
        <v>3402</v>
      </c>
      <c r="B644" s="4">
        <v>45241</v>
      </c>
      <c r="C644" s="4" t="str">
        <f>TEXT(ESales_DB[[#This Row],[Order_Date]],"mmm")</f>
        <v>Nov</v>
      </c>
      <c r="D644" t="s">
        <v>1472</v>
      </c>
      <c r="E644" t="s">
        <v>1560</v>
      </c>
      <c r="F644" t="s">
        <v>1776</v>
      </c>
      <c r="G644">
        <v>3</v>
      </c>
      <c r="H644" s="10">
        <f>IF(ISBLANK(ESales_DB[[#This Row],[Quantity]]),AVERAGEIF(ESales_DB[Product_ID],ESales_DB[[#This Row],[Product_ID]],ESales_DB[Quantity]),ESales_DB[[#This Row],[Quantity]])</f>
        <v>3</v>
      </c>
      <c r="I644" s="2">
        <v>598.82000000000005</v>
      </c>
      <c r="J644">
        <v>0.19</v>
      </c>
      <c r="K644" t="s">
        <v>1829</v>
      </c>
      <c r="L644" s="2">
        <v>1455.1325999999999</v>
      </c>
      <c r="M644" s="2" t="str">
        <f>IF(ESales_DB[[#This Row],[Total_Amount]]&gt;1000,"High","Low")</f>
        <v>High</v>
      </c>
      <c r="N644" s="2" t="str">
        <f>VLOOKUP(ESales_DB[[#This Row],[Customer_ID]],Ecustom_DB[],3,FALSE)</f>
        <v>Earl Smith Dds</v>
      </c>
      <c r="O644" s="2" t="str">
        <f>_xlfn.XLOOKUP(ESales_DB[[#This Row],[Product_ID]],Eproduct_DB[Product_ID],Eproduct_DB[Category])</f>
        <v>Home</v>
      </c>
      <c r="P644" s="2" t="str">
        <f>_xlfn.XLOOKUP(ESales_DB[[#This Row],[Product_ID]],Eproduct_DB[Product_ID],Eproduct_DB[Product_Name])</f>
        <v>LED Table Lamp</v>
      </c>
      <c r="Q644" s="2" t="str">
        <f>_xlfn.XLOOKUP(ESales_DB[[#This Row],[Store_ID]],Estore_DB[Store_ID],Estore_DB[Region])</f>
        <v>East</v>
      </c>
      <c r="R644" t="str">
        <f>VLOOKUP(ESales_DB[[#This Row],[Customer_ID]],Ecustom_DB[],10,FALSE)</f>
        <v>Gold</v>
      </c>
      <c r="S644" t="str">
        <f>IF(ESales_DB[[#This Row],[Quantity1]]&gt;3,"Bulk order","Normal order")</f>
        <v>Normal order</v>
      </c>
    </row>
    <row r="645" spans="1:19" x14ac:dyDescent="0.3">
      <c r="A645" t="s">
        <v>3403</v>
      </c>
      <c r="B645" s="4">
        <v>45851</v>
      </c>
      <c r="C645" s="4" t="str">
        <f>TEXT(ESales_DB[[#This Row],[Order_Date]],"mmm")</f>
        <v>Jul</v>
      </c>
      <c r="D645" t="s">
        <v>360</v>
      </c>
      <c r="E645" t="s">
        <v>1588</v>
      </c>
      <c r="F645" t="s">
        <v>1794</v>
      </c>
      <c r="G645">
        <v>4</v>
      </c>
      <c r="H645" s="10">
        <f>IF(ISBLANK(ESales_DB[[#This Row],[Quantity]]),AVERAGEIF(ESales_DB[Product_ID],ESales_DB[[#This Row],[Product_ID]],ESales_DB[Quantity]),ESales_DB[[#This Row],[Quantity]])</f>
        <v>4</v>
      </c>
      <c r="I645" s="2">
        <v>659.17</v>
      </c>
      <c r="J645">
        <v>0.12</v>
      </c>
      <c r="K645" t="s">
        <v>1824</v>
      </c>
      <c r="L645" s="2">
        <v>2320.2784000000001</v>
      </c>
      <c r="M645" s="2" t="str">
        <f>IF(ESales_DB[[#This Row],[Total_Amount]]&gt;1000,"High","Low")</f>
        <v>High</v>
      </c>
      <c r="N645" s="2" t="str">
        <f>VLOOKUP(ESales_DB[[#This Row],[Customer_ID]],Ecustom_DB[],3,FALSE)</f>
        <v>Colleen Maynard</v>
      </c>
      <c r="O645" s="2" t="str">
        <f>_xlfn.XLOOKUP(ESales_DB[[#This Row],[Product_ID]],Eproduct_DB[Product_ID],Eproduct_DB[Category])</f>
        <v>Sports</v>
      </c>
      <c r="P645" s="2" t="str">
        <f>_xlfn.XLOOKUP(ESales_DB[[#This Row],[Product_ID]],Eproduct_DB[Product_ID],Eproduct_DB[Product_Name])</f>
        <v>Outdoor Sports Water Bottle</v>
      </c>
      <c r="Q645" s="2" t="str">
        <f>_xlfn.XLOOKUP(ESales_DB[[#This Row],[Store_ID]],Estore_DB[Store_ID],Estore_DB[Region])</f>
        <v>North</v>
      </c>
      <c r="R645" t="str">
        <f>VLOOKUP(ESales_DB[[#This Row],[Customer_ID]],Ecustom_DB[],10,FALSE)</f>
        <v>Gold</v>
      </c>
      <c r="S645" t="str">
        <f>IF(ESales_DB[[#This Row],[Quantity1]]&gt;3,"Bulk order","Normal order")</f>
        <v>Bulk order</v>
      </c>
    </row>
    <row r="646" spans="1:19" x14ac:dyDescent="0.3">
      <c r="A646" t="s">
        <v>3404</v>
      </c>
      <c r="B646" s="4">
        <v>45572</v>
      </c>
      <c r="C646" s="4" t="str">
        <f>TEXT(ESales_DB[[#This Row],[Order_Date]],"mmm")</f>
        <v>Oct</v>
      </c>
      <c r="D646" t="s">
        <v>369</v>
      </c>
      <c r="E646" t="s">
        <v>1640</v>
      </c>
      <c r="F646" t="s">
        <v>1757</v>
      </c>
      <c r="G646">
        <v>2</v>
      </c>
      <c r="H646" s="10">
        <f>IF(ISBLANK(ESales_DB[[#This Row],[Quantity]]),AVERAGEIF(ESales_DB[Product_ID],ESales_DB[[#This Row],[Product_ID]],ESales_DB[Quantity]),ESales_DB[[#This Row],[Quantity]])</f>
        <v>2</v>
      </c>
      <c r="I646" s="2">
        <v>216.02</v>
      </c>
      <c r="J646">
        <v>0.25</v>
      </c>
      <c r="K646" t="s">
        <v>1824</v>
      </c>
      <c r="L646" s="2">
        <v>324.02999999999997</v>
      </c>
      <c r="M646" s="2" t="str">
        <f>IF(ESales_DB[[#This Row],[Total_Amount]]&gt;1000,"High","Low")</f>
        <v>Low</v>
      </c>
      <c r="N646" s="2" t="str">
        <f>VLOOKUP(ESales_DB[[#This Row],[Customer_ID]],Ecustom_DB[],3,FALSE)</f>
        <v>Christopher Lester</v>
      </c>
      <c r="O646" s="2" t="str">
        <f>_xlfn.XLOOKUP(ESales_DB[[#This Row],[Product_ID]],Eproduct_DB[Product_ID],Eproduct_DB[Category])</f>
        <v>Clothing</v>
      </c>
      <c r="P646" s="2" t="str">
        <f>_xlfn.XLOOKUP(ESales_DB[[#This Row],[Product_ID]],Eproduct_DB[Product_ID],Eproduct_DB[Product_Name])</f>
        <v>Men's Winter Jacket</v>
      </c>
      <c r="Q646" s="2" t="str">
        <f>_xlfn.XLOOKUP(ESales_DB[[#This Row],[Store_ID]],Estore_DB[Store_ID],Estore_DB[Region])</f>
        <v>North</v>
      </c>
      <c r="R646" t="str">
        <f>VLOOKUP(ESales_DB[[#This Row],[Customer_ID]],Ecustom_DB[],10,FALSE)</f>
        <v>Silver</v>
      </c>
      <c r="S646" t="str">
        <f>IF(ESales_DB[[#This Row],[Quantity1]]&gt;3,"Bulk order","Normal order")</f>
        <v>Normal order</v>
      </c>
    </row>
    <row r="647" spans="1:19" x14ac:dyDescent="0.3">
      <c r="A647" t="s">
        <v>3405</v>
      </c>
      <c r="B647" s="4">
        <v>45774</v>
      </c>
      <c r="C647" s="4" t="str">
        <f>TEXT(ESales_DB[[#This Row],[Order_Date]],"mmm")</f>
        <v>Apr</v>
      </c>
      <c r="D647" t="s">
        <v>124</v>
      </c>
      <c r="E647" t="s">
        <v>1610</v>
      </c>
      <c r="F647" t="s">
        <v>1789</v>
      </c>
      <c r="G647">
        <v>2</v>
      </c>
      <c r="H647" s="10">
        <f>IF(ISBLANK(ESales_DB[[#This Row],[Quantity]]),AVERAGEIF(ESales_DB[Product_ID],ESales_DB[[#This Row],[Product_ID]],ESales_DB[Quantity]),ESales_DB[[#This Row],[Quantity]])</f>
        <v>2</v>
      </c>
      <c r="I647" s="2">
        <v>613.47</v>
      </c>
      <c r="J647">
        <v>0.02</v>
      </c>
      <c r="K647" t="s">
        <v>1826</v>
      </c>
      <c r="L647" s="2">
        <v>1202.4012</v>
      </c>
      <c r="M647" s="2" t="str">
        <f>IF(ESales_DB[[#This Row],[Total_Amount]]&gt;1000,"High","Low")</f>
        <v>High</v>
      </c>
      <c r="N647" s="2" t="str">
        <f>VLOOKUP(ESales_DB[[#This Row],[Customer_ID]],Ecustom_DB[],3,FALSE)</f>
        <v>Jessica Acevedo</v>
      </c>
      <c r="O647" s="2" t="str">
        <f>_xlfn.XLOOKUP(ESales_DB[[#This Row],[Product_ID]],Eproduct_DB[Product_ID],Eproduct_DB[Category])</f>
        <v>Sports</v>
      </c>
      <c r="P647" s="2" t="str">
        <f>_xlfn.XLOOKUP(ESales_DB[[#This Row],[Product_ID]],Eproduct_DB[Product_ID],Eproduct_DB[Product_Name])</f>
        <v>Basketball</v>
      </c>
      <c r="Q647" s="2" t="str">
        <f>_xlfn.XLOOKUP(ESales_DB[[#This Row],[Store_ID]],Estore_DB[Store_ID],Estore_DB[Region])</f>
        <v>East</v>
      </c>
      <c r="R647" t="str">
        <f>VLOOKUP(ESales_DB[[#This Row],[Customer_ID]],Ecustom_DB[],10,FALSE)</f>
        <v>Bronze</v>
      </c>
      <c r="S647" t="str">
        <f>IF(ESales_DB[[#This Row],[Quantity1]]&gt;3,"Bulk order","Normal order")</f>
        <v>Normal order</v>
      </c>
    </row>
    <row r="648" spans="1:19" x14ac:dyDescent="0.3">
      <c r="A648" t="s">
        <v>1984</v>
      </c>
      <c r="B648" s="4">
        <v>45601</v>
      </c>
      <c r="C648" s="4" t="str">
        <f>TEXT(ESales_DB[[#This Row],[Order_Date]],"mmm")</f>
        <v>Nov</v>
      </c>
      <c r="D648" t="s">
        <v>1154</v>
      </c>
      <c r="E648" t="s">
        <v>1604</v>
      </c>
      <c r="F648" t="s">
        <v>1792</v>
      </c>
      <c r="G648">
        <v>2</v>
      </c>
      <c r="H648" s="10">
        <f>IF(ISBLANK(ESales_DB[[#This Row],[Quantity]]),AVERAGEIF(ESales_DB[Product_ID],ESales_DB[[#This Row],[Product_ID]],ESales_DB[Quantity]),ESales_DB[[#This Row],[Quantity]])</f>
        <v>2</v>
      </c>
      <c r="I648" s="2">
        <v>60.98</v>
      </c>
      <c r="J648">
        <v>0.23</v>
      </c>
      <c r="K648" t="s">
        <v>1826</v>
      </c>
      <c r="L648" s="2">
        <v>93.909199999999998</v>
      </c>
      <c r="M648" s="2" t="str">
        <f>IF(ESales_DB[[#This Row],[Total_Amount]]&gt;1000,"High","Low")</f>
        <v>Low</v>
      </c>
      <c r="N648" s="2" t="str">
        <f>VLOOKUP(ESales_DB[[#This Row],[Customer_ID]],Ecustom_DB[],3,FALSE)</f>
        <v>Gregory Allen</v>
      </c>
      <c r="O648" s="2" t="str">
        <f>_xlfn.XLOOKUP(ESales_DB[[#This Row],[Product_ID]],Eproduct_DB[Product_ID],Eproduct_DB[Category])</f>
        <v>Sports</v>
      </c>
      <c r="P648" s="2" t="str">
        <f>_xlfn.XLOOKUP(ESales_DB[[#This Row],[Product_ID]],Eproduct_DB[Product_ID],Eproduct_DB[Product_Name])</f>
        <v>Sports Stopwatch Timer</v>
      </c>
      <c r="Q648" s="2" t="str">
        <f>_xlfn.XLOOKUP(ESales_DB[[#This Row],[Store_ID]],Estore_DB[Store_ID],Estore_DB[Region])</f>
        <v>South</v>
      </c>
      <c r="R648" t="str">
        <f>VLOOKUP(ESales_DB[[#This Row],[Customer_ID]],Ecustom_DB[],10,FALSE)</f>
        <v>Platinum</v>
      </c>
      <c r="S648" t="str">
        <f>IF(ESales_DB[[#This Row],[Quantity1]]&gt;3,"Bulk order","Normal order")</f>
        <v>Normal order</v>
      </c>
    </row>
    <row r="649" spans="1:19" x14ac:dyDescent="0.3">
      <c r="A649" t="s">
        <v>3406</v>
      </c>
      <c r="B649" s="4">
        <v>45921</v>
      </c>
      <c r="C649" s="4" t="str">
        <f>TEXT(ESales_DB[[#This Row],[Order_Date]],"mmm")</f>
        <v>Sep</v>
      </c>
      <c r="D649" t="s">
        <v>350</v>
      </c>
      <c r="E649" t="s">
        <v>1664</v>
      </c>
      <c r="F649" t="s">
        <v>1794</v>
      </c>
      <c r="G649">
        <v>2</v>
      </c>
      <c r="H649" s="10">
        <f>IF(ISBLANK(ESales_DB[[#This Row],[Quantity]]),AVERAGEIF(ESales_DB[Product_ID],ESales_DB[[#This Row],[Product_ID]],ESales_DB[Quantity]),ESales_DB[[#This Row],[Quantity]])</f>
        <v>2</v>
      </c>
      <c r="I649" s="2">
        <v>485.17</v>
      </c>
      <c r="J649">
        <v>0.11</v>
      </c>
      <c r="K649" t="s">
        <v>1826</v>
      </c>
      <c r="L649" s="2">
        <v>863.60260000000005</v>
      </c>
      <c r="M649" s="2" t="str">
        <f>IF(ESales_DB[[#This Row],[Total_Amount]]&gt;1000,"High","Low")</f>
        <v>Low</v>
      </c>
      <c r="N649" s="2" t="str">
        <f>VLOOKUP(ESales_DB[[#This Row],[Customer_ID]],Ecustom_DB[],3,FALSE)</f>
        <v>Brittney Morgan</v>
      </c>
      <c r="O649" s="2" t="str">
        <f>_xlfn.XLOOKUP(ESales_DB[[#This Row],[Product_ID]],Eproduct_DB[Product_ID],Eproduct_DB[Category])</f>
        <v>Clothing</v>
      </c>
      <c r="P649" s="2" t="str">
        <f>_xlfn.XLOOKUP(ESales_DB[[#This Row],[Product_ID]],Eproduct_DB[Product_ID],Eproduct_DB[Product_Name])</f>
        <v>Womens Cotton Scarf</v>
      </c>
      <c r="Q649" s="2" t="str">
        <f>_xlfn.XLOOKUP(ESales_DB[[#This Row],[Store_ID]],Estore_DB[Store_ID],Estore_DB[Region])</f>
        <v>North</v>
      </c>
      <c r="R649" t="str">
        <f>VLOOKUP(ESales_DB[[#This Row],[Customer_ID]],Ecustom_DB[],10,FALSE)</f>
        <v>Gold</v>
      </c>
      <c r="S649" t="str">
        <f>IF(ESales_DB[[#This Row],[Quantity1]]&gt;3,"Bulk order","Normal order")</f>
        <v>Normal order</v>
      </c>
    </row>
    <row r="650" spans="1:19" x14ac:dyDescent="0.3">
      <c r="A650" t="s">
        <v>3407</v>
      </c>
      <c r="B650" s="4">
        <v>45268</v>
      </c>
      <c r="C650" s="4" t="str">
        <f>TEXT(ESales_DB[[#This Row],[Order_Date]],"mmm")</f>
        <v>Dec</v>
      </c>
      <c r="D650" t="s">
        <v>969</v>
      </c>
      <c r="E650" t="s">
        <v>1640</v>
      </c>
      <c r="F650" t="s">
        <v>1789</v>
      </c>
      <c r="G650">
        <v>1</v>
      </c>
      <c r="H650" s="10">
        <f>IF(ISBLANK(ESales_DB[[#This Row],[Quantity]]),AVERAGEIF(ESales_DB[Product_ID],ESales_DB[[#This Row],[Product_ID]],ESales_DB[Quantity]),ESales_DB[[#This Row],[Quantity]])</f>
        <v>1</v>
      </c>
      <c r="I650" s="2">
        <v>209.7</v>
      </c>
      <c r="J650">
        <v>0.2</v>
      </c>
      <c r="K650" t="s">
        <v>1826</v>
      </c>
      <c r="L650" s="2">
        <v>167.76</v>
      </c>
      <c r="M650" s="2" t="str">
        <f>IF(ESales_DB[[#This Row],[Total_Amount]]&gt;1000,"High","Low")</f>
        <v>Low</v>
      </c>
      <c r="N650" s="2" t="str">
        <f>VLOOKUP(ESales_DB[[#This Row],[Customer_ID]],Ecustom_DB[],3,FALSE)</f>
        <v>Brandy Thompson</v>
      </c>
      <c r="O650" s="2" t="str">
        <f>_xlfn.XLOOKUP(ESales_DB[[#This Row],[Product_ID]],Eproduct_DB[Product_ID],Eproduct_DB[Category])</f>
        <v>Clothing</v>
      </c>
      <c r="P650" s="2" t="str">
        <f>_xlfn.XLOOKUP(ESales_DB[[#This Row],[Product_ID]],Eproduct_DB[Product_ID],Eproduct_DB[Product_Name])</f>
        <v>Men's Winter Jacket</v>
      </c>
      <c r="Q650" s="2" t="str">
        <f>_xlfn.XLOOKUP(ESales_DB[[#This Row],[Store_ID]],Estore_DB[Store_ID],Estore_DB[Region])</f>
        <v>East</v>
      </c>
      <c r="R650" t="str">
        <f>VLOOKUP(ESales_DB[[#This Row],[Customer_ID]],Ecustom_DB[],10,FALSE)</f>
        <v>Bronze</v>
      </c>
      <c r="S650" t="str">
        <f>IF(ESales_DB[[#This Row],[Quantity1]]&gt;3,"Bulk order","Normal order")</f>
        <v>Normal order</v>
      </c>
    </row>
    <row r="651" spans="1:19" x14ac:dyDescent="0.3">
      <c r="A651" t="s">
        <v>3408</v>
      </c>
      <c r="B651" s="4">
        <v>45402</v>
      </c>
      <c r="C651" s="4" t="str">
        <f>TEXT(ESales_DB[[#This Row],[Order_Date]],"mmm")</f>
        <v>Apr</v>
      </c>
      <c r="D651" t="s">
        <v>1026</v>
      </c>
      <c r="E651" t="s">
        <v>1732</v>
      </c>
      <c r="F651" t="s">
        <v>1752</v>
      </c>
      <c r="G651">
        <v>1</v>
      </c>
      <c r="H651" s="10">
        <f>IF(ISBLANK(ESales_DB[[#This Row],[Quantity]]),AVERAGEIF(ESales_DB[Product_ID],ESales_DB[[#This Row],[Product_ID]],ESales_DB[Quantity]),ESales_DB[[#This Row],[Quantity]])</f>
        <v>1</v>
      </c>
      <c r="I651" s="2">
        <v>681.47</v>
      </c>
      <c r="J651">
        <v>0.15</v>
      </c>
      <c r="K651" t="s">
        <v>1824</v>
      </c>
      <c r="L651" s="2">
        <v>579.24950000000001</v>
      </c>
      <c r="M651" s="2" t="str">
        <f>IF(ESales_DB[[#This Row],[Total_Amount]]&gt;1000,"High","Low")</f>
        <v>Low</v>
      </c>
      <c r="N651" s="2" t="str">
        <f>VLOOKUP(ESales_DB[[#This Row],[Customer_ID]],Ecustom_DB[],3,FALSE)</f>
        <v>Robert King</v>
      </c>
      <c r="O651" s="2" t="str">
        <f>_xlfn.XLOOKUP(ESales_DB[[#This Row],[Product_ID]],Eproduct_DB[Product_ID],Eproduct_DB[Category])</f>
        <v>Home</v>
      </c>
      <c r="P651" s="2" t="str">
        <f>_xlfn.XLOOKUP(ESales_DB[[#This Row],[Product_ID]],Eproduct_DB[Product_ID],Eproduct_DB[Product_Name])</f>
        <v>Microwave Oven</v>
      </c>
      <c r="Q651" s="2" t="str">
        <f>_xlfn.XLOOKUP(ESales_DB[[#This Row],[Store_ID]],Estore_DB[Store_ID],Estore_DB[Region])</f>
        <v>East</v>
      </c>
      <c r="R651" t="str">
        <f>VLOOKUP(ESales_DB[[#This Row],[Customer_ID]],Ecustom_DB[],10,FALSE)</f>
        <v>Gold</v>
      </c>
      <c r="S651" t="str">
        <f>IF(ESales_DB[[#This Row],[Quantity1]]&gt;3,"Bulk order","Normal order")</f>
        <v>Normal order</v>
      </c>
    </row>
    <row r="652" spans="1:19" x14ac:dyDescent="0.3">
      <c r="A652" t="s">
        <v>3409</v>
      </c>
      <c r="B652" s="4">
        <v>45667</v>
      </c>
      <c r="C652" s="4" t="str">
        <f>TEXT(ESales_DB[[#This Row],[Order_Date]],"mmm")</f>
        <v>Jan</v>
      </c>
      <c r="D652" t="s">
        <v>1362</v>
      </c>
      <c r="E652" t="s">
        <v>1700</v>
      </c>
      <c r="F652" t="s">
        <v>1807</v>
      </c>
      <c r="G652">
        <v>2</v>
      </c>
      <c r="H652" s="10">
        <f>IF(ISBLANK(ESales_DB[[#This Row],[Quantity]]),AVERAGEIF(ESales_DB[Product_ID],ESales_DB[[#This Row],[Product_ID]],ESales_DB[Quantity]),ESales_DB[[#This Row],[Quantity]])</f>
        <v>2</v>
      </c>
      <c r="I652" s="2">
        <v>877.21</v>
      </c>
      <c r="J652">
        <v>0.1</v>
      </c>
      <c r="K652" t="s">
        <v>1824</v>
      </c>
      <c r="L652" s="2">
        <v>1578.9780000000001</v>
      </c>
      <c r="M652" s="2" t="str">
        <f>IF(ESales_DB[[#This Row],[Total_Amount]]&gt;1000,"High","Low")</f>
        <v>High</v>
      </c>
      <c r="N652" s="2" t="str">
        <f>VLOOKUP(ESales_DB[[#This Row],[Customer_ID]],Ecustom_DB[],3,FALSE)</f>
        <v>Tammy Trevino</v>
      </c>
      <c r="O652" s="2" t="str">
        <f>_xlfn.XLOOKUP(ESales_DB[[#This Row],[Product_ID]],Eproduct_DB[Product_ID],Eproduct_DB[Category])</f>
        <v>Electronics</v>
      </c>
      <c r="P652" s="2" t="str">
        <f>_xlfn.XLOOKUP(ESales_DB[[#This Row],[Product_ID]],Eproduct_DB[Product_ID],Eproduct_DB[Product_Name])</f>
        <v>Wireless Mouse</v>
      </c>
      <c r="Q652" s="2" t="str">
        <f>_xlfn.XLOOKUP(ESales_DB[[#This Row],[Store_ID]],Estore_DB[Store_ID],Estore_DB[Region])</f>
        <v>North</v>
      </c>
      <c r="R652" t="str">
        <f>VLOOKUP(ESales_DB[[#This Row],[Customer_ID]],Ecustom_DB[],10,FALSE)</f>
        <v>Silver</v>
      </c>
      <c r="S652" t="str">
        <f>IF(ESales_DB[[#This Row],[Quantity1]]&gt;3,"Bulk order","Normal order")</f>
        <v>Normal order</v>
      </c>
    </row>
    <row r="653" spans="1:19" x14ac:dyDescent="0.3">
      <c r="A653" t="s">
        <v>3410</v>
      </c>
      <c r="B653" s="4">
        <v>45902</v>
      </c>
      <c r="C653" s="4" t="str">
        <f>TEXT(ESales_DB[[#This Row],[Order_Date]],"mmm")</f>
        <v>Sep</v>
      </c>
      <c r="D653" t="s">
        <v>1002</v>
      </c>
      <c r="E653" t="s">
        <v>1704</v>
      </c>
      <c r="F653" t="s">
        <v>1773</v>
      </c>
      <c r="G653">
        <v>2</v>
      </c>
      <c r="H653" s="10">
        <f>IF(ISBLANK(ESales_DB[[#This Row],[Quantity]]),AVERAGEIF(ESales_DB[Product_ID],ESales_DB[[#This Row],[Product_ID]],ESales_DB[Quantity]),ESales_DB[[#This Row],[Quantity]])</f>
        <v>2</v>
      </c>
      <c r="I653" s="2">
        <v>479.77</v>
      </c>
      <c r="J653">
        <v>0.21</v>
      </c>
      <c r="K653" t="s">
        <v>1826</v>
      </c>
      <c r="L653" s="2">
        <v>758.03660000000002</v>
      </c>
      <c r="M653" s="2" t="str">
        <f>IF(ESales_DB[[#This Row],[Total_Amount]]&gt;1000,"High","Low")</f>
        <v>Low</v>
      </c>
      <c r="N653" s="2" t="str">
        <f>VLOOKUP(ESales_DB[[#This Row],[Customer_ID]],Ecustom_DB[],3,FALSE)</f>
        <v>Madison Wright</v>
      </c>
      <c r="O653" s="2" t="str">
        <f>_xlfn.XLOOKUP(ESales_DB[[#This Row],[Product_ID]],Eproduct_DB[Product_ID],Eproduct_DB[Category])</f>
        <v>Home</v>
      </c>
      <c r="P653" s="2" t="str">
        <f>_xlfn.XLOOKUP(ESales_DB[[#This Row],[Product_ID]],Eproduct_DB[Product_ID],Eproduct_DB[Product_Name])</f>
        <v>Essential Oil Diffuser</v>
      </c>
      <c r="Q653" s="2" t="str">
        <f>_xlfn.XLOOKUP(ESales_DB[[#This Row],[Store_ID]],Estore_DB[Store_ID],Estore_DB[Region])</f>
        <v>North</v>
      </c>
      <c r="R653" t="str">
        <f>VLOOKUP(ESales_DB[[#This Row],[Customer_ID]],Ecustom_DB[],10,FALSE)</f>
        <v>Platinum</v>
      </c>
      <c r="S653" t="str">
        <f>IF(ESales_DB[[#This Row],[Quantity1]]&gt;3,"Bulk order","Normal order")</f>
        <v>Normal order</v>
      </c>
    </row>
    <row r="654" spans="1:19" x14ac:dyDescent="0.3">
      <c r="A654" t="s">
        <v>3411</v>
      </c>
      <c r="B654" s="4">
        <v>45589</v>
      </c>
      <c r="C654" s="4" t="str">
        <f>TEXT(ESales_DB[[#This Row],[Order_Date]],"mmm")</f>
        <v>Oct</v>
      </c>
      <c r="D654" t="s">
        <v>1014</v>
      </c>
      <c r="E654" t="s">
        <v>1714</v>
      </c>
      <c r="F654" t="s">
        <v>1801</v>
      </c>
      <c r="G654">
        <v>1</v>
      </c>
      <c r="H654" s="10">
        <f>IF(ISBLANK(ESales_DB[[#This Row],[Quantity]]),AVERAGEIF(ESales_DB[Product_ID],ESales_DB[[#This Row],[Product_ID]],ESales_DB[Quantity]),ESales_DB[[#This Row],[Quantity]])</f>
        <v>1</v>
      </c>
      <c r="I654" s="2">
        <v>140.72</v>
      </c>
      <c r="J654">
        <v>0</v>
      </c>
      <c r="K654" t="s">
        <v>1829</v>
      </c>
      <c r="L654" s="2">
        <v>140.72</v>
      </c>
      <c r="M654" s="2" t="str">
        <f>IF(ESales_DB[[#This Row],[Total_Amount]]&gt;1000,"High","Low")</f>
        <v>Low</v>
      </c>
      <c r="N654" s="2" t="str">
        <f>VLOOKUP(ESales_DB[[#This Row],[Customer_ID]],Ecustom_DB[],3,FALSE)</f>
        <v>Samuel Arias</v>
      </c>
      <c r="O654" s="2" t="str">
        <f>_xlfn.XLOOKUP(ESales_DB[[#This Row],[Product_ID]],Eproduct_DB[Product_ID],Eproduct_DB[Category])</f>
        <v>Beauty</v>
      </c>
      <c r="P654" s="2" t="str">
        <f>_xlfn.XLOOKUP(ESales_DB[[#This Row],[Product_ID]],Eproduct_DB[Product_ID],Eproduct_DB[Product_Name])</f>
        <v>Hydrating Face Cleanser</v>
      </c>
      <c r="Q654" s="2" t="str">
        <f>_xlfn.XLOOKUP(ESales_DB[[#This Row],[Store_ID]],Estore_DB[Store_ID],Estore_DB[Region])</f>
        <v>North</v>
      </c>
      <c r="R654" t="str">
        <f>VLOOKUP(ESales_DB[[#This Row],[Customer_ID]],Ecustom_DB[],10,FALSE)</f>
        <v>Bronze</v>
      </c>
      <c r="S654" t="str">
        <f>IF(ESales_DB[[#This Row],[Quantity1]]&gt;3,"Bulk order","Normal order")</f>
        <v>Normal order</v>
      </c>
    </row>
    <row r="655" spans="1:19" x14ac:dyDescent="0.3">
      <c r="A655" t="s">
        <v>3412</v>
      </c>
      <c r="B655" s="4">
        <v>45668</v>
      </c>
      <c r="C655" s="4" t="str">
        <f>TEXT(ESales_DB[[#This Row],[Order_Date]],"mmm")</f>
        <v>Jan</v>
      </c>
      <c r="D655" t="s">
        <v>114</v>
      </c>
      <c r="E655" t="s">
        <v>1586</v>
      </c>
      <c r="F655" t="s">
        <v>1776</v>
      </c>
      <c r="G655">
        <v>2</v>
      </c>
      <c r="H655" s="10">
        <f>IF(ISBLANK(ESales_DB[[#This Row],[Quantity]]),AVERAGEIF(ESales_DB[Product_ID],ESales_DB[[#This Row],[Product_ID]],ESales_DB[Quantity]),ESales_DB[[#This Row],[Quantity]])</f>
        <v>2</v>
      </c>
      <c r="I655" s="2">
        <v>764.25</v>
      </c>
      <c r="J655">
        <v>0.23</v>
      </c>
      <c r="K655" t="s">
        <v>1826</v>
      </c>
      <c r="L655" s="2">
        <v>1176.9449999999999</v>
      </c>
      <c r="M655" s="2" t="str">
        <f>IF(ESales_DB[[#This Row],[Total_Amount]]&gt;1000,"High","Low")</f>
        <v>High</v>
      </c>
      <c r="N655" s="2" t="str">
        <f>VLOOKUP(ESales_DB[[#This Row],[Customer_ID]],Ecustom_DB[],3,FALSE)</f>
        <v>Leslie Johnson</v>
      </c>
      <c r="O655" s="2" t="str">
        <f>_xlfn.XLOOKUP(ESales_DB[[#This Row],[Product_ID]],Eproduct_DB[Product_ID],Eproduct_DB[Category])</f>
        <v>Sports</v>
      </c>
      <c r="P655" s="2" t="str">
        <f>_xlfn.XLOOKUP(ESales_DB[[#This Row],[Product_ID]],Eproduct_DB[Product_ID],Eproduct_DB[Product_Name])</f>
        <v>Knee Support Brace</v>
      </c>
      <c r="Q655" s="2" t="str">
        <f>_xlfn.XLOOKUP(ESales_DB[[#This Row],[Store_ID]],Estore_DB[Store_ID],Estore_DB[Region])</f>
        <v>East</v>
      </c>
      <c r="R655" t="str">
        <f>VLOOKUP(ESales_DB[[#This Row],[Customer_ID]],Ecustom_DB[],10,FALSE)</f>
        <v>Uncategorized</v>
      </c>
      <c r="S655" t="str">
        <f>IF(ESales_DB[[#This Row],[Quantity1]]&gt;3,"Bulk order","Normal order")</f>
        <v>Normal order</v>
      </c>
    </row>
    <row r="656" spans="1:19" x14ac:dyDescent="0.3">
      <c r="A656" t="s">
        <v>3413</v>
      </c>
      <c r="B656" s="4">
        <v>45300</v>
      </c>
      <c r="C656" s="4" t="str">
        <f>TEXT(ESales_DB[[#This Row],[Order_Date]],"mmm")</f>
        <v>Jan</v>
      </c>
      <c r="D656" t="s">
        <v>719</v>
      </c>
      <c r="E656" t="s">
        <v>1714</v>
      </c>
      <c r="F656" t="s">
        <v>1773</v>
      </c>
      <c r="G656">
        <v>3</v>
      </c>
      <c r="H656" s="10">
        <f>IF(ISBLANK(ESales_DB[[#This Row],[Quantity]]),AVERAGEIF(ESales_DB[Product_ID],ESales_DB[[#This Row],[Product_ID]],ESales_DB[Quantity]),ESales_DB[[#This Row],[Quantity]])</f>
        <v>3</v>
      </c>
      <c r="I656" s="2">
        <v>107.8</v>
      </c>
      <c r="J656">
        <v>0.28999999999999998</v>
      </c>
      <c r="K656" t="s">
        <v>1826</v>
      </c>
      <c r="L656" s="2">
        <v>229.614</v>
      </c>
      <c r="M656" s="2" t="str">
        <f>IF(ESales_DB[[#This Row],[Total_Amount]]&gt;1000,"High","Low")</f>
        <v>Low</v>
      </c>
      <c r="N656" s="2" t="str">
        <f>VLOOKUP(ESales_DB[[#This Row],[Customer_ID]],Ecustom_DB[],3,FALSE)</f>
        <v>Alejandro Doyle</v>
      </c>
      <c r="O656" s="2" t="str">
        <f>_xlfn.XLOOKUP(ESales_DB[[#This Row],[Product_ID]],Eproduct_DB[Product_ID],Eproduct_DB[Category])</f>
        <v>Beauty</v>
      </c>
      <c r="P656" s="2" t="str">
        <f>_xlfn.XLOOKUP(ESales_DB[[#This Row],[Product_ID]],Eproduct_DB[Product_ID],Eproduct_DB[Product_Name])</f>
        <v>Hydrating Face Cleanser</v>
      </c>
      <c r="Q656" s="2" t="str">
        <f>_xlfn.XLOOKUP(ESales_DB[[#This Row],[Store_ID]],Estore_DB[Store_ID],Estore_DB[Region])</f>
        <v>North</v>
      </c>
      <c r="R656" t="str">
        <f>VLOOKUP(ESales_DB[[#This Row],[Customer_ID]],Ecustom_DB[],10,FALSE)</f>
        <v>Platinum</v>
      </c>
      <c r="S656" t="str">
        <f>IF(ESales_DB[[#This Row],[Quantity1]]&gt;3,"Bulk order","Normal order")</f>
        <v>Normal order</v>
      </c>
    </row>
    <row r="657" spans="1:19" x14ac:dyDescent="0.3">
      <c r="A657" t="s">
        <v>3414</v>
      </c>
      <c r="B657" s="4">
        <v>45757</v>
      </c>
      <c r="C657" s="4" t="str">
        <f>TEXT(ESales_DB[[#This Row],[Order_Date]],"mmm")</f>
        <v>Apr</v>
      </c>
      <c r="D657" t="s">
        <v>496</v>
      </c>
      <c r="E657" t="s">
        <v>1592</v>
      </c>
      <c r="F657" t="s">
        <v>1782</v>
      </c>
      <c r="G657">
        <v>4</v>
      </c>
      <c r="H657" s="10">
        <f>IF(ISBLANK(ESales_DB[[#This Row],[Quantity]]),AVERAGEIF(ESales_DB[Product_ID],ESales_DB[[#This Row],[Product_ID]],ESales_DB[Quantity]),ESales_DB[[#This Row],[Quantity]])</f>
        <v>4</v>
      </c>
      <c r="I657" s="2">
        <v>565.37</v>
      </c>
      <c r="J657">
        <v>7.0000000000000007E-2</v>
      </c>
      <c r="K657" t="s">
        <v>1826</v>
      </c>
      <c r="L657" s="2">
        <v>2103.1763999999998</v>
      </c>
      <c r="M657" s="2" t="str">
        <f>IF(ESales_DB[[#This Row],[Total_Amount]]&gt;1000,"High","Low")</f>
        <v>High</v>
      </c>
      <c r="N657" s="2" t="str">
        <f>VLOOKUP(ESales_DB[[#This Row],[Customer_ID]],Ecustom_DB[],3,FALSE)</f>
        <v>Rhonda Young</v>
      </c>
      <c r="O657" s="2" t="str">
        <f>_xlfn.XLOOKUP(ESales_DB[[#This Row],[Product_ID]],Eproduct_DB[Product_ID],Eproduct_DB[Category])</f>
        <v>Sports</v>
      </c>
      <c r="P657" s="2" t="str">
        <f>_xlfn.XLOOKUP(ESales_DB[[#This Row],[Product_ID]],Eproduct_DB[Product_ID],Eproduct_DB[Product_Name])</f>
        <v>Carbon Fiber Tennis Racket</v>
      </c>
      <c r="Q657" s="2" t="str">
        <f>_xlfn.XLOOKUP(ESales_DB[[#This Row],[Store_ID]],Estore_DB[Store_ID],Estore_DB[Region])</f>
        <v>West</v>
      </c>
      <c r="R657" t="str">
        <f>VLOOKUP(ESales_DB[[#This Row],[Customer_ID]],Ecustom_DB[],10,FALSE)</f>
        <v>Platinum</v>
      </c>
      <c r="S657" t="str">
        <f>IF(ESales_DB[[#This Row],[Quantity1]]&gt;3,"Bulk order","Normal order")</f>
        <v>Bulk order</v>
      </c>
    </row>
    <row r="658" spans="1:19" x14ac:dyDescent="0.3">
      <c r="A658" t="s">
        <v>3415</v>
      </c>
      <c r="B658" s="4">
        <v>45235</v>
      </c>
      <c r="C658" s="4" t="str">
        <f>TEXT(ESales_DB[[#This Row],[Order_Date]],"mmm")</f>
        <v>Nov</v>
      </c>
      <c r="D658" t="s">
        <v>137</v>
      </c>
      <c r="E658" t="s">
        <v>1620</v>
      </c>
      <c r="F658" t="s">
        <v>1769</v>
      </c>
      <c r="G658">
        <v>3</v>
      </c>
      <c r="H658" s="10">
        <f>IF(ISBLANK(ESales_DB[[#This Row],[Quantity]]),AVERAGEIF(ESales_DB[Product_ID],ESales_DB[[#This Row],[Product_ID]],ESales_DB[Quantity]),ESales_DB[[#This Row],[Quantity]])</f>
        <v>3</v>
      </c>
      <c r="I658" s="2">
        <v>811.45</v>
      </c>
      <c r="J658">
        <v>0.26</v>
      </c>
      <c r="K658" t="s">
        <v>1824</v>
      </c>
      <c r="L658" s="2">
        <v>1801.4190000000001</v>
      </c>
      <c r="M658" s="2" t="str">
        <f>IF(ESales_DB[[#This Row],[Total_Amount]]&gt;1000,"High","Low")</f>
        <v>High</v>
      </c>
      <c r="N658" s="2" t="str">
        <f>VLOOKUP(ESales_DB[[#This Row],[Customer_ID]],Ecustom_DB[],3,FALSE)</f>
        <v>Christopher Olson</v>
      </c>
      <c r="O658" s="2" t="str">
        <f>_xlfn.XLOOKUP(ESales_DB[[#This Row],[Product_ID]],Eproduct_DB[Product_ID],Eproduct_DB[Category])</f>
        <v>Clothing</v>
      </c>
      <c r="P658" s="2" t="str">
        <f>_xlfn.XLOOKUP(ESales_DB[[#This Row],[Product_ID]],Eproduct_DB[Product_ID],Eproduct_DB[Product_Name])</f>
        <v>Women's Summer Dress</v>
      </c>
      <c r="Q658" s="2" t="str">
        <f>_xlfn.XLOOKUP(ESales_DB[[#This Row],[Store_ID]],Estore_DB[Store_ID],Estore_DB[Region])</f>
        <v>South</v>
      </c>
      <c r="R658" t="str">
        <f>VLOOKUP(ESales_DB[[#This Row],[Customer_ID]],Ecustom_DB[],10,FALSE)</f>
        <v>Platinum</v>
      </c>
      <c r="S658" t="str">
        <f>IF(ESales_DB[[#This Row],[Quantity1]]&gt;3,"Bulk order","Normal order")</f>
        <v>Normal order</v>
      </c>
    </row>
    <row r="659" spans="1:19" x14ac:dyDescent="0.3">
      <c r="A659" t="s">
        <v>1985</v>
      </c>
      <c r="B659" s="4">
        <v>45454</v>
      </c>
      <c r="C659" s="4" t="str">
        <f>TEXT(ESales_DB[[#This Row],[Order_Date]],"mmm")</f>
        <v>Jun</v>
      </c>
      <c r="D659" t="s">
        <v>1229</v>
      </c>
      <c r="E659" t="s">
        <v>1726</v>
      </c>
      <c r="F659" t="s">
        <v>1804</v>
      </c>
      <c r="G659">
        <v>2</v>
      </c>
      <c r="H659" s="10">
        <f>IF(ISBLANK(ESales_DB[[#This Row],[Quantity]]),AVERAGEIF(ESales_DB[Product_ID],ESales_DB[[#This Row],[Product_ID]],ESales_DB[Quantity]),ESales_DB[[#This Row],[Quantity]])</f>
        <v>2</v>
      </c>
      <c r="I659" s="2">
        <v>122.23</v>
      </c>
      <c r="J659">
        <v>0.21</v>
      </c>
      <c r="K659" t="s">
        <v>1829</v>
      </c>
      <c r="L659" s="2">
        <v>193.1234</v>
      </c>
      <c r="M659" s="2" t="str">
        <f>IF(ESales_DB[[#This Row],[Total_Amount]]&gt;1000,"High","Low")</f>
        <v>Low</v>
      </c>
      <c r="N659" s="2" t="str">
        <f>VLOOKUP(ESales_DB[[#This Row],[Customer_ID]],Ecustom_DB[],3,FALSE)</f>
        <v>Alejandro Evans</v>
      </c>
      <c r="O659" s="2" t="str">
        <f>_xlfn.XLOOKUP(ESales_DB[[#This Row],[Product_ID]],Eproduct_DB[Product_ID],Eproduct_DB[Category])</f>
        <v>Beauty</v>
      </c>
      <c r="P659" s="2" t="str">
        <f>_xlfn.XLOOKUP(ESales_DB[[#This Row],[Product_ID]],Eproduct_DB[Product_ID],Eproduct_DB[Product_Name])</f>
        <v>Face Foundation Kit</v>
      </c>
      <c r="Q659" s="2" t="str">
        <f>_xlfn.XLOOKUP(ESales_DB[[#This Row],[Store_ID]],Estore_DB[Store_ID],Estore_DB[Region])</f>
        <v>West</v>
      </c>
      <c r="R659" t="str">
        <f>VLOOKUP(ESales_DB[[#This Row],[Customer_ID]],Ecustom_DB[],10,FALSE)</f>
        <v>Bronze</v>
      </c>
      <c r="S659" t="str">
        <f>IF(ESales_DB[[#This Row],[Quantity1]]&gt;3,"Bulk order","Normal order")</f>
        <v>Normal order</v>
      </c>
    </row>
    <row r="660" spans="1:19" x14ac:dyDescent="0.3">
      <c r="A660" t="s">
        <v>3416</v>
      </c>
      <c r="B660" s="4">
        <v>45749</v>
      </c>
      <c r="C660" s="4" t="str">
        <f>TEXT(ESales_DB[[#This Row],[Order_Date]],"mmm")</f>
        <v>Apr</v>
      </c>
      <c r="D660" t="s">
        <v>1275</v>
      </c>
      <c r="E660" t="s">
        <v>1614</v>
      </c>
      <c r="F660" t="s">
        <v>1813</v>
      </c>
      <c r="G660">
        <v>4</v>
      </c>
      <c r="H660" s="10">
        <f>IF(ISBLANK(ESales_DB[[#This Row],[Quantity]]),AVERAGEIF(ESales_DB[Product_ID],ESales_DB[[#This Row],[Product_ID]],ESales_DB[Quantity]),ESales_DB[[#This Row],[Quantity]])</f>
        <v>4</v>
      </c>
      <c r="I660" s="2">
        <v>62.25</v>
      </c>
      <c r="J660">
        <v>0.11</v>
      </c>
      <c r="K660" t="s">
        <v>1826</v>
      </c>
      <c r="L660" s="2">
        <v>221.61</v>
      </c>
      <c r="M660" s="2" t="str">
        <f>IF(ESales_DB[[#This Row],[Total_Amount]]&gt;1000,"High","Low")</f>
        <v>Low</v>
      </c>
      <c r="N660" s="2" t="str">
        <f>VLOOKUP(ESales_DB[[#This Row],[Customer_ID]],Ecustom_DB[],3,FALSE)</f>
        <v>Jackie Thompson</v>
      </c>
      <c r="O660" s="2" t="str">
        <f>_xlfn.XLOOKUP(ESales_DB[[#This Row],[Product_ID]],Eproduct_DB[Product_ID],Eproduct_DB[Category])</f>
        <v>Home</v>
      </c>
      <c r="P660" s="2" t="str">
        <f>_xlfn.XLOOKUP(ESales_DB[[#This Row],[Product_ID]],Eproduct_DB[Product_ID],Eproduct_DB[Product_Name])</f>
        <v>Modern Wall Clock</v>
      </c>
      <c r="Q660" s="2" t="str">
        <f>_xlfn.XLOOKUP(ESales_DB[[#This Row],[Store_ID]],Estore_DB[Store_ID],Estore_DB[Region])</f>
        <v>East</v>
      </c>
      <c r="R660" t="str">
        <f>VLOOKUP(ESales_DB[[#This Row],[Customer_ID]],Ecustom_DB[],10,FALSE)</f>
        <v>Bronze</v>
      </c>
      <c r="S660" t="str">
        <f>IF(ESales_DB[[#This Row],[Quantity1]]&gt;3,"Bulk order","Normal order")</f>
        <v>Bulk order</v>
      </c>
    </row>
    <row r="661" spans="1:19" x14ac:dyDescent="0.3">
      <c r="A661" t="s">
        <v>3417</v>
      </c>
      <c r="B661" s="4">
        <v>45807</v>
      </c>
      <c r="C661" s="4" t="str">
        <f>TEXT(ESales_DB[[#This Row],[Order_Date]],"mmm")</f>
        <v>May</v>
      </c>
      <c r="D661" t="s">
        <v>107</v>
      </c>
      <c r="E661" t="s">
        <v>1738</v>
      </c>
      <c r="F661" t="s">
        <v>1789</v>
      </c>
      <c r="G661">
        <v>1</v>
      </c>
      <c r="H661" s="10">
        <f>IF(ISBLANK(ESales_DB[[#This Row],[Quantity]]),AVERAGEIF(ESales_DB[Product_ID],ESales_DB[[#This Row],[Product_ID]],ESales_DB[Quantity]),ESales_DB[[#This Row],[Quantity]])</f>
        <v>1</v>
      </c>
      <c r="I661" s="2">
        <v>749.78</v>
      </c>
      <c r="J661">
        <v>0.03</v>
      </c>
      <c r="K661" t="s">
        <v>1824</v>
      </c>
      <c r="L661" s="2">
        <v>727.28659999999991</v>
      </c>
      <c r="M661" s="2" t="str">
        <f>IF(ESales_DB[[#This Row],[Total_Amount]]&gt;1000,"High","Low")</f>
        <v>Low</v>
      </c>
      <c r="N661" s="2" t="str">
        <f>VLOOKUP(ESales_DB[[#This Row],[Customer_ID]],Ecustom_DB[],3,FALSE)</f>
        <v>Diana Taylor</v>
      </c>
      <c r="O661" s="2" t="str">
        <f>_xlfn.XLOOKUP(ESales_DB[[#This Row],[Product_ID]],Eproduct_DB[Product_ID],Eproduct_DB[Category])</f>
        <v>Sports</v>
      </c>
      <c r="P661" s="2" t="str">
        <f>_xlfn.XLOOKUP(ESales_DB[[#This Row],[Product_ID]],Eproduct_DB[Product_ID],Eproduct_DB[Product_Name])</f>
        <v>Sports Stopwatch Basic</v>
      </c>
      <c r="Q661" s="2" t="str">
        <f>_xlfn.XLOOKUP(ESales_DB[[#This Row],[Store_ID]],Estore_DB[Store_ID],Estore_DB[Region])</f>
        <v>East</v>
      </c>
      <c r="R661" t="str">
        <f>VLOOKUP(ESales_DB[[#This Row],[Customer_ID]],Ecustom_DB[],10,FALSE)</f>
        <v>Bronze</v>
      </c>
      <c r="S661" t="str">
        <f>IF(ESales_DB[[#This Row],[Quantity1]]&gt;3,"Bulk order","Normal order")</f>
        <v>Normal order</v>
      </c>
    </row>
    <row r="662" spans="1:19" x14ac:dyDescent="0.3">
      <c r="A662" t="s">
        <v>3418</v>
      </c>
      <c r="B662" s="4">
        <v>45496</v>
      </c>
      <c r="C662" s="4" t="str">
        <f>TEXT(ESales_DB[[#This Row],[Order_Date]],"mmm")</f>
        <v>Jul</v>
      </c>
      <c r="D662" t="s">
        <v>1098</v>
      </c>
      <c r="E662" t="s">
        <v>1666</v>
      </c>
      <c r="F662" t="s">
        <v>1773</v>
      </c>
      <c r="G662">
        <v>3</v>
      </c>
      <c r="H662" s="10">
        <f>IF(ISBLANK(ESales_DB[[#This Row],[Quantity]]),AVERAGEIF(ESales_DB[Product_ID],ESales_DB[[#This Row],[Product_ID]],ESales_DB[Quantity]),ESales_DB[[#This Row],[Quantity]])</f>
        <v>3</v>
      </c>
      <c r="I662" s="2">
        <v>630.28</v>
      </c>
      <c r="J662">
        <v>7.0000000000000007E-2</v>
      </c>
      <c r="K662" t="s">
        <v>1829</v>
      </c>
      <c r="L662" s="2">
        <v>1758.4811999999999</v>
      </c>
      <c r="M662" s="2" t="str">
        <f>IF(ESales_DB[[#This Row],[Total_Amount]]&gt;1000,"High","Low")</f>
        <v>High</v>
      </c>
      <c r="N662" s="2" t="str">
        <f>VLOOKUP(ESales_DB[[#This Row],[Customer_ID]],Ecustom_DB[],3,FALSE)</f>
        <v>Charles Miller</v>
      </c>
      <c r="O662" s="2" t="str">
        <f>_xlfn.XLOOKUP(ESales_DB[[#This Row],[Product_ID]],Eproduct_DB[Product_ID],Eproduct_DB[Category])</f>
        <v>Beauty</v>
      </c>
      <c r="P662" s="2" t="str">
        <f>_xlfn.XLOOKUP(ESales_DB[[#This Row],[Product_ID]],Eproduct_DB[Product_ID],Eproduct_DB[Product_Name])</f>
        <v>Men's Hair Styling Gel</v>
      </c>
      <c r="Q662" s="2" t="str">
        <f>_xlfn.XLOOKUP(ESales_DB[[#This Row],[Store_ID]],Estore_DB[Store_ID],Estore_DB[Region])</f>
        <v>North</v>
      </c>
      <c r="R662" t="str">
        <f>VLOOKUP(ESales_DB[[#This Row],[Customer_ID]],Ecustom_DB[],10,FALSE)</f>
        <v>Silver</v>
      </c>
      <c r="S662" t="str">
        <f>IF(ESales_DB[[#This Row],[Quantity1]]&gt;3,"Bulk order","Normal order")</f>
        <v>Normal order</v>
      </c>
    </row>
    <row r="663" spans="1:19" x14ac:dyDescent="0.3">
      <c r="A663" t="s">
        <v>3419</v>
      </c>
      <c r="B663" s="4">
        <v>45355</v>
      </c>
      <c r="C663" s="4" t="str">
        <f>TEXT(ESales_DB[[#This Row],[Order_Date]],"mmm")</f>
        <v>Mar</v>
      </c>
      <c r="D663" t="s">
        <v>484</v>
      </c>
      <c r="E663" t="s">
        <v>1608</v>
      </c>
      <c r="F663" t="s">
        <v>1804</v>
      </c>
      <c r="G663">
        <v>1</v>
      </c>
      <c r="H663" s="10">
        <f>IF(ISBLANK(ESales_DB[[#This Row],[Quantity]]),AVERAGEIF(ESales_DB[Product_ID],ESales_DB[[#This Row],[Product_ID]],ESales_DB[Quantity]),ESales_DB[[#This Row],[Quantity]])</f>
        <v>1</v>
      </c>
      <c r="I663" s="2">
        <v>101.84</v>
      </c>
      <c r="J663">
        <v>0.17</v>
      </c>
      <c r="K663" t="s">
        <v>1824</v>
      </c>
      <c r="L663" s="2">
        <v>84.527199999999993</v>
      </c>
      <c r="M663" s="2" t="str">
        <f>IF(ESales_DB[[#This Row],[Total_Amount]]&gt;1000,"High","Low")</f>
        <v>Low</v>
      </c>
      <c r="N663" s="2" t="str">
        <f>VLOOKUP(ESales_DB[[#This Row],[Customer_ID]],Ecustom_DB[],3,FALSE)</f>
        <v>Carlos Skinner</v>
      </c>
      <c r="O663" s="2" t="str">
        <f>_xlfn.XLOOKUP(ESales_DB[[#This Row],[Product_ID]],Eproduct_DB[Product_ID],Eproduct_DB[Category])</f>
        <v>Home</v>
      </c>
      <c r="P663" s="2" t="str">
        <f>_xlfn.XLOOKUP(ESales_DB[[#This Row],[Product_ID]],Eproduct_DB[Product_ID],Eproduct_DB[Product_Name])</f>
        <v>Stainless Steel Cutlery Set</v>
      </c>
      <c r="Q663" s="2" t="str">
        <f>_xlfn.XLOOKUP(ESales_DB[[#This Row],[Store_ID]],Estore_DB[Store_ID],Estore_DB[Region])</f>
        <v>West</v>
      </c>
      <c r="R663" t="str">
        <f>VLOOKUP(ESales_DB[[#This Row],[Customer_ID]],Ecustom_DB[],10,FALSE)</f>
        <v>Bronze</v>
      </c>
      <c r="S663" t="str">
        <f>IF(ESales_DB[[#This Row],[Quantity1]]&gt;3,"Bulk order","Normal order")</f>
        <v>Normal order</v>
      </c>
    </row>
    <row r="664" spans="1:19" x14ac:dyDescent="0.3">
      <c r="A664" t="s">
        <v>3420</v>
      </c>
      <c r="B664" s="4">
        <v>45256</v>
      </c>
      <c r="C664" s="4" t="str">
        <f>TEXT(ESales_DB[[#This Row],[Order_Date]],"mmm")</f>
        <v>Nov</v>
      </c>
      <c r="D664" t="s">
        <v>208</v>
      </c>
      <c r="E664" t="s">
        <v>1596</v>
      </c>
      <c r="F664" t="s">
        <v>1810</v>
      </c>
      <c r="G664">
        <v>4</v>
      </c>
      <c r="H664" s="10">
        <f>IF(ISBLANK(ESales_DB[[#This Row],[Quantity]]),AVERAGEIF(ESales_DB[Product_ID],ESales_DB[[#This Row],[Product_ID]],ESales_DB[Quantity]),ESales_DB[[#This Row],[Quantity]])</f>
        <v>4</v>
      </c>
      <c r="I664" s="2">
        <v>641.45000000000005</v>
      </c>
      <c r="J664">
        <v>0.16</v>
      </c>
      <c r="K664" t="s">
        <v>1829</v>
      </c>
      <c r="L664" s="2">
        <v>2155.2719999999999</v>
      </c>
      <c r="M664" s="2" t="str">
        <f>IF(ESales_DB[[#This Row],[Total_Amount]]&gt;1000,"High","Low")</f>
        <v>High</v>
      </c>
      <c r="N664" s="2" t="str">
        <f>VLOOKUP(ESales_DB[[#This Row],[Customer_ID]],Ecustom_DB[],3,FALSE)</f>
        <v>Wayne Mcpherson</v>
      </c>
      <c r="O664" s="2" t="str">
        <f>_xlfn.XLOOKUP(ESales_DB[[#This Row],[Product_ID]],Eproduct_DB[Product_ID],Eproduct_DB[Category])</f>
        <v>Sports</v>
      </c>
      <c r="P664" s="2" t="str">
        <f>_xlfn.XLOOKUP(ESales_DB[[#This Row],[Product_ID]],Eproduct_DB[Product_ID],Eproduct_DB[Product_Name])</f>
        <v>Foldable Camping Chair</v>
      </c>
      <c r="Q664" s="2" t="str">
        <f>_xlfn.XLOOKUP(ESales_DB[[#This Row],[Store_ID]],Estore_DB[Store_ID],Estore_DB[Region])</f>
        <v>East</v>
      </c>
      <c r="R664" t="str">
        <f>VLOOKUP(ESales_DB[[#This Row],[Customer_ID]],Ecustom_DB[],10,FALSE)</f>
        <v>Bronze</v>
      </c>
      <c r="S664" t="str">
        <f>IF(ESales_DB[[#This Row],[Quantity1]]&gt;3,"Bulk order","Normal order")</f>
        <v>Bulk order</v>
      </c>
    </row>
    <row r="665" spans="1:19" x14ac:dyDescent="0.3">
      <c r="A665" t="s">
        <v>3421</v>
      </c>
      <c r="B665" s="4">
        <v>45849</v>
      </c>
      <c r="C665" s="4" t="str">
        <f>TEXT(ESales_DB[[#This Row],[Order_Date]],"mmm")</f>
        <v>Jul</v>
      </c>
      <c r="D665" t="s">
        <v>1452</v>
      </c>
      <c r="E665" t="s">
        <v>1634</v>
      </c>
      <c r="F665" t="s">
        <v>1757</v>
      </c>
      <c r="G665">
        <v>1</v>
      </c>
      <c r="H665" s="10">
        <f>IF(ISBLANK(ESales_DB[[#This Row],[Quantity]]),AVERAGEIF(ESales_DB[Product_ID],ESales_DB[[#This Row],[Product_ID]],ESales_DB[Quantity]),ESales_DB[[#This Row],[Quantity]])</f>
        <v>1</v>
      </c>
      <c r="I665" s="2">
        <v>135.87</v>
      </c>
      <c r="J665">
        <v>0.23</v>
      </c>
      <c r="K665" t="s">
        <v>1826</v>
      </c>
      <c r="L665" s="2">
        <v>104.6199</v>
      </c>
      <c r="M665" s="2" t="str">
        <f>IF(ESales_DB[[#This Row],[Total_Amount]]&gt;1000,"High","Low")</f>
        <v>Low</v>
      </c>
      <c r="N665" s="2" t="str">
        <f>VLOOKUP(ESales_DB[[#This Row],[Customer_ID]],Ecustom_DB[],3,FALSE)</f>
        <v>Debra Mccullough</v>
      </c>
      <c r="O665" s="2" t="str">
        <f>_xlfn.XLOOKUP(ESales_DB[[#This Row],[Product_ID]],Eproduct_DB[Product_ID],Eproduct_DB[Category])</f>
        <v>Electronics</v>
      </c>
      <c r="P665" s="2" t="str">
        <f>_xlfn.XLOOKUP(ESales_DB[[#This Row],[Product_ID]],Eproduct_DB[Product_ID],Eproduct_DB[Product_Name])</f>
        <v>USB External Hard Drive</v>
      </c>
      <c r="Q665" s="2" t="str">
        <f>_xlfn.XLOOKUP(ESales_DB[[#This Row],[Store_ID]],Estore_DB[Store_ID],Estore_DB[Region])</f>
        <v>North</v>
      </c>
      <c r="R665" t="str">
        <f>VLOOKUP(ESales_DB[[#This Row],[Customer_ID]],Ecustom_DB[],10,FALSE)</f>
        <v>Platinum</v>
      </c>
      <c r="S665" t="str">
        <f>IF(ESales_DB[[#This Row],[Quantity1]]&gt;3,"Bulk order","Normal order")</f>
        <v>Normal order</v>
      </c>
    </row>
    <row r="666" spans="1:19" x14ac:dyDescent="0.3">
      <c r="A666" t="s">
        <v>3422</v>
      </c>
      <c r="B666" s="4">
        <v>45344</v>
      </c>
      <c r="C666" s="4" t="str">
        <f>TEXT(ESales_DB[[#This Row],[Order_Date]],"mmm")</f>
        <v>Feb</v>
      </c>
      <c r="D666" t="s">
        <v>341</v>
      </c>
      <c r="E666" t="s">
        <v>1590</v>
      </c>
      <c r="F666" t="s">
        <v>1776</v>
      </c>
      <c r="G666">
        <v>1</v>
      </c>
      <c r="H666" s="10">
        <f>IF(ISBLANK(ESales_DB[[#This Row],[Quantity]]),AVERAGEIF(ESales_DB[Product_ID],ESales_DB[[#This Row],[Product_ID]],ESales_DB[Quantity]),ESales_DB[[#This Row],[Quantity]])</f>
        <v>1</v>
      </c>
      <c r="I666" s="2">
        <v>388.35</v>
      </c>
      <c r="J666">
        <v>0.01</v>
      </c>
      <c r="K666" t="s">
        <v>1826</v>
      </c>
      <c r="L666" s="2">
        <v>384.4665</v>
      </c>
      <c r="M666" s="2" t="str">
        <f>IF(ESales_DB[[#This Row],[Total_Amount]]&gt;1000,"High","Low")</f>
        <v>Low</v>
      </c>
      <c r="N666" s="2" t="str">
        <f>VLOOKUP(ESales_DB[[#This Row],[Customer_ID]],Ecustom_DB[],3,FALSE)</f>
        <v>Amy Fowler</v>
      </c>
      <c r="O666" s="2" t="str">
        <f>_xlfn.XLOOKUP(ESales_DB[[#This Row],[Product_ID]],Eproduct_DB[Product_ID],Eproduct_DB[Category])</f>
        <v>Home</v>
      </c>
      <c r="P666" s="2" t="str">
        <f>_xlfn.XLOOKUP(ESales_DB[[#This Row],[Product_ID]],Eproduct_DB[Product_ID],Eproduct_DB[Product_Name])</f>
        <v>Multi-Purpose Storage Box</v>
      </c>
      <c r="Q666" s="2" t="str">
        <f>_xlfn.XLOOKUP(ESales_DB[[#This Row],[Store_ID]],Estore_DB[Store_ID],Estore_DB[Region])</f>
        <v>East</v>
      </c>
      <c r="R666" t="str">
        <f>VLOOKUP(ESales_DB[[#This Row],[Customer_ID]],Ecustom_DB[],10,FALSE)</f>
        <v>Platinum</v>
      </c>
      <c r="S666" t="str">
        <f>IF(ESales_DB[[#This Row],[Quantity1]]&gt;3,"Bulk order","Normal order")</f>
        <v>Normal order</v>
      </c>
    </row>
    <row r="667" spans="1:19" x14ac:dyDescent="0.3">
      <c r="A667" t="s">
        <v>3423</v>
      </c>
      <c r="B667" s="4">
        <v>45367</v>
      </c>
      <c r="C667" s="4" t="str">
        <f>TEXT(ESales_DB[[#This Row],[Order_Date]],"mmm")</f>
        <v>Mar</v>
      </c>
      <c r="D667" t="s">
        <v>1495</v>
      </c>
      <c r="E667" t="s">
        <v>1624</v>
      </c>
      <c r="F667" t="s">
        <v>1786</v>
      </c>
      <c r="G667">
        <v>2</v>
      </c>
      <c r="H667" s="10">
        <f>IF(ISBLANK(ESales_DB[[#This Row],[Quantity]]),AVERAGEIF(ESales_DB[Product_ID],ESales_DB[[#This Row],[Product_ID]],ESales_DB[Quantity]),ESales_DB[[#This Row],[Quantity]])</f>
        <v>2</v>
      </c>
      <c r="I667" s="2">
        <v>999.08</v>
      </c>
      <c r="J667">
        <v>0.3</v>
      </c>
      <c r="K667" t="s">
        <v>1826</v>
      </c>
      <c r="L667" s="2">
        <v>1398.712</v>
      </c>
      <c r="M667" s="2" t="str">
        <f>IF(ESales_DB[[#This Row],[Total_Amount]]&gt;1000,"High","Low")</f>
        <v>High</v>
      </c>
      <c r="N667" s="2" t="str">
        <f>VLOOKUP(ESales_DB[[#This Row],[Customer_ID]],Ecustom_DB[],3,FALSE)</f>
        <v>Eric Lee</v>
      </c>
      <c r="O667" s="2" t="str">
        <f>_xlfn.XLOOKUP(ESales_DB[[#This Row],[Product_ID]],Eproduct_DB[Product_ID],Eproduct_DB[Category])</f>
        <v>Sports</v>
      </c>
      <c r="P667" s="2" t="str">
        <f>_xlfn.XLOOKUP(ESales_DB[[#This Row],[Product_ID]],Eproduct_DB[Product_ID],Eproduct_DB[Product_Name])</f>
        <v>Sports Water Hydration Pack</v>
      </c>
      <c r="Q667" s="2" t="str">
        <f>_xlfn.XLOOKUP(ESales_DB[[#This Row],[Store_ID]],Estore_DB[Store_ID],Estore_DB[Region])</f>
        <v>South</v>
      </c>
      <c r="R667" t="str">
        <f>VLOOKUP(ESales_DB[[#This Row],[Customer_ID]],Ecustom_DB[],10,FALSE)</f>
        <v>Bronze</v>
      </c>
      <c r="S667" t="str">
        <f>IF(ESales_DB[[#This Row],[Quantity1]]&gt;3,"Bulk order","Normal order")</f>
        <v>Normal order</v>
      </c>
    </row>
    <row r="668" spans="1:19" x14ac:dyDescent="0.3">
      <c r="A668" t="s">
        <v>3424</v>
      </c>
      <c r="B668" s="4">
        <v>45887</v>
      </c>
      <c r="C668" s="4" t="str">
        <f>TEXT(ESales_DB[[#This Row],[Order_Date]],"mmm")</f>
        <v>Aug</v>
      </c>
      <c r="D668" t="s">
        <v>565</v>
      </c>
      <c r="E668" t="s">
        <v>1624</v>
      </c>
      <c r="F668" t="s">
        <v>1807</v>
      </c>
      <c r="G668">
        <v>3</v>
      </c>
      <c r="H668" s="10">
        <f>IF(ISBLANK(ESales_DB[[#This Row],[Quantity]]),AVERAGEIF(ESales_DB[Product_ID],ESales_DB[[#This Row],[Product_ID]],ESales_DB[Quantity]),ESales_DB[[#This Row],[Quantity]])</f>
        <v>3</v>
      </c>
      <c r="I668" s="2">
        <v>453.19</v>
      </c>
      <c r="J668">
        <v>0.08</v>
      </c>
      <c r="K668" t="s">
        <v>1829</v>
      </c>
      <c r="L668" s="2">
        <v>1250.8044</v>
      </c>
      <c r="M668" s="2" t="str">
        <f>IF(ESales_DB[[#This Row],[Total_Amount]]&gt;1000,"High","Low")</f>
        <v>High</v>
      </c>
      <c r="N668" s="2" t="str">
        <f>VLOOKUP(ESales_DB[[#This Row],[Customer_ID]],Ecustom_DB[],3,FALSE)</f>
        <v>Christopher Garcia Dds</v>
      </c>
      <c r="O668" s="2" t="str">
        <f>_xlfn.XLOOKUP(ESales_DB[[#This Row],[Product_ID]],Eproduct_DB[Product_ID],Eproduct_DB[Category])</f>
        <v>Sports</v>
      </c>
      <c r="P668" s="2" t="str">
        <f>_xlfn.XLOOKUP(ESales_DB[[#This Row],[Product_ID]],Eproduct_DB[Product_ID],Eproduct_DB[Product_Name])</f>
        <v>Sports Water Hydration Pack</v>
      </c>
      <c r="Q668" s="2" t="str">
        <f>_xlfn.XLOOKUP(ESales_DB[[#This Row],[Store_ID]],Estore_DB[Store_ID],Estore_DB[Region])</f>
        <v>North</v>
      </c>
      <c r="R668" t="str">
        <f>VLOOKUP(ESales_DB[[#This Row],[Customer_ID]],Ecustom_DB[],10,FALSE)</f>
        <v>Gold</v>
      </c>
      <c r="S668" t="str">
        <f>IF(ESales_DB[[#This Row],[Quantity1]]&gt;3,"Bulk order","Normal order")</f>
        <v>Normal order</v>
      </c>
    </row>
    <row r="669" spans="1:19" x14ac:dyDescent="0.3">
      <c r="A669" t="s">
        <v>3425</v>
      </c>
      <c r="B669" s="4">
        <v>45567</v>
      </c>
      <c r="C669" s="4" t="str">
        <f>TEXT(ESales_DB[[#This Row],[Order_Date]],"mmm")</f>
        <v>Oct</v>
      </c>
      <c r="D669" t="s">
        <v>755</v>
      </c>
      <c r="E669" t="s">
        <v>1708</v>
      </c>
      <c r="F669" t="s">
        <v>1789</v>
      </c>
      <c r="G669">
        <v>2</v>
      </c>
      <c r="H669" s="10">
        <f>IF(ISBLANK(ESales_DB[[#This Row],[Quantity]]),AVERAGEIF(ESales_DB[Product_ID],ESales_DB[[#This Row],[Product_ID]],ESales_DB[Quantity]),ESales_DB[[#This Row],[Quantity]])</f>
        <v>2</v>
      </c>
      <c r="I669" s="2">
        <v>61.31</v>
      </c>
      <c r="J669">
        <v>0.15</v>
      </c>
      <c r="K669" t="s">
        <v>1829</v>
      </c>
      <c r="L669" s="2">
        <v>104.227</v>
      </c>
      <c r="M669" s="2" t="str">
        <f>IF(ESales_DB[[#This Row],[Total_Amount]]&gt;1000,"High","Low")</f>
        <v>Low</v>
      </c>
      <c r="N669" s="2" t="str">
        <f>VLOOKUP(ESales_DB[[#This Row],[Customer_ID]],Ecustom_DB[],3,FALSE)</f>
        <v>Jon Ortiz</v>
      </c>
      <c r="O669" s="2" t="str">
        <f>_xlfn.XLOOKUP(ESales_DB[[#This Row],[Product_ID]],Eproduct_DB[Product_ID],Eproduct_DB[Category])</f>
        <v>Home</v>
      </c>
      <c r="P669" s="2" t="str">
        <f>_xlfn.XLOOKUP(ESales_DB[[#This Row],[Product_ID]],Eproduct_DB[Product_ID],Eproduct_DB[Product_Name])</f>
        <v>Wall-Mounted Spice Rack</v>
      </c>
      <c r="Q669" s="2" t="str">
        <f>_xlfn.XLOOKUP(ESales_DB[[#This Row],[Store_ID]],Estore_DB[Store_ID],Estore_DB[Region])</f>
        <v>East</v>
      </c>
      <c r="R669" t="str">
        <f>VLOOKUP(ESales_DB[[#This Row],[Customer_ID]],Ecustom_DB[],10,FALSE)</f>
        <v>Bronze</v>
      </c>
      <c r="S669" t="str">
        <f>IF(ESales_DB[[#This Row],[Quantity1]]&gt;3,"Bulk order","Normal order")</f>
        <v>Normal order</v>
      </c>
    </row>
    <row r="670" spans="1:19" x14ac:dyDescent="0.3">
      <c r="A670" t="s">
        <v>1842</v>
      </c>
      <c r="B670" s="4">
        <v>45913</v>
      </c>
      <c r="C670" s="4" t="str">
        <f>TEXT(ESales_DB[[#This Row],[Order_Date]],"mmm")</f>
        <v>Sep</v>
      </c>
      <c r="D670" t="s">
        <v>878</v>
      </c>
      <c r="E670" t="s">
        <v>1678</v>
      </c>
      <c r="F670" t="s">
        <v>1813</v>
      </c>
      <c r="G670">
        <v>2</v>
      </c>
      <c r="H670" s="10">
        <f>IF(ISBLANK(ESales_DB[[#This Row],[Quantity]]),AVERAGEIF(ESales_DB[Product_ID],ESales_DB[[#This Row],[Product_ID]],ESales_DB[Quantity]),ESales_DB[[#This Row],[Quantity]])</f>
        <v>2</v>
      </c>
      <c r="I670" s="2">
        <v>451.98</v>
      </c>
      <c r="J670">
        <v>0.25</v>
      </c>
      <c r="K670" t="s">
        <v>1824</v>
      </c>
      <c r="L670" s="2">
        <v>677.97</v>
      </c>
      <c r="M670" s="2" t="str">
        <f>IF(ESales_DB[[#This Row],[Total_Amount]]&gt;1000,"High","Low")</f>
        <v>Low</v>
      </c>
      <c r="N670" s="2" t="str">
        <f>VLOOKUP(ESales_DB[[#This Row],[Customer_ID]],Ecustom_DB[],3,FALSE)</f>
        <v>Arthur Warren</v>
      </c>
      <c r="O670" s="2" t="str">
        <f>_xlfn.XLOOKUP(ESales_DB[[#This Row],[Product_ID]],Eproduct_DB[Product_ID],Eproduct_DB[Category])</f>
        <v>Sports</v>
      </c>
      <c r="P670" s="2" t="str">
        <f>_xlfn.XLOOKUP(ESales_DB[[#This Row],[Product_ID]],Eproduct_DB[Product_ID],Eproduct_DB[Product_Name])</f>
        <v>Adjustable Dumbbells 20kg</v>
      </c>
      <c r="Q670" s="2" t="str">
        <f>_xlfn.XLOOKUP(ESales_DB[[#This Row],[Store_ID]],Estore_DB[Store_ID],Estore_DB[Region])</f>
        <v>East</v>
      </c>
      <c r="R670" t="str">
        <f>VLOOKUP(ESales_DB[[#This Row],[Customer_ID]],Ecustom_DB[],10,FALSE)</f>
        <v>Gold</v>
      </c>
      <c r="S670" t="str">
        <f>IF(ESales_DB[[#This Row],[Quantity1]]&gt;3,"Bulk order","Normal order")</f>
        <v>Normal order</v>
      </c>
    </row>
    <row r="671" spans="1:19" x14ac:dyDescent="0.3">
      <c r="A671" t="s">
        <v>1986</v>
      </c>
      <c r="B671" s="4">
        <v>45918</v>
      </c>
      <c r="C671" s="4" t="str">
        <f>TEXT(ESales_DB[[#This Row],[Order_Date]],"mmm")</f>
        <v>Sep</v>
      </c>
      <c r="D671" t="s">
        <v>89</v>
      </c>
      <c r="E671" t="s">
        <v>1688</v>
      </c>
      <c r="F671" t="s">
        <v>1810</v>
      </c>
      <c r="G671">
        <v>2</v>
      </c>
      <c r="H671" s="10">
        <f>IF(ISBLANK(ESales_DB[[#This Row],[Quantity]]),AVERAGEIF(ESales_DB[Product_ID],ESales_DB[[#This Row],[Product_ID]],ESales_DB[Quantity]),ESales_DB[[#This Row],[Quantity]])</f>
        <v>2</v>
      </c>
      <c r="I671" s="2">
        <v>623.38</v>
      </c>
      <c r="J671">
        <v>0.13</v>
      </c>
      <c r="K671" t="s">
        <v>1824</v>
      </c>
      <c r="L671" s="2">
        <v>1084.6812</v>
      </c>
      <c r="M671" s="2" t="str">
        <f>IF(ESales_DB[[#This Row],[Total_Amount]]&gt;1000,"High","Low")</f>
        <v>High</v>
      </c>
      <c r="N671" s="2" t="str">
        <f>VLOOKUP(ESales_DB[[#This Row],[Customer_ID]],Ecustom_DB[],3,FALSE)</f>
        <v>Bridget Allen</v>
      </c>
      <c r="O671" s="2" t="str">
        <f>_xlfn.XLOOKUP(ESales_DB[[#This Row],[Product_ID]],Eproduct_DB[Product_ID],Eproduct_DB[Category])</f>
        <v>Home</v>
      </c>
      <c r="P671" s="2" t="str">
        <f>_xlfn.XLOOKUP(ESales_DB[[#This Row],[Product_ID]],Eproduct_DB[Product_ID],Eproduct_DB[Product_Name])</f>
        <v>Kitchen Storage Rack</v>
      </c>
      <c r="Q671" s="2" t="str">
        <f>_xlfn.XLOOKUP(ESales_DB[[#This Row],[Store_ID]],Estore_DB[Store_ID],Estore_DB[Region])</f>
        <v>East</v>
      </c>
      <c r="R671" t="str">
        <f>VLOOKUP(ESales_DB[[#This Row],[Customer_ID]],Ecustom_DB[],10,FALSE)</f>
        <v>Silver</v>
      </c>
      <c r="S671" t="str">
        <f>IF(ESales_DB[[#This Row],[Quantity1]]&gt;3,"Bulk order","Normal order")</f>
        <v>Normal order</v>
      </c>
    </row>
    <row r="672" spans="1:19" x14ac:dyDescent="0.3">
      <c r="A672" t="s">
        <v>3426</v>
      </c>
      <c r="B672" s="4">
        <v>45223</v>
      </c>
      <c r="C672" s="4" t="str">
        <f>TEXT(ESales_DB[[#This Row],[Order_Date]],"mmm")</f>
        <v>Oct</v>
      </c>
      <c r="D672" t="s">
        <v>1074</v>
      </c>
      <c r="E672" t="s">
        <v>1710</v>
      </c>
      <c r="F672" t="s">
        <v>1789</v>
      </c>
      <c r="G672">
        <v>2</v>
      </c>
      <c r="H672" s="10">
        <f>IF(ISBLANK(ESales_DB[[#This Row],[Quantity]]),AVERAGEIF(ESales_DB[Product_ID],ESales_DB[[#This Row],[Product_ID]],ESales_DB[Quantity]),ESales_DB[[#This Row],[Quantity]])</f>
        <v>2</v>
      </c>
      <c r="I672" s="2">
        <v>870.13</v>
      </c>
      <c r="J672">
        <v>0.23</v>
      </c>
      <c r="K672" t="s">
        <v>1824</v>
      </c>
      <c r="L672" s="2">
        <v>1340.0001999999999</v>
      </c>
      <c r="M672" s="2" t="str">
        <f>IF(ESales_DB[[#This Row],[Total_Amount]]&gt;1000,"High","Low")</f>
        <v>High</v>
      </c>
      <c r="N672" s="2" t="str">
        <f>VLOOKUP(ESales_DB[[#This Row],[Customer_ID]],Ecustom_DB[],3,FALSE)</f>
        <v>Michelle Cunningham</v>
      </c>
      <c r="O672" s="2" t="str">
        <f>_xlfn.XLOOKUP(ESales_DB[[#This Row],[Product_ID]],Eproduct_DB[Product_ID],Eproduct_DB[Category])</f>
        <v>Sports</v>
      </c>
      <c r="P672" s="2" t="str">
        <f>_xlfn.XLOOKUP(ESales_DB[[#This Row],[Product_ID]],Eproduct_DB[Product_ID],Eproduct_DB[Product_Name])</f>
        <v>Badminton Racket Set</v>
      </c>
      <c r="Q672" s="2" t="str">
        <f>_xlfn.XLOOKUP(ESales_DB[[#This Row],[Store_ID]],Estore_DB[Store_ID],Estore_DB[Region])</f>
        <v>East</v>
      </c>
      <c r="R672" t="str">
        <f>VLOOKUP(ESales_DB[[#This Row],[Customer_ID]],Ecustom_DB[],10,FALSE)</f>
        <v>Bronze</v>
      </c>
      <c r="S672" t="str">
        <f>IF(ESales_DB[[#This Row],[Quantity1]]&gt;3,"Bulk order","Normal order")</f>
        <v>Normal order</v>
      </c>
    </row>
    <row r="673" spans="1:19" x14ac:dyDescent="0.3">
      <c r="A673" t="s">
        <v>3427</v>
      </c>
      <c r="B673" s="4">
        <v>45664</v>
      </c>
      <c r="C673" s="4" t="str">
        <f>TEXT(ESales_DB[[#This Row],[Order_Date]],"mmm")</f>
        <v>Jan</v>
      </c>
      <c r="D673" t="s">
        <v>247</v>
      </c>
      <c r="E673" t="s">
        <v>1578</v>
      </c>
      <c r="F673" t="s">
        <v>1813</v>
      </c>
      <c r="G673">
        <v>1</v>
      </c>
      <c r="H673" s="10">
        <f>IF(ISBLANK(ESales_DB[[#This Row],[Quantity]]),AVERAGEIF(ESales_DB[Product_ID],ESales_DB[[#This Row],[Product_ID]],ESales_DB[Quantity]),ESales_DB[[#This Row],[Quantity]])</f>
        <v>1</v>
      </c>
      <c r="I673" s="2">
        <v>336.51</v>
      </c>
      <c r="J673">
        <v>0.11</v>
      </c>
      <c r="K673" t="s">
        <v>1826</v>
      </c>
      <c r="L673" s="2">
        <v>299.4939</v>
      </c>
      <c r="M673" s="2" t="str">
        <f>IF(ESales_DB[[#This Row],[Total_Amount]]&gt;1000,"High","Low")</f>
        <v>Low</v>
      </c>
      <c r="N673" s="2" t="str">
        <f>VLOOKUP(ESales_DB[[#This Row],[Customer_ID]],Ecustom_DB[],3,FALSE)</f>
        <v>Amber Mcclain</v>
      </c>
      <c r="O673" s="2" t="str">
        <f>_xlfn.XLOOKUP(ESales_DB[[#This Row],[Product_ID]],Eproduct_DB[Product_ID],Eproduct_DB[Category])</f>
        <v>Electronics</v>
      </c>
      <c r="P673" s="2" t="str">
        <f>_xlfn.XLOOKUP(ESales_DB[[#This Row],[Product_ID]],Eproduct_DB[Product_ID],Eproduct_DB[Product_Name])</f>
        <v>4K Home Projector</v>
      </c>
      <c r="Q673" s="2" t="str">
        <f>_xlfn.XLOOKUP(ESales_DB[[#This Row],[Store_ID]],Estore_DB[Store_ID],Estore_DB[Region])</f>
        <v>East</v>
      </c>
      <c r="R673" t="str">
        <f>VLOOKUP(ESales_DB[[#This Row],[Customer_ID]],Ecustom_DB[],10,FALSE)</f>
        <v>Silver</v>
      </c>
      <c r="S673" t="str">
        <f>IF(ESales_DB[[#This Row],[Quantity1]]&gt;3,"Bulk order","Normal order")</f>
        <v>Normal order</v>
      </c>
    </row>
    <row r="674" spans="1:19" x14ac:dyDescent="0.3">
      <c r="A674" t="s">
        <v>3428</v>
      </c>
      <c r="B674" s="4">
        <v>45313</v>
      </c>
      <c r="C674" s="4" t="str">
        <f>TEXT(ESales_DB[[#This Row],[Order_Date]],"mmm")</f>
        <v>Jan</v>
      </c>
      <c r="D674" t="s">
        <v>598</v>
      </c>
      <c r="E674" t="s">
        <v>1682</v>
      </c>
      <c r="F674" t="s">
        <v>1752</v>
      </c>
      <c r="G674">
        <v>1</v>
      </c>
      <c r="H674" s="10">
        <f>IF(ISBLANK(ESales_DB[[#This Row],[Quantity]]),AVERAGEIF(ESales_DB[Product_ID],ESales_DB[[#This Row],[Product_ID]],ESales_DB[Quantity]),ESales_DB[[#This Row],[Quantity]])</f>
        <v>1</v>
      </c>
      <c r="I674" s="2">
        <v>305.70999999999998</v>
      </c>
      <c r="J674">
        <v>0.26</v>
      </c>
      <c r="K674" t="s">
        <v>1829</v>
      </c>
      <c r="L674" s="2">
        <v>226.22540000000001</v>
      </c>
      <c r="M674" s="2" t="str">
        <f>IF(ESales_DB[[#This Row],[Total_Amount]]&gt;1000,"High","Low")</f>
        <v>Low</v>
      </c>
      <c r="N674" s="2" t="str">
        <f>VLOOKUP(ESales_DB[[#This Row],[Customer_ID]],Ecustom_DB[],3,FALSE)</f>
        <v>Erin Ward</v>
      </c>
      <c r="O674" s="2" t="str">
        <f>_xlfn.XLOOKUP(ESales_DB[[#This Row],[Product_ID]],Eproduct_DB[Product_ID],Eproduct_DB[Category])</f>
        <v>Electronics</v>
      </c>
      <c r="P674" s="2" t="str">
        <f>_xlfn.XLOOKUP(ESales_DB[[#This Row],[Product_ID]],Eproduct_DB[Product_ID],Eproduct_DB[Product_Name])</f>
        <v>Smart LED Light Strip</v>
      </c>
      <c r="Q674" s="2" t="str">
        <f>_xlfn.XLOOKUP(ESales_DB[[#This Row],[Store_ID]],Estore_DB[Store_ID],Estore_DB[Region])</f>
        <v>East</v>
      </c>
      <c r="R674" t="str">
        <f>VLOOKUP(ESales_DB[[#This Row],[Customer_ID]],Ecustom_DB[],10,FALSE)</f>
        <v>Bronze</v>
      </c>
      <c r="S674" t="str">
        <f>IF(ESales_DB[[#This Row],[Quantity1]]&gt;3,"Bulk order","Normal order")</f>
        <v>Normal order</v>
      </c>
    </row>
    <row r="675" spans="1:19" x14ac:dyDescent="0.3">
      <c r="A675" t="s">
        <v>3429</v>
      </c>
      <c r="B675" s="4">
        <v>45224</v>
      </c>
      <c r="C675" s="4" t="str">
        <f>TEXT(ESales_DB[[#This Row],[Order_Date]],"mmm")</f>
        <v>Oct</v>
      </c>
      <c r="D675" t="s">
        <v>419</v>
      </c>
      <c r="E675" t="s">
        <v>1568</v>
      </c>
      <c r="F675" t="s">
        <v>1810</v>
      </c>
      <c r="G675">
        <v>2</v>
      </c>
      <c r="H675" s="10">
        <f>IF(ISBLANK(ESales_DB[[#This Row],[Quantity]]),AVERAGEIF(ESales_DB[Product_ID],ESales_DB[[#This Row],[Product_ID]],ESales_DB[Quantity]),ESales_DB[[#This Row],[Quantity]])</f>
        <v>2</v>
      </c>
      <c r="I675" s="2">
        <v>635.39</v>
      </c>
      <c r="J675">
        <v>0.28999999999999998</v>
      </c>
      <c r="K675" t="s">
        <v>1829</v>
      </c>
      <c r="L675" s="2">
        <v>902.25379999999996</v>
      </c>
      <c r="M675" s="2" t="str">
        <f>IF(ESales_DB[[#This Row],[Total_Amount]]&gt;1000,"High","Low")</f>
        <v>Low</v>
      </c>
      <c r="N675" s="2" t="str">
        <f>VLOOKUP(ESales_DB[[#This Row],[Customer_ID]],Ecustom_DB[],3,FALSE)</f>
        <v>Joel Robinson</v>
      </c>
      <c r="O675" s="2" t="str">
        <f>_xlfn.XLOOKUP(ESales_DB[[#This Row],[Product_ID]],Eproduct_DB[Product_ID],Eproduct_DB[Category])</f>
        <v>Home</v>
      </c>
      <c r="P675" s="2" t="str">
        <f>_xlfn.XLOOKUP(ESales_DB[[#This Row],[Product_ID]],Eproduct_DB[Product_ID],Eproduct_DB[Product_Name])</f>
        <v>Ceramic Kitchen Bowl Set</v>
      </c>
      <c r="Q675" s="2" t="str">
        <f>_xlfn.XLOOKUP(ESales_DB[[#This Row],[Store_ID]],Estore_DB[Store_ID],Estore_DB[Region])</f>
        <v>East</v>
      </c>
      <c r="R675" t="str">
        <f>VLOOKUP(ESales_DB[[#This Row],[Customer_ID]],Ecustom_DB[],10,FALSE)</f>
        <v>Platinum</v>
      </c>
      <c r="S675" t="str">
        <f>IF(ESales_DB[[#This Row],[Quantity1]]&gt;3,"Bulk order","Normal order")</f>
        <v>Normal order</v>
      </c>
    </row>
    <row r="676" spans="1:19" x14ac:dyDescent="0.3">
      <c r="A676" t="s">
        <v>3430</v>
      </c>
      <c r="B676" s="4">
        <v>45491</v>
      </c>
      <c r="C676" s="4" t="str">
        <f>TEXT(ESales_DB[[#This Row],[Order_Date]],"mmm")</f>
        <v>Jul</v>
      </c>
      <c r="D676" t="s">
        <v>405</v>
      </c>
      <c r="E676" t="s">
        <v>1732</v>
      </c>
      <c r="F676" t="s">
        <v>1813</v>
      </c>
      <c r="G676">
        <v>2</v>
      </c>
      <c r="H676" s="10">
        <f>IF(ISBLANK(ESales_DB[[#This Row],[Quantity]]),AVERAGEIF(ESales_DB[Product_ID],ESales_DB[[#This Row],[Product_ID]],ESales_DB[Quantity]),ESales_DB[[#This Row],[Quantity]])</f>
        <v>2</v>
      </c>
      <c r="I676" s="2">
        <v>253.87</v>
      </c>
      <c r="J676">
        <v>0.23</v>
      </c>
      <c r="K676" t="s">
        <v>1829</v>
      </c>
      <c r="L676" s="2">
        <v>390.95979999999997</v>
      </c>
      <c r="M676" s="2" t="str">
        <f>IF(ESales_DB[[#This Row],[Total_Amount]]&gt;1000,"High","Low")</f>
        <v>Low</v>
      </c>
      <c r="N676" s="2" t="str">
        <f>VLOOKUP(ESales_DB[[#This Row],[Customer_ID]],Ecustom_DB[],3,FALSE)</f>
        <v>Anthony Phillips</v>
      </c>
      <c r="O676" s="2" t="str">
        <f>_xlfn.XLOOKUP(ESales_DB[[#This Row],[Product_ID]],Eproduct_DB[Product_ID],Eproduct_DB[Category])</f>
        <v>Home</v>
      </c>
      <c r="P676" s="2" t="str">
        <f>_xlfn.XLOOKUP(ESales_DB[[#This Row],[Product_ID]],Eproduct_DB[Product_ID],Eproduct_DB[Product_Name])</f>
        <v>Microwave Oven</v>
      </c>
      <c r="Q676" s="2" t="str">
        <f>_xlfn.XLOOKUP(ESales_DB[[#This Row],[Store_ID]],Estore_DB[Store_ID],Estore_DB[Region])</f>
        <v>East</v>
      </c>
      <c r="R676" t="str">
        <f>VLOOKUP(ESales_DB[[#This Row],[Customer_ID]],Ecustom_DB[],10,FALSE)</f>
        <v>Platinum</v>
      </c>
      <c r="S676" t="str">
        <f>IF(ESales_DB[[#This Row],[Quantity1]]&gt;3,"Bulk order","Normal order")</f>
        <v>Normal order</v>
      </c>
    </row>
    <row r="677" spans="1:19" x14ac:dyDescent="0.3">
      <c r="A677" t="s">
        <v>3431</v>
      </c>
      <c r="B677" s="4">
        <v>45472</v>
      </c>
      <c r="C677" s="4" t="str">
        <f>TEXT(ESales_DB[[#This Row],[Order_Date]],"mmm")</f>
        <v>Jun</v>
      </c>
      <c r="D677" t="s">
        <v>1489</v>
      </c>
      <c r="E677" t="s">
        <v>1700</v>
      </c>
      <c r="F677" t="s">
        <v>1807</v>
      </c>
      <c r="G677">
        <v>3</v>
      </c>
      <c r="H677" s="10">
        <f>IF(ISBLANK(ESales_DB[[#This Row],[Quantity]]),AVERAGEIF(ESales_DB[Product_ID],ESales_DB[[#This Row],[Product_ID]],ESales_DB[Quantity]),ESales_DB[[#This Row],[Quantity]])</f>
        <v>3</v>
      </c>
      <c r="I677" s="2">
        <v>915.81</v>
      </c>
      <c r="J677">
        <v>0.17</v>
      </c>
      <c r="K677" t="s">
        <v>1829</v>
      </c>
      <c r="L677" s="2">
        <v>2280.3669</v>
      </c>
      <c r="M677" s="2" t="str">
        <f>IF(ESales_DB[[#This Row],[Total_Amount]]&gt;1000,"High","Low")</f>
        <v>High</v>
      </c>
      <c r="N677" s="2" t="str">
        <f>VLOOKUP(ESales_DB[[#This Row],[Customer_ID]],Ecustom_DB[],3,FALSE)</f>
        <v>Jessica Castro</v>
      </c>
      <c r="O677" s="2" t="str">
        <f>_xlfn.XLOOKUP(ESales_DB[[#This Row],[Product_ID]],Eproduct_DB[Product_ID],Eproduct_DB[Category])</f>
        <v>Electronics</v>
      </c>
      <c r="P677" s="2" t="str">
        <f>_xlfn.XLOOKUP(ESales_DB[[#This Row],[Product_ID]],Eproduct_DB[Product_ID],Eproduct_DB[Product_Name])</f>
        <v>Wireless Mouse</v>
      </c>
      <c r="Q677" s="2" t="str">
        <f>_xlfn.XLOOKUP(ESales_DB[[#This Row],[Store_ID]],Estore_DB[Store_ID],Estore_DB[Region])</f>
        <v>North</v>
      </c>
      <c r="R677" t="str">
        <f>VLOOKUP(ESales_DB[[#This Row],[Customer_ID]],Ecustom_DB[],10,FALSE)</f>
        <v>Bronze</v>
      </c>
      <c r="S677" t="str">
        <f>IF(ESales_DB[[#This Row],[Quantity1]]&gt;3,"Bulk order","Normal order")</f>
        <v>Normal order</v>
      </c>
    </row>
    <row r="678" spans="1:19" x14ac:dyDescent="0.3">
      <c r="A678" t="s">
        <v>3432</v>
      </c>
      <c r="B678" s="4">
        <v>45795</v>
      </c>
      <c r="C678" s="4" t="str">
        <f>TEXT(ESales_DB[[#This Row],[Order_Date]],"mmm")</f>
        <v>May</v>
      </c>
      <c r="D678" t="s">
        <v>681</v>
      </c>
      <c r="E678" t="s">
        <v>1632</v>
      </c>
      <c r="F678" t="s">
        <v>1782</v>
      </c>
      <c r="G678">
        <v>3</v>
      </c>
      <c r="H678" s="10">
        <f>IF(ISBLANK(ESales_DB[[#This Row],[Quantity]]),AVERAGEIF(ESales_DB[Product_ID],ESales_DB[[#This Row],[Product_ID]],ESales_DB[Quantity]),ESales_DB[[#This Row],[Quantity]])</f>
        <v>3</v>
      </c>
      <c r="I678" s="2">
        <v>779.5</v>
      </c>
      <c r="J678">
        <v>0.02</v>
      </c>
      <c r="K678" t="s">
        <v>1824</v>
      </c>
      <c r="L678" s="2">
        <v>2291.73</v>
      </c>
      <c r="M678" s="2" t="str">
        <f>IF(ESales_DB[[#This Row],[Total_Amount]]&gt;1000,"High","Low")</f>
        <v>High</v>
      </c>
      <c r="N678" s="2" t="str">
        <f>VLOOKUP(ESales_DB[[#This Row],[Customer_ID]],Ecustom_DB[],3,FALSE)</f>
        <v>Joan Johnson</v>
      </c>
      <c r="O678" s="2" t="str">
        <f>_xlfn.XLOOKUP(ESales_DB[[#This Row],[Product_ID]],Eproduct_DB[Product_ID],Eproduct_DB[Category])</f>
        <v>Electronics</v>
      </c>
      <c r="P678" s="2" t="str">
        <f>_xlfn.XLOOKUP(ESales_DB[[#This Row],[Product_ID]],Eproduct_DB[Product_ID],Eproduct_DB[Product_Name])</f>
        <v>Smart Home WiFi Camera</v>
      </c>
      <c r="Q678" s="2" t="str">
        <f>_xlfn.XLOOKUP(ESales_DB[[#This Row],[Store_ID]],Estore_DB[Store_ID],Estore_DB[Region])</f>
        <v>West</v>
      </c>
      <c r="R678" t="str">
        <f>VLOOKUP(ESales_DB[[#This Row],[Customer_ID]],Ecustom_DB[],10,FALSE)</f>
        <v>Platinum</v>
      </c>
      <c r="S678" t="str">
        <f>IF(ESales_DB[[#This Row],[Quantity1]]&gt;3,"Bulk order","Normal order")</f>
        <v>Normal order</v>
      </c>
    </row>
    <row r="679" spans="1:19" x14ac:dyDescent="0.3">
      <c r="A679" t="s">
        <v>3433</v>
      </c>
      <c r="B679" s="4">
        <v>45470</v>
      </c>
      <c r="C679" s="4" t="str">
        <f>TEXT(ESales_DB[[#This Row],[Order_Date]],"mmm")</f>
        <v>Jun</v>
      </c>
      <c r="D679" t="s">
        <v>1446</v>
      </c>
      <c r="E679" t="s">
        <v>1670</v>
      </c>
      <c r="F679" t="s">
        <v>1804</v>
      </c>
      <c r="G679">
        <v>2</v>
      </c>
      <c r="H679" s="10">
        <f>IF(ISBLANK(ESales_DB[[#This Row],[Quantity]]),AVERAGEIF(ESales_DB[Product_ID],ESales_DB[[#This Row],[Product_ID]],ESales_DB[Quantity]),ESales_DB[[#This Row],[Quantity]])</f>
        <v>2</v>
      </c>
      <c r="I679" s="2">
        <v>780.57</v>
      </c>
      <c r="J679">
        <v>0.26</v>
      </c>
      <c r="K679" t="s">
        <v>1824</v>
      </c>
      <c r="L679" s="2">
        <v>1155.2436</v>
      </c>
      <c r="M679" s="2" t="str">
        <f>IF(ESales_DB[[#This Row],[Total_Amount]]&gt;1000,"High","Low")</f>
        <v>High</v>
      </c>
      <c r="N679" s="2" t="str">
        <f>VLOOKUP(ESales_DB[[#This Row],[Customer_ID]],Ecustom_DB[],3,FALSE)</f>
        <v>James Foster</v>
      </c>
      <c r="O679" s="2" t="str">
        <f>_xlfn.XLOOKUP(ESales_DB[[#This Row],[Product_ID]],Eproduct_DB[Product_ID],Eproduct_DB[Category])</f>
        <v>Sports</v>
      </c>
      <c r="P679" s="2" t="str">
        <f>_xlfn.XLOOKUP(ESales_DB[[#This Row],[Product_ID]],Eproduct_DB[Product_ID],Eproduct_DB[Product_Name])</f>
        <v>Tennis Ball 3-Pack</v>
      </c>
      <c r="Q679" s="2" t="str">
        <f>_xlfn.XLOOKUP(ESales_DB[[#This Row],[Store_ID]],Estore_DB[Store_ID],Estore_DB[Region])</f>
        <v>West</v>
      </c>
      <c r="R679" t="str">
        <f>VLOOKUP(ESales_DB[[#This Row],[Customer_ID]],Ecustom_DB[],10,FALSE)</f>
        <v>Gold</v>
      </c>
      <c r="S679" t="str">
        <f>IF(ESales_DB[[#This Row],[Quantity1]]&gt;3,"Bulk order","Normal order")</f>
        <v>Normal order</v>
      </c>
    </row>
    <row r="680" spans="1:19" x14ac:dyDescent="0.3">
      <c r="A680" t="s">
        <v>3434</v>
      </c>
      <c r="B680" s="4">
        <v>45390</v>
      </c>
      <c r="C680" s="4" t="str">
        <f>TEXT(ESales_DB[[#This Row],[Order_Date]],"mmm")</f>
        <v>Apr</v>
      </c>
      <c r="D680" t="s">
        <v>1196</v>
      </c>
      <c r="E680" t="s">
        <v>1738</v>
      </c>
      <c r="F680" t="s">
        <v>1813</v>
      </c>
      <c r="G680">
        <v>1</v>
      </c>
      <c r="H680" s="10">
        <f>IF(ISBLANK(ESales_DB[[#This Row],[Quantity]]),AVERAGEIF(ESales_DB[Product_ID],ESales_DB[[#This Row],[Product_ID]],ESales_DB[Quantity]),ESales_DB[[#This Row],[Quantity]])</f>
        <v>1</v>
      </c>
      <c r="I680" s="2">
        <v>511.35</v>
      </c>
      <c r="J680">
        <v>0</v>
      </c>
      <c r="K680" t="s">
        <v>1824</v>
      </c>
      <c r="L680" s="2">
        <v>511.35</v>
      </c>
      <c r="M680" s="2" t="str">
        <f>IF(ESales_DB[[#This Row],[Total_Amount]]&gt;1000,"High","Low")</f>
        <v>Low</v>
      </c>
      <c r="N680" s="2" t="str">
        <f>VLOOKUP(ESales_DB[[#This Row],[Customer_ID]],Ecustom_DB[],3,FALSE)</f>
        <v>Kristine Higgins</v>
      </c>
      <c r="O680" s="2" t="str">
        <f>_xlfn.XLOOKUP(ESales_DB[[#This Row],[Product_ID]],Eproduct_DB[Product_ID],Eproduct_DB[Category])</f>
        <v>Sports</v>
      </c>
      <c r="P680" s="2" t="str">
        <f>_xlfn.XLOOKUP(ESales_DB[[#This Row],[Product_ID]],Eproduct_DB[Product_ID],Eproduct_DB[Product_Name])</f>
        <v>Sports Stopwatch Basic</v>
      </c>
      <c r="Q680" s="2" t="str">
        <f>_xlfn.XLOOKUP(ESales_DB[[#This Row],[Store_ID]],Estore_DB[Store_ID],Estore_DB[Region])</f>
        <v>East</v>
      </c>
      <c r="R680" t="str">
        <f>VLOOKUP(ESales_DB[[#This Row],[Customer_ID]],Ecustom_DB[],10,FALSE)</f>
        <v>Silver</v>
      </c>
      <c r="S680" t="str">
        <f>IF(ESales_DB[[#This Row],[Quantity1]]&gt;3,"Bulk order","Normal order")</f>
        <v>Normal order</v>
      </c>
    </row>
    <row r="681" spans="1:19" x14ac:dyDescent="0.3">
      <c r="A681" t="s">
        <v>3435</v>
      </c>
      <c r="B681" s="4">
        <v>45803</v>
      </c>
      <c r="C681" s="4" t="str">
        <f>TEXT(ESales_DB[[#This Row],[Order_Date]],"mmm")</f>
        <v>May</v>
      </c>
      <c r="D681" t="s">
        <v>75</v>
      </c>
      <c r="E681" t="s">
        <v>1742</v>
      </c>
      <c r="F681" t="s">
        <v>1766</v>
      </c>
      <c r="G681">
        <v>4</v>
      </c>
      <c r="H681" s="10">
        <f>IF(ISBLANK(ESales_DB[[#This Row],[Quantity]]),AVERAGEIF(ESales_DB[Product_ID],ESales_DB[[#This Row],[Product_ID]],ESales_DB[Quantity]),ESales_DB[[#This Row],[Quantity]])</f>
        <v>4</v>
      </c>
      <c r="I681" s="2">
        <v>44.07</v>
      </c>
      <c r="J681">
        <v>0.28999999999999998</v>
      </c>
      <c r="K681" t="s">
        <v>1829</v>
      </c>
      <c r="L681" s="2">
        <v>125.1588</v>
      </c>
      <c r="M681" s="2" t="str">
        <f>IF(ESales_DB[[#This Row],[Total_Amount]]&gt;1000,"High","Low")</f>
        <v>Low</v>
      </c>
      <c r="N681" s="2" t="str">
        <f>VLOOKUP(ESales_DB[[#This Row],[Customer_ID]],Ecustom_DB[],3,FALSE)</f>
        <v>John Scott</v>
      </c>
      <c r="O681" s="2" t="str">
        <f>_xlfn.XLOOKUP(ESales_DB[[#This Row],[Product_ID]],Eproduct_DB[Product_ID],Eproduct_DB[Category])</f>
        <v>Sports</v>
      </c>
      <c r="P681" s="2" t="str">
        <f>_xlfn.XLOOKUP(ESales_DB[[#This Row],[Product_ID]],Eproduct_DB[Product_ID],Eproduct_DB[Product_Name])</f>
        <v>Cricket Bat</v>
      </c>
      <c r="Q681" s="2" t="str">
        <f>_xlfn.XLOOKUP(ESales_DB[[#This Row],[Store_ID]],Estore_DB[Store_ID],Estore_DB[Region])</f>
        <v>North</v>
      </c>
      <c r="R681" t="str">
        <f>VLOOKUP(ESales_DB[[#This Row],[Customer_ID]],Ecustom_DB[],10,FALSE)</f>
        <v>Bronze</v>
      </c>
      <c r="S681" t="str">
        <f>IF(ESales_DB[[#This Row],[Quantity1]]&gt;3,"Bulk order","Normal order")</f>
        <v>Bulk order</v>
      </c>
    </row>
    <row r="682" spans="1:19" x14ac:dyDescent="0.3">
      <c r="A682" t="s">
        <v>1987</v>
      </c>
      <c r="B682" s="4">
        <v>45729</v>
      </c>
      <c r="C682" s="4" t="str">
        <f>TEXT(ESales_DB[[#This Row],[Order_Date]],"mmm")</f>
        <v>Mar</v>
      </c>
      <c r="D682" t="s">
        <v>218</v>
      </c>
      <c r="E682" t="s">
        <v>1688</v>
      </c>
      <c r="F682" t="s">
        <v>1752</v>
      </c>
      <c r="G682">
        <v>1</v>
      </c>
      <c r="H682" s="10">
        <f>IF(ISBLANK(ESales_DB[[#This Row],[Quantity]]),AVERAGEIF(ESales_DB[Product_ID],ESales_DB[[#This Row],[Product_ID]],ESales_DB[Quantity]),ESales_DB[[#This Row],[Quantity]])</f>
        <v>1</v>
      </c>
      <c r="I682" s="2">
        <v>479.58</v>
      </c>
      <c r="J682">
        <v>0.05</v>
      </c>
      <c r="K682" t="s">
        <v>1826</v>
      </c>
      <c r="L682" s="2">
        <v>455.60099999999989</v>
      </c>
      <c r="M682" s="2" t="str">
        <f>IF(ESales_DB[[#This Row],[Total_Amount]]&gt;1000,"High","Low")</f>
        <v>Low</v>
      </c>
      <c r="N682" s="2" t="str">
        <f>VLOOKUP(ESales_DB[[#This Row],[Customer_ID]],Ecustom_DB[],3,FALSE)</f>
        <v>Cheryl Copeland</v>
      </c>
      <c r="O682" s="2" t="str">
        <f>_xlfn.XLOOKUP(ESales_DB[[#This Row],[Product_ID]],Eproduct_DB[Product_ID],Eproduct_DB[Category])</f>
        <v>Home</v>
      </c>
      <c r="P682" s="2" t="str">
        <f>_xlfn.XLOOKUP(ESales_DB[[#This Row],[Product_ID]],Eproduct_DB[Product_ID],Eproduct_DB[Product_Name])</f>
        <v>Kitchen Storage Rack</v>
      </c>
      <c r="Q682" s="2" t="str">
        <f>_xlfn.XLOOKUP(ESales_DB[[#This Row],[Store_ID]],Estore_DB[Store_ID],Estore_DB[Region])</f>
        <v>East</v>
      </c>
      <c r="R682" t="str">
        <f>VLOOKUP(ESales_DB[[#This Row],[Customer_ID]],Ecustom_DB[],10,FALSE)</f>
        <v>Platinum</v>
      </c>
      <c r="S682" t="str">
        <f>IF(ESales_DB[[#This Row],[Quantity1]]&gt;3,"Bulk order","Normal order")</f>
        <v>Normal order</v>
      </c>
    </row>
    <row r="683" spans="1:19" x14ac:dyDescent="0.3">
      <c r="A683" t="s">
        <v>3436</v>
      </c>
      <c r="B683" s="4">
        <v>45320</v>
      </c>
      <c r="C683" s="4" t="str">
        <f>TEXT(ESales_DB[[#This Row],[Order_Date]],"mmm")</f>
        <v>Jan</v>
      </c>
      <c r="D683" t="s">
        <v>646</v>
      </c>
      <c r="E683" t="s">
        <v>1686</v>
      </c>
      <c r="F683" t="s">
        <v>1792</v>
      </c>
      <c r="G683">
        <v>2</v>
      </c>
      <c r="H683" s="10">
        <f>IF(ISBLANK(ESales_DB[[#This Row],[Quantity]]),AVERAGEIF(ESales_DB[Product_ID],ESales_DB[[#This Row],[Product_ID]],ESales_DB[Quantity]),ESales_DB[[#This Row],[Quantity]])</f>
        <v>2</v>
      </c>
      <c r="I683" s="2">
        <v>895.92</v>
      </c>
      <c r="J683">
        <v>0.15</v>
      </c>
      <c r="K683" t="s">
        <v>1824</v>
      </c>
      <c r="L683" s="2">
        <v>1523.0640000000001</v>
      </c>
      <c r="M683" s="2" t="str">
        <f>IF(ESales_DB[[#This Row],[Total_Amount]]&gt;1000,"High","Low")</f>
        <v>High</v>
      </c>
      <c r="N683" s="2" t="str">
        <f>VLOOKUP(ESales_DB[[#This Row],[Customer_ID]],Ecustom_DB[],3,FALSE)</f>
        <v>Andrea Jacobs</v>
      </c>
      <c r="O683" s="2" t="str">
        <f>_xlfn.XLOOKUP(ESales_DB[[#This Row],[Product_ID]],Eproduct_DB[Product_ID],Eproduct_DB[Category])</f>
        <v>Clothing</v>
      </c>
      <c r="P683" s="2" t="str">
        <f>_xlfn.XLOOKUP(ESales_DB[[#This Row],[Product_ID]],Eproduct_DB[Product_ID],Eproduct_DB[Product_Name])</f>
        <v>Men's Sports Shorts</v>
      </c>
      <c r="Q683" s="2" t="str">
        <f>_xlfn.XLOOKUP(ESales_DB[[#This Row],[Store_ID]],Estore_DB[Store_ID],Estore_DB[Region])</f>
        <v>South</v>
      </c>
      <c r="R683" t="str">
        <f>VLOOKUP(ESales_DB[[#This Row],[Customer_ID]],Ecustom_DB[],10,FALSE)</f>
        <v>Platinum</v>
      </c>
      <c r="S683" t="str">
        <f>IF(ESales_DB[[#This Row],[Quantity1]]&gt;3,"Bulk order","Normal order")</f>
        <v>Normal order</v>
      </c>
    </row>
    <row r="684" spans="1:19" x14ac:dyDescent="0.3">
      <c r="A684" t="s">
        <v>3437</v>
      </c>
      <c r="B684" s="4">
        <v>45619</v>
      </c>
      <c r="C684" s="4" t="str">
        <f>TEXT(ESales_DB[[#This Row],[Order_Date]],"mmm")</f>
        <v>Nov</v>
      </c>
      <c r="D684" t="s">
        <v>963</v>
      </c>
      <c r="E684" t="s">
        <v>1654</v>
      </c>
      <c r="F684" t="s">
        <v>1761</v>
      </c>
      <c r="G684">
        <v>4</v>
      </c>
      <c r="H684" s="10">
        <f>IF(ISBLANK(ESales_DB[[#This Row],[Quantity]]),AVERAGEIF(ESales_DB[Product_ID],ESales_DB[[#This Row],[Product_ID]],ESales_DB[Quantity]),ESales_DB[[#This Row],[Quantity]])</f>
        <v>4</v>
      </c>
      <c r="I684" s="2">
        <v>456.32</v>
      </c>
      <c r="J684">
        <v>0.22</v>
      </c>
      <c r="K684" t="s">
        <v>1829</v>
      </c>
      <c r="L684" s="2">
        <v>1423.7184</v>
      </c>
      <c r="M684" s="2" t="str">
        <f>IF(ESales_DB[[#This Row],[Total_Amount]]&gt;1000,"High","Low")</f>
        <v>High</v>
      </c>
      <c r="N684" s="2" t="str">
        <f>VLOOKUP(ESales_DB[[#This Row],[Customer_ID]],Ecustom_DB[],3,FALSE)</f>
        <v>Roberta Green</v>
      </c>
      <c r="O684" s="2" t="str">
        <f>_xlfn.XLOOKUP(ESales_DB[[#This Row],[Product_ID]],Eproduct_DB[Product_ID],Eproduct_DB[Category])</f>
        <v>Clothing</v>
      </c>
      <c r="P684" s="2" t="str">
        <f>_xlfn.XLOOKUP(ESales_DB[[#This Row],[Product_ID]],Eproduct_DB[Product_ID],Eproduct_DB[Product_Name])</f>
        <v>Men's Track Pants</v>
      </c>
      <c r="Q684" s="2" t="str">
        <f>_xlfn.XLOOKUP(ESales_DB[[#This Row],[Store_ID]],Estore_DB[Store_ID],Estore_DB[Region])</f>
        <v>South</v>
      </c>
      <c r="R684" t="str">
        <f>VLOOKUP(ESales_DB[[#This Row],[Customer_ID]],Ecustom_DB[],10,FALSE)</f>
        <v>Platinum</v>
      </c>
      <c r="S684" t="str">
        <f>IF(ESales_DB[[#This Row],[Quantity1]]&gt;3,"Bulk order","Normal order")</f>
        <v>Bulk order</v>
      </c>
    </row>
    <row r="685" spans="1:19" x14ac:dyDescent="0.3">
      <c r="A685" t="s">
        <v>3438</v>
      </c>
      <c r="B685" s="4">
        <v>45777</v>
      </c>
      <c r="C685" s="4" t="str">
        <f>TEXT(ESales_DB[[#This Row],[Order_Date]],"mmm")</f>
        <v>Apr</v>
      </c>
      <c r="D685" t="s">
        <v>1304</v>
      </c>
      <c r="E685" t="s">
        <v>1616</v>
      </c>
      <c r="F685" t="s">
        <v>1752</v>
      </c>
      <c r="G685">
        <v>1</v>
      </c>
      <c r="H685" s="10">
        <f>IF(ISBLANK(ESales_DB[[#This Row],[Quantity]]),AVERAGEIF(ESales_DB[Product_ID],ESales_DB[[#This Row],[Product_ID]],ESales_DB[Quantity]),ESales_DB[[#This Row],[Quantity]])</f>
        <v>1</v>
      </c>
      <c r="I685" s="2">
        <v>905.5</v>
      </c>
      <c r="J685">
        <v>0.28999999999999998</v>
      </c>
      <c r="K685" t="s">
        <v>1829</v>
      </c>
      <c r="L685" s="2">
        <v>642.90499999999997</v>
      </c>
      <c r="M685" s="2" t="str">
        <f>IF(ESales_DB[[#This Row],[Total_Amount]]&gt;1000,"High","Low")</f>
        <v>Low</v>
      </c>
      <c r="N685" s="2" t="str">
        <f>VLOOKUP(ESales_DB[[#This Row],[Customer_ID]],Ecustom_DB[],3,FALSE)</f>
        <v>Dr. Tamara White Md</v>
      </c>
      <c r="O685" s="2" t="str">
        <f>_xlfn.XLOOKUP(ESales_DB[[#This Row],[Product_ID]],Eproduct_DB[Product_ID],Eproduct_DB[Category])</f>
        <v>Electronics</v>
      </c>
      <c r="P685" s="2" t="str">
        <f>_xlfn.XLOOKUP(ESales_DB[[#This Row],[Product_ID]],Eproduct_DB[Product_ID],Eproduct_DB[Product_Name])</f>
        <v>Gaming Mechanical Keyboard</v>
      </c>
      <c r="Q685" s="2" t="str">
        <f>_xlfn.XLOOKUP(ESales_DB[[#This Row],[Store_ID]],Estore_DB[Store_ID],Estore_DB[Region])</f>
        <v>East</v>
      </c>
      <c r="R685" t="str">
        <f>VLOOKUP(ESales_DB[[#This Row],[Customer_ID]],Ecustom_DB[],10,FALSE)</f>
        <v>Bronze</v>
      </c>
      <c r="S685" t="str">
        <f>IF(ESales_DB[[#This Row],[Quantity1]]&gt;3,"Bulk order","Normal order")</f>
        <v>Normal order</v>
      </c>
    </row>
    <row r="686" spans="1:19" x14ac:dyDescent="0.3">
      <c r="A686" t="s">
        <v>3439</v>
      </c>
      <c r="B686" s="4">
        <v>45523</v>
      </c>
      <c r="C686" s="4" t="str">
        <f>TEXT(ESales_DB[[#This Row],[Order_Date]],"mmm")</f>
        <v>Aug</v>
      </c>
      <c r="D686" t="s">
        <v>666</v>
      </c>
      <c r="E686" t="s">
        <v>1580</v>
      </c>
      <c r="F686" t="s">
        <v>1797</v>
      </c>
      <c r="G686">
        <v>3</v>
      </c>
      <c r="H686" s="10">
        <f>IF(ISBLANK(ESales_DB[[#This Row],[Quantity]]),AVERAGEIF(ESales_DB[Product_ID],ESales_DB[[#This Row],[Product_ID]],ESales_DB[Quantity]),ESales_DB[[#This Row],[Quantity]])</f>
        <v>3</v>
      </c>
      <c r="I686" s="2">
        <v>63.19</v>
      </c>
      <c r="J686">
        <v>0.08</v>
      </c>
      <c r="K686" t="s">
        <v>1824</v>
      </c>
      <c r="L686" s="2">
        <v>174.40440000000001</v>
      </c>
      <c r="M686" s="2" t="str">
        <f>IF(ESales_DB[[#This Row],[Total_Amount]]&gt;1000,"High","Low")</f>
        <v>Low</v>
      </c>
      <c r="N686" s="2" t="str">
        <f>VLOOKUP(ESales_DB[[#This Row],[Customer_ID]],Ecustom_DB[],3,FALSE)</f>
        <v>Tiffany Herrera</v>
      </c>
      <c r="O686" s="2" t="str">
        <f>_xlfn.XLOOKUP(ESales_DB[[#This Row],[Product_ID]],Eproduct_DB[Product_ID],Eproduct_DB[Category])</f>
        <v>Beauty</v>
      </c>
      <c r="P686" s="2" t="str">
        <f>_xlfn.XLOOKUP(ESales_DB[[#This Row],[Product_ID]],Eproduct_DB[Product_ID],Eproduct_DB[Product_Name])</f>
        <v>Beard Grooming Kit</v>
      </c>
      <c r="Q686" s="2" t="str">
        <f>_xlfn.XLOOKUP(ESales_DB[[#This Row],[Store_ID]],Estore_DB[Store_ID],Estore_DB[Region])</f>
        <v>East</v>
      </c>
      <c r="R686" t="str">
        <f>VLOOKUP(ESales_DB[[#This Row],[Customer_ID]],Ecustom_DB[],10,FALSE)</f>
        <v>Platinum</v>
      </c>
      <c r="S686" t="str">
        <f>IF(ESales_DB[[#This Row],[Quantity1]]&gt;3,"Bulk order","Normal order")</f>
        <v>Normal order</v>
      </c>
    </row>
    <row r="687" spans="1:19" x14ac:dyDescent="0.3">
      <c r="A687" t="s">
        <v>3440</v>
      </c>
      <c r="B687" s="4">
        <v>45628</v>
      </c>
      <c r="C687" s="4" t="str">
        <f>TEXT(ESales_DB[[#This Row],[Order_Date]],"mmm")</f>
        <v>Dec</v>
      </c>
      <c r="D687" t="s">
        <v>191</v>
      </c>
      <c r="E687" t="s">
        <v>1688</v>
      </c>
      <c r="F687" t="s">
        <v>1779</v>
      </c>
      <c r="G687">
        <v>3</v>
      </c>
      <c r="H687" s="10">
        <f>IF(ISBLANK(ESales_DB[[#This Row],[Quantity]]),AVERAGEIF(ESales_DB[Product_ID],ESales_DB[[#This Row],[Product_ID]],ESales_DB[Quantity]),ESales_DB[[#This Row],[Quantity]])</f>
        <v>3</v>
      </c>
      <c r="I687" s="2">
        <v>687.66</v>
      </c>
      <c r="J687">
        <v>0.06</v>
      </c>
      <c r="K687" t="s">
        <v>1826</v>
      </c>
      <c r="L687" s="2">
        <v>1939.2012</v>
      </c>
      <c r="M687" s="2" t="str">
        <f>IF(ESales_DB[[#This Row],[Total_Amount]]&gt;1000,"High","Low")</f>
        <v>High</v>
      </c>
      <c r="N687" s="2" t="str">
        <f>VLOOKUP(ESales_DB[[#This Row],[Customer_ID]],Ecustom_DB[],3,FALSE)</f>
        <v>Matthew Hunter Jr.</v>
      </c>
      <c r="O687" s="2" t="str">
        <f>_xlfn.XLOOKUP(ESales_DB[[#This Row],[Product_ID]],Eproduct_DB[Product_ID],Eproduct_DB[Category])</f>
        <v>Home</v>
      </c>
      <c r="P687" s="2" t="str">
        <f>_xlfn.XLOOKUP(ESales_DB[[#This Row],[Product_ID]],Eproduct_DB[Product_ID],Eproduct_DB[Product_Name])</f>
        <v>Kitchen Storage Rack</v>
      </c>
      <c r="Q687" s="2" t="str">
        <f>_xlfn.XLOOKUP(ESales_DB[[#This Row],[Store_ID]],Estore_DB[Store_ID],Estore_DB[Region])</f>
        <v>South</v>
      </c>
      <c r="R687" t="str">
        <f>VLOOKUP(ESales_DB[[#This Row],[Customer_ID]],Ecustom_DB[],10,FALSE)</f>
        <v>Gold</v>
      </c>
      <c r="S687" t="str">
        <f>IF(ESales_DB[[#This Row],[Quantity1]]&gt;3,"Bulk order","Normal order")</f>
        <v>Normal order</v>
      </c>
    </row>
    <row r="688" spans="1:19" x14ac:dyDescent="0.3">
      <c r="A688" t="s">
        <v>3441</v>
      </c>
      <c r="B688" s="4">
        <v>45742</v>
      </c>
      <c r="C688" s="4" t="str">
        <f>TEXT(ESales_DB[[#This Row],[Order_Date]],"mmm")</f>
        <v>Mar</v>
      </c>
      <c r="D688" t="s">
        <v>711</v>
      </c>
      <c r="E688" t="s">
        <v>1634</v>
      </c>
      <c r="F688" t="s">
        <v>1786</v>
      </c>
      <c r="G688">
        <v>4</v>
      </c>
      <c r="H688" s="10">
        <f>IF(ISBLANK(ESales_DB[[#This Row],[Quantity]]),AVERAGEIF(ESales_DB[Product_ID],ESales_DB[[#This Row],[Product_ID]],ESales_DB[Quantity]),ESales_DB[[#This Row],[Quantity]])</f>
        <v>4</v>
      </c>
      <c r="I688" s="2">
        <v>639.05999999999995</v>
      </c>
      <c r="J688">
        <v>0.12</v>
      </c>
      <c r="K688" t="s">
        <v>1826</v>
      </c>
      <c r="L688" s="2">
        <v>2249.4911999999999</v>
      </c>
      <c r="M688" s="2" t="str">
        <f>IF(ESales_DB[[#This Row],[Total_Amount]]&gt;1000,"High","Low")</f>
        <v>High</v>
      </c>
      <c r="N688" s="2" t="str">
        <f>VLOOKUP(ESales_DB[[#This Row],[Customer_ID]],Ecustom_DB[],3,FALSE)</f>
        <v>Jordan Wells</v>
      </c>
      <c r="O688" s="2" t="str">
        <f>_xlfn.XLOOKUP(ESales_DB[[#This Row],[Product_ID]],Eproduct_DB[Product_ID],Eproduct_DB[Category])</f>
        <v>Electronics</v>
      </c>
      <c r="P688" s="2" t="str">
        <f>_xlfn.XLOOKUP(ESales_DB[[#This Row],[Product_ID]],Eproduct_DB[Product_ID],Eproduct_DB[Product_Name])</f>
        <v>USB External Hard Drive</v>
      </c>
      <c r="Q688" s="2" t="str">
        <f>_xlfn.XLOOKUP(ESales_DB[[#This Row],[Store_ID]],Estore_DB[Store_ID],Estore_DB[Region])</f>
        <v>South</v>
      </c>
      <c r="R688" t="str">
        <f>VLOOKUP(ESales_DB[[#This Row],[Customer_ID]],Ecustom_DB[],10,FALSE)</f>
        <v>Gold</v>
      </c>
      <c r="S688" t="str">
        <f>IF(ESales_DB[[#This Row],[Quantity1]]&gt;3,"Bulk order","Normal order")</f>
        <v>Bulk order</v>
      </c>
    </row>
    <row r="689" spans="1:19" x14ac:dyDescent="0.3">
      <c r="A689" t="s">
        <v>3442</v>
      </c>
      <c r="B689" s="4">
        <v>45456</v>
      </c>
      <c r="C689" s="4" t="str">
        <f>TEXT(ESales_DB[[#This Row],[Order_Date]],"mmm")</f>
        <v>Jun</v>
      </c>
      <c r="D689" t="s">
        <v>247</v>
      </c>
      <c r="E689" t="s">
        <v>1690</v>
      </c>
      <c r="F689" t="s">
        <v>1779</v>
      </c>
      <c r="G689">
        <v>1</v>
      </c>
      <c r="H689" s="10">
        <f>IF(ISBLANK(ESales_DB[[#This Row],[Quantity]]),AVERAGEIF(ESales_DB[Product_ID],ESales_DB[[#This Row],[Product_ID]],ESales_DB[Quantity]),ESales_DB[[#This Row],[Quantity]])</f>
        <v>1</v>
      </c>
      <c r="I689" s="2">
        <v>475.15</v>
      </c>
      <c r="J689">
        <v>0.04</v>
      </c>
      <c r="K689" t="s">
        <v>1829</v>
      </c>
      <c r="L689" s="2">
        <v>456.14399999999989</v>
      </c>
      <c r="M689" s="2" t="str">
        <f>IF(ESales_DB[[#This Row],[Total_Amount]]&gt;1000,"High","Low")</f>
        <v>Low</v>
      </c>
      <c r="N689" s="2" t="str">
        <f>VLOOKUP(ESales_DB[[#This Row],[Customer_ID]],Ecustom_DB[],3,FALSE)</f>
        <v>Amber Mcclain</v>
      </c>
      <c r="O689" s="2" t="str">
        <f>_xlfn.XLOOKUP(ESales_DB[[#This Row],[Product_ID]],Eproduct_DB[Product_ID],Eproduct_DB[Category])</f>
        <v>Beauty</v>
      </c>
      <c r="P689" s="2" t="str">
        <f>_xlfn.XLOOKUP(ESales_DB[[#This Row],[Product_ID]],Eproduct_DB[Product_ID],Eproduct_DB[Product_Name])</f>
        <v>Hair Repair Oil Treatment</v>
      </c>
      <c r="Q689" s="2" t="str">
        <f>_xlfn.XLOOKUP(ESales_DB[[#This Row],[Store_ID]],Estore_DB[Store_ID],Estore_DB[Region])</f>
        <v>South</v>
      </c>
      <c r="R689" t="str">
        <f>VLOOKUP(ESales_DB[[#This Row],[Customer_ID]],Ecustom_DB[],10,FALSE)</f>
        <v>Silver</v>
      </c>
      <c r="S689" t="str">
        <f>IF(ESales_DB[[#This Row],[Quantity1]]&gt;3,"Bulk order","Normal order")</f>
        <v>Normal order</v>
      </c>
    </row>
    <row r="690" spans="1:19" x14ac:dyDescent="0.3">
      <c r="A690" t="s">
        <v>3443</v>
      </c>
      <c r="B690" s="4">
        <v>45534</v>
      </c>
      <c r="C690" s="4" t="str">
        <f>TEXT(ESales_DB[[#This Row],[Order_Date]],"mmm")</f>
        <v>Aug</v>
      </c>
      <c r="D690" t="s">
        <v>625</v>
      </c>
      <c r="E690" t="s">
        <v>1636</v>
      </c>
      <c r="F690" t="s">
        <v>1776</v>
      </c>
      <c r="G690">
        <v>1</v>
      </c>
      <c r="H690" s="10">
        <f>IF(ISBLANK(ESales_DB[[#This Row],[Quantity]]),AVERAGEIF(ESales_DB[Product_ID],ESales_DB[[#This Row],[Product_ID]],ESales_DB[Quantity]),ESales_DB[[#This Row],[Quantity]])</f>
        <v>1</v>
      </c>
      <c r="I690" s="2">
        <v>62.38</v>
      </c>
      <c r="J690">
        <v>0.08</v>
      </c>
      <c r="K690" t="s">
        <v>1829</v>
      </c>
      <c r="L690" s="2">
        <v>57.389600000000002</v>
      </c>
      <c r="M690" s="2" t="str">
        <f>IF(ESales_DB[[#This Row],[Total_Amount]]&gt;1000,"High","Low")</f>
        <v>Low</v>
      </c>
      <c r="N690" s="2" t="str">
        <f>VLOOKUP(ESales_DB[[#This Row],[Customer_ID]],Ecustom_DB[],3,FALSE)</f>
        <v>Christopher Stewart</v>
      </c>
      <c r="O690" s="2" t="str">
        <f>_xlfn.XLOOKUP(ESales_DB[[#This Row],[Product_ID]],Eproduct_DB[Product_ID],Eproduct_DB[Category])</f>
        <v>Sports</v>
      </c>
      <c r="P690" s="2" t="str">
        <f>_xlfn.XLOOKUP(ESales_DB[[#This Row],[Product_ID]],Eproduct_DB[Product_ID],Eproduct_DB[Product_Name])</f>
        <v>Adjustable Jump Rope</v>
      </c>
      <c r="Q690" s="2" t="str">
        <f>_xlfn.XLOOKUP(ESales_DB[[#This Row],[Store_ID]],Estore_DB[Store_ID],Estore_DB[Region])</f>
        <v>East</v>
      </c>
      <c r="R690" t="str">
        <f>VLOOKUP(ESales_DB[[#This Row],[Customer_ID]],Ecustom_DB[],10,FALSE)</f>
        <v>Bronze</v>
      </c>
      <c r="S690" t="str">
        <f>IF(ESales_DB[[#This Row],[Quantity1]]&gt;3,"Bulk order","Normal order")</f>
        <v>Normal order</v>
      </c>
    </row>
    <row r="691" spans="1:19" x14ac:dyDescent="0.3">
      <c r="A691" t="s">
        <v>3444</v>
      </c>
      <c r="B691" s="4">
        <v>45375</v>
      </c>
      <c r="C691" s="4" t="str">
        <f>TEXT(ESales_DB[[#This Row],[Order_Date]],"mmm")</f>
        <v>Mar</v>
      </c>
      <c r="D691" t="s">
        <v>1109</v>
      </c>
      <c r="E691" t="s">
        <v>1578</v>
      </c>
      <c r="F691" t="s">
        <v>1779</v>
      </c>
      <c r="G691">
        <v>1</v>
      </c>
      <c r="H691" s="10">
        <f>IF(ISBLANK(ESales_DB[[#This Row],[Quantity]]),AVERAGEIF(ESales_DB[Product_ID],ESales_DB[[#This Row],[Product_ID]],ESales_DB[Quantity]),ESales_DB[[#This Row],[Quantity]])</f>
        <v>1</v>
      </c>
      <c r="I691" s="2">
        <v>977.02</v>
      </c>
      <c r="J691">
        <v>0.2</v>
      </c>
      <c r="K691" t="s">
        <v>1829</v>
      </c>
      <c r="L691" s="2">
        <v>781.61599999999999</v>
      </c>
      <c r="M691" s="2" t="str">
        <f>IF(ESales_DB[[#This Row],[Total_Amount]]&gt;1000,"High","Low")</f>
        <v>Low</v>
      </c>
      <c r="N691" s="2" t="str">
        <f>VLOOKUP(ESales_DB[[#This Row],[Customer_ID]],Ecustom_DB[],3,FALSE)</f>
        <v>Ryan Torres</v>
      </c>
      <c r="O691" s="2" t="str">
        <f>_xlfn.XLOOKUP(ESales_DB[[#This Row],[Product_ID]],Eproduct_DB[Product_ID],Eproduct_DB[Category])</f>
        <v>Electronics</v>
      </c>
      <c r="P691" s="2" t="str">
        <f>_xlfn.XLOOKUP(ESales_DB[[#This Row],[Product_ID]],Eproduct_DB[Product_ID],Eproduct_DB[Product_Name])</f>
        <v>4K Home Projector</v>
      </c>
      <c r="Q691" s="2" t="str">
        <f>_xlfn.XLOOKUP(ESales_DB[[#This Row],[Store_ID]],Estore_DB[Store_ID],Estore_DB[Region])</f>
        <v>South</v>
      </c>
      <c r="R691" t="str">
        <f>VLOOKUP(ESales_DB[[#This Row],[Customer_ID]],Ecustom_DB[],10,FALSE)</f>
        <v>Silver</v>
      </c>
      <c r="S691" t="str">
        <f>IF(ESales_DB[[#This Row],[Quantity1]]&gt;3,"Bulk order","Normal order")</f>
        <v>Normal order</v>
      </c>
    </row>
    <row r="692" spans="1:19" x14ac:dyDescent="0.3">
      <c r="A692" t="s">
        <v>3445</v>
      </c>
      <c r="B692" s="4">
        <v>45546</v>
      </c>
      <c r="C692" s="4" t="str">
        <f>TEXT(ESales_DB[[#This Row],[Order_Date]],"mmm")</f>
        <v>Sep</v>
      </c>
      <c r="D692" t="s">
        <v>271</v>
      </c>
      <c r="E692" t="s">
        <v>1714</v>
      </c>
      <c r="F692" t="s">
        <v>1769</v>
      </c>
      <c r="G692">
        <v>2</v>
      </c>
      <c r="H692" s="10">
        <f>IF(ISBLANK(ESales_DB[[#This Row],[Quantity]]),AVERAGEIF(ESales_DB[Product_ID],ESales_DB[[#This Row],[Product_ID]],ESales_DB[Quantity]),ESales_DB[[#This Row],[Quantity]])</f>
        <v>2</v>
      </c>
      <c r="I692" s="2">
        <v>898.81</v>
      </c>
      <c r="J692">
        <v>0.25</v>
      </c>
      <c r="K692" t="s">
        <v>1824</v>
      </c>
      <c r="L692" s="2">
        <v>1348.2149999999999</v>
      </c>
      <c r="M692" s="2" t="str">
        <f>IF(ESales_DB[[#This Row],[Total_Amount]]&gt;1000,"High","Low")</f>
        <v>High</v>
      </c>
      <c r="N692" s="2" t="str">
        <f>VLOOKUP(ESales_DB[[#This Row],[Customer_ID]],Ecustom_DB[],3,FALSE)</f>
        <v>John Mayer</v>
      </c>
      <c r="O692" s="2" t="str">
        <f>_xlfn.XLOOKUP(ESales_DB[[#This Row],[Product_ID]],Eproduct_DB[Product_ID],Eproduct_DB[Category])</f>
        <v>Beauty</v>
      </c>
      <c r="P692" s="2" t="str">
        <f>_xlfn.XLOOKUP(ESales_DB[[#This Row],[Product_ID]],Eproduct_DB[Product_ID],Eproduct_DB[Product_Name])</f>
        <v>Hydrating Face Cleanser</v>
      </c>
      <c r="Q692" s="2" t="str">
        <f>_xlfn.XLOOKUP(ESales_DB[[#This Row],[Store_ID]],Estore_DB[Store_ID],Estore_DB[Region])</f>
        <v>South</v>
      </c>
      <c r="R692" t="str">
        <f>VLOOKUP(ESales_DB[[#This Row],[Customer_ID]],Ecustom_DB[],10,FALSE)</f>
        <v>Bronze</v>
      </c>
      <c r="S692" t="str">
        <f>IF(ESales_DB[[#This Row],[Quantity1]]&gt;3,"Bulk order","Normal order")</f>
        <v>Normal order</v>
      </c>
    </row>
    <row r="693" spans="1:19" x14ac:dyDescent="0.3">
      <c r="A693" t="s">
        <v>1988</v>
      </c>
      <c r="B693" s="4">
        <v>45276</v>
      </c>
      <c r="C693" s="4" t="str">
        <f>TEXT(ESales_DB[[#This Row],[Order_Date]],"mmm")</f>
        <v>Dec</v>
      </c>
      <c r="D693" t="s">
        <v>942</v>
      </c>
      <c r="E693" t="s">
        <v>1694</v>
      </c>
      <c r="F693" t="s">
        <v>1776</v>
      </c>
      <c r="G693">
        <v>3</v>
      </c>
      <c r="H693" s="10">
        <f>IF(ISBLANK(ESales_DB[[#This Row],[Quantity]]),AVERAGEIF(ESales_DB[Product_ID],ESales_DB[[#This Row],[Product_ID]],ESales_DB[Quantity]),ESales_DB[[#This Row],[Quantity]])</f>
        <v>3</v>
      </c>
      <c r="I693" s="2">
        <v>369.32</v>
      </c>
      <c r="J693">
        <v>0.14000000000000001</v>
      </c>
      <c r="K693" t="s">
        <v>1826</v>
      </c>
      <c r="L693" s="2">
        <v>952.84559999999999</v>
      </c>
      <c r="M693" s="2" t="str">
        <f>IF(ESales_DB[[#This Row],[Total_Amount]]&gt;1000,"High","Low")</f>
        <v>Low</v>
      </c>
      <c r="N693" s="2" t="str">
        <f>VLOOKUP(ESales_DB[[#This Row],[Customer_ID]],Ecustom_DB[],3,FALSE)</f>
        <v>Tracy Stephens</v>
      </c>
      <c r="O693" s="2" t="str">
        <f>_xlfn.XLOOKUP(ESales_DB[[#This Row],[Product_ID]],Eproduct_DB[Product_ID],Eproduct_DB[Category])</f>
        <v>Sports</v>
      </c>
      <c r="P693" s="2" t="str">
        <f>_xlfn.XLOOKUP(ESales_DB[[#This Row],[Product_ID]],Eproduct_DB[Product_ID],Eproduct_DB[Product_Name])</f>
        <v>Shin Guards – Adult</v>
      </c>
      <c r="Q693" s="2" t="str">
        <f>_xlfn.XLOOKUP(ESales_DB[[#This Row],[Store_ID]],Estore_DB[Store_ID],Estore_DB[Region])</f>
        <v>East</v>
      </c>
      <c r="R693" t="str">
        <f>VLOOKUP(ESales_DB[[#This Row],[Customer_ID]],Ecustom_DB[],10,FALSE)</f>
        <v>Platinum</v>
      </c>
      <c r="S693" t="str">
        <f>IF(ESales_DB[[#This Row],[Quantity1]]&gt;3,"Bulk order","Normal order")</f>
        <v>Normal order</v>
      </c>
    </row>
    <row r="694" spans="1:19" x14ac:dyDescent="0.3">
      <c r="A694" t="s">
        <v>3446</v>
      </c>
      <c r="B694" s="4">
        <v>45769</v>
      </c>
      <c r="C694" s="4" t="str">
        <f>TEXT(ESales_DB[[#This Row],[Order_Date]],"mmm")</f>
        <v>Apr</v>
      </c>
      <c r="D694" t="s">
        <v>1101</v>
      </c>
      <c r="E694" t="s">
        <v>1662</v>
      </c>
      <c r="F694" t="s">
        <v>1766</v>
      </c>
      <c r="G694">
        <v>2</v>
      </c>
      <c r="H694" s="10">
        <f>IF(ISBLANK(ESales_DB[[#This Row],[Quantity]]),AVERAGEIF(ESales_DB[Product_ID],ESales_DB[[#This Row],[Product_ID]],ESales_DB[Quantity]),ESales_DB[[#This Row],[Quantity]])</f>
        <v>2</v>
      </c>
      <c r="I694" s="2">
        <v>422.13</v>
      </c>
      <c r="J694">
        <v>0.28000000000000003</v>
      </c>
      <c r="K694" t="s">
        <v>1824</v>
      </c>
      <c r="L694" s="2">
        <v>607.86720000000003</v>
      </c>
      <c r="M694" s="2" t="str">
        <f>IF(ESales_DB[[#This Row],[Total_Amount]]&gt;1000,"High","Low")</f>
        <v>Low</v>
      </c>
      <c r="N694" s="2" t="str">
        <f>VLOOKUP(ESales_DB[[#This Row],[Customer_ID]],Ecustom_DB[],3,FALSE)</f>
        <v>Jeffrey Mccarthy</v>
      </c>
      <c r="O694" s="2" t="str">
        <f>_xlfn.XLOOKUP(ESales_DB[[#This Row],[Product_ID]],Eproduct_DB[Product_ID],Eproduct_DB[Category])</f>
        <v>Sports</v>
      </c>
      <c r="P694" s="2" t="str">
        <f>_xlfn.XLOOKUP(ESales_DB[[#This Row],[Product_ID]],Eproduct_DB[Product_ID],Eproduct_DB[Product_Name])</f>
        <v>Foam Roller</v>
      </c>
      <c r="Q694" s="2" t="str">
        <f>_xlfn.XLOOKUP(ESales_DB[[#This Row],[Store_ID]],Estore_DB[Store_ID],Estore_DB[Region])</f>
        <v>North</v>
      </c>
      <c r="R694" t="str">
        <f>VLOOKUP(ESales_DB[[#This Row],[Customer_ID]],Ecustom_DB[],10,FALSE)</f>
        <v>Bronze</v>
      </c>
      <c r="S694" t="str">
        <f>IF(ESales_DB[[#This Row],[Quantity1]]&gt;3,"Bulk order","Normal order")</f>
        <v>Normal order</v>
      </c>
    </row>
    <row r="695" spans="1:19" x14ac:dyDescent="0.3">
      <c r="A695" t="s">
        <v>3447</v>
      </c>
      <c r="B695" s="4">
        <v>45524</v>
      </c>
      <c r="C695" s="4" t="str">
        <f>TEXT(ESales_DB[[#This Row],[Order_Date]],"mmm")</f>
        <v>Aug</v>
      </c>
      <c r="D695" t="s">
        <v>191</v>
      </c>
      <c r="E695" t="s">
        <v>1616</v>
      </c>
      <c r="F695" t="s">
        <v>1792</v>
      </c>
      <c r="G695">
        <v>1</v>
      </c>
      <c r="H695" s="10">
        <f>IF(ISBLANK(ESales_DB[[#This Row],[Quantity]]),AVERAGEIF(ESales_DB[Product_ID],ESales_DB[[#This Row],[Product_ID]],ESales_DB[Quantity]),ESales_DB[[#This Row],[Quantity]])</f>
        <v>1</v>
      </c>
      <c r="I695" s="2">
        <v>324.56</v>
      </c>
      <c r="J695">
        <v>0.03</v>
      </c>
      <c r="K695" t="s">
        <v>1829</v>
      </c>
      <c r="L695" s="2">
        <v>314.82319999999999</v>
      </c>
      <c r="M695" s="2" t="str">
        <f>IF(ESales_DB[[#This Row],[Total_Amount]]&gt;1000,"High","Low")</f>
        <v>Low</v>
      </c>
      <c r="N695" s="2" t="str">
        <f>VLOOKUP(ESales_DB[[#This Row],[Customer_ID]],Ecustom_DB[],3,FALSE)</f>
        <v>Matthew Hunter Jr.</v>
      </c>
      <c r="O695" s="2" t="str">
        <f>_xlfn.XLOOKUP(ESales_DB[[#This Row],[Product_ID]],Eproduct_DB[Product_ID],Eproduct_DB[Category])</f>
        <v>Electronics</v>
      </c>
      <c r="P695" s="2" t="str">
        <f>_xlfn.XLOOKUP(ESales_DB[[#This Row],[Product_ID]],Eproduct_DB[Product_ID],Eproduct_DB[Product_Name])</f>
        <v>Gaming Mechanical Keyboard</v>
      </c>
      <c r="Q695" s="2" t="str">
        <f>_xlfn.XLOOKUP(ESales_DB[[#This Row],[Store_ID]],Estore_DB[Store_ID],Estore_DB[Region])</f>
        <v>South</v>
      </c>
      <c r="R695" t="str">
        <f>VLOOKUP(ESales_DB[[#This Row],[Customer_ID]],Ecustom_DB[],10,FALSE)</f>
        <v>Gold</v>
      </c>
      <c r="S695" t="str">
        <f>IF(ESales_DB[[#This Row],[Quantity1]]&gt;3,"Bulk order","Normal order")</f>
        <v>Normal order</v>
      </c>
    </row>
    <row r="696" spans="1:19" x14ac:dyDescent="0.3">
      <c r="A696" t="s">
        <v>3448</v>
      </c>
      <c r="B696" s="4">
        <v>45531</v>
      </c>
      <c r="C696" s="4" t="str">
        <f>TEXT(ESales_DB[[#This Row],[Order_Date]],"mmm")</f>
        <v>Aug</v>
      </c>
      <c r="D696" t="s">
        <v>1443</v>
      </c>
      <c r="E696" t="s">
        <v>1658</v>
      </c>
      <c r="F696" t="s">
        <v>1804</v>
      </c>
      <c r="G696">
        <v>4</v>
      </c>
      <c r="H696" s="10">
        <f>IF(ISBLANK(ESales_DB[[#This Row],[Quantity]]),AVERAGEIF(ESales_DB[Product_ID],ESales_DB[[#This Row],[Product_ID]],ESales_DB[Quantity]),ESales_DB[[#This Row],[Quantity]])</f>
        <v>4</v>
      </c>
      <c r="I696" s="2">
        <v>570.38</v>
      </c>
      <c r="J696">
        <v>0.26</v>
      </c>
      <c r="K696" t="s">
        <v>1826</v>
      </c>
      <c r="L696" s="2">
        <v>1688.3248000000001</v>
      </c>
      <c r="M696" s="2" t="str">
        <f>IF(ESales_DB[[#This Row],[Total_Amount]]&gt;1000,"High","Low")</f>
        <v>High</v>
      </c>
      <c r="N696" s="2" t="str">
        <f>VLOOKUP(ESales_DB[[#This Row],[Customer_ID]],Ecustom_DB[],3,FALSE)</f>
        <v>Gregory Curtis</v>
      </c>
      <c r="O696" s="2" t="str">
        <f>_xlfn.XLOOKUP(ESales_DB[[#This Row],[Product_ID]],Eproduct_DB[Product_ID],Eproduct_DB[Category])</f>
        <v>Home</v>
      </c>
      <c r="P696" s="2" t="str">
        <f>_xlfn.XLOOKUP(ESales_DB[[#This Row],[Product_ID]],Eproduct_DB[Product_ID],Eproduct_DB[Product_Name])</f>
        <v>Ceramic Plant Pot</v>
      </c>
      <c r="Q696" s="2" t="str">
        <f>_xlfn.XLOOKUP(ESales_DB[[#This Row],[Store_ID]],Estore_DB[Store_ID],Estore_DB[Region])</f>
        <v>West</v>
      </c>
      <c r="R696" t="str">
        <f>VLOOKUP(ESales_DB[[#This Row],[Customer_ID]],Ecustom_DB[],10,FALSE)</f>
        <v>Bronze</v>
      </c>
      <c r="S696" t="str">
        <f>IF(ESales_DB[[#This Row],[Quantity1]]&gt;3,"Bulk order","Normal order")</f>
        <v>Bulk order</v>
      </c>
    </row>
    <row r="697" spans="1:19" x14ac:dyDescent="0.3">
      <c r="A697" t="s">
        <v>3449</v>
      </c>
      <c r="B697" s="4">
        <v>45479</v>
      </c>
      <c r="C697" s="4" t="str">
        <f>TEXT(ESales_DB[[#This Row],[Order_Date]],"mmm")</f>
        <v>Jul</v>
      </c>
      <c r="D697" t="s">
        <v>1229</v>
      </c>
      <c r="E697" t="s">
        <v>1616</v>
      </c>
      <c r="F697" t="s">
        <v>1801</v>
      </c>
      <c r="G697">
        <v>2</v>
      </c>
      <c r="H697" s="10">
        <f>IF(ISBLANK(ESales_DB[[#This Row],[Quantity]]),AVERAGEIF(ESales_DB[Product_ID],ESales_DB[[#This Row],[Product_ID]],ESales_DB[Quantity]),ESales_DB[[#This Row],[Quantity]])</f>
        <v>2</v>
      </c>
      <c r="I697" s="2">
        <v>223.73</v>
      </c>
      <c r="J697">
        <v>0.11</v>
      </c>
      <c r="K697" t="s">
        <v>1826</v>
      </c>
      <c r="L697" s="2">
        <v>398.23939999999999</v>
      </c>
      <c r="M697" s="2" t="str">
        <f>IF(ESales_DB[[#This Row],[Total_Amount]]&gt;1000,"High","Low")</f>
        <v>Low</v>
      </c>
      <c r="N697" s="2" t="str">
        <f>VLOOKUP(ESales_DB[[#This Row],[Customer_ID]],Ecustom_DB[],3,FALSE)</f>
        <v>Alejandro Evans</v>
      </c>
      <c r="O697" s="2" t="str">
        <f>_xlfn.XLOOKUP(ESales_DB[[#This Row],[Product_ID]],Eproduct_DB[Product_ID],Eproduct_DB[Category])</f>
        <v>Electronics</v>
      </c>
      <c r="P697" s="2" t="str">
        <f>_xlfn.XLOOKUP(ESales_DB[[#This Row],[Product_ID]],Eproduct_DB[Product_ID],Eproduct_DB[Product_Name])</f>
        <v>Gaming Mechanical Keyboard</v>
      </c>
      <c r="Q697" s="2" t="str">
        <f>_xlfn.XLOOKUP(ESales_DB[[#This Row],[Store_ID]],Estore_DB[Store_ID],Estore_DB[Region])</f>
        <v>North</v>
      </c>
      <c r="R697" t="str">
        <f>VLOOKUP(ESales_DB[[#This Row],[Customer_ID]],Ecustom_DB[],10,FALSE)</f>
        <v>Bronze</v>
      </c>
      <c r="S697" t="str">
        <f>IF(ESales_DB[[#This Row],[Quantity1]]&gt;3,"Bulk order","Normal order")</f>
        <v>Normal order</v>
      </c>
    </row>
    <row r="698" spans="1:19" x14ac:dyDescent="0.3">
      <c r="A698" t="s">
        <v>3450</v>
      </c>
      <c r="B698" s="4">
        <v>45868</v>
      </c>
      <c r="C698" s="4" t="str">
        <f>TEXT(ESales_DB[[#This Row],[Order_Date]],"mmm")</f>
        <v>Jul</v>
      </c>
      <c r="D698" t="s">
        <v>1101</v>
      </c>
      <c r="E698" t="s">
        <v>1720</v>
      </c>
      <c r="F698" t="s">
        <v>1804</v>
      </c>
      <c r="G698">
        <v>4</v>
      </c>
      <c r="H698" s="10">
        <f>IF(ISBLANK(ESales_DB[[#This Row],[Quantity]]),AVERAGEIF(ESales_DB[Product_ID],ESales_DB[[#This Row],[Product_ID]],ESales_DB[Quantity]),ESales_DB[[#This Row],[Quantity]])</f>
        <v>4</v>
      </c>
      <c r="I698" s="2">
        <v>164.93</v>
      </c>
      <c r="J698">
        <v>0.11</v>
      </c>
      <c r="K698" t="s">
        <v>1824</v>
      </c>
      <c r="L698" s="2">
        <v>587.1508</v>
      </c>
      <c r="M698" s="2" t="str">
        <f>IF(ESales_DB[[#This Row],[Total_Amount]]&gt;1000,"High","Low")</f>
        <v>Low</v>
      </c>
      <c r="N698" s="2" t="str">
        <f>VLOOKUP(ESales_DB[[#This Row],[Customer_ID]],Ecustom_DB[],3,FALSE)</f>
        <v>Jeffrey Mccarthy</v>
      </c>
      <c r="O698" s="2" t="str">
        <f>_xlfn.XLOOKUP(ESales_DB[[#This Row],[Product_ID]],Eproduct_DB[Product_ID],Eproduct_DB[Category])</f>
        <v>Home</v>
      </c>
      <c r="P698" s="2" t="str">
        <f>_xlfn.XLOOKUP(ESales_DB[[#This Row],[Product_ID]],Eproduct_DB[Product_ID],Eproduct_DB[Product_Name])</f>
        <v>Kitchen Cutting Board</v>
      </c>
      <c r="Q698" s="2" t="str">
        <f>_xlfn.XLOOKUP(ESales_DB[[#This Row],[Store_ID]],Estore_DB[Store_ID],Estore_DB[Region])</f>
        <v>West</v>
      </c>
      <c r="R698" t="str">
        <f>VLOOKUP(ESales_DB[[#This Row],[Customer_ID]],Ecustom_DB[],10,FALSE)</f>
        <v>Bronze</v>
      </c>
      <c r="S698" t="str">
        <f>IF(ESales_DB[[#This Row],[Quantity1]]&gt;3,"Bulk order","Normal order")</f>
        <v>Bulk order</v>
      </c>
    </row>
    <row r="699" spans="1:19" x14ac:dyDescent="0.3">
      <c r="A699" t="s">
        <v>3451</v>
      </c>
      <c r="B699" s="4">
        <v>45569</v>
      </c>
      <c r="C699" s="4" t="str">
        <f>TEXT(ESales_DB[[#This Row],[Order_Date]],"mmm")</f>
        <v>Oct</v>
      </c>
      <c r="D699" t="s">
        <v>797</v>
      </c>
      <c r="E699" t="s">
        <v>1578</v>
      </c>
      <c r="F699" t="s">
        <v>1779</v>
      </c>
      <c r="G699">
        <v>3</v>
      </c>
      <c r="H699" s="10">
        <f>IF(ISBLANK(ESales_DB[[#This Row],[Quantity]]),AVERAGEIF(ESales_DB[Product_ID],ESales_DB[[#This Row],[Product_ID]],ESales_DB[Quantity]),ESales_DB[[#This Row],[Quantity]])</f>
        <v>3</v>
      </c>
      <c r="I699" s="2">
        <v>326.66000000000003</v>
      </c>
      <c r="J699">
        <v>0.28000000000000003</v>
      </c>
      <c r="K699" t="s">
        <v>1829</v>
      </c>
      <c r="L699" s="2">
        <v>705.5856</v>
      </c>
      <c r="M699" s="2" t="str">
        <f>IF(ESales_DB[[#This Row],[Total_Amount]]&gt;1000,"High","Low")</f>
        <v>Low</v>
      </c>
      <c r="N699" s="2" t="str">
        <f>VLOOKUP(ESales_DB[[#This Row],[Customer_ID]],Ecustom_DB[],3,FALSE)</f>
        <v>Lauren George</v>
      </c>
      <c r="O699" s="2" t="str">
        <f>_xlfn.XLOOKUP(ESales_DB[[#This Row],[Product_ID]],Eproduct_DB[Product_ID],Eproduct_DB[Category])</f>
        <v>Electronics</v>
      </c>
      <c r="P699" s="2" t="str">
        <f>_xlfn.XLOOKUP(ESales_DB[[#This Row],[Product_ID]],Eproduct_DB[Product_ID],Eproduct_DB[Product_Name])</f>
        <v>4K Home Projector</v>
      </c>
      <c r="Q699" s="2" t="str">
        <f>_xlfn.XLOOKUP(ESales_DB[[#This Row],[Store_ID]],Estore_DB[Store_ID],Estore_DB[Region])</f>
        <v>South</v>
      </c>
      <c r="R699" t="str">
        <f>VLOOKUP(ESales_DB[[#This Row],[Customer_ID]],Ecustom_DB[],10,FALSE)</f>
        <v>Gold</v>
      </c>
      <c r="S699" t="str">
        <f>IF(ESales_DB[[#This Row],[Quantity1]]&gt;3,"Bulk order","Normal order")</f>
        <v>Normal order</v>
      </c>
    </row>
    <row r="700" spans="1:19" x14ac:dyDescent="0.3">
      <c r="A700" t="s">
        <v>3452</v>
      </c>
      <c r="B700" s="4">
        <v>45382</v>
      </c>
      <c r="C700" s="4" t="str">
        <f>TEXT(ESales_DB[[#This Row],[Order_Date]],"mmm")</f>
        <v>Mar</v>
      </c>
      <c r="D700" t="s">
        <v>601</v>
      </c>
      <c r="E700" t="s">
        <v>1546</v>
      </c>
      <c r="F700" t="s">
        <v>1801</v>
      </c>
      <c r="G700">
        <v>2</v>
      </c>
      <c r="H700" s="10">
        <f>IF(ISBLANK(ESales_DB[[#This Row],[Quantity]]),AVERAGEIF(ESales_DB[Product_ID],ESales_DB[[#This Row],[Product_ID]],ESales_DB[Quantity]),ESales_DB[[#This Row],[Quantity]])</f>
        <v>2</v>
      </c>
      <c r="I700" s="2">
        <v>462.93</v>
      </c>
      <c r="J700">
        <v>0.17</v>
      </c>
      <c r="K700" t="s">
        <v>1826</v>
      </c>
      <c r="L700" s="2">
        <v>768.46379999999999</v>
      </c>
      <c r="M700" s="2" t="str">
        <f>IF(ESales_DB[[#This Row],[Total_Amount]]&gt;1000,"High","Low")</f>
        <v>Low</v>
      </c>
      <c r="N700" s="2" t="str">
        <f>VLOOKUP(ESales_DB[[#This Row],[Customer_ID]],Ecustom_DB[],3,FALSE)</f>
        <v>Melissa Hamilton</v>
      </c>
      <c r="O700" s="2" t="str">
        <f>_xlfn.XLOOKUP(ESales_DB[[#This Row],[Product_ID]],Eproduct_DB[Product_ID],Eproduct_DB[Category])</f>
        <v>Clothing</v>
      </c>
      <c r="P700" s="2" t="str">
        <f>_xlfn.XLOOKUP(ESales_DB[[#This Row],[Product_ID]],Eproduct_DB[Product_ID],Eproduct_DB[Product_Name])</f>
        <v>Men's Graphic T-Shirt</v>
      </c>
      <c r="Q700" s="2" t="str">
        <f>_xlfn.XLOOKUP(ESales_DB[[#This Row],[Store_ID]],Estore_DB[Store_ID],Estore_DB[Region])</f>
        <v>North</v>
      </c>
      <c r="R700" t="str">
        <f>VLOOKUP(ESales_DB[[#This Row],[Customer_ID]],Ecustom_DB[],10,FALSE)</f>
        <v>Silver</v>
      </c>
      <c r="S700" t="str">
        <f>IF(ESales_DB[[#This Row],[Quantity1]]&gt;3,"Bulk order","Normal order")</f>
        <v>Normal order</v>
      </c>
    </row>
    <row r="701" spans="1:19" x14ac:dyDescent="0.3">
      <c r="A701" t="s">
        <v>3453</v>
      </c>
      <c r="B701" s="4">
        <v>45885</v>
      </c>
      <c r="C701" s="4" t="str">
        <f>TEXT(ESales_DB[[#This Row],[Order_Date]],"mmm")</f>
        <v>Aug</v>
      </c>
      <c r="D701" t="s">
        <v>496</v>
      </c>
      <c r="E701" t="s">
        <v>1543</v>
      </c>
      <c r="F701" t="s">
        <v>1804</v>
      </c>
      <c r="G701">
        <v>3</v>
      </c>
      <c r="H701" s="10">
        <f>IF(ISBLANK(ESales_DB[[#This Row],[Quantity]]),AVERAGEIF(ESales_DB[Product_ID],ESales_DB[[#This Row],[Product_ID]],ESales_DB[Quantity]),ESales_DB[[#This Row],[Quantity]])</f>
        <v>3</v>
      </c>
      <c r="I701" s="2">
        <v>60.26</v>
      </c>
      <c r="J701">
        <v>0.04</v>
      </c>
      <c r="K701" t="s">
        <v>1824</v>
      </c>
      <c r="L701" s="2">
        <v>173.5488</v>
      </c>
      <c r="M701" s="2" t="str">
        <f>IF(ESales_DB[[#This Row],[Total_Amount]]&gt;1000,"High","Low")</f>
        <v>Low</v>
      </c>
      <c r="N701" s="2" t="str">
        <f>VLOOKUP(ESales_DB[[#This Row],[Customer_ID]],Ecustom_DB[],3,FALSE)</f>
        <v>Rhonda Young</v>
      </c>
      <c r="O701" s="2" t="str">
        <f>_xlfn.XLOOKUP(ESales_DB[[#This Row],[Product_ID]],Eproduct_DB[Product_ID],Eproduct_DB[Category])</f>
        <v>Electronics</v>
      </c>
      <c r="P701" s="2" t="str">
        <f>_xlfn.XLOOKUP(ESales_DB[[#This Row],[Product_ID]],Eproduct_DB[Product_ID],Eproduct_DB[Product_Name])</f>
        <v>Brother Laser Printer</v>
      </c>
      <c r="Q701" s="2" t="str">
        <f>_xlfn.XLOOKUP(ESales_DB[[#This Row],[Store_ID]],Estore_DB[Store_ID],Estore_DB[Region])</f>
        <v>West</v>
      </c>
      <c r="R701" t="str">
        <f>VLOOKUP(ESales_DB[[#This Row],[Customer_ID]],Ecustom_DB[],10,FALSE)</f>
        <v>Platinum</v>
      </c>
      <c r="S701" t="str">
        <f>IF(ESales_DB[[#This Row],[Quantity1]]&gt;3,"Bulk order","Normal order")</f>
        <v>Normal order</v>
      </c>
    </row>
    <row r="702" spans="1:19" x14ac:dyDescent="0.3">
      <c r="A702" t="s">
        <v>3454</v>
      </c>
      <c r="B702" s="4">
        <v>45829</v>
      </c>
      <c r="C702" s="4" t="str">
        <f>TEXT(ESales_DB[[#This Row],[Order_Date]],"mmm")</f>
        <v>Jun</v>
      </c>
      <c r="D702" t="s">
        <v>261</v>
      </c>
      <c r="E702" t="s">
        <v>1616</v>
      </c>
      <c r="F702" t="s">
        <v>1786</v>
      </c>
      <c r="G702">
        <v>3</v>
      </c>
      <c r="H702" s="10">
        <f>IF(ISBLANK(ESales_DB[[#This Row],[Quantity]]),AVERAGEIF(ESales_DB[Product_ID],ESales_DB[[#This Row],[Product_ID]],ESales_DB[Quantity]),ESales_DB[[#This Row],[Quantity]])</f>
        <v>3</v>
      </c>
      <c r="I702" s="2">
        <v>109.5</v>
      </c>
      <c r="J702">
        <v>0.06</v>
      </c>
      <c r="K702" t="s">
        <v>1829</v>
      </c>
      <c r="L702" s="2">
        <v>308.79000000000002</v>
      </c>
      <c r="M702" s="2" t="str">
        <f>IF(ESales_DB[[#This Row],[Total_Amount]]&gt;1000,"High","Low")</f>
        <v>Low</v>
      </c>
      <c r="N702" s="2" t="str">
        <f>VLOOKUP(ESales_DB[[#This Row],[Customer_ID]],Ecustom_DB[],3,FALSE)</f>
        <v>Andrea Perez</v>
      </c>
      <c r="O702" s="2" t="str">
        <f>_xlfn.XLOOKUP(ESales_DB[[#This Row],[Product_ID]],Eproduct_DB[Product_ID],Eproduct_DB[Category])</f>
        <v>Electronics</v>
      </c>
      <c r="P702" s="2" t="str">
        <f>_xlfn.XLOOKUP(ESales_DB[[#This Row],[Product_ID]],Eproduct_DB[Product_ID],Eproduct_DB[Product_Name])</f>
        <v>Gaming Mechanical Keyboard</v>
      </c>
      <c r="Q702" s="2" t="str">
        <f>_xlfn.XLOOKUP(ESales_DB[[#This Row],[Store_ID]],Estore_DB[Store_ID],Estore_DB[Region])</f>
        <v>South</v>
      </c>
      <c r="R702" t="str">
        <f>VLOOKUP(ESales_DB[[#This Row],[Customer_ID]],Ecustom_DB[],10,FALSE)</f>
        <v>Gold</v>
      </c>
      <c r="S702" t="str">
        <f>IF(ESales_DB[[#This Row],[Quantity1]]&gt;3,"Bulk order","Normal order")</f>
        <v>Normal order</v>
      </c>
    </row>
    <row r="703" spans="1:19" x14ac:dyDescent="0.3">
      <c r="A703" t="s">
        <v>3455</v>
      </c>
      <c r="B703" s="4">
        <v>45721</v>
      </c>
      <c r="C703" s="4" t="str">
        <f>TEXT(ESales_DB[[#This Row],[Order_Date]],"mmm")</f>
        <v>Mar</v>
      </c>
      <c r="D703" t="s">
        <v>1193</v>
      </c>
      <c r="E703" t="s">
        <v>1688</v>
      </c>
      <c r="F703" t="s">
        <v>1804</v>
      </c>
      <c r="G703">
        <v>1</v>
      </c>
      <c r="H703" s="10">
        <f>IF(ISBLANK(ESales_DB[[#This Row],[Quantity]]),AVERAGEIF(ESales_DB[Product_ID],ESales_DB[[#This Row],[Product_ID]],ESales_DB[Quantity]),ESales_DB[[#This Row],[Quantity]])</f>
        <v>1</v>
      </c>
      <c r="I703" s="2">
        <v>505.83</v>
      </c>
      <c r="J703">
        <v>0.14000000000000001</v>
      </c>
      <c r="K703" t="s">
        <v>1829</v>
      </c>
      <c r="L703" s="2">
        <v>435.0138</v>
      </c>
      <c r="M703" s="2" t="str">
        <f>IF(ESales_DB[[#This Row],[Total_Amount]]&gt;1000,"High","Low")</f>
        <v>Low</v>
      </c>
      <c r="N703" s="2" t="str">
        <f>VLOOKUP(ESales_DB[[#This Row],[Customer_ID]],Ecustom_DB[],3,FALSE)</f>
        <v>Martha Brown</v>
      </c>
      <c r="O703" s="2" t="str">
        <f>_xlfn.XLOOKUP(ESales_DB[[#This Row],[Product_ID]],Eproduct_DB[Product_ID],Eproduct_DB[Category])</f>
        <v>Home</v>
      </c>
      <c r="P703" s="2" t="str">
        <f>_xlfn.XLOOKUP(ESales_DB[[#This Row],[Product_ID]],Eproduct_DB[Product_ID],Eproduct_DB[Product_Name])</f>
        <v>Kitchen Storage Rack</v>
      </c>
      <c r="Q703" s="2" t="str">
        <f>_xlfn.XLOOKUP(ESales_DB[[#This Row],[Store_ID]],Estore_DB[Store_ID],Estore_DB[Region])</f>
        <v>West</v>
      </c>
      <c r="R703" t="str">
        <f>VLOOKUP(ESales_DB[[#This Row],[Customer_ID]],Ecustom_DB[],10,FALSE)</f>
        <v>Gold</v>
      </c>
      <c r="S703" t="str">
        <f>IF(ESales_DB[[#This Row],[Quantity1]]&gt;3,"Bulk order","Normal order")</f>
        <v>Normal order</v>
      </c>
    </row>
    <row r="704" spans="1:19" x14ac:dyDescent="0.3">
      <c r="A704" t="s">
        <v>1989</v>
      </c>
      <c r="B704" s="4">
        <v>45851</v>
      </c>
      <c r="C704" s="4" t="str">
        <f>TEXT(ESales_DB[[#This Row],[Order_Date]],"mmm")</f>
        <v>Jul</v>
      </c>
      <c r="D704" t="s">
        <v>278</v>
      </c>
      <c r="E704" t="s">
        <v>1612</v>
      </c>
      <c r="F704" t="s">
        <v>1757</v>
      </c>
      <c r="G704">
        <v>1</v>
      </c>
      <c r="H704" s="10">
        <f>IF(ISBLANK(ESales_DB[[#This Row],[Quantity]]),AVERAGEIF(ESales_DB[Product_ID],ESales_DB[[#This Row],[Product_ID]],ESales_DB[Quantity]),ESales_DB[[#This Row],[Quantity]])</f>
        <v>1</v>
      </c>
      <c r="I704" s="2">
        <v>488.31</v>
      </c>
      <c r="J704">
        <v>0.03</v>
      </c>
      <c r="K704" t="s">
        <v>1826</v>
      </c>
      <c r="L704" s="2">
        <v>473.66070000000002</v>
      </c>
      <c r="M704" s="2" t="str">
        <f>IF(ESales_DB[[#This Row],[Total_Amount]]&gt;1000,"High","Low")</f>
        <v>Low</v>
      </c>
      <c r="N704" s="2" t="str">
        <f>VLOOKUP(ESales_DB[[#This Row],[Customer_ID]],Ecustom_DB[],3,FALSE)</f>
        <v>Nathan Campbell</v>
      </c>
      <c r="O704" s="2" t="str">
        <f>_xlfn.XLOOKUP(ESales_DB[[#This Row],[Product_ID]],Eproduct_DB[Product_ID],Eproduct_DB[Category])</f>
        <v>Beauty</v>
      </c>
      <c r="P704" s="2" t="str">
        <f>_xlfn.XLOOKUP(ESales_DB[[#This Row],[Product_ID]],Eproduct_DB[Product_ID],Eproduct_DB[Product_Name])</f>
        <v>Vitamin C Face Serum</v>
      </c>
      <c r="Q704" s="2" t="str">
        <f>_xlfn.XLOOKUP(ESales_DB[[#This Row],[Store_ID]],Estore_DB[Store_ID],Estore_DB[Region])</f>
        <v>North</v>
      </c>
      <c r="R704" t="str">
        <f>VLOOKUP(ESales_DB[[#This Row],[Customer_ID]],Ecustom_DB[],10,FALSE)</f>
        <v>Gold</v>
      </c>
      <c r="S704" t="str">
        <f>IF(ESales_DB[[#This Row],[Quantity1]]&gt;3,"Bulk order","Normal order")</f>
        <v>Normal order</v>
      </c>
    </row>
    <row r="705" spans="1:19" x14ac:dyDescent="0.3">
      <c r="A705" t="s">
        <v>3456</v>
      </c>
      <c r="B705" s="4">
        <v>45511</v>
      </c>
      <c r="C705" s="4" t="str">
        <f>TEXT(ESales_DB[[#This Row],[Order_Date]],"mmm")</f>
        <v>Aug</v>
      </c>
      <c r="D705" t="s">
        <v>544</v>
      </c>
      <c r="E705" t="s">
        <v>1744</v>
      </c>
      <c r="F705" t="s">
        <v>1789</v>
      </c>
      <c r="G705">
        <v>2</v>
      </c>
      <c r="H705" s="10">
        <f>IF(ISBLANK(ESales_DB[[#This Row],[Quantity]]),AVERAGEIF(ESales_DB[Product_ID],ESales_DB[[#This Row],[Product_ID]],ESales_DB[Quantity]),ESales_DB[[#This Row],[Quantity]])</f>
        <v>2</v>
      </c>
      <c r="I705" s="2">
        <v>443.15</v>
      </c>
      <c r="J705">
        <v>0.27</v>
      </c>
      <c r="K705" t="s">
        <v>1826</v>
      </c>
      <c r="L705" s="2">
        <v>646.99899999999991</v>
      </c>
      <c r="M705" s="2" t="str">
        <f>IF(ESales_DB[[#This Row],[Total_Amount]]&gt;1000,"High","Low")</f>
        <v>Low</v>
      </c>
      <c r="N705" s="2" t="str">
        <f>VLOOKUP(ESales_DB[[#This Row],[Customer_ID]],Ecustom_DB[],3,FALSE)</f>
        <v>Joseph Jones</v>
      </c>
      <c r="O705" s="2" t="str">
        <f>_xlfn.XLOOKUP(ESales_DB[[#This Row],[Product_ID]],Eproduct_DB[Product_ID],Eproduct_DB[Category])</f>
        <v>Electronics</v>
      </c>
      <c r="P705" s="2" t="str">
        <f>_xlfn.XLOOKUP(ESales_DB[[#This Row],[Product_ID]],Eproduct_DB[Product_ID],Eproduct_DB[Product_Name])</f>
        <v>Portable Bluetooth Speaker</v>
      </c>
      <c r="Q705" s="2" t="str">
        <f>_xlfn.XLOOKUP(ESales_DB[[#This Row],[Store_ID]],Estore_DB[Store_ID],Estore_DB[Region])</f>
        <v>East</v>
      </c>
      <c r="R705" t="str">
        <f>VLOOKUP(ESales_DB[[#This Row],[Customer_ID]],Ecustom_DB[],10,FALSE)</f>
        <v>Bronze</v>
      </c>
      <c r="S705" t="str">
        <f>IF(ESales_DB[[#This Row],[Quantity1]]&gt;3,"Bulk order","Normal order")</f>
        <v>Normal order</v>
      </c>
    </row>
    <row r="706" spans="1:19" x14ac:dyDescent="0.3">
      <c r="A706" t="s">
        <v>3457</v>
      </c>
      <c r="B706" s="4">
        <v>45739</v>
      </c>
      <c r="C706" s="4" t="str">
        <f>TEXT(ESales_DB[[#This Row],[Order_Date]],"mmm")</f>
        <v>Mar</v>
      </c>
      <c r="D706" t="s">
        <v>1527</v>
      </c>
      <c r="E706" t="s">
        <v>1560</v>
      </c>
      <c r="F706" t="s">
        <v>1779</v>
      </c>
      <c r="G706">
        <v>2</v>
      </c>
      <c r="H706" s="10">
        <f>IF(ISBLANK(ESales_DB[[#This Row],[Quantity]]),AVERAGEIF(ESales_DB[Product_ID],ESales_DB[[#This Row],[Product_ID]],ESales_DB[Quantity]),ESales_DB[[#This Row],[Quantity]])</f>
        <v>2</v>
      </c>
      <c r="I706" s="2">
        <v>784.26</v>
      </c>
      <c r="J706">
        <v>0.23</v>
      </c>
      <c r="K706" t="s">
        <v>1826</v>
      </c>
      <c r="L706" s="2">
        <v>1207.7603999999999</v>
      </c>
      <c r="M706" s="2" t="str">
        <f>IF(ESales_DB[[#This Row],[Total_Amount]]&gt;1000,"High","Low")</f>
        <v>High</v>
      </c>
      <c r="N706" s="2" t="str">
        <f>VLOOKUP(ESales_DB[[#This Row],[Customer_ID]],Ecustom_DB[],3,FALSE)</f>
        <v>Sarah Marsh</v>
      </c>
      <c r="O706" s="2" t="str">
        <f>_xlfn.XLOOKUP(ESales_DB[[#This Row],[Product_ID]],Eproduct_DB[Product_ID],Eproduct_DB[Category])</f>
        <v>Home</v>
      </c>
      <c r="P706" s="2" t="str">
        <f>_xlfn.XLOOKUP(ESales_DB[[#This Row],[Product_ID]],Eproduct_DB[Product_ID],Eproduct_DB[Product_Name])</f>
        <v>LED Table Lamp</v>
      </c>
      <c r="Q706" s="2" t="str">
        <f>_xlfn.XLOOKUP(ESales_DB[[#This Row],[Store_ID]],Estore_DB[Store_ID],Estore_DB[Region])</f>
        <v>South</v>
      </c>
      <c r="R706" t="str">
        <f>VLOOKUP(ESales_DB[[#This Row],[Customer_ID]],Ecustom_DB[],10,FALSE)</f>
        <v>Gold</v>
      </c>
      <c r="S706" t="str">
        <f>IF(ESales_DB[[#This Row],[Quantity1]]&gt;3,"Bulk order","Normal order")</f>
        <v>Normal order</v>
      </c>
    </row>
    <row r="707" spans="1:19" x14ac:dyDescent="0.3">
      <c r="A707" t="s">
        <v>3458</v>
      </c>
      <c r="B707" s="4">
        <v>45533</v>
      </c>
      <c r="C707" s="4" t="str">
        <f>TEXT(ESales_DB[[#This Row],[Order_Date]],"mmm")</f>
        <v>Aug</v>
      </c>
      <c r="D707" t="s">
        <v>1405</v>
      </c>
      <c r="E707" t="s">
        <v>1626</v>
      </c>
      <c r="F707" t="s">
        <v>1792</v>
      </c>
      <c r="G707">
        <v>3</v>
      </c>
      <c r="H707" s="10">
        <f>IF(ISBLANK(ESales_DB[[#This Row],[Quantity]]),AVERAGEIF(ESales_DB[Product_ID],ESales_DB[[#This Row],[Product_ID]],ESales_DB[Quantity]),ESales_DB[[#This Row],[Quantity]])</f>
        <v>3</v>
      </c>
      <c r="I707" s="2">
        <v>590.30999999999995</v>
      </c>
      <c r="J707">
        <v>0.17</v>
      </c>
      <c r="K707" t="s">
        <v>1826</v>
      </c>
      <c r="L707" s="2">
        <v>1469.8719000000001</v>
      </c>
      <c r="M707" s="2" t="str">
        <f>IF(ESales_DB[[#This Row],[Total_Amount]]&gt;1000,"High","Low")</f>
        <v>High</v>
      </c>
      <c r="N707" s="2" t="str">
        <f>VLOOKUP(ESales_DB[[#This Row],[Customer_ID]],Ecustom_DB[],3,FALSE)</f>
        <v>Tyler Weber</v>
      </c>
      <c r="O707" s="2" t="str">
        <f>_xlfn.XLOOKUP(ESales_DB[[#This Row],[Product_ID]],Eproduct_DB[Product_ID],Eproduct_DB[Category])</f>
        <v>Electronics</v>
      </c>
      <c r="P707" s="2" t="str">
        <f>_xlfn.XLOOKUP(ESales_DB[[#This Row],[Product_ID]],Eproduct_DB[Product_ID],Eproduct_DB[Product_Name])</f>
        <v>Portable Power Bank</v>
      </c>
      <c r="Q707" s="2" t="str">
        <f>_xlfn.XLOOKUP(ESales_DB[[#This Row],[Store_ID]],Estore_DB[Store_ID],Estore_DB[Region])</f>
        <v>South</v>
      </c>
      <c r="R707" t="str">
        <f>VLOOKUP(ESales_DB[[#This Row],[Customer_ID]],Ecustom_DB[],10,FALSE)</f>
        <v>Gold</v>
      </c>
      <c r="S707" t="str">
        <f>IF(ESales_DB[[#This Row],[Quantity1]]&gt;3,"Bulk order","Normal order")</f>
        <v>Normal order</v>
      </c>
    </row>
    <row r="708" spans="1:19" x14ac:dyDescent="0.3">
      <c r="A708" t="s">
        <v>3459</v>
      </c>
      <c r="B708" s="4">
        <v>45553</v>
      </c>
      <c r="C708" s="4" t="str">
        <f>TEXT(ESales_DB[[#This Row],[Order_Date]],"mmm")</f>
        <v>Sep</v>
      </c>
      <c r="D708" t="s">
        <v>417</v>
      </c>
      <c r="E708" t="s">
        <v>1686</v>
      </c>
      <c r="F708" t="s">
        <v>1804</v>
      </c>
      <c r="G708">
        <v>1</v>
      </c>
      <c r="H708" s="10">
        <f>IF(ISBLANK(ESales_DB[[#This Row],[Quantity]]),AVERAGEIF(ESales_DB[Product_ID],ESales_DB[[#This Row],[Product_ID]],ESales_DB[Quantity]),ESales_DB[[#This Row],[Quantity]])</f>
        <v>1</v>
      </c>
      <c r="I708" s="2">
        <v>696.13</v>
      </c>
      <c r="J708">
        <v>0.06</v>
      </c>
      <c r="K708" t="s">
        <v>1829</v>
      </c>
      <c r="L708" s="2">
        <v>654.36219999999992</v>
      </c>
      <c r="M708" s="2" t="str">
        <f>IF(ESales_DB[[#This Row],[Total_Amount]]&gt;1000,"High","Low")</f>
        <v>Low</v>
      </c>
      <c r="N708" s="2" t="str">
        <f>VLOOKUP(ESales_DB[[#This Row],[Customer_ID]],Ecustom_DB[],3,FALSE)</f>
        <v>Jacob Hopkins</v>
      </c>
      <c r="O708" s="2" t="str">
        <f>_xlfn.XLOOKUP(ESales_DB[[#This Row],[Product_ID]],Eproduct_DB[Product_ID],Eproduct_DB[Category])</f>
        <v>Clothing</v>
      </c>
      <c r="P708" s="2" t="str">
        <f>_xlfn.XLOOKUP(ESales_DB[[#This Row],[Product_ID]],Eproduct_DB[Product_ID],Eproduct_DB[Product_Name])</f>
        <v>Men's Sports Shorts</v>
      </c>
      <c r="Q708" s="2" t="str">
        <f>_xlfn.XLOOKUP(ESales_DB[[#This Row],[Store_ID]],Estore_DB[Store_ID],Estore_DB[Region])</f>
        <v>West</v>
      </c>
      <c r="R708" t="str">
        <f>VLOOKUP(ESales_DB[[#This Row],[Customer_ID]],Ecustom_DB[],10,FALSE)</f>
        <v>Platinum</v>
      </c>
      <c r="S708" t="str">
        <f>IF(ESales_DB[[#This Row],[Quantity1]]&gt;3,"Bulk order","Normal order")</f>
        <v>Normal order</v>
      </c>
    </row>
    <row r="709" spans="1:19" x14ac:dyDescent="0.3">
      <c r="A709" t="s">
        <v>3460</v>
      </c>
      <c r="B709" s="4">
        <v>45341</v>
      </c>
      <c r="C709" s="4" t="str">
        <f>TEXT(ESales_DB[[#This Row],[Order_Date]],"mmm")</f>
        <v>Feb</v>
      </c>
      <c r="D709" t="s">
        <v>369</v>
      </c>
      <c r="E709" t="s">
        <v>1650</v>
      </c>
      <c r="F709" t="s">
        <v>1776</v>
      </c>
      <c r="G709">
        <v>4</v>
      </c>
      <c r="H709" s="10">
        <f>IF(ISBLANK(ESales_DB[[#This Row],[Quantity]]),AVERAGEIF(ESales_DB[Product_ID],ESales_DB[[#This Row],[Product_ID]],ESales_DB[Quantity]),ESales_DB[[#This Row],[Quantity]])</f>
        <v>4</v>
      </c>
      <c r="I709" s="2">
        <v>194.39</v>
      </c>
      <c r="J709">
        <v>0.25</v>
      </c>
      <c r="K709" t="s">
        <v>1824</v>
      </c>
      <c r="L709" s="2">
        <v>583.16999999999996</v>
      </c>
      <c r="M709" s="2" t="str">
        <f>IF(ESales_DB[[#This Row],[Total_Amount]]&gt;1000,"High","Low")</f>
        <v>Low</v>
      </c>
      <c r="N709" s="2" t="str">
        <f>VLOOKUP(ESales_DB[[#This Row],[Customer_ID]],Ecustom_DB[],3,FALSE)</f>
        <v>Christopher Lester</v>
      </c>
      <c r="O709" s="2" t="str">
        <f>_xlfn.XLOOKUP(ESales_DB[[#This Row],[Product_ID]],Eproduct_DB[Product_ID],Eproduct_DB[Category])</f>
        <v>Electronics</v>
      </c>
      <c r="P709" s="2" t="str">
        <f>_xlfn.XLOOKUP(ESales_DB[[#This Row],[Product_ID]],Eproduct_DB[Product_ID],Eproduct_DB[Product_Name])</f>
        <v>HDMI Cable – 2m</v>
      </c>
      <c r="Q709" s="2" t="str">
        <f>_xlfn.XLOOKUP(ESales_DB[[#This Row],[Store_ID]],Estore_DB[Store_ID],Estore_DB[Region])</f>
        <v>East</v>
      </c>
      <c r="R709" t="str">
        <f>VLOOKUP(ESales_DB[[#This Row],[Customer_ID]],Ecustom_DB[],10,FALSE)</f>
        <v>Silver</v>
      </c>
      <c r="S709" t="str">
        <f>IF(ESales_DB[[#This Row],[Quantity1]]&gt;3,"Bulk order","Normal order")</f>
        <v>Bulk order</v>
      </c>
    </row>
    <row r="710" spans="1:19" x14ac:dyDescent="0.3">
      <c r="A710" t="s">
        <v>3461</v>
      </c>
      <c r="B710" s="4">
        <v>45430</v>
      </c>
      <c r="C710" s="4" t="str">
        <f>TEXT(ESales_DB[[#This Row],[Order_Date]],"mmm")</f>
        <v>May</v>
      </c>
      <c r="D710" t="s">
        <v>1038</v>
      </c>
      <c r="E710" t="s">
        <v>1614</v>
      </c>
      <c r="F710" t="s">
        <v>1757</v>
      </c>
      <c r="G710">
        <v>1</v>
      </c>
      <c r="H710" s="10">
        <f>IF(ISBLANK(ESales_DB[[#This Row],[Quantity]]),AVERAGEIF(ESales_DB[Product_ID],ESales_DB[[#This Row],[Product_ID]],ESales_DB[Quantity]),ESales_DB[[#This Row],[Quantity]])</f>
        <v>1</v>
      </c>
      <c r="I710" s="2">
        <v>339.7</v>
      </c>
      <c r="J710">
        <v>0.1</v>
      </c>
      <c r="K710" t="s">
        <v>1824</v>
      </c>
      <c r="L710" s="2">
        <v>305.73</v>
      </c>
      <c r="M710" s="2" t="str">
        <f>IF(ESales_DB[[#This Row],[Total_Amount]]&gt;1000,"High","Low")</f>
        <v>Low</v>
      </c>
      <c r="N710" s="2" t="str">
        <f>VLOOKUP(ESales_DB[[#This Row],[Customer_ID]],Ecustom_DB[],3,FALSE)</f>
        <v>Pamela Mcguire</v>
      </c>
      <c r="O710" s="2" t="str">
        <f>_xlfn.XLOOKUP(ESales_DB[[#This Row],[Product_ID]],Eproduct_DB[Product_ID],Eproduct_DB[Category])</f>
        <v>Home</v>
      </c>
      <c r="P710" s="2" t="str">
        <f>_xlfn.XLOOKUP(ESales_DB[[#This Row],[Product_ID]],Eproduct_DB[Product_ID],Eproduct_DB[Product_Name])</f>
        <v>Modern Wall Clock</v>
      </c>
      <c r="Q710" s="2" t="str">
        <f>_xlfn.XLOOKUP(ESales_DB[[#This Row],[Store_ID]],Estore_DB[Store_ID],Estore_DB[Region])</f>
        <v>North</v>
      </c>
      <c r="R710" t="str">
        <f>VLOOKUP(ESales_DB[[#This Row],[Customer_ID]],Ecustom_DB[],10,FALSE)</f>
        <v>Platinum</v>
      </c>
      <c r="S710" t="str">
        <f>IF(ESales_DB[[#This Row],[Quantity1]]&gt;3,"Bulk order","Normal order")</f>
        <v>Normal order</v>
      </c>
    </row>
    <row r="711" spans="1:19" x14ac:dyDescent="0.3">
      <c r="A711" t="s">
        <v>3462</v>
      </c>
      <c r="B711" s="4">
        <v>45912</v>
      </c>
      <c r="C711" s="4" t="str">
        <f>TEXT(ESales_DB[[#This Row],[Order_Date]],"mmm")</f>
        <v>Sep</v>
      </c>
      <c r="D711" t="s">
        <v>185</v>
      </c>
      <c r="E711" t="s">
        <v>1684</v>
      </c>
      <c r="F711" t="s">
        <v>1797</v>
      </c>
      <c r="G711">
        <v>4</v>
      </c>
      <c r="H711" s="10">
        <f>IF(ISBLANK(ESales_DB[[#This Row],[Quantity]]),AVERAGEIF(ESales_DB[Product_ID],ESales_DB[[#This Row],[Product_ID]],ESales_DB[Quantity]),ESales_DB[[#This Row],[Quantity]])</f>
        <v>4</v>
      </c>
      <c r="I711" s="2">
        <v>463.16</v>
      </c>
      <c r="J711">
        <v>0.27</v>
      </c>
      <c r="K711" t="s">
        <v>1826</v>
      </c>
      <c r="L711" s="2">
        <v>1352.4272000000001</v>
      </c>
      <c r="M711" s="2" t="str">
        <f>IF(ESales_DB[[#This Row],[Total_Amount]]&gt;1000,"High","Low")</f>
        <v>High</v>
      </c>
      <c r="N711" s="2" t="str">
        <f>VLOOKUP(ESales_DB[[#This Row],[Customer_ID]],Ecustom_DB[],3,FALSE)</f>
        <v>April Mullins</v>
      </c>
      <c r="O711" s="2" t="str">
        <f>_xlfn.XLOOKUP(ESales_DB[[#This Row],[Product_ID]],Eproduct_DB[Product_ID],Eproduct_DB[Category])</f>
        <v>Home</v>
      </c>
      <c r="P711" s="2" t="str">
        <f>_xlfn.XLOOKUP(ESales_DB[[#This Row],[Product_ID]],Eproduct_DB[Product_ID],Eproduct_DB[Product_Name])</f>
        <v>Wooden Nightstand</v>
      </c>
      <c r="Q711" s="2" t="str">
        <f>_xlfn.XLOOKUP(ESales_DB[[#This Row],[Store_ID]],Estore_DB[Store_ID],Estore_DB[Region])</f>
        <v>East</v>
      </c>
      <c r="R711" t="str">
        <f>VLOOKUP(ESales_DB[[#This Row],[Customer_ID]],Ecustom_DB[],10,FALSE)</f>
        <v>Platinum</v>
      </c>
      <c r="S711" t="str">
        <f>IF(ESales_DB[[#This Row],[Quantity1]]&gt;3,"Bulk order","Normal order")</f>
        <v>Bulk order</v>
      </c>
    </row>
    <row r="712" spans="1:19" x14ac:dyDescent="0.3">
      <c r="A712" t="s">
        <v>3463</v>
      </c>
      <c r="B712" s="4">
        <v>45709</v>
      </c>
      <c r="C712" s="4" t="str">
        <f>TEXT(ESales_DB[[#This Row],[Order_Date]],"mmm")</f>
        <v>Feb</v>
      </c>
      <c r="D712" t="s">
        <v>378</v>
      </c>
      <c r="E712" t="s">
        <v>1555</v>
      </c>
      <c r="F712" t="s">
        <v>1789</v>
      </c>
      <c r="G712">
        <v>2</v>
      </c>
      <c r="H712" s="10">
        <f>IF(ISBLANK(ESales_DB[[#This Row],[Quantity]]),AVERAGEIF(ESales_DB[Product_ID],ESales_DB[[#This Row],[Product_ID]],ESales_DB[Quantity]),ESales_DB[[#This Row],[Quantity]])</f>
        <v>2</v>
      </c>
      <c r="I712" s="2">
        <v>824.91</v>
      </c>
      <c r="J712">
        <v>0.09</v>
      </c>
      <c r="K712" t="s">
        <v>1824</v>
      </c>
      <c r="L712" s="2">
        <v>1501.3362</v>
      </c>
      <c r="M712" s="2" t="str">
        <f>IF(ESales_DB[[#This Row],[Total_Amount]]&gt;1000,"High","Low")</f>
        <v>High</v>
      </c>
      <c r="N712" s="2" t="str">
        <f>VLOOKUP(ESales_DB[[#This Row],[Customer_ID]],Ecustom_DB[],3,FALSE)</f>
        <v>Erica Carney</v>
      </c>
      <c r="O712" s="2" t="str">
        <f>_xlfn.XLOOKUP(ESales_DB[[#This Row],[Product_ID]],Eproduct_DB[Product_ID],Eproduct_DB[Category])</f>
        <v>Clothing</v>
      </c>
      <c r="P712" s="2" t="str">
        <f>_xlfn.XLOOKUP(ESales_DB[[#This Row],[Product_ID]],Eproduct_DB[Product_ID],Eproduct_DB[Product_Name])</f>
        <v>Men's Leather Belt</v>
      </c>
      <c r="Q712" s="2" t="str">
        <f>_xlfn.XLOOKUP(ESales_DB[[#This Row],[Store_ID]],Estore_DB[Store_ID],Estore_DB[Region])</f>
        <v>East</v>
      </c>
      <c r="R712" t="str">
        <f>VLOOKUP(ESales_DB[[#This Row],[Customer_ID]],Ecustom_DB[],10,FALSE)</f>
        <v>Platinum</v>
      </c>
      <c r="S712" t="str">
        <f>IF(ESales_DB[[#This Row],[Quantity1]]&gt;3,"Bulk order","Normal order")</f>
        <v>Normal order</v>
      </c>
    </row>
    <row r="713" spans="1:19" x14ac:dyDescent="0.3">
      <c r="A713" t="s">
        <v>3464</v>
      </c>
      <c r="B713" s="4">
        <v>45520</v>
      </c>
      <c r="C713" s="4" t="str">
        <f>TEXT(ESales_DB[[#This Row],[Order_Date]],"mmm")</f>
        <v>Aug</v>
      </c>
      <c r="D713" t="s">
        <v>258</v>
      </c>
      <c r="E713" t="s">
        <v>1555</v>
      </c>
      <c r="F713" t="s">
        <v>1761</v>
      </c>
      <c r="G713">
        <v>4</v>
      </c>
      <c r="H713" s="10">
        <f>IF(ISBLANK(ESales_DB[[#This Row],[Quantity]]),AVERAGEIF(ESales_DB[Product_ID],ESales_DB[[#This Row],[Product_ID]],ESales_DB[Quantity]),ESales_DB[[#This Row],[Quantity]])</f>
        <v>4</v>
      </c>
      <c r="I713" s="2">
        <v>796.89</v>
      </c>
      <c r="J713">
        <v>0.17</v>
      </c>
      <c r="K713" t="s">
        <v>1824</v>
      </c>
      <c r="L713" s="2">
        <v>2645.6747999999998</v>
      </c>
      <c r="M713" s="2" t="str">
        <f>IF(ESales_DB[[#This Row],[Total_Amount]]&gt;1000,"High","Low")</f>
        <v>High</v>
      </c>
      <c r="N713" s="2" t="str">
        <f>VLOOKUP(ESales_DB[[#This Row],[Customer_ID]],Ecustom_DB[],3,FALSE)</f>
        <v>Eric Singh</v>
      </c>
      <c r="O713" s="2" t="str">
        <f>_xlfn.XLOOKUP(ESales_DB[[#This Row],[Product_ID]],Eproduct_DB[Product_ID],Eproduct_DB[Category])</f>
        <v>Clothing</v>
      </c>
      <c r="P713" s="2" t="str">
        <f>_xlfn.XLOOKUP(ESales_DB[[#This Row],[Product_ID]],Eproduct_DB[Product_ID],Eproduct_DB[Product_Name])</f>
        <v>Men's Leather Belt</v>
      </c>
      <c r="Q713" s="2" t="str">
        <f>_xlfn.XLOOKUP(ESales_DB[[#This Row],[Store_ID]],Estore_DB[Store_ID],Estore_DB[Region])</f>
        <v>South</v>
      </c>
      <c r="R713" t="str">
        <f>VLOOKUP(ESales_DB[[#This Row],[Customer_ID]],Ecustom_DB[],10,FALSE)</f>
        <v>Gold</v>
      </c>
      <c r="S713" t="str">
        <f>IF(ESales_DB[[#This Row],[Quantity1]]&gt;3,"Bulk order","Normal order")</f>
        <v>Bulk order</v>
      </c>
    </row>
    <row r="714" spans="1:19" x14ac:dyDescent="0.3">
      <c r="A714" t="s">
        <v>3465</v>
      </c>
      <c r="B714" s="4">
        <v>45478</v>
      </c>
      <c r="C714" s="4" t="str">
        <f>TEXT(ESales_DB[[#This Row],[Order_Date]],"mmm")</f>
        <v>Jul</v>
      </c>
      <c r="D714" t="s">
        <v>770</v>
      </c>
      <c r="E714" t="s">
        <v>1600</v>
      </c>
      <c r="F714" t="s">
        <v>1807</v>
      </c>
      <c r="G714">
        <v>3</v>
      </c>
      <c r="H714" s="10">
        <f>IF(ISBLANK(ESales_DB[[#This Row],[Quantity]]),AVERAGEIF(ESales_DB[Product_ID],ESales_DB[[#This Row],[Product_ID]],ESales_DB[Quantity]),ESales_DB[[#This Row],[Quantity]])</f>
        <v>3</v>
      </c>
      <c r="I714" s="2">
        <v>543.92999999999995</v>
      </c>
      <c r="J714">
        <v>0.3</v>
      </c>
      <c r="K714" t="s">
        <v>1829</v>
      </c>
      <c r="L714" s="2">
        <v>1142.2529999999999</v>
      </c>
      <c r="M714" s="2" t="str">
        <f>IF(ESales_DB[[#This Row],[Total_Amount]]&gt;1000,"High","Low")</f>
        <v>High</v>
      </c>
      <c r="N714" s="2" t="str">
        <f>VLOOKUP(ESales_DB[[#This Row],[Customer_ID]],Ecustom_DB[],3,FALSE)</f>
        <v>William Hull</v>
      </c>
      <c r="O714" s="2" t="str">
        <f>_xlfn.XLOOKUP(ESales_DB[[#This Row],[Product_ID]],Eproduct_DB[Product_ID],Eproduct_DB[Category])</f>
        <v>Electronics</v>
      </c>
      <c r="P714" s="2" t="str">
        <f>_xlfn.XLOOKUP(ESales_DB[[#This Row],[Product_ID]],Eproduct_DB[Product_ID],Eproduct_DB[Product_Name])</f>
        <v>Wireless Bluetooth Speaker</v>
      </c>
      <c r="Q714" s="2" t="str">
        <f>_xlfn.XLOOKUP(ESales_DB[[#This Row],[Store_ID]],Estore_DB[Store_ID],Estore_DB[Region])</f>
        <v>North</v>
      </c>
      <c r="R714" t="str">
        <f>VLOOKUP(ESales_DB[[#This Row],[Customer_ID]],Ecustom_DB[],10,FALSE)</f>
        <v>Platinum</v>
      </c>
      <c r="S714" t="str">
        <f>IF(ESales_DB[[#This Row],[Quantity1]]&gt;3,"Bulk order","Normal order")</f>
        <v>Normal order</v>
      </c>
    </row>
    <row r="715" spans="1:19" x14ac:dyDescent="0.3">
      <c r="A715" t="s">
        <v>1990</v>
      </c>
      <c r="B715" s="4">
        <v>45418</v>
      </c>
      <c r="C715" s="4" t="str">
        <f>TEXT(ESales_DB[[#This Row],[Order_Date]],"mmm")</f>
        <v>May</v>
      </c>
      <c r="D715" t="s">
        <v>878</v>
      </c>
      <c r="E715" t="s">
        <v>1656</v>
      </c>
      <c r="F715" t="s">
        <v>1794</v>
      </c>
      <c r="G715">
        <v>4</v>
      </c>
      <c r="H715" s="10">
        <f>IF(ISBLANK(ESales_DB[[#This Row],[Quantity]]),AVERAGEIF(ESales_DB[Product_ID],ESales_DB[[#This Row],[Product_ID]],ESales_DB[Quantity]),ESales_DB[[#This Row],[Quantity]])</f>
        <v>4</v>
      </c>
      <c r="I715" s="2">
        <v>164.04</v>
      </c>
      <c r="J715">
        <v>0.26</v>
      </c>
      <c r="K715" t="s">
        <v>1824</v>
      </c>
      <c r="L715" s="2">
        <v>485.55839999999989</v>
      </c>
      <c r="M715" s="2" t="str">
        <f>IF(ESales_DB[[#This Row],[Total_Amount]]&gt;1000,"High","Low")</f>
        <v>Low</v>
      </c>
      <c r="N715" s="2" t="str">
        <f>VLOOKUP(ESales_DB[[#This Row],[Customer_ID]],Ecustom_DB[],3,FALSE)</f>
        <v>Arthur Warren</v>
      </c>
      <c r="O715" s="2" t="str">
        <f>_xlfn.XLOOKUP(ESales_DB[[#This Row],[Product_ID]],Eproduct_DB[Product_ID],Eproduct_DB[Category])</f>
        <v>Sports</v>
      </c>
      <c r="P715" s="2" t="str">
        <f>_xlfn.XLOOKUP(ESales_DB[[#This Row],[Product_ID]],Eproduct_DB[Product_ID],Eproduct_DB[Product_Name])</f>
        <v>Sports Stopwatch Pro</v>
      </c>
      <c r="Q715" s="2" t="str">
        <f>_xlfn.XLOOKUP(ESales_DB[[#This Row],[Store_ID]],Estore_DB[Store_ID],Estore_DB[Region])</f>
        <v>North</v>
      </c>
      <c r="R715" t="str">
        <f>VLOOKUP(ESales_DB[[#This Row],[Customer_ID]],Ecustom_DB[],10,FALSE)</f>
        <v>Gold</v>
      </c>
      <c r="S715" t="str">
        <f>IF(ESales_DB[[#This Row],[Quantity1]]&gt;3,"Bulk order","Normal order")</f>
        <v>Bulk order</v>
      </c>
    </row>
    <row r="716" spans="1:19" x14ac:dyDescent="0.3">
      <c r="A716" t="s">
        <v>3466</v>
      </c>
      <c r="B716" s="4">
        <v>45496</v>
      </c>
      <c r="C716" s="4" t="str">
        <f>TEXT(ESales_DB[[#This Row],[Order_Date]],"mmm")</f>
        <v>Jul</v>
      </c>
      <c r="D716" t="s">
        <v>574</v>
      </c>
      <c r="E716" t="s">
        <v>1576</v>
      </c>
      <c r="F716" t="s">
        <v>1779</v>
      </c>
      <c r="G716">
        <v>2</v>
      </c>
      <c r="H716" s="10">
        <f>IF(ISBLANK(ESales_DB[[#This Row],[Quantity]]),AVERAGEIF(ESales_DB[Product_ID],ESales_DB[[#This Row],[Product_ID]],ESales_DB[Quantity]),ESales_DB[[#This Row],[Quantity]])</f>
        <v>2</v>
      </c>
      <c r="I716" s="2">
        <v>44.65</v>
      </c>
      <c r="J716">
        <v>0.03</v>
      </c>
      <c r="K716" t="s">
        <v>1826</v>
      </c>
      <c r="L716" s="2">
        <v>86.620999999999995</v>
      </c>
      <c r="M716" s="2" t="str">
        <f>IF(ESales_DB[[#This Row],[Total_Amount]]&gt;1000,"High","Low")</f>
        <v>Low</v>
      </c>
      <c r="N716" s="2" t="str">
        <f>VLOOKUP(ESales_DB[[#This Row],[Customer_ID]],Ecustom_DB[],3,FALSE)</f>
        <v>Teresa Stokes</v>
      </c>
      <c r="O716" s="2" t="str">
        <f>_xlfn.XLOOKUP(ESales_DB[[#This Row],[Product_ID]],Eproduct_DB[Product_ID],Eproduct_DB[Category])</f>
        <v>Home</v>
      </c>
      <c r="P716" s="2" t="str">
        <f>_xlfn.XLOOKUP(ESales_DB[[#This Row],[Product_ID]],Eproduct_DB[Product_ID],Eproduct_DB[Product_Name])</f>
        <v>Decorative Wall Mirror</v>
      </c>
      <c r="Q716" s="2" t="str">
        <f>_xlfn.XLOOKUP(ESales_DB[[#This Row],[Store_ID]],Estore_DB[Store_ID],Estore_DB[Region])</f>
        <v>South</v>
      </c>
      <c r="R716" t="str">
        <f>VLOOKUP(ESales_DB[[#This Row],[Customer_ID]],Ecustom_DB[],10,FALSE)</f>
        <v>Platinum</v>
      </c>
      <c r="S716" t="str">
        <f>IF(ESales_DB[[#This Row],[Quantity1]]&gt;3,"Bulk order","Normal order")</f>
        <v>Normal order</v>
      </c>
    </row>
    <row r="717" spans="1:19" x14ac:dyDescent="0.3">
      <c r="A717" t="s">
        <v>3467</v>
      </c>
      <c r="B717" s="4">
        <v>45742</v>
      </c>
      <c r="C717" s="4" t="str">
        <f>TEXT(ESales_DB[[#This Row],[Order_Date]],"mmm")</f>
        <v>Mar</v>
      </c>
      <c r="D717" t="s">
        <v>800</v>
      </c>
      <c r="E717" t="s">
        <v>1660</v>
      </c>
      <c r="F717" t="s">
        <v>1752</v>
      </c>
      <c r="G717">
        <v>4</v>
      </c>
      <c r="H717" s="10">
        <f>IF(ISBLANK(ESales_DB[[#This Row],[Quantity]]),AVERAGEIF(ESales_DB[Product_ID],ESales_DB[[#This Row],[Product_ID]],ESales_DB[Quantity]),ESales_DB[[#This Row],[Quantity]])</f>
        <v>4</v>
      </c>
      <c r="I717" s="2">
        <v>827.39</v>
      </c>
      <c r="J717">
        <v>0.06</v>
      </c>
      <c r="K717" t="s">
        <v>1829</v>
      </c>
      <c r="L717" s="2">
        <v>3110.9863999999998</v>
      </c>
      <c r="M717" s="2" t="str">
        <f>IF(ESales_DB[[#This Row],[Total_Amount]]&gt;1000,"High","Low")</f>
        <v>High</v>
      </c>
      <c r="N717" s="2" t="str">
        <f>VLOOKUP(ESales_DB[[#This Row],[Customer_ID]],Ecustom_DB[],3,FALSE)</f>
        <v>Veronica Newman</v>
      </c>
      <c r="O717" s="2" t="str">
        <f>_xlfn.XLOOKUP(ESales_DB[[#This Row],[Product_ID]],Eproduct_DB[Product_ID],Eproduct_DB[Category])</f>
        <v>Home</v>
      </c>
      <c r="P717" s="2" t="str">
        <f>_xlfn.XLOOKUP(ESales_DB[[#This Row],[Product_ID]],Eproduct_DB[Product_ID],Eproduct_DB[Product_Name])</f>
        <v>Premium Blanket Throw</v>
      </c>
      <c r="Q717" s="2" t="str">
        <f>_xlfn.XLOOKUP(ESales_DB[[#This Row],[Store_ID]],Estore_DB[Store_ID],Estore_DB[Region])</f>
        <v>East</v>
      </c>
      <c r="R717" t="str">
        <f>VLOOKUP(ESales_DB[[#This Row],[Customer_ID]],Ecustom_DB[],10,FALSE)</f>
        <v>Platinum</v>
      </c>
      <c r="S717" t="str">
        <f>IF(ESales_DB[[#This Row],[Quantity1]]&gt;3,"Bulk order","Normal order")</f>
        <v>Bulk order</v>
      </c>
    </row>
    <row r="718" spans="1:19" x14ac:dyDescent="0.3">
      <c r="A718" t="s">
        <v>3468</v>
      </c>
      <c r="B718" s="4">
        <v>45301</v>
      </c>
      <c r="C718" s="4" t="str">
        <f>TEXT(ESales_DB[[#This Row],[Order_Date]],"mmm")</f>
        <v>Jan</v>
      </c>
      <c r="D718" t="s">
        <v>972</v>
      </c>
      <c r="E718" t="s">
        <v>1576</v>
      </c>
      <c r="F718" t="s">
        <v>1794</v>
      </c>
      <c r="G718">
        <v>2</v>
      </c>
      <c r="H718" s="10">
        <f>IF(ISBLANK(ESales_DB[[#This Row],[Quantity]]),AVERAGEIF(ESales_DB[Product_ID],ESales_DB[[#This Row],[Product_ID]],ESales_DB[Quantity]),ESales_DB[[#This Row],[Quantity]])</f>
        <v>2</v>
      </c>
      <c r="I718" s="2">
        <v>403.2</v>
      </c>
      <c r="J718">
        <v>0.21</v>
      </c>
      <c r="K718" t="s">
        <v>1826</v>
      </c>
      <c r="L718" s="2">
        <v>637.05600000000004</v>
      </c>
      <c r="M718" s="2" t="str">
        <f>IF(ESales_DB[[#This Row],[Total_Amount]]&gt;1000,"High","Low")</f>
        <v>Low</v>
      </c>
      <c r="N718" s="2" t="str">
        <f>VLOOKUP(ESales_DB[[#This Row],[Customer_ID]],Ecustom_DB[],3,FALSE)</f>
        <v>Jennifer Zamora</v>
      </c>
      <c r="O718" s="2" t="str">
        <f>_xlfn.XLOOKUP(ESales_DB[[#This Row],[Product_ID]],Eproduct_DB[Product_ID],Eproduct_DB[Category])</f>
        <v>Home</v>
      </c>
      <c r="P718" s="2" t="str">
        <f>_xlfn.XLOOKUP(ESales_DB[[#This Row],[Product_ID]],Eproduct_DB[Product_ID],Eproduct_DB[Product_Name])</f>
        <v>Decorative Wall Mirror</v>
      </c>
      <c r="Q718" s="2" t="str">
        <f>_xlfn.XLOOKUP(ESales_DB[[#This Row],[Store_ID]],Estore_DB[Store_ID],Estore_DB[Region])</f>
        <v>North</v>
      </c>
      <c r="R718" t="str">
        <f>VLOOKUP(ESales_DB[[#This Row],[Customer_ID]],Ecustom_DB[],10,FALSE)</f>
        <v>Gold</v>
      </c>
      <c r="S718" t="str">
        <f>IF(ESales_DB[[#This Row],[Quantity1]]&gt;3,"Bulk order","Normal order")</f>
        <v>Normal order</v>
      </c>
    </row>
    <row r="719" spans="1:19" x14ac:dyDescent="0.3">
      <c r="A719" t="s">
        <v>3469</v>
      </c>
      <c r="B719" s="4">
        <v>45547</v>
      </c>
      <c r="C719" s="4" t="str">
        <f>TEXT(ESales_DB[[#This Row],[Order_Date]],"mmm")</f>
        <v>Sep</v>
      </c>
      <c r="D719" t="s">
        <v>78</v>
      </c>
      <c r="E719" t="s">
        <v>1720</v>
      </c>
      <c r="F719" t="s">
        <v>1797</v>
      </c>
      <c r="G719">
        <v>4</v>
      </c>
      <c r="H719" s="10">
        <f>IF(ISBLANK(ESales_DB[[#This Row],[Quantity]]),AVERAGEIF(ESales_DB[Product_ID],ESales_DB[[#This Row],[Product_ID]],ESales_DB[Quantity]),ESales_DB[[#This Row],[Quantity]])</f>
        <v>4</v>
      </c>
      <c r="I719" s="2">
        <v>292.31</v>
      </c>
      <c r="J719">
        <v>0.27</v>
      </c>
      <c r="K719" t="s">
        <v>1826</v>
      </c>
      <c r="L719" s="2">
        <v>853.54520000000002</v>
      </c>
      <c r="M719" s="2" t="str">
        <f>IF(ESales_DB[[#This Row],[Total_Amount]]&gt;1000,"High","Low")</f>
        <v>Low</v>
      </c>
      <c r="N719" s="2" t="str">
        <f>VLOOKUP(ESales_DB[[#This Row],[Customer_ID]],Ecustom_DB[],3,FALSE)</f>
        <v>Adam Cruz</v>
      </c>
      <c r="O719" s="2" t="str">
        <f>_xlfn.XLOOKUP(ESales_DB[[#This Row],[Product_ID]],Eproduct_DB[Product_ID],Eproduct_DB[Category])</f>
        <v>Home</v>
      </c>
      <c r="P719" s="2" t="str">
        <f>_xlfn.XLOOKUP(ESales_DB[[#This Row],[Product_ID]],Eproduct_DB[Product_ID],Eproduct_DB[Product_Name])</f>
        <v>Kitchen Cutting Board</v>
      </c>
      <c r="Q719" s="2" t="str">
        <f>_xlfn.XLOOKUP(ESales_DB[[#This Row],[Store_ID]],Estore_DB[Store_ID],Estore_DB[Region])</f>
        <v>East</v>
      </c>
      <c r="R719" t="str">
        <f>VLOOKUP(ESales_DB[[#This Row],[Customer_ID]],Ecustom_DB[],10,FALSE)</f>
        <v>Platinum</v>
      </c>
      <c r="S719" t="str">
        <f>IF(ESales_DB[[#This Row],[Quantity1]]&gt;3,"Bulk order","Normal order")</f>
        <v>Bulk order</v>
      </c>
    </row>
    <row r="720" spans="1:19" x14ac:dyDescent="0.3">
      <c r="A720" t="s">
        <v>3470</v>
      </c>
      <c r="B720" s="4">
        <v>45806</v>
      </c>
      <c r="C720" s="4" t="str">
        <f>TEXT(ESales_DB[[#This Row],[Order_Date]],"mmm")</f>
        <v>May</v>
      </c>
      <c r="D720" t="s">
        <v>1513</v>
      </c>
      <c r="E720" t="s">
        <v>1549</v>
      </c>
      <c r="F720" t="s">
        <v>1789</v>
      </c>
      <c r="G720">
        <v>1</v>
      </c>
      <c r="H720" s="10">
        <f>IF(ISBLANK(ESales_DB[[#This Row],[Quantity]]),AVERAGEIF(ESales_DB[Product_ID],ESales_DB[[#This Row],[Product_ID]],ESales_DB[Quantity]),ESales_DB[[#This Row],[Quantity]])</f>
        <v>1</v>
      </c>
      <c r="I720" s="2">
        <v>948.33</v>
      </c>
      <c r="J720">
        <v>0.11</v>
      </c>
      <c r="K720" t="s">
        <v>1824</v>
      </c>
      <c r="L720" s="2">
        <v>844.01370000000009</v>
      </c>
      <c r="M720" s="2" t="str">
        <f>IF(ESales_DB[[#This Row],[Total_Amount]]&gt;1000,"High","Low")</f>
        <v>Low</v>
      </c>
      <c r="N720" s="2" t="str">
        <f>VLOOKUP(ESales_DB[[#This Row],[Customer_ID]],Ecustom_DB[],3,FALSE)</f>
        <v>Darrell Miller</v>
      </c>
      <c r="O720" s="2" t="str">
        <f>_xlfn.XLOOKUP(ESales_DB[[#This Row],[Product_ID]],Eproduct_DB[Product_ID],Eproduct_DB[Category])</f>
        <v>Clothing</v>
      </c>
      <c r="P720" s="2" t="str">
        <f>_xlfn.XLOOKUP(ESales_DB[[#This Row],[Product_ID]],Eproduct_DB[Product_ID],Eproduct_DB[Product_Name])</f>
        <v>Women's Casual Hoodie</v>
      </c>
      <c r="Q720" s="2" t="str">
        <f>_xlfn.XLOOKUP(ESales_DB[[#This Row],[Store_ID]],Estore_DB[Store_ID],Estore_DB[Region])</f>
        <v>East</v>
      </c>
      <c r="R720" t="str">
        <f>VLOOKUP(ESales_DB[[#This Row],[Customer_ID]],Ecustom_DB[],10,FALSE)</f>
        <v>Platinum</v>
      </c>
      <c r="S720" t="str">
        <f>IF(ESales_DB[[#This Row],[Quantity1]]&gt;3,"Bulk order","Normal order")</f>
        <v>Normal order</v>
      </c>
    </row>
    <row r="721" spans="1:19" x14ac:dyDescent="0.3">
      <c r="A721" t="s">
        <v>3471</v>
      </c>
      <c r="B721" s="4">
        <v>45294</v>
      </c>
      <c r="C721" s="4" t="str">
        <f>TEXT(ESales_DB[[#This Row],[Order_Date]],"mmm")</f>
        <v>Jan</v>
      </c>
      <c r="D721" t="s">
        <v>1077</v>
      </c>
      <c r="E721" t="s">
        <v>1626</v>
      </c>
      <c r="F721" t="s">
        <v>1773</v>
      </c>
      <c r="G721">
        <v>1</v>
      </c>
      <c r="H721" s="10">
        <f>IF(ISBLANK(ESales_DB[[#This Row],[Quantity]]),AVERAGEIF(ESales_DB[Product_ID],ESales_DB[[#This Row],[Product_ID]],ESales_DB[Quantity]),ESales_DB[[#This Row],[Quantity]])</f>
        <v>1</v>
      </c>
      <c r="I721" s="2">
        <v>702.27</v>
      </c>
      <c r="J721">
        <v>0.17</v>
      </c>
      <c r="K721" t="s">
        <v>1829</v>
      </c>
      <c r="L721" s="2">
        <v>582.88409999999999</v>
      </c>
      <c r="M721" s="2" t="str">
        <f>IF(ESales_DB[[#This Row],[Total_Amount]]&gt;1000,"High","Low")</f>
        <v>Low</v>
      </c>
      <c r="N721" s="2" t="str">
        <f>VLOOKUP(ESales_DB[[#This Row],[Customer_ID]],Ecustom_DB[],3,FALSE)</f>
        <v>Ryan Moore</v>
      </c>
      <c r="O721" s="2" t="str">
        <f>_xlfn.XLOOKUP(ESales_DB[[#This Row],[Product_ID]],Eproduct_DB[Product_ID],Eproduct_DB[Category])</f>
        <v>Electronics</v>
      </c>
      <c r="P721" s="2" t="str">
        <f>_xlfn.XLOOKUP(ESales_DB[[#This Row],[Product_ID]],Eproduct_DB[Product_ID],Eproduct_DB[Product_Name])</f>
        <v>Portable Power Bank</v>
      </c>
      <c r="Q721" s="2" t="str">
        <f>_xlfn.XLOOKUP(ESales_DB[[#This Row],[Store_ID]],Estore_DB[Store_ID],Estore_DB[Region])</f>
        <v>North</v>
      </c>
      <c r="R721" t="str">
        <f>VLOOKUP(ESales_DB[[#This Row],[Customer_ID]],Ecustom_DB[],10,FALSE)</f>
        <v>Bronze</v>
      </c>
      <c r="S721" t="str">
        <f>IF(ESales_DB[[#This Row],[Quantity1]]&gt;3,"Bulk order","Normal order")</f>
        <v>Normal order</v>
      </c>
    </row>
    <row r="722" spans="1:19" x14ac:dyDescent="0.3">
      <c r="A722" t="s">
        <v>3472</v>
      </c>
      <c r="B722" s="4">
        <v>45875</v>
      </c>
      <c r="C722" s="4" t="str">
        <f>TEXT(ESales_DB[[#This Row],[Order_Date]],"mmm")</f>
        <v>Aug</v>
      </c>
      <c r="D722" t="s">
        <v>160</v>
      </c>
      <c r="E722" t="s">
        <v>1608</v>
      </c>
      <c r="F722" t="s">
        <v>1766</v>
      </c>
      <c r="G722">
        <v>2</v>
      </c>
      <c r="H722" s="10">
        <f>IF(ISBLANK(ESales_DB[[#This Row],[Quantity]]),AVERAGEIF(ESales_DB[Product_ID],ESales_DB[[#This Row],[Product_ID]],ESales_DB[Quantity]),ESales_DB[[#This Row],[Quantity]])</f>
        <v>2</v>
      </c>
      <c r="I722" s="2">
        <v>379.28</v>
      </c>
      <c r="J722">
        <v>0.26</v>
      </c>
      <c r="K722" t="s">
        <v>1824</v>
      </c>
      <c r="L722" s="2">
        <v>561.33439999999996</v>
      </c>
      <c r="M722" s="2" t="str">
        <f>IF(ESales_DB[[#This Row],[Total_Amount]]&gt;1000,"High","Low")</f>
        <v>Low</v>
      </c>
      <c r="N722" s="2" t="str">
        <f>VLOOKUP(ESales_DB[[#This Row],[Customer_ID]],Ecustom_DB[],3,FALSE)</f>
        <v>James Gibbs</v>
      </c>
      <c r="O722" s="2" t="str">
        <f>_xlfn.XLOOKUP(ESales_DB[[#This Row],[Product_ID]],Eproduct_DB[Product_ID],Eproduct_DB[Category])</f>
        <v>Home</v>
      </c>
      <c r="P722" s="2" t="str">
        <f>_xlfn.XLOOKUP(ESales_DB[[#This Row],[Product_ID]],Eproduct_DB[Product_ID],Eproduct_DB[Product_Name])</f>
        <v>Stainless Steel Cutlery Set</v>
      </c>
      <c r="Q722" s="2" t="str">
        <f>_xlfn.XLOOKUP(ESales_DB[[#This Row],[Store_ID]],Estore_DB[Store_ID],Estore_DB[Region])</f>
        <v>North</v>
      </c>
      <c r="R722" t="str">
        <f>VLOOKUP(ESales_DB[[#This Row],[Customer_ID]],Ecustom_DB[],10,FALSE)</f>
        <v>Platinum</v>
      </c>
      <c r="S722" t="str">
        <f>IF(ESales_DB[[#This Row],[Quantity1]]&gt;3,"Bulk order","Normal order")</f>
        <v>Normal order</v>
      </c>
    </row>
    <row r="723" spans="1:19" x14ac:dyDescent="0.3">
      <c r="A723" t="s">
        <v>3473</v>
      </c>
      <c r="B723" s="4">
        <v>45669</v>
      </c>
      <c r="C723" s="4" t="str">
        <f>TEXT(ESales_DB[[#This Row],[Order_Date]],"mmm")</f>
        <v>Jan</v>
      </c>
      <c r="D723" t="s">
        <v>452</v>
      </c>
      <c r="E723" t="s">
        <v>1642</v>
      </c>
      <c r="F723" t="s">
        <v>1752</v>
      </c>
      <c r="G723">
        <v>4</v>
      </c>
      <c r="H723" s="10">
        <f>IF(ISBLANK(ESales_DB[[#This Row],[Quantity]]),AVERAGEIF(ESales_DB[Product_ID],ESales_DB[[#This Row],[Product_ID]],ESales_DB[Quantity]),ESales_DB[[#This Row],[Quantity]])</f>
        <v>4</v>
      </c>
      <c r="I723" s="2">
        <v>92.35</v>
      </c>
      <c r="J723">
        <v>0.15</v>
      </c>
      <c r="K723" t="s">
        <v>1824</v>
      </c>
      <c r="L723" s="2">
        <v>313.99</v>
      </c>
      <c r="M723" s="2" t="str">
        <f>IF(ESales_DB[[#This Row],[Total_Amount]]&gt;1000,"High","Low")</f>
        <v>Low</v>
      </c>
      <c r="N723" s="2" t="str">
        <f>VLOOKUP(ESales_DB[[#This Row],[Customer_ID]],Ecustom_DB[],3,FALSE)</f>
        <v>Miguel Reynolds</v>
      </c>
      <c r="O723" s="2" t="str">
        <f>_xlfn.XLOOKUP(ESales_DB[[#This Row],[Product_ID]],Eproduct_DB[Product_ID],Eproduct_DB[Category])</f>
        <v>Beauty</v>
      </c>
      <c r="P723" s="2" t="str">
        <f>_xlfn.XLOOKUP(ESales_DB[[#This Row],[Product_ID]],Eproduct_DB[Product_ID],Eproduct_DB[Product_Name])</f>
        <v>Makeup Brush Set</v>
      </c>
      <c r="Q723" s="2" t="str">
        <f>_xlfn.XLOOKUP(ESales_DB[[#This Row],[Store_ID]],Estore_DB[Store_ID],Estore_DB[Region])</f>
        <v>East</v>
      </c>
      <c r="R723" t="str">
        <f>VLOOKUP(ESales_DB[[#This Row],[Customer_ID]],Ecustom_DB[],10,FALSE)</f>
        <v>Gold</v>
      </c>
      <c r="S723" t="str">
        <f>IF(ESales_DB[[#This Row],[Quantity1]]&gt;3,"Bulk order","Normal order")</f>
        <v>Bulk order</v>
      </c>
    </row>
    <row r="724" spans="1:19" x14ac:dyDescent="0.3">
      <c r="A724" t="s">
        <v>3474</v>
      </c>
      <c r="B724" s="4">
        <v>45606</v>
      </c>
      <c r="C724" s="4" t="str">
        <f>TEXT(ESales_DB[[#This Row],[Order_Date]],"mmm")</f>
        <v>Nov</v>
      </c>
      <c r="D724" t="s">
        <v>711</v>
      </c>
      <c r="E724" t="s">
        <v>1626</v>
      </c>
      <c r="F724" t="s">
        <v>1794</v>
      </c>
      <c r="G724">
        <v>4</v>
      </c>
      <c r="H724" s="10">
        <f>IF(ISBLANK(ESales_DB[[#This Row],[Quantity]]),AVERAGEIF(ESales_DB[Product_ID],ESales_DB[[#This Row],[Product_ID]],ESales_DB[Quantity]),ESales_DB[[#This Row],[Quantity]])</f>
        <v>4</v>
      </c>
      <c r="I724" s="2">
        <v>721.54</v>
      </c>
      <c r="J724">
        <v>0.21</v>
      </c>
      <c r="K724" t="s">
        <v>1824</v>
      </c>
      <c r="L724" s="2">
        <v>2280.0664000000002</v>
      </c>
      <c r="M724" s="2" t="str">
        <f>IF(ESales_DB[[#This Row],[Total_Amount]]&gt;1000,"High","Low")</f>
        <v>High</v>
      </c>
      <c r="N724" s="2" t="str">
        <f>VLOOKUP(ESales_DB[[#This Row],[Customer_ID]],Ecustom_DB[],3,FALSE)</f>
        <v>Jordan Wells</v>
      </c>
      <c r="O724" s="2" t="str">
        <f>_xlfn.XLOOKUP(ESales_DB[[#This Row],[Product_ID]],Eproduct_DB[Product_ID],Eproduct_DB[Category])</f>
        <v>Electronics</v>
      </c>
      <c r="P724" s="2" t="str">
        <f>_xlfn.XLOOKUP(ESales_DB[[#This Row],[Product_ID]],Eproduct_DB[Product_ID],Eproduct_DB[Product_Name])</f>
        <v>Portable Power Bank</v>
      </c>
      <c r="Q724" s="2" t="str">
        <f>_xlfn.XLOOKUP(ESales_DB[[#This Row],[Store_ID]],Estore_DB[Store_ID],Estore_DB[Region])</f>
        <v>North</v>
      </c>
      <c r="R724" t="str">
        <f>VLOOKUP(ESales_DB[[#This Row],[Customer_ID]],Ecustom_DB[],10,FALSE)</f>
        <v>Gold</v>
      </c>
      <c r="S724" t="str">
        <f>IF(ESales_DB[[#This Row],[Quantity1]]&gt;3,"Bulk order","Normal order")</f>
        <v>Bulk order</v>
      </c>
    </row>
    <row r="725" spans="1:19" x14ac:dyDescent="0.3">
      <c r="A725" t="s">
        <v>3475</v>
      </c>
      <c r="B725" s="4">
        <v>45787</v>
      </c>
      <c r="C725" s="4" t="str">
        <f>TEXT(ESales_DB[[#This Row],[Order_Date]],"mmm")</f>
        <v>May</v>
      </c>
      <c r="D725" t="s">
        <v>202</v>
      </c>
      <c r="E725" t="s">
        <v>1624</v>
      </c>
      <c r="F725" t="s">
        <v>1786</v>
      </c>
      <c r="G725">
        <v>1</v>
      </c>
      <c r="H725" s="10">
        <f>IF(ISBLANK(ESales_DB[[#This Row],[Quantity]]),AVERAGEIF(ESales_DB[Product_ID],ESales_DB[[#This Row],[Product_ID]],ESales_DB[Quantity]),ESales_DB[[#This Row],[Quantity]])</f>
        <v>1</v>
      </c>
      <c r="I725" s="2">
        <v>228.69</v>
      </c>
      <c r="J725">
        <v>0.14000000000000001</v>
      </c>
      <c r="K725" t="s">
        <v>1824</v>
      </c>
      <c r="L725" s="2">
        <v>196.67339999999999</v>
      </c>
      <c r="M725" s="2" t="str">
        <f>IF(ESales_DB[[#This Row],[Total_Amount]]&gt;1000,"High","Low")</f>
        <v>Low</v>
      </c>
      <c r="N725" s="2" t="str">
        <f>VLOOKUP(ESales_DB[[#This Row],[Customer_ID]],Ecustom_DB[],3,FALSE)</f>
        <v>Sharon Brown</v>
      </c>
      <c r="O725" s="2" t="str">
        <f>_xlfn.XLOOKUP(ESales_DB[[#This Row],[Product_ID]],Eproduct_DB[Product_ID],Eproduct_DB[Category])</f>
        <v>Sports</v>
      </c>
      <c r="P725" s="2" t="str">
        <f>_xlfn.XLOOKUP(ESales_DB[[#This Row],[Product_ID]],Eproduct_DB[Product_ID],Eproduct_DB[Product_Name])</f>
        <v>Sports Water Hydration Pack</v>
      </c>
      <c r="Q725" s="2" t="str">
        <f>_xlfn.XLOOKUP(ESales_DB[[#This Row],[Store_ID]],Estore_DB[Store_ID],Estore_DB[Region])</f>
        <v>South</v>
      </c>
      <c r="R725" t="str">
        <f>VLOOKUP(ESales_DB[[#This Row],[Customer_ID]],Ecustom_DB[],10,FALSE)</f>
        <v>Gold</v>
      </c>
      <c r="S725" t="str">
        <f>IF(ESales_DB[[#This Row],[Quantity1]]&gt;3,"Bulk order","Normal order")</f>
        <v>Normal order</v>
      </c>
    </row>
    <row r="726" spans="1:19" x14ac:dyDescent="0.3">
      <c r="A726" t="s">
        <v>1991</v>
      </c>
      <c r="B726" s="4">
        <v>45508</v>
      </c>
      <c r="C726" s="4" t="str">
        <f>TEXT(ESales_DB[[#This Row],[Order_Date]],"mmm")</f>
        <v>Aug</v>
      </c>
      <c r="D726" t="s">
        <v>268</v>
      </c>
      <c r="E726" t="s">
        <v>1568</v>
      </c>
      <c r="F726" t="s">
        <v>1807</v>
      </c>
      <c r="G726">
        <v>3</v>
      </c>
      <c r="H726" s="10">
        <f>IF(ISBLANK(ESales_DB[[#This Row],[Quantity]]),AVERAGEIF(ESales_DB[Product_ID],ESales_DB[[#This Row],[Product_ID]],ESales_DB[Quantity]),ESales_DB[[#This Row],[Quantity]])</f>
        <v>3</v>
      </c>
      <c r="I726" s="2">
        <v>707.95</v>
      </c>
      <c r="J726">
        <v>0.18</v>
      </c>
      <c r="K726" t="s">
        <v>1826</v>
      </c>
      <c r="L726" s="2">
        <v>1741.557</v>
      </c>
      <c r="M726" s="2" t="str">
        <f>IF(ESales_DB[[#This Row],[Total_Amount]]&gt;1000,"High","Low")</f>
        <v>High</v>
      </c>
      <c r="N726" s="2" t="str">
        <f>VLOOKUP(ESales_DB[[#This Row],[Customer_ID]],Ecustom_DB[],3,FALSE)</f>
        <v>Christopher Brown</v>
      </c>
      <c r="O726" s="2" t="str">
        <f>_xlfn.XLOOKUP(ESales_DB[[#This Row],[Product_ID]],Eproduct_DB[Product_ID],Eproduct_DB[Category])</f>
        <v>Home</v>
      </c>
      <c r="P726" s="2" t="str">
        <f>_xlfn.XLOOKUP(ESales_DB[[#This Row],[Product_ID]],Eproduct_DB[Product_ID],Eproduct_DB[Product_Name])</f>
        <v>Ceramic Kitchen Bowl Set</v>
      </c>
      <c r="Q726" s="2" t="str">
        <f>_xlfn.XLOOKUP(ESales_DB[[#This Row],[Store_ID]],Estore_DB[Store_ID],Estore_DB[Region])</f>
        <v>North</v>
      </c>
      <c r="R726" t="str">
        <f>VLOOKUP(ESales_DB[[#This Row],[Customer_ID]],Ecustom_DB[],10,FALSE)</f>
        <v>Silver</v>
      </c>
      <c r="S726" t="str">
        <f>IF(ESales_DB[[#This Row],[Quantity1]]&gt;3,"Bulk order","Normal order")</f>
        <v>Normal order</v>
      </c>
    </row>
    <row r="727" spans="1:19" x14ac:dyDescent="0.3">
      <c r="A727" t="s">
        <v>3476</v>
      </c>
      <c r="B727" s="4">
        <v>45929</v>
      </c>
      <c r="C727" s="4" t="str">
        <f>TEXT(ESales_DB[[#This Row],[Order_Date]],"mmm")</f>
        <v>Sep</v>
      </c>
      <c r="D727" t="s">
        <v>1112</v>
      </c>
      <c r="E727" t="s">
        <v>1654</v>
      </c>
      <c r="F727" t="s">
        <v>1789</v>
      </c>
      <c r="G727">
        <v>1</v>
      </c>
      <c r="H727" s="10">
        <f>IF(ISBLANK(ESales_DB[[#This Row],[Quantity]]),AVERAGEIF(ESales_DB[Product_ID],ESales_DB[[#This Row],[Product_ID]],ESales_DB[Quantity]),ESales_DB[[#This Row],[Quantity]])</f>
        <v>1</v>
      </c>
      <c r="I727" s="2">
        <v>899.09</v>
      </c>
      <c r="J727">
        <v>0.2</v>
      </c>
      <c r="K727" t="s">
        <v>1826</v>
      </c>
      <c r="L727" s="2">
        <v>719.27200000000005</v>
      </c>
      <c r="M727" s="2" t="str">
        <f>IF(ESales_DB[[#This Row],[Total_Amount]]&gt;1000,"High","Low")</f>
        <v>Low</v>
      </c>
      <c r="N727" s="2" t="str">
        <f>VLOOKUP(ESales_DB[[#This Row],[Customer_ID]],Ecustom_DB[],3,FALSE)</f>
        <v>Carlos Flores</v>
      </c>
      <c r="O727" s="2" t="str">
        <f>_xlfn.XLOOKUP(ESales_DB[[#This Row],[Product_ID]],Eproduct_DB[Product_ID],Eproduct_DB[Category])</f>
        <v>Clothing</v>
      </c>
      <c r="P727" s="2" t="str">
        <f>_xlfn.XLOOKUP(ESales_DB[[#This Row],[Product_ID]],Eproduct_DB[Product_ID],Eproduct_DB[Product_Name])</f>
        <v>Men's Track Pants</v>
      </c>
      <c r="Q727" s="2" t="str">
        <f>_xlfn.XLOOKUP(ESales_DB[[#This Row],[Store_ID]],Estore_DB[Store_ID],Estore_DB[Region])</f>
        <v>East</v>
      </c>
      <c r="R727" t="str">
        <f>VLOOKUP(ESales_DB[[#This Row],[Customer_ID]],Ecustom_DB[],10,FALSE)</f>
        <v>Gold</v>
      </c>
      <c r="S727" t="str">
        <f>IF(ESales_DB[[#This Row],[Quantity1]]&gt;3,"Bulk order","Normal order")</f>
        <v>Normal order</v>
      </c>
    </row>
    <row r="728" spans="1:19" x14ac:dyDescent="0.3">
      <c r="A728" t="s">
        <v>3477</v>
      </c>
      <c r="B728" s="4">
        <v>45379</v>
      </c>
      <c r="C728" s="4" t="str">
        <f>TEXT(ESales_DB[[#This Row],[Order_Date]],"mmm")</f>
        <v>Mar</v>
      </c>
      <c r="D728" t="s">
        <v>1199</v>
      </c>
      <c r="E728" t="s">
        <v>1562</v>
      </c>
      <c r="F728" t="s">
        <v>1782</v>
      </c>
      <c r="G728">
        <v>4</v>
      </c>
      <c r="H728" s="10">
        <f>IF(ISBLANK(ESales_DB[[#This Row],[Quantity]]),AVERAGEIF(ESales_DB[Product_ID],ESales_DB[[#This Row],[Product_ID]],ESales_DB[Quantity]),ESales_DB[[#This Row],[Quantity]])</f>
        <v>4</v>
      </c>
      <c r="I728" s="2">
        <v>195.75</v>
      </c>
      <c r="J728">
        <v>0.17</v>
      </c>
      <c r="K728" t="s">
        <v>1824</v>
      </c>
      <c r="L728" s="2">
        <v>649.89</v>
      </c>
      <c r="M728" s="2" t="str">
        <f>IF(ESales_DB[[#This Row],[Total_Amount]]&gt;1000,"High","Low")</f>
        <v>Low</v>
      </c>
      <c r="N728" s="2" t="str">
        <f>VLOOKUP(ESales_DB[[#This Row],[Customer_ID]],Ecustom_DB[],3,FALSE)</f>
        <v>Andrew Mason</v>
      </c>
      <c r="O728" s="2" t="str">
        <f>_xlfn.XLOOKUP(ESales_DB[[#This Row],[Product_ID]],Eproduct_DB[Product_ID],Eproduct_DB[Category])</f>
        <v>Electronics</v>
      </c>
      <c r="P728" s="2" t="str">
        <f>_xlfn.XLOOKUP(ESales_DB[[#This Row],[Product_ID]],Eproduct_DB[Product_ID],Eproduct_DB[Product_Name])</f>
        <v>Wireless Bluetooth Earbuds</v>
      </c>
      <c r="Q728" s="2" t="str">
        <f>_xlfn.XLOOKUP(ESales_DB[[#This Row],[Store_ID]],Estore_DB[Store_ID],Estore_DB[Region])</f>
        <v>West</v>
      </c>
      <c r="R728" t="str">
        <f>VLOOKUP(ESales_DB[[#This Row],[Customer_ID]],Ecustom_DB[],10,FALSE)</f>
        <v>Bronze</v>
      </c>
      <c r="S728" t="str">
        <f>IF(ESales_DB[[#This Row],[Quantity1]]&gt;3,"Bulk order","Normal order")</f>
        <v>Bulk order</v>
      </c>
    </row>
    <row r="729" spans="1:19" x14ac:dyDescent="0.3">
      <c r="A729" t="s">
        <v>3478</v>
      </c>
      <c r="B729" s="4">
        <v>45532</v>
      </c>
      <c r="C729" s="4" t="str">
        <f>TEXT(ESales_DB[[#This Row],[Order_Date]],"mmm")</f>
        <v>Aug</v>
      </c>
      <c r="D729" t="s">
        <v>1322</v>
      </c>
      <c r="E729" t="s">
        <v>1734</v>
      </c>
      <c r="F729" t="s">
        <v>1801</v>
      </c>
      <c r="G729">
        <v>3</v>
      </c>
      <c r="H729" s="10">
        <f>IF(ISBLANK(ESales_DB[[#This Row],[Quantity]]),AVERAGEIF(ESales_DB[Product_ID],ESales_DB[[#This Row],[Product_ID]],ESales_DB[Quantity]),ESales_DB[[#This Row],[Quantity]])</f>
        <v>3</v>
      </c>
      <c r="I729" s="2">
        <v>199.13</v>
      </c>
      <c r="J729">
        <v>0.24</v>
      </c>
      <c r="K729" t="s">
        <v>1824</v>
      </c>
      <c r="L729" s="2">
        <v>454.01639999999998</v>
      </c>
      <c r="M729" s="2" t="str">
        <f>IF(ESales_DB[[#This Row],[Total_Amount]]&gt;1000,"High","Low")</f>
        <v>Low</v>
      </c>
      <c r="N729" s="2" t="str">
        <f>VLOOKUP(ESales_DB[[#This Row],[Customer_ID]],Ecustom_DB[],3,FALSE)</f>
        <v>Jeanette Nichols</v>
      </c>
      <c r="O729" s="2" t="str">
        <f>_xlfn.XLOOKUP(ESales_DB[[#This Row],[Product_ID]],Eproduct_DB[Product_ID],Eproduct_DB[Category])</f>
        <v>Electronics</v>
      </c>
      <c r="P729" s="2" t="str">
        <f>_xlfn.XLOOKUP(ESales_DB[[#This Row],[Product_ID]],Eproduct_DB[Product_ID],Eproduct_DB[Product_Name])</f>
        <v>USB-C Laptop Charger</v>
      </c>
      <c r="Q729" s="2" t="str">
        <f>_xlfn.XLOOKUP(ESales_DB[[#This Row],[Store_ID]],Estore_DB[Store_ID],Estore_DB[Region])</f>
        <v>North</v>
      </c>
      <c r="R729" t="str">
        <f>VLOOKUP(ESales_DB[[#This Row],[Customer_ID]],Ecustom_DB[],10,FALSE)</f>
        <v>Platinum</v>
      </c>
      <c r="S729" t="str">
        <f>IF(ESales_DB[[#This Row],[Quantity1]]&gt;3,"Bulk order","Normal order")</f>
        <v>Normal order</v>
      </c>
    </row>
    <row r="730" spans="1:19" x14ac:dyDescent="0.3">
      <c r="A730" t="s">
        <v>3479</v>
      </c>
      <c r="B730" s="4">
        <v>45466</v>
      </c>
      <c r="C730" s="4" t="str">
        <f>TEXT(ESales_DB[[#This Row],[Order_Date]],"mmm")</f>
        <v>Jun</v>
      </c>
      <c r="D730" t="s">
        <v>535</v>
      </c>
      <c r="E730" t="s">
        <v>1592</v>
      </c>
      <c r="F730" t="s">
        <v>1799</v>
      </c>
      <c r="G730">
        <v>2</v>
      </c>
      <c r="H730" s="10">
        <f>IF(ISBLANK(ESales_DB[[#This Row],[Quantity]]),AVERAGEIF(ESales_DB[Product_ID],ESales_DB[[#This Row],[Product_ID]],ESales_DB[Quantity]),ESales_DB[[#This Row],[Quantity]])</f>
        <v>2</v>
      </c>
      <c r="I730" s="2">
        <v>833.62</v>
      </c>
      <c r="J730">
        <v>0.18</v>
      </c>
      <c r="K730" t="s">
        <v>1824</v>
      </c>
      <c r="L730" s="2">
        <v>1367.1368</v>
      </c>
      <c r="M730" s="2" t="str">
        <f>IF(ESales_DB[[#This Row],[Total_Amount]]&gt;1000,"High","Low")</f>
        <v>High</v>
      </c>
      <c r="N730" s="2" t="str">
        <f>VLOOKUP(ESales_DB[[#This Row],[Customer_ID]],Ecustom_DB[],3,FALSE)</f>
        <v>John Lawson</v>
      </c>
      <c r="O730" s="2" t="str">
        <f>_xlfn.XLOOKUP(ESales_DB[[#This Row],[Product_ID]],Eproduct_DB[Product_ID],Eproduct_DB[Category])</f>
        <v>Sports</v>
      </c>
      <c r="P730" s="2" t="str">
        <f>_xlfn.XLOOKUP(ESales_DB[[#This Row],[Product_ID]],Eproduct_DB[Product_ID],Eproduct_DB[Product_Name])</f>
        <v>Carbon Fiber Tennis Racket</v>
      </c>
      <c r="Q730" s="2" t="str">
        <f>_xlfn.XLOOKUP(ESales_DB[[#This Row],[Store_ID]],Estore_DB[Store_ID],Estore_DB[Region])</f>
        <v>South</v>
      </c>
      <c r="R730" t="str">
        <f>VLOOKUP(ESales_DB[[#This Row],[Customer_ID]],Ecustom_DB[],10,FALSE)</f>
        <v>Platinum</v>
      </c>
      <c r="S730" t="str">
        <f>IF(ESales_DB[[#This Row],[Quantity1]]&gt;3,"Bulk order","Normal order")</f>
        <v>Normal order</v>
      </c>
    </row>
    <row r="731" spans="1:19" x14ac:dyDescent="0.3">
      <c r="A731" t="s">
        <v>3480</v>
      </c>
      <c r="B731" s="4">
        <v>45395</v>
      </c>
      <c r="C731" s="4" t="str">
        <f>TEXT(ESales_DB[[#This Row],[Order_Date]],"mmm")</f>
        <v>Apr</v>
      </c>
      <c r="D731" t="s">
        <v>1489</v>
      </c>
      <c r="E731" t="s">
        <v>1698</v>
      </c>
      <c r="F731" t="s">
        <v>1752</v>
      </c>
      <c r="G731">
        <v>1</v>
      </c>
      <c r="H731" s="10">
        <f>IF(ISBLANK(ESales_DB[[#This Row],[Quantity]]),AVERAGEIF(ESales_DB[Product_ID],ESales_DB[[#This Row],[Product_ID]],ESales_DB[Quantity]),ESales_DB[[#This Row],[Quantity]])</f>
        <v>1</v>
      </c>
      <c r="I731" s="2">
        <v>676.26</v>
      </c>
      <c r="J731">
        <v>0.14000000000000001</v>
      </c>
      <c r="K731" t="s">
        <v>1824</v>
      </c>
      <c r="L731" s="2">
        <v>581.58359999999993</v>
      </c>
      <c r="M731" s="2" t="str">
        <f>IF(ESales_DB[[#This Row],[Total_Amount]]&gt;1000,"High","Low")</f>
        <v>Low</v>
      </c>
      <c r="N731" s="2" t="str">
        <f>VLOOKUP(ESales_DB[[#This Row],[Customer_ID]],Ecustom_DB[],3,FALSE)</f>
        <v>Jessica Castro</v>
      </c>
      <c r="O731" s="2" t="str">
        <f>_xlfn.XLOOKUP(ESales_DB[[#This Row],[Product_ID]],Eproduct_DB[Product_ID],Eproduct_DB[Category])</f>
        <v>Clothing</v>
      </c>
      <c r="P731" s="2" t="str">
        <f>_xlfn.XLOOKUP(ESales_DB[[#This Row],[Product_ID]],Eproduct_DB[Product_ID],Eproduct_DB[Product_Name])</f>
        <v>Women's Ankle Boots</v>
      </c>
      <c r="Q731" s="2" t="str">
        <f>_xlfn.XLOOKUP(ESales_DB[[#This Row],[Store_ID]],Estore_DB[Store_ID],Estore_DB[Region])</f>
        <v>East</v>
      </c>
      <c r="R731" t="str">
        <f>VLOOKUP(ESales_DB[[#This Row],[Customer_ID]],Ecustom_DB[],10,FALSE)</f>
        <v>Bronze</v>
      </c>
      <c r="S731" t="str">
        <f>IF(ESales_DB[[#This Row],[Quantity1]]&gt;3,"Bulk order","Normal order")</f>
        <v>Normal order</v>
      </c>
    </row>
    <row r="732" spans="1:19" x14ac:dyDescent="0.3">
      <c r="A732" t="s">
        <v>3481</v>
      </c>
      <c r="B732" s="4">
        <v>45708</v>
      </c>
      <c r="C732" s="4" t="str">
        <f>TEXT(ESales_DB[[#This Row],[Order_Date]],"mmm")</f>
        <v>Feb</v>
      </c>
      <c r="D732" t="s">
        <v>130</v>
      </c>
      <c r="E732" t="s">
        <v>1668</v>
      </c>
      <c r="F732" t="s">
        <v>1786</v>
      </c>
      <c r="G732">
        <v>2</v>
      </c>
      <c r="H732" s="10">
        <f>IF(ISBLANK(ESales_DB[[#This Row],[Quantity]]),AVERAGEIF(ESales_DB[Product_ID],ESales_DB[[#This Row],[Product_ID]],ESales_DB[Quantity]),ESales_DB[[#This Row],[Quantity]])</f>
        <v>2</v>
      </c>
      <c r="I732" s="2">
        <v>666.49</v>
      </c>
      <c r="J732">
        <v>0.06</v>
      </c>
      <c r="K732" t="s">
        <v>1824</v>
      </c>
      <c r="L732" s="2">
        <v>1253.0011999999999</v>
      </c>
      <c r="M732" s="2" t="str">
        <f>IF(ESales_DB[[#This Row],[Total_Amount]]&gt;1000,"High","Low")</f>
        <v>High</v>
      </c>
      <c r="N732" s="2" t="str">
        <f>VLOOKUP(ESales_DB[[#This Row],[Customer_ID]],Ecustom_DB[],3,FALSE)</f>
        <v>Mike Jennings</v>
      </c>
      <c r="O732" s="2" t="str">
        <f>_xlfn.XLOOKUP(ESales_DB[[#This Row],[Product_ID]],Eproduct_DB[Product_ID],Eproduct_DB[Category])</f>
        <v>Beauty</v>
      </c>
      <c r="P732" s="2" t="str">
        <f>_xlfn.XLOOKUP(ESales_DB[[#This Row],[Product_ID]],Eproduct_DB[Product_ID],Eproduct_DB[Product_Name])</f>
        <v>Luxury Perfume Spray</v>
      </c>
      <c r="Q732" s="2" t="str">
        <f>_xlfn.XLOOKUP(ESales_DB[[#This Row],[Store_ID]],Estore_DB[Store_ID],Estore_DB[Region])</f>
        <v>South</v>
      </c>
      <c r="R732" t="str">
        <f>VLOOKUP(ESales_DB[[#This Row],[Customer_ID]],Ecustom_DB[],10,FALSE)</f>
        <v>Gold</v>
      </c>
      <c r="S732" t="str">
        <f>IF(ESales_DB[[#This Row],[Quantity1]]&gt;3,"Bulk order","Normal order")</f>
        <v>Normal order</v>
      </c>
    </row>
    <row r="733" spans="1:19" x14ac:dyDescent="0.3">
      <c r="A733" t="s">
        <v>3482</v>
      </c>
      <c r="B733" s="4">
        <v>45735</v>
      </c>
      <c r="C733" s="4" t="str">
        <f>TEXT(ESales_DB[[#This Row],[Order_Date]],"mmm")</f>
        <v>Mar</v>
      </c>
      <c r="D733" t="s">
        <v>1419</v>
      </c>
      <c r="E733" t="s">
        <v>1578</v>
      </c>
      <c r="F733" t="s">
        <v>1769</v>
      </c>
      <c r="G733">
        <v>3</v>
      </c>
      <c r="H733" s="10">
        <f>IF(ISBLANK(ESales_DB[[#This Row],[Quantity]]),AVERAGEIF(ESales_DB[Product_ID],ESales_DB[[#This Row],[Product_ID]],ESales_DB[Quantity]),ESales_DB[[#This Row],[Quantity]])</f>
        <v>3</v>
      </c>
      <c r="I733" s="2">
        <v>471.19</v>
      </c>
      <c r="J733">
        <v>0.28000000000000003</v>
      </c>
      <c r="K733" t="s">
        <v>1829</v>
      </c>
      <c r="L733" s="2">
        <v>1017.7704</v>
      </c>
      <c r="M733" s="2" t="str">
        <f>IF(ESales_DB[[#This Row],[Total_Amount]]&gt;1000,"High","Low")</f>
        <v>High</v>
      </c>
      <c r="N733" s="2" t="str">
        <f>VLOOKUP(ESales_DB[[#This Row],[Customer_ID]],Ecustom_DB[],3,FALSE)</f>
        <v>Justin Johnson</v>
      </c>
      <c r="O733" s="2" t="str">
        <f>_xlfn.XLOOKUP(ESales_DB[[#This Row],[Product_ID]],Eproduct_DB[Product_ID],Eproduct_DB[Category])</f>
        <v>Electronics</v>
      </c>
      <c r="P733" s="2" t="str">
        <f>_xlfn.XLOOKUP(ESales_DB[[#This Row],[Product_ID]],Eproduct_DB[Product_ID],Eproduct_DB[Product_Name])</f>
        <v>4K Home Projector</v>
      </c>
      <c r="Q733" s="2" t="str">
        <f>_xlfn.XLOOKUP(ESales_DB[[#This Row],[Store_ID]],Estore_DB[Store_ID],Estore_DB[Region])</f>
        <v>South</v>
      </c>
      <c r="R733" t="str">
        <f>VLOOKUP(ESales_DB[[#This Row],[Customer_ID]],Ecustom_DB[],10,FALSE)</f>
        <v>Gold</v>
      </c>
      <c r="S733" t="str">
        <f>IF(ESales_DB[[#This Row],[Quantity1]]&gt;3,"Bulk order","Normal order")</f>
        <v>Normal order</v>
      </c>
    </row>
    <row r="734" spans="1:19" x14ac:dyDescent="0.3">
      <c r="A734" t="s">
        <v>3483</v>
      </c>
      <c r="B734" s="4">
        <v>45237</v>
      </c>
      <c r="C734" s="4" t="str">
        <f>TEXT(ESales_DB[[#This Row],[Order_Date]],"mmm")</f>
        <v>Nov</v>
      </c>
      <c r="D734" t="s">
        <v>414</v>
      </c>
      <c r="E734" t="s">
        <v>1562</v>
      </c>
      <c r="F734" t="s">
        <v>1766</v>
      </c>
      <c r="G734">
        <v>4</v>
      </c>
      <c r="H734" s="10">
        <f>IF(ISBLANK(ESales_DB[[#This Row],[Quantity]]),AVERAGEIF(ESales_DB[Product_ID],ESales_DB[[#This Row],[Product_ID]],ESales_DB[Quantity]),ESales_DB[[#This Row],[Quantity]])</f>
        <v>4</v>
      </c>
      <c r="I734" s="2">
        <v>555.65</v>
      </c>
      <c r="J734">
        <v>0.25</v>
      </c>
      <c r="K734" t="s">
        <v>1829</v>
      </c>
      <c r="L734" s="2">
        <v>1666.95</v>
      </c>
      <c r="M734" s="2" t="str">
        <f>IF(ESales_DB[[#This Row],[Total_Amount]]&gt;1000,"High","Low")</f>
        <v>High</v>
      </c>
      <c r="N734" s="2" t="str">
        <f>VLOOKUP(ESales_DB[[#This Row],[Customer_ID]],Ecustom_DB[],3,FALSE)</f>
        <v>Michael Jones</v>
      </c>
      <c r="O734" s="2" t="str">
        <f>_xlfn.XLOOKUP(ESales_DB[[#This Row],[Product_ID]],Eproduct_DB[Product_ID],Eproduct_DB[Category])</f>
        <v>Electronics</v>
      </c>
      <c r="P734" s="2" t="str">
        <f>_xlfn.XLOOKUP(ESales_DB[[#This Row],[Product_ID]],Eproduct_DB[Product_ID],Eproduct_DB[Product_Name])</f>
        <v>Wireless Bluetooth Earbuds</v>
      </c>
      <c r="Q734" s="2" t="str">
        <f>_xlfn.XLOOKUP(ESales_DB[[#This Row],[Store_ID]],Estore_DB[Store_ID],Estore_DB[Region])</f>
        <v>North</v>
      </c>
      <c r="R734" t="str">
        <f>VLOOKUP(ESales_DB[[#This Row],[Customer_ID]],Ecustom_DB[],10,FALSE)</f>
        <v>Bronze</v>
      </c>
      <c r="S734" t="str">
        <f>IF(ESales_DB[[#This Row],[Quantity1]]&gt;3,"Bulk order","Normal order")</f>
        <v>Bulk order</v>
      </c>
    </row>
    <row r="735" spans="1:19" x14ac:dyDescent="0.3">
      <c r="A735" t="s">
        <v>3484</v>
      </c>
      <c r="B735" s="4">
        <v>45282</v>
      </c>
      <c r="C735" s="4" t="str">
        <f>TEXT(ESales_DB[[#This Row],[Order_Date]],"mmm")</f>
        <v>Dec</v>
      </c>
      <c r="D735" t="s">
        <v>141</v>
      </c>
      <c r="E735" t="s">
        <v>1738</v>
      </c>
      <c r="F735" t="s">
        <v>1799</v>
      </c>
      <c r="G735">
        <v>2</v>
      </c>
      <c r="H735" s="10">
        <f>IF(ISBLANK(ESales_DB[[#This Row],[Quantity]]),AVERAGEIF(ESales_DB[Product_ID],ESales_DB[[#This Row],[Product_ID]],ESales_DB[Quantity]),ESales_DB[[#This Row],[Quantity]])</f>
        <v>2</v>
      </c>
      <c r="I735" s="2">
        <v>100.42</v>
      </c>
      <c r="J735">
        <v>0.06</v>
      </c>
      <c r="K735" t="s">
        <v>1824</v>
      </c>
      <c r="L735" s="2">
        <v>188.78960000000001</v>
      </c>
      <c r="M735" s="2" t="str">
        <f>IF(ESales_DB[[#This Row],[Total_Amount]]&gt;1000,"High","Low")</f>
        <v>Low</v>
      </c>
      <c r="N735" s="2" t="str">
        <f>VLOOKUP(ESales_DB[[#This Row],[Customer_ID]],Ecustom_DB[],3,FALSE)</f>
        <v>Rachel Myers</v>
      </c>
      <c r="O735" s="2" t="str">
        <f>_xlfn.XLOOKUP(ESales_DB[[#This Row],[Product_ID]],Eproduct_DB[Product_ID],Eproduct_DB[Category])</f>
        <v>Sports</v>
      </c>
      <c r="P735" s="2" t="str">
        <f>_xlfn.XLOOKUP(ESales_DB[[#This Row],[Product_ID]],Eproduct_DB[Product_ID],Eproduct_DB[Product_Name])</f>
        <v>Sports Stopwatch Basic</v>
      </c>
      <c r="Q735" s="2" t="str">
        <f>_xlfn.XLOOKUP(ESales_DB[[#This Row],[Store_ID]],Estore_DB[Store_ID],Estore_DB[Region])</f>
        <v>South</v>
      </c>
      <c r="R735" t="str">
        <f>VLOOKUP(ESales_DB[[#This Row],[Customer_ID]],Ecustom_DB[],10,FALSE)</f>
        <v>Silver</v>
      </c>
      <c r="S735" t="str">
        <f>IF(ESales_DB[[#This Row],[Quantity1]]&gt;3,"Bulk order","Normal order")</f>
        <v>Normal order</v>
      </c>
    </row>
    <row r="736" spans="1:19" x14ac:dyDescent="0.3">
      <c r="A736" t="s">
        <v>3485</v>
      </c>
      <c r="B736" s="4">
        <v>45337</v>
      </c>
      <c r="C736" s="4" t="str">
        <f>TEXT(ESales_DB[[#This Row],[Order_Date]],"mmm")</f>
        <v>Feb</v>
      </c>
      <c r="D736" t="s">
        <v>191</v>
      </c>
      <c r="E736" t="s">
        <v>1744</v>
      </c>
      <c r="F736" t="s">
        <v>1810</v>
      </c>
      <c r="G736">
        <v>3</v>
      </c>
      <c r="H736" s="10">
        <f>IF(ISBLANK(ESales_DB[[#This Row],[Quantity]]),AVERAGEIF(ESales_DB[Product_ID],ESales_DB[[#This Row],[Product_ID]],ESales_DB[Quantity]),ESales_DB[[#This Row],[Quantity]])</f>
        <v>3</v>
      </c>
      <c r="I736" s="2">
        <v>981.69</v>
      </c>
      <c r="J736">
        <v>0.05</v>
      </c>
      <c r="K736" t="s">
        <v>1829</v>
      </c>
      <c r="L736" s="2">
        <v>2797.8164999999999</v>
      </c>
      <c r="M736" s="2" t="str">
        <f>IF(ESales_DB[[#This Row],[Total_Amount]]&gt;1000,"High","Low")</f>
        <v>High</v>
      </c>
      <c r="N736" s="2" t="str">
        <f>VLOOKUP(ESales_DB[[#This Row],[Customer_ID]],Ecustom_DB[],3,FALSE)</f>
        <v>Matthew Hunter Jr.</v>
      </c>
      <c r="O736" s="2" t="str">
        <f>_xlfn.XLOOKUP(ESales_DB[[#This Row],[Product_ID]],Eproduct_DB[Product_ID],Eproduct_DB[Category])</f>
        <v>Electronics</v>
      </c>
      <c r="P736" s="2" t="str">
        <f>_xlfn.XLOOKUP(ESales_DB[[#This Row],[Product_ID]],Eproduct_DB[Product_ID],Eproduct_DB[Product_Name])</f>
        <v>Portable Bluetooth Speaker</v>
      </c>
      <c r="Q736" s="2" t="str">
        <f>_xlfn.XLOOKUP(ESales_DB[[#This Row],[Store_ID]],Estore_DB[Store_ID],Estore_DB[Region])</f>
        <v>East</v>
      </c>
      <c r="R736" t="str">
        <f>VLOOKUP(ESales_DB[[#This Row],[Customer_ID]],Ecustom_DB[],10,FALSE)</f>
        <v>Gold</v>
      </c>
      <c r="S736" t="str">
        <f>IF(ESales_DB[[#This Row],[Quantity1]]&gt;3,"Bulk order","Normal order")</f>
        <v>Normal order</v>
      </c>
    </row>
    <row r="737" spans="1:19" x14ac:dyDescent="0.3">
      <c r="A737" t="s">
        <v>1992</v>
      </c>
      <c r="B737" s="4">
        <v>45269</v>
      </c>
      <c r="C737" s="4" t="str">
        <f>TEXT(ESales_DB[[#This Row],[Order_Date]],"mmm")</f>
        <v>Dec</v>
      </c>
      <c r="D737" t="s">
        <v>934</v>
      </c>
      <c r="E737" t="s">
        <v>1686</v>
      </c>
      <c r="F737" t="s">
        <v>1782</v>
      </c>
      <c r="G737">
        <v>4</v>
      </c>
      <c r="H737" s="10">
        <f>IF(ISBLANK(ESales_DB[[#This Row],[Quantity]]),AVERAGEIF(ESales_DB[Product_ID],ESales_DB[[#This Row],[Product_ID]],ESales_DB[Quantity]),ESales_DB[[#This Row],[Quantity]])</f>
        <v>4</v>
      </c>
      <c r="I737" s="2">
        <v>714.47</v>
      </c>
      <c r="J737">
        <v>0.18</v>
      </c>
      <c r="K737" t="s">
        <v>1829</v>
      </c>
      <c r="L737" s="2">
        <v>2343.4616000000001</v>
      </c>
      <c r="M737" s="2" t="str">
        <f>IF(ESales_DB[[#This Row],[Total_Amount]]&gt;1000,"High","Low")</f>
        <v>High</v>
      </c>
      <c r="N737" s="2" t="str">
        <f>VLOOKUP(ESales_DB[[#This Row],[Customer_ID]],Ecustom_DB[],3,FALSE)</f>
        <v>Crystal Waters</v>
      </c>
      <c r="O737" s="2" t="str">
        <f>_xlfn.XLOOKUP(ESales_DB[[#This Row],[Product_ID]],Eproduct_DB[Product_ID],Eproduct_DB[Category])</f>
        <v>Clothing</v>
      </c>
      <c r="P737" s="2" t="str">
        <f>_xlfn.XLOOKUP(ESales_DB[[#This Row],[Product_ID]],Eproduct_DB[Product_ID],Eproduct_DB[Product_Name])</f>
        <v>Men's Sports Shorts</v>
      </c>
      <c r="Q737" s="2" t="str">
        <f>_xlfn.XLOOKUP(ESales_DB[[#This Row],[Store_ID]],Estore_DB[Store_ID],Estore_DB[Region])</f>
        <v>West</v>
      </c>
      <c r="R737" t="str">
        <f>VLOOKUP(ESales_DB[[#This Row],[Customer_ID]],Ecustom_DB[],10,FALSE)</f>
        <v>Bronze</v>
      </c>
      <c r="S737" t="str">
        <f>IF(ESales_DB[[#This Row],[Quantity1]]&gt;3,"Bulk order","Normal order")</f>
        <v>Bulk order</v>
      </c>
    </row>
    <row r="738" spans="1:19" x14ac:dyDescent="0.3">
      <c r="A738" t="s">
        <v>3486</v>
      </c>
      <c r="B738" s="4">
        <v>45310</v>
      </c>
      <c r="C738" s="4" t="str">
        <f>TEXT(ESales_DB[[#This Row],[Order_Date]],"mmm")</f>
        <v>Jan</v>
      </c>
      <c r="D738" t="s">
        <v>1029</v>
      </c>
      <c r="E738" t="s">
        <v>1568</v>
      </c>
      <c r="F738" t="s">
        <v>1804</v>
      </c>
      <c r="G738">
        <v>2</v>
      </c>
      <c r="H738" s="10">
        <f>IF(ISBLANK(ESales_DB[[#This Row],[Quantity]]),AVERAGEIF(ESales_DB[Product_ID],ESales_DB[[#This Row],[Product_ID]],ESales_DB[Quantity]),ESales_DB[[#This Row],[Quantity]])</f>
        <v>2</v>
      </c>
      <c r="I738" s="2">
        <v>848.87</v>
      </c>
      <c r="J738">
        <v>0.09</v>
      </c>
      <c r="K738" t="s">
        <v>1829</v>
      </c>
      <c r="L738" s="2">
        <v>1544.9434000000001</v>
      </c>
      <c r="M738" s="2" t="str">
        <f>IF(ESales_DB[[#This Row],[Total_Amount]]&gt;1000,"High","Low")</f>
        <v>High</v>
      </c>
      <c r="N738" s="2" t="str">
        <f>VLOOKUP(ESales_DB[[#This Row],[Customer_ID]],Ecustom_DB[],3,FALSE)</f>
        <v>Reginald Willis</v>
      </c>
      <c r="O738" s="2" t="str">
        <f>_xlfn.XLOOKUP(ESales_DB[[#This Row],[Product_ID]],Eproduct_DB[Product_ID],Eproduct_DB[Category])</f>
        <v>Home</v>
      </c>
      <c r="P738" s="2" t="str">
        <f>_xlfn.XLOOKUP(ESales_DB[[#This Row],[Product_ID]],Eproduct_DB[Product_ID],Eproduct_DB[Product_Name])</f>
        <v>Ceramic Kitchen Bowl Set</v>
      </c>
      <c r="Q738" s="2" t="str">
        <f>_xlfn.XLOOKUP(ESales_DB[[#This Row],[Store_ID]],Estore_DB[Store_ID],Estore_DB[Region])</f>
        <v>West</v>
      </c>
      <c r="R738" t="str">
        <f>VLOOKUP(ESales_DB[[#This Row],[Customer_ID]],Ecustom_DB[],10,FALSE)</f>
        <v>Bronze</v>
      </c>
      <c r="S738" t="str">
        <f>IF(ESales_DB[[#This Row],[Quantity1]]&gt;3,"Bulk order","Normal order")</f>
        <v>Normal order</v>
      </c>
    </row>
    <row r="739" spans="1:19" x14ac:dyDescent="0.3">
      <c r="A739" t="s">
        <v>3487</v>
      </c>
      <c r="B739" s="4">
        <v>45230</v>
      </c>
      <c r="C739" s="4" t="str">
        <f>TEXT(ESales_DB[[#This Row],[Order_Date]],"mmm")</f>
        <v>Oct</v>
      </c>
      <c r="D739" t="s">
        <v>1172</v>
      </c>
      <c r="E739" t="s">
        <v>1740</v>
      </c>
      <c r="F739" t="s">
        <v>1789</v>
      </c>
      <c r="G739">
        <v>3</v>
      </c>
      <c r="H739" s="10">
        <f>IF(ISBLANK(ESales_DB[[#This Row],[Quantity]]),AVERAGEIF(ESales_DB[Product_ID],ESales_DB[[#This Row],[Product_ID]],ESales_DB[Quantity]),ESales_DB[[#This Row],[Quantity]])</f>
        <v>3</v>
      </c>
      <c r="I739" s="2">
        <v>582.32000000000005</v>
      </c>
      <c r="J739">
        <v>0</v>
      </c>
      <c r="K739" t="s">
        <v>1826</v>
      </c>
      <c r="L739" s="2">
        <v>1746.96</v>
      </c>
      <c r="M739" s="2" t="str">
        <f>IF(ESales_DB[[#This Row],[Total_Amount]]&gt;1000,"High","Low")</f>
        <v>High</v>
      </c>
      <c r="N739" s="2" t="str">
        <f>VLOOKUP(ESales_DB[[#This Row],[Customer_ID]],Ecustom_DB[],3,FALSE)</f>
        <v>Joshua Bell</v>
      </c>
      <c r="O739" s="2" t="str">
        <f>_xlfn.XLOOKUP(ESales_DB[[#This Row],[Product_ID]],Eproduct_DB[Product_ID],Eproduct_DB[Category])</f>
        <v>Clothing</v>
      </c>
      <c r="P739" s="2" t="str">
        <f>_xlfn.XLOOKUP(ESales_DB[[#This Row],[Product_ID]],Eproduct_DB[Product_ID],Eproduct_DB[Product_Name])</f>
        <v>Women's Formal Blazer</v>
      </c>
      <c r="Q739" s="2" t="str">
        <f>_xlfn.XLOOKUP(ESales_DB[[#This Row],[Store_ID]],Estore_DB[Store_ID],Estore_DB[Region])</f>
        <v>East</v>
      </c>
      <c r="R739" t="str">
        <f>VLOOKUP(ESales_DB[[#This Row],[Customer_ID]],Ecustom_DB[],10,FALSE)</f>
        <v>Platinum</v>
      </c>
      <c r="S739" t="str">
        <f>IF(ESales_DB[[#This Row],[Quantity1]]&gt;3,"Bulk order","Normal order")</f>
        <v>Normal order</v>
      </c>
    </row>
    <row r="740" spans="1:19" x14ac:dyDescent="0.3">
      <c r="A740" t="s">
        <v>3488</v>
      </c>
      <c r="B740" s="4">
        <v>45341</v>
      </c>
      <c r="C740" s="4" t="str">
        <f>TEXT(ESales_DB[[#This Row],[Order_Date]],"mmm")</f>
        <v>Feb</v>
      </c>
      <c r="D740" t="s">
        <v>568</v>
      </c>
      <c r="E740" t="s">
        <v>1646</v>
      </c>
      <c r="F740" t="s">
        <v>1807</v>
      </c>
      <c r="G740">
        <v>2</v>
      </c>
      <c r="H740" s="10">
        <f>IF(ISBLANK(ESales_DB[[#This Row],[Quantity]]),AVERAGEIF(ESales_DB[Product_ID],ESales_DB[[#This Row],[Product_ID]],ESales_DB[Quantity]),ESales_DB[[#This Row],[Quantity]])</f>
        <v>2</v>
      </c>
      <c r="I740" s="2">
        <v>869.43</v>
      </c>
      <c r="J740">
        <v>0.24</v>
      </c>
      <c r="K740" t="s">
        <v>1829</v>
      </c>
      <c r="L740" s="2">
        <v>1321.5336</v>
      </c>
      <c r="M740" s="2" t="str">
        <f>IF(ESales_DB[[#This Row],[Total_Amount]]&gt;1000,"High","Low")</f>
        <v>High</v>
      </c>
      <c r="N740" s="2" t="str">
        <f>VLOOKUP(ESales_DB[[#This Row],[Customer_ID]],Ecustom_DB[],3,FALSE)</f>
        <v>Amy Wilson</v>
      </c>
      <c r="O740" s="2" t="str">
        <f>_xlfn.XLOOKUP(ESales_DB[[#This Row],[Product_ID]],Eproduct_DB[Product_ID],Eproduct_DB[Category])</f>
        <v>Beauty</v>
      </c>
      <c r="P740" s="2" t="str">
        <f>_xlfn.XLOOKUP(ESales_DB[[#This Row],[Product_ID]],Eproduct_DB[Product_ID],Eproduct_DB[Product_Name])</f>
        <v>Men's Roll-On Perfume</v>
      </c>
      <c r="Q740" s="2" t="str">
        <f>_xlfn.XLOOKUP(ESales_DB[[#This Row],[Store_ID]],Estore_DB[Store_ID],Estore_DB[Region])</f>
        <v>North</v>
      </c>
      <c r="R740" t="str">
        <f>VLOOKUP(ESales_DB[[#This Row],[Customer_ID]],Ecustom_DB[],10,FALSE)</f>
        <v>Platinum</v>
      </c>
      <c r="S740" t="str">
        <f>IF(ESales_DB[[#This Row],[Quantity1]]&gt;3,"Bulk order","Normal order")</f>
        <v>Normal order</v>
      </c>
    </row>
    <row r="741" spans="1:19" x14ac:dyDescent="0.3">
      <c r="A741" t="s">
        <v>3489</v>
      </c>
      <c r="B741" s="4">
        <v>45440</v>
      </c>
      <c r="C741" s="4" t="str">
        <f>TEXT(ESales_DB[[#This Row],[Order_Date]],"mmm")</f>
        <v>May</v>
      </c>
      <c r="D741" t="s">
        <v>93</v>
      </c>
      <c r="E741" t="s">
        <v>1656</v>
      </c>
      <c r="F741" t="s">
        <v>1769</v>
      </c>
      <c r="G741">
        <v>1</v>
      </c>
      <c r="H741" s="10">
        <f>IF(ISBLANK(ESales_DB[[#This Row],[Quantity]]),AVERAGEIF(ESales_DB[Product_ID],ESales_DB[[#This Row],[Product_ID]],ESales_DB[Quantity]),ESales_DB[[#This Row],[Quantity]])</f>
        <v>1</v>
      </c>
      <c r="I741" s="2">
        <v>62.26</v>
      </c>
      <c r="J741">
        <v>0.03</v>
      </c>
      <c r="K741" t="s">
        <v>1829</v>
      </c>
      <c r="L741" s="2">
        <v>60.392200000000003</v>
      </c>
      <c r="M741" s="2" t="str">
        <f>IF(ESales_DB[[#This Row],[Total_Amount]]&gt;1000,"High","Low")</f>
        <v>Low</v>
      </c>
      <c r="N741" s="2" t="str">
        <f>VLOOKUP(ESales_DB[[#This Row],[Customer_ID]],Ecustom_DB[],3,FALSE)</f>
        <v>Jeff Martinez</v>
      </c>
      <c r="O741" s="2" t="str">
        <f>_xlfn.XLOOKUP(ESales_DB[[#This Row],[Product_ID]],Eproduct_DB[Product_ID],Eproduct_DB[Category])</f>
        <v>Sports</v>
      </c>
      <c r="P741" s="2" t="str">
        <f>_xlfn.XLOOKUP(ESales_DB[[#This Row],[Product_ID]],Eproduct_DB[Product_ID],Eproduct_DB[Product_Name])</f>
        <v>Sports Stopwatch Pro</v>
      </c>
      <c r="Q741" s="2" t="str">
        <f>_xlfn.XLOOKUP(ESales_DB[[#This Row],[Store_ID]],Estore_DB[Store_ID],Estore_DB[Region])</f>
        <v>South</v>
      </c>
      <c r="R741" t="str">
        <f>VLOOKUP(ESales_DB[[#This Row],[Customer_ID]],Ecustom_DB[],10,FALSE)</f>
        <v>Gold</v>
      </c>
      <c r="S741" t="str">
        <f>IF(ESales_DB[[#This Row],[Quantity1]]&gt;3,"Bulk order","Normal order")</f>
        <v>Normal order</v>
      </c>
    </row>
    <row r="742" spans="1:19" x14ac:dyDescent="0.3">
      <c r="A742" t="s">
        <v>3490</v>
      </c>
      <c r="B742" s="4">
        <v>45798</v>
      </c>
      <c r="C742" s="4" t="str">
        <f>TEXT(ESales_DB[[#This Row],[Order_Date]],"mmm")</f>
        <v>May</v>
      </c>
      <c r="D742" t="s">
        <v>511</v>
      </c>
      <c r="E742" t="s">
        <v>1626</v>
      </c>
      <c r="F742" t="s">
        <v>1799</v>
      </c>
      <c r="G742">
        <v>3</v>
      </c>
      <c r="H742" s="10">
        <f>IF(ISBLANK(ESales_DB[[#This Row],[Quantity]]),AVERAGEIF(ESales_DB[Product_ID],ESales_DB[[#This Row],[Product_ID]],ESales_DB[Quantity]),ESales_DB[[#This Row],[Quantity]])</f>
        <v>3</v>
      </c>
      <c r="I742" s="2">
        <v>343.97</v>
      </c>
      <c r="J742">
        <v>0.04</v>
      </c>
      <c r="K742" t="s">
        <v>1829</v>
      </c>
      <c r="L742" s="2">
        <v>990.6336</v>
      </c>
      <c r="M742" s="2" t="str">
        <f>IF(ESales_DB[[#This Row],[Total_Amount]]&gt;1000,"High","Low")</f>
        <v>Low</v>
      </c>
      <c r="N742" s="2" t="str">
        <f>VLOOKUP(ESales_DB[[#This Row],[Customer_ID]],Ecustom_DB[],3,FALSE)</f>
        <v>Patrick Roberts</v>
      </c>
      <c r="O742" s="2" t="str">
        <f>_xlfn.XLOOKUP(ESales_DB[[#This Row],[Product_ID]],Eproduct_DB[Product_ID],Eproduct_DB[Category])</f>
        <v>Electronics</v>
      </c>
      <c r="P742" s="2" t="str">
        <f>_xlfn.XLOOKUP(ESales_DB[[#This Row],[Product_ID]],Eproduct_DB[Product_ID],Eproduct_DB[Product_Name])</f>
        <v>Portable Power Bank</v>
      </c>
      <c r="Q742" s="2" t="str">
        <f>_xlfn.XLOOKUP(ESales_DB[[#This Row],[Store_ID]],Estore_DB[Store_ID],Estore_DB[Region])</f>
        <v>South</v>
      </c>
      <c r="R742" t="str">
        <f>VLOOKUP(ESales_DB[[#This Row],[Customer_ID]],Ecustom_DB[],10,FALSE)</f>
        <v>Platinum</v>
      </c>
      <c r="S742" t="str">
        <f>IF(ESales_DB[[#This Row],[Quantity1]]&gt;3,"Bulk order","Normal order")</f>
        <v>Normal order</v>
      </c>
    </row>
    <row r="743" spans="1:19" x14ac:dyDescent="0.3">
      <c r="A743" t="s">
        <v>3491</v>
      </c>
      <c r="B743" s="4">
        <v>45293</v>
      </c>
      <c r="C743" s="4" t="str">
        <f>TEXT(ESales_DB[[#This Row],[Order_Date]],"mmm")</f>
        <v>Jan</v>
      </c>
      <c r="D743" t="s">
        <v>957</v>
      </c>
      <c r="E743" t="s">
        <v>1596</v>
      </c>
      <c r="F743" t="s">
        <v>1794</v>
      </c>
      <c r="G743">
        <v>3</v>
      </c>
      <c r="H743" s="10">
        <f>IF(ISBLANK(ESales_DB[[#This Row],[Quantity]]),AVERAGEIF(ESales_DB[Product_ID],ESales_DB[[#This Row],[Product_ID]],ESales_DB[Quantity]),ESales_DB[[#This Row],[Quantity]])</f>
        <v>3</v>
      </c>
      <c r="I743" s="2">
        <v>304.67</v>
      </c>
      <c r="J743">
        <v>0.11</v>
      </c>
      <c r="K743" t="s">
        <v>1824</v>
      </c>
      <c r="L743" s="2">
        <v>813.46889999999996</v>
      </c>
      <c r="M743" s="2" t="str">
        <f>IF(ESales_DB[[#This Row],[Total_Amount]]&gt;1000,"High","Low")</f>
        <v>Low</v>
      </c>
      <c r="N743" s="2" t="str">
        <f>VLOOKUP(ESales_DB[[#This Row],[Customer_ID]],Ecustom_DB[],3,FALSE)</f>
        <v>John Sloan</v>
      </c>
      <c r="O743" s="2" t="str">
        <f>_xlfn.XLOOKUP(ESales_DB[[#This Row],[Product_ID]],Eproduct_DB[Product_ID],Eproduct_DB[Category])</f>
        <v>Sports</v>
      </c>
      <c r="P743" s="2" t="str">
        <f>_xlfn.XLOOKUP(ESales_DB[[#This Row],[Product_ID]],Eproduct_DB[Product_ID],Eproduct_DB[Product_Name])</f>
        <v>Foldable Camping Chair</v>
      </c>
      <c r="Q743" s="2" t="str">
        <f>_xlfn.XLOOKUP(ESales_DB[[#This Row],[Store_ID]],Estore_DB[Store_ID],Estore_DB[Region])</f>
        <v>North</v>
      </c>
      <c r="R743" t="str">
        <f>VLOOKUP(ESales_DB[[#This Row],[Customer_ID]],Ecustom_DB[],10,FALSE)</f>
        <v>Platinum</v>
      </c>
      <c r="S743" t="str">
        <f>IF(ESales_DB[[#This Row],[Quantity1]]&gt;3,"Bulk order","Normal order")</f>
        <v>Normal order</v>
      </c>
    </row>
    <row r="744" spans="1:19" x14ac:dyDescent="0.3">
      <c r="A744" t="s">
        <v>3492</v>
      </c>
      <c r="B744" s="4">
        <v>45296</v>
      </c>
      <c r="C744" s="4" t="str">
        <f>TEXT(ESales_DB[[#This Row],[Order_Date]],"mmm")</f>
        <v>Jan</v>
      </c>
      <c r="D744" t="s">
        <v>1142</v>
      </c>
      <c r="E744" t="s">
        <v>1602</v>
      </c>
      <c r="F744" t="s">
        <v>1786</v>
      </c>
      <c r="G744">
        <v>4</v>
      </c>
      <c r="H744" s="10">
        <f>IF(ISBLANK(ESales_DB[[#This Row],[Quantity]]),AVERAGEIF(ESales_DB[Product_ID],ESales_DB[[#This Row],[Product_ID]],ESales_DB[Quantity]),ESales_DB[[#This Row],[Quantity]])</f>
        <v>4</v>
      </c>
      <c r="I744" s="2">
        <v>208.34</v>
      </c>
      <c r="J744">
        <v>0.01</v>
      </c>
      <c r="K744" t="s">
        <v>1826</v>
      </c>
      <c r="L744" s="2">
        <v>825.02639999999997</v>
      </c>
      <c r="M744" s="2" t="str">
        <f>IF(ESales_DB[[#This Row],[Total_Amount]]&gt;1000,"High","Low")</f>
        <v>Low</v>
      </c>
      <c r="N744" s="2" t="str">
        <f>VLOOKUP(ESales_DB[[#This Row],[Customer_ID]],Ecustom_DB[],3,FALSE)</f>
        <v>Brandon Mcbride</v>
      </c>
      <c r="O744" s="2" t="str">
        <f>_xlfn.XLOOKUP(ESales_DB[[#This Row],[Product_ID]],Eproduct_DB[Product_ID],Eproduct_DB[Category])</f>
        <v>Home</v>
      </c>
      <c r="P744" s="2" t="str">
        <f>_xlfn.XLOOKUP(ESales_DB[[#This Row],[Product_ID]],Eproduct_DB[Product_ID],Eproduct_DB[Product_Name])</f>
        <v>Decorative Floor Vase</v>
      </c>
      <c r="Q744" s="2" t="str">
        <f>_xlfn.XLOOKUP(ESales_DB[[#This Row],[Store_ID]],Estore_DB[Store_ID],Estore_DB[Region])</f>
        <v>South</v>
      </c>
      <c r="R744" t="str">
        <f>VLOOKUP(ESales_DB[[#This Row],[Customer_ID]],Ecustom_DB[],10,FALSE)</f>
        <v>Platinum</v>
      </c>
      <c r="S744" t="str">
        <f>IF(ESales_DB[[#This Row],[Quantity1]]&gt;3,"Bulk order","Normal order")</f>
        <v>Bulk order</v>
      </c>
    </row>
    <row r="745" spans="1:19" x14ac:dyDescent="0.3">
      <c r="A745" t="s">
        <v>3493</v>
      </c>
      <c r="B745" s="4">
        <v>45860</v>
      </c>
      <c r="C745" s="4" t="str">
        <f>TEXT(ESales_DB[[#This Row],[Order_Date]],"mmm")</f>
        <v>Jul</v>
      </c>
      <c r="D745" t="s">
        <v>984</v>
      </c>
      <c r="E745" t="s">
        <v>1720</v>
      </c>
      <c r="F745" t="s">
        <v>1757</v>
      </c>
      <c r="G745">
        <v>1</v>
      </c>
      <c r="H745" s="10">
        <f>IF(ISBLANK(ESales_DB[[#This Row],[Quantity]]),AVERAGEIF(ESales_DB[Product_ID],ESales_DB[[#This Row],[Product_ID]],ESales_DB[Quantity]),ESales_DB[[#This Row],[Quantity]])</f>
        <v>1</v>
      </c>
      <c r="I745" s="2">
        <v>119.04</v>
      </c>
      <c r="J745">
        <v>0.13</v>
      </c>
      <c r="K745" t="s">
        <v>1829</v>
      </c>
      <c r="L745" s="2">
        <v>103.56480000000001</v>
      </c>
      <c r="M745" s="2" t="str">
        <f>IF(ESales_DB[[#This Row],[Total_Amount]]&gt;1000,"High","Low")</f>
        <v>Low</v>
      </c>
      <c r="N745" s="2" t="str">
        <f>VLOOKUP(ESales_DB[[#This Row],[Customer_ID]],Ecustom_DB[],3,FALSE)</f>
        <v>Jason Mullins</v>
      </c>
      <c r="O745" s="2" t="str">
        <f>_xlfn.XLOOKUP(ESales_DB[[#This Row],[Product_ID]],Eproduct_DB[Product_ID],Eproduct_DB[Category])</f>
        <v>Home</v>
      </c>
      <c r="P745" s="2" t="str">
        <f>_xlfn.XLOOKUP(ESales_DB[[#This Row],[Product_ID]],Eproduct_DB[Product_ID],Eproduct_DB[Product_Name])</f>
        <v>Kitchen Cutting Board</v>
      </c>
      <c r="Q745" s="2" t="str">
        <f>_xlfn.XLOOKUP(ESales_DB[[#This Row],[Store_ID]],Estore_DB[Store_ID],Estore_DB[Region])</f>
        <v>North</v>
      </c>
      <c r="R745" t="str">
        <f>VLOOKUP(ESales_DB[[#This Row],[Customer_ID]],Ecustom_DB[],10,FALSE)</f>
        <v>Silver</v>
      </c>
      <c r="S745" t="str">
        <f>IF(ESales_DB[[#This Row],[Quantity1]]&gt;3,"Bulk order","Normal order")</f>
        <v>Normal order</v>
      </c>
    </row>
    <row r="746" spans="1:19" x14ac:dyDescent="0.3">
      <c r="A746" t="s">
        <v>3494</v>
      </c>
      <c r="B746" s="4">
        <v>45843</v>
      </c>
      <c r="C746" s="4" t="str">
        <f>TEXT(ESales_DB[[#This Row],[Order_Date]],"mmm")</f>
        <v>Jul</v>
      </c>
      <c r="D746" t="s">
        <v>1011</v>
      </c>
      <c r="E746" t="s">
        <v>1636</v>
      </c>
      <c r="F746" t="s">
        <v>1786</v>
      </c>
      <c r="G746">
        <v>4</v>
      </c>
      <c r="H746" s="10">
        <f>IF(ISBLANK(ESales_DB[[#This Row],[Quantity]]),AVERAGEIF(ESales_DB[Product_ID],ESales_DB[[#This Row],[Product_ID]],ESales_DB[Quantity]),ESales_DB[[#This Row],[Quantity]])</f>
        <v>4</v>
      </c>
      <c r="I746" s="2">
        <v>791.65</v>
      </c>
      <c r="J746">
        <v>0.06</v>
      </c>
      <c r="K746" t="s">
        <v>1829</v>
      </c>
      <c r="L746" s="2">
        <v>2976.6039999999998</v>
      </c>
      <c r="M746" s="2" t="str">
        <f>IF(ESales_DB[[#This Row],[Total_Amount]]&gt;1000,"High","Low")</f>
        <v>High</v>
      </c>
      <c r="N746" s="2" t="str">
        <f>VLOOKUP(ESales_DB[[#This Row],[Customer_ID]],Ecustom_DB[],3,FALSE)</f>
        <v>Darren Burton</v>
      </c>
      <c r="O746" s="2" t="str">
        <f>_xlfn.XLOOKUP(ESales_DB[[#This Row],[Product_ID]],Eproduct_DB[Product_ID],Eproduct_DB[Category])</f>
        <v>Sports</v>
      </c>
      <c r="P746" s="2" t="str">
        <f>_xlfn.XLOOKUP(ESales_DB[[#This Row],[Product_ID]],Eproduct_DB[Product_ID],Eproduct_DB[Product_Name])</f>
        <v>Adjustable Jump Rope</v>
      </c>
      <c r="Q746" s="2" t="str">
        <f>_xlfn.XLOOKUP(ESales_DB[[#This Row],[Store_ID]],Estore_DB[Store_ID],Estore_DB[Region])</f>
        <v>South</v>
      </c>
      <c r="R746" t="str">
        <f>VLOOKUP(ESales_DB[[#This Row],[Customer_ID]],Ecustom_DB[],10,FALSE)</f>
        <v>Bronze</v>
      </c>
      <c r="S746" t="str">
        <f>IF(ESales_DB[[#This Row],[Quantity1]]&gt;3,"Bulk order","Normal order")</f>
        <v>Bulk order</v>
      </c>
    </row>
    <row r="747" spans="1:19" x14ac:dyDescent="0.3">
      <c r="A747" t="s">
        <v>3495</v>
      </c>
      <c r="B747" s="4">
        <v>45862</v>
      </c>
      <c r="C747" s="4" t="str">
        <f>TEXT(ESales_DB[[#This Row],[Order_Date]],"mmm")</f>
        <v>Jul</v>
      </c>
      <c r="D747" t="s">
        <v>198</v>
      </c>
      <c r="E747" t="s">
        <v>1576</v>
      </c>
      <c r="F747" t="s">
        <v>1761</v>
      </c>
      <c r="G747">
        <v>2</v>
      </c>
      <c r="H747" s="10">
        <f>IF(ISBLANK(ESales_DB[[#This Row],[Quantity]]),AVERAGEIF(ESales_DB[Product_ID],ESales_DB[[#This Row],[Product_ID]],ESales_DB[Quantity]),ESales_DB[[#This Row],[Quantity]])</f>
        <v>2</v>
      </c>
      <c r="I747" s="2">
        <v>414.86</v>
      </c>
      <c r="J747">
        <v>0.23</v>
      </c>
      <c r="K747" t="s">
        <v>1824</v>
      </c>
      <c r="L747" s="2">
        <v>638.88440000000003</v>
      </c>
      <c r="M747" s="2" t="str">
        <f>IF(ESales_DB[[#This Row],[Total_Amount]]&gt;1000,"High","Low")</f>
        <v>Low</v>
      </c>
      <c r="N747" s="2" t="str">
        <f>VLOOKUP(ESales_DB[[#This Row],[Customer_ID]],Ecustom_DB[],3,FALSE)</f>
        <v>Debra Liu</v>
      </c>
      <c r="O747" s="2" t="str">
        <f>_xlfn.XLOOKUP(ESales_DB[[#This Row],[Product_ID]],Eproduct_DB[Product_ID],Eproduct_DB[Category])</f>
        <v>Home</v>
      </c>
      <c r="P747" s="2" t="str">
        <f>_xlfn.XLOOKUP(ESales_DB[[#This Row],[Product_ID]],Eproduct_DB[Product_ID],Eproduct_DB[Product_Name])</f>
        <v>Decorative Wall Mirror</v>
      </c>
      <c r="Q747" s="2" t="str">
        <f>_xlfn.XLOOKUP(ESales_DB[[#This Row],[Store_ID]],Estore_DB[Store_ID],Estore_DB[Region])</f>
        <v>South</v>
      </c>
      <c r="R747" t="str">
        <f>VLOOKUP(ESales_DB[[#This Row],[Customer_ID]],Ecustom_DB[],10,FALSE)</f>
        <v>Bronze</v>
      </c>
      <c r="S747" t="str">
        <f>IF(ESales_DB[[#This Row],[Quantity1]]&gt;3,"Bulk order","Normal order")</f>
        <v>Normal order</v>
      </c>
    </row>
    <row r="748" spans="1:19" x14ac:dyDescent="0.3">
      <c r="A748" t="s">
        <v>1993</v>
      </c>
      <c r="B748" s="4">
        <v>45866</v>
      </c>
      <c r="C748" s="4" t="str">
        <f>TEXT(ESales_DB[[#This Row],[Order_Date]],"mmm")</f>
        <v>Jul</v>
      </c>
      <c r="D748" t="s">
        <v>1289</v>
      </c>
      <c r="E748" t="s">
        <v>1706</v>
      </c>
      <c r="F748" t="s">
        <v>1779</v>
      </c>
      <c r="G748">
        <v>4</v>
      </c>
      <c r="H748" s="10">
        <f>IF(ISBLANK(ESales_DB[[#This Row],[Quantity]]),AVERAGEIF(ESales_DB[Product_ID],ESales_DB[[#This Row],[Product_ID]],ESales_DB[Quantity]),ESales_DB[[#This Row],[Quantity]])</f>
        <v>4</v>
      </c>
      <c r="I748" s="2">
        <v>422.09</v>
      </c>
      <c r="J748">
        <v>0.04</v>
      </c>
      <c r="K748" t="s">
        <v>1824</v>
      </c>
      <c r="L748" s="2">
        <v>1620.8255999999999</v>
      </c>
      <c r="M748" s="2" t="str">
        <f>IF(ESales_DB[[#This Row],[Total_Amount]]&gt;1000,"High","Low")</f>
        <v>High</v>
      </c>
      <c r="N748" s="2" t="str">
        <f>VLOOKUP(ESales_DB[[#This Row],[Customer_ID]],Ecustom_DB[],3,FALSE)</f>
        <v>Tyler Cook</v>
      </c>
      <c r="O748" s="2" t="str">
        <f>_xlfn.XLOOKUP(ESales_DB[[#This Row],[Product_ID]],Eproduct_DB[Product_ID],Eproduct_DB[Category])</f>
        <v>Home</v>
      </c>
      <c r="P748" s="2" t="str">
        <f>_xlfn.XLOOKUP(ESales_DB[[#This Row],[Product_ID]],Eproduct_DB[Product_ID],Eproduct_DB[Product_Name])</f>
        <v>Decorative Lamp Shade</v>
      </c>
      <c r="Q748" s="2" t="str">
        <f>_xlfn.XLOOKUP(ESales_DB[[#This Row],[Store_ID]],Estore_DB[Store_ID],Estore_DB[Region])</f>
        <v>South</v>
      </c>
      <c r="R748" t="str">
        <f>VLOOKUP(ESales_DB[[#This Row],[Customer_ID]],Ecustom_DB[],10,FALSE)</f>
        <v>Silver</v>
      </c>
      <c r="S748" t="str">
        <f>IF(ESales_DB[[#This Row],[Quantity1]]&gt;3,"Bulk order","Normal order")</f>
        <v>Bulk order</v>
      </c>
    </row>
    <row r="749" spans="1:19" x14ac:dyDescent="0.3">
      <c r="A749" t="s">
        <v>3496</v>
      </c>
      <c r="B749" s="4">
        <v>45385</v>
      </c>
      <c r="C749" s="4" t="str">
        <f>TEXT(ESales_DB[[#This Row],[Order_Date]],"mmm")</f>
        <v>Apr</v>
      </c>
      <c r="D749" t="s">
        <v>1472</v>
      </c>
      <c r="E749" t="s">
        <v>1624</v>
      </c>
      <c r="F749" t="s">
        <v>1794</v>
      </c>
      <c r="G749">
        <v>2</v>
      </c>
      <c r="H749" s="10">
        <f>IF(ISBLANK(ESales_DB[[#This Row],[Quantity]]),AVERAGEIF(ESales_DB[Product_ID],ESales_DB[[#This Row],[Product_ID]],ESales_DB[Quantity]),ESales_DB[[#This Row],[Quantity]])</f>
        <v>2</v>
      </c>
      <c r="I749" s="2">
        <v>960.81</v>
      </c>
      <c r="J749">
        <v>0.28000000000000003</v>
      </c>
      <c r="K749" t="s">
        <v>1826</v>
      </c>
      <c r="L749" s="2">
        <v>1383.5663999999999</v>
      </c>
      <c r="M749" s="2" t="str">
        <f>IF(ESales_DB[[#This Row],[Total_Amount]]&gt;1000,"High","Low")</f>
        <v>High</v>
      </c>
      <c r="N749" s="2" t="str">
        <f>VLOOKUP(ESales_DB[[#This Row],[Customer_ID]],Ecustom_DB[],3,FALSE)</f>
        <v>Earl Smith Dds</v>
      </c>
      <c r="O749" s="2" t="str">
        <f>_xlfn.XLOOKUP(ESales_DB[[#This Row],[Product_ID]],Eproduct_DB[Product_ID],Eproduct_DB[Category])</f>
        <v>Sports</v>
      </c>
      <c r="P749" s="2" t="str">
        <f>_xlfn.XLOOKUP(ESales_DB[[#This Row],[Product_ID]],Eproduct_DB[Product_ID],Eproduct_DB[Product_Name])</f>
        <v>Sports Water Hydration Pack</v>
      </c>
      <c r="Q749" s="2" t="str">
        <f>_xlfn.XLOOKUP(ESales_DB[[#This Row],[Store_ID]],Estore_DB[Store_ID],Estore_DB[Region])</f>
        <v>North</v>
      </c>
      <c r="R749" t="str">
        <f>VLOOKUP(ESales_DB[[#This Row],[Customer_ID]],Ecustom_DB[],10,FALSE)</f>
        <v>Gold</v>
      </c>
      <c r="S749" t="str">
        <f>IF(ESales_DB[[#This Row],[Quantity1]]&gt;3,"Bulk order","Normal order")</f>
        <v>Normal order</v>
      </c>
    </row>
    <row r="750" spans="1:19" x14ac:dyDescent="0.3">
      <c r="A750" t="s">
        <v>3497</v>
      </c>
      <c r="B750" s="4">
        <v>45668</v>
      </c>
      <c r="C750" s="4" t="str">
        <f>TEXT(ESales_DB[[#This Row],[Order_Date]],"mmm")</f>
        <v>Jan</v>
      </c>
      <c r="D750" t="s">
        <v>690</v>
      </c>
      <c r="E750" t="s">
        <v>1648</v>
      </c>
      <c r="F750" t="s">
        <v>1769</v>
      </c>
      <c r="G750">
        <v>4</v>
      </c>
      <c r="H750" s="10">
        <f>IF(ISBLANK(ESales_DB[[#This Row],[Quantity]]),AVERAGEIF(ESales_DB[Product_ID],ESales_DB[[#This Row],[Product_ID]],ESales_DB[Quantity]),ESales_DB[[#This Row],[Quantity]])</f>
        <v>4</v>
      </c>
      <c r="I750" s="2">
        <v>943.36</v>
      </c>
      <c r="J750">
        <v>0.18</v>
      </c>
      <c r="K750" t="s">
        <v>1826</v>
      </c>
      <c r="L750" s="2">
        <v>3094.2208000000001</v>
      </c>
      <c r="M750" s="2" t="str">
        <f>IF(ESales_DB[[#This Row],[Total_Amount]]&gt;1000,"High","Low")</f>
        <v>High</v>
      </c>
      <c r="N750" s="2" t="str">
        <f>VLOOKUP(ESales_DB[[#This Row],[Customer_ID]],Ecustom_DB[],3,FALSE)</f>
        <v>Blake Harrison</v>
      </c>
      <c r="O750" s="2" t="str">
        <f>_xlfn.XLOOKUP(ESales_DB[[#This Row],[Product_ID]],Eproduct_DB[Product_ID],Eproduct_DB[Category])</f>
        <v>Sports</v>
      </c>
      <c r="P750" s="2" t="str">
        <f>_xlfn.XLOOKUP(ESales_DB[[#This Row],[Product_ID]],Eproduct_DB[Product_ID],Eproduct_DB[Product_Name])</f>
        <v>Boxing Hand Wraps</v>
      </c>
      <c r="Q750" s="2" t="str">
        <f>_xlfn.XLOOKUP(ESales_DB[[#This Row],[Store_ID]],Estore_DB[Store_ID],Estore_DB[Region])</f>
        <v>South</v>
      </c>
      <c r="R750" t="str">
        <f>VLOOKUP(ESales_DB[[#This Row],[Customer_ID]],Ecustom_DB[],10,FALSE)</f>
        <v>Platinum</v>
      </c>
      <c r="S750" t="str">
        <f>IF(ESales_DB[[#This Row],[Quantity1]]&gt;3,"Bulk order","Normal order")</f>
        <v>Bulk order</v>
      </c>
    </row>
    <row r="751" spans="1:19" x14ac:dyDescent="0.3">
      <c r="A751" t="s">
        <v>3498</v>
      </c>
      <c r="B751" s="4">
        <v>45561</v>
      </c>
      <c r="C751" s="4" t="str">
        <f>TEXT(ESales_DB[[#This Row],[Order_Date]],"mmm")</f>
        <v>Sep</v>
      </c>
      <c r="D751" t="s">
        <v>693</v>
      </c>
      <c r="E751" t="s">
        <v>1551</v>
      </c>
      <c r="F751" t="s">
        <v>1797</v>
      </c>
      <c r="G751">
        <v>1</v>
      </c>
      <c r="H751" s="10">
        <f>IF(ISBLANK(ESales_DB[[#This Row],[Quantity]]),AVERAGEIF(ESales_DB[Product_ID],ESales_DB[[#This Row],[Product_ID]],ESales_DB[Quantity]),ESales_DB[[#This Row],[Quantity]])</f>
        <v>1</v>
      </c>
      <c r="I751" s="2">
        <v>830.42</v>
      </c>
      <c r="J751">
        <v>0.26</v>
      </c>
      <c r="K751" t="s">
        <v>1829</v>
      </c>
      <c r="L751" s="2">
        <v>614.51080000000002</v>
      </c>
      <c r="M751" s="2" t="str">
        <f>IF(ESales_DB[[#This Row],[Total_Amount]]&gt;1000,"High","Low")</f>
        <v>Low</v>
      </c>
      <c r="N751" s="2" t="str">
        <f>VLOOKUP(ESales_DB[[#This Row],[Customer_ID]],Ecustom_DB[],3,FALSE)</f>
        <v>Stuart Johnson</v>
      </c>
      <c r="O751" s="2" t="str">
        <f>_xlfn.XLOOKUP(ESales_DB[[#This Row],[Product_ID]],Eproduct_DB[Product_ID],Eproduct_DB[Category])</f>
        <v>Clothing</v>
      </c>
      <c r="P751" s="2" t="str">
        <f>_xlfn.XLOOKUP(ESales_DB[[#This Row],[Product_ID]],Eproduct_DB[Product_ID],Eproduct_DB[Product_Name])</f>
        <v>Men's Running Jacket</v>
      </c>
      <c r="Q751" s="2" t="str">
        <f>_xlfn.XLOOKUP(ESales_DB[[#This Row],[Store_ID]],Estore_DB[Store_ID],Estore_DB[Region])</f>
        <v>East</v>
      </c>
      <c r="R751" t="str">
        <f>VLOOKUP(ESales_DB[[#This Row],[Customer_ID]],Ecustom_DB[],10,FALSE)</f>
        <v>Platinum</v>
      </c>
      <c r="S751" t="str">
        <f>IF(ESales_DB[[#This Row],[Quantity1]]&gt;3,"Bulk order","Normal order")</f>
        <v>Normal order</v>
      </c>
    </row>
    <row r="752" spans="1:19" x14ac:dyDescent="0.3">
      <c r="A752" t="s">
        <v>3499</v>
      </c>
      <c r="B752" s="4">
        <v>45637</v>
      </c>
      <c r="C752" s="4" t="str">
        <f>TEXT(ESales_DB[[#This Row],[Order_Date]],"mmm")</f>
        <v>Dec</v>
      </c>
      <c r="D752" t="s">
        <v>1107</v>
      </c>
      <c r="E752" t="s">
        <v>1682</v>
      </c>
      <c r="F752" t="s">
        <v>1807</v>
      </c>
      <c r="G752">
        <v>1</v>
      </c>
      <c r="H752" s="10">
        <f>IF(ISBLANK(ESales_DB[[#This Row],[Quantity]]),AVERAGEIF(ESales_DB[Product_ID],ESales_DB[[#This Row],[Product_ID]],ESales_DB[Quantity]),ESales_DB[[#This Row],[Quantity]])</f>
        <v>1</v>
      </c>
      <c r="I752" s="2">
        <v>762.55</v>
      </c>
      <c r="J752">
        <v>0.19</v>
      </c>
      <c r="K752" t="s">
        <v>1824</v>
      </c>
      <c r="L752" s="2">
        <v>617.66549999999995</v>
      </c>
      <c r="M752" s="2" t="str">
        <f>IF(ESales_DB[[#This Row],[Total_Amount]]&gt;1000,"High","Low")</f>
        <v>Low</v>
      </c>
      <c r="N752" s="2" t="str">
        <f>VLOOKUP(ESales_DB[[#This Row],[Customer_ID]],Ecustom_DB[],3,FALSE)</f>
        <v>Laura Green</v>
      </c>
      <c r="O752" s="2" t="str">
        <f>_xlfn.XLOOKUP(ESales_DB[[#This Row],[Product_ID]],Eproduct_DB[Product_ID],Eproduct_DB[Category])</f>
        <v>Electronics</v>
      </c>
      <c r="P752" s="2" t="str">
        <f>_xlfn.XLOOKUP(ESales_DB[[#This Row],[Product_ID]],Eproduct_DB[Product_ID],Eproduct_DB[Product_Name])</f>
        <v>Smart LED Light Strip</v>
      </c>
      <c r="Q752" s="2" t="str">
        <f>_xlfn.XLOOKUP(ESales_DB[[#This Row],[Store_ID]],Estore_DB[Store_ID],Estore_DB[Region])</f>
        <v>North</v>
      </c>
      <c r="R752" t="str">
        <f>VLOOKUP(ESales_DB[[#This Row],[Customer_ID]],Ecustom_DB[],10,FALSE)</f>
        <v>Platinum</v>
      </c>
      <c r="S752" t="str">
        <f>IF(ESales_DB[[#This Row],[Quantity1]]&gt;3,"Bulk order","Normal order")</f>
        <v>Normal order</v>
      </c>
    </row>
    <row r="753" spans="1:19" x14ac:dyDescent="0.3">
      <c r="A753" t="s">
        <v>3500</v>
      </c>
      <c r="B753" s="4">
        <v>45839</v>
      </c>
      <c r="C753" s="4" t="str">
        <f>TEXT(ESales_DB[[#This Row],[Order_Date]],"mmm")</f>
        <v>Jul</v>
      </c>
      <c r="D753" t="s">
        <v>1077</v>
      </c>
      <c r="E753" t="s">
        <v>1696</v>
      </c>
      <c r="F753" t="s">
        <v>1810</v>
      </c>
      <c r="G753">
        <v>2</v>
      </c>
      <c r="H753" s="10">
        <f>IF(ISBLANK(ESales_DB[[#This Row],[Quantity]]),AVERAGEIF(ESales_DB[Product_ID],ESales_DB[[#This Row],[Product_ID]],ESales_DB[Quantity]),ESales_DB[[#This Row],[Quantity]])</f>
        <v>2</v>
      </c>
      <c r="I753" s="2">
        <v>464.43</v>
      </c>
      <c r="J753">
        <v>0.24</v>
      </c>
      <c r="K753" t="s">
        <v>1829</v>
      </c>
      <c r="L753" s="2">
        <v>705.93360000000007</v>
      </c>
      <c r="M753" s="2" t="str">
        <f>IF(ESales_DB[[#This Row],[Total_Amount]]&gt;1000,"High","Low")</f>
        <v>Low</v>
      </c>
      <c r="N753" s="2" t="str">
        <f>VLOOKUP(ESales_DB[[#This Row],[Customer_ID]],Ecustom_DB[],3,FALSE)</f>
        <v>Ryan Moore</v>
      </c>
      <c r="O753" s="2" t="str">
        <f>_xlfn.XLOOKUP(ESales_DB[[#This Row],[Product_ID]],Eproduct_DB[Product_ID],Eproduct_DB[Category])</f>
        <v>Electronics</v>
      </c>
      <c r="P753" s="2" t="str">
        <f>_xlfn.XLOOKUP(ESales_DB[[#This Row],[Product_ID]],Eproduct_DB[Product_ID],Eproduct_DB[Product_Name])</f>
        <v>Bluetooth Car Audio System</v>
      </c>
      <c r="Q753" s="2" t="str">
        <f>_xlfn.XLOOKUP(ESales_DB[[#This Row],[Store_ID]],Estore_DB[Store_ID],Estore_DB[Region])</f>
        <v>East</v>
      </c>
      <c r="R753" t="str">
        <f>VLOOKUP(ESales_DB[[#This Row],[Customer_ID]],Ecustom_DB[],10,FALSE)</f>
        <v>Bronze</v>
      </c>
      <c r="S753" t="str">
        <f>IF(ESales_DB[[#This Row],[Quantity1]]&gt;3,"Bulk order","Normal order")</f>
        <v>Normal order</v>
      </c>
    </row>
    <row r="754" spans="1:19" x14ac:dyDescent="0.3">
      <c r="A754" t="s">
        <v>3501</v>
      </c>
      <c r="B754" s="4">
        <v>45851</v>
      </c>
      <c r="C754" s="4" t="str">
        <f>TEXT(ESales_DB[[#This Row],[Order_Date]],"mmm")</f>
        <v>Jul</v>
      </c>
      <c r="D754" t="s">
        <v>75</v>
      </c>
      <c r="E754" t="s">
        <v>1676</v>
      </c>
      <c r="F754" t="s">
        <v>1810</v>
      </c>
      <c r="G754">
        <v>1</v>
      </c>
      <c r="H754" s="10">
        <f>IF(ISBLANK(ESales_DB[[#This Row],[Quantity]]),AVERAGEIF(ESales_DB[Product_ID],ESales_DB[[#This Row],[Product_ID]],ESales_DB[Quantity]),ESales_DB[[#This Row],[Quantity]])</f>
        <v>1</v>
      </c>
      <c r="I754" s="2">
        <v>711.08</v>
      </c>
      <c r="J754">
        <v>0.24</v>
      </c>
      <c r="K754" t="s">
        <v>1826</v>
      </c>
      <c r="L754" s="2">
        <v>540.42079999999999</v>
      </c>
      <c r="M754" s="2" t="str">
        <f>IF(ESales_DB[[#This Row],[Total_Amount]]&gt;1000,"High","Low")</f>
        <v>Low</v>
      </c>
      <c r="N754" s="2" t="str">
        <f>VLOOKUP(ESales_DB[[#This Row],[Customer_ID]],Ecustom_DB[],3,FALSE)</f>
        <v>John Scott</v>
      </c>
      <c r="O754" s="2" t="str">
        <f>_xlfn.XLOOKUP(ESales_DB[[#This Row],[Product_ID]],Eproduct_DB[Product_ID],Eproduct_DB[Category])</f>
        <v>Beauty</v>
      </c>
      <c r="P754" s="2" t="str">
        <f>_xlfn.XLOOKUP(ESales_DB[[#This Row],[Product_ID]],Eproduct_DB[Product_ID],Eproduct_DB[Product_Name])</f>
        <v>Matte Lipstick Set</v>
      </c>
      <c r="Q754" s="2" t="str">
        <f>_xlfn.XLOOKUP(ESales_DB[[#This Row],[Store_ID]],Estore_DB[Store_ID],Estore_DB[Region])</f>
        <v>East</v>
      </c>
      <c r="R754" t="str">
        <f>VLOOKUP(ESales_DB[[#This Row],[Customer_ID]],Ecustom_DB[],10,FALSE)</f>
        <v>Bronze</v>
      </c>
      <c r="S754" t="str">
        <f>IF(ESales_DB[[#This Row],[Quantity1]]&gt;3,"Bulk order","Normal order")</f>
        <v>Normal order</v>
      </c>
    </row>
    <row r="755" spans="1:19" x14ac:dyDescent="0.3">
      <c r="A755" t="s">
        <v>3502</v>
      </c>
      <c r="B755" s="4">
        <v>45656</v>
      </c>
      <c r="C755" s="4" t="str">
        <f>TEXT(ESales_DB[[#This Row],[Order_Date]],"mmm")</f>
        <v>Dec</v>
      </c>
      <c r="D755" t="s">
        <v>803</v>
      </c>
      <c r="E755" t="s">
        <v>1638</v>
      </c>
      <c r="F755" t="s">
        <v>1799</v>
      </c>
      <c r="G755">
        <v>2</v>
      </c>
      <c r="H755" s="10">
        <f>IF(ISBLANK(ESales_DB[[#This Row],[Quantity]]),AVERAGEIF(ESales_DB[Product_ID],ESales_DB[[#This Row],[Product_ID]],ESales_DB[Quantity]),ESales_DB[[#This Row],[Quantity]])</f>
        <v>2</v>
      </c>
      <c r="I755" s="2">
        <v>984.96</v>
      </c>
      <c r="J755">
        <v>0.16</v>
      </c>
      <c r="K755" t="s">
        <v>1826</v>
      </c>
      <c r="L755" s="2">
        <v>1654.7328</v>
      </c>
      <c r="M755" s="2" t="str">
        <f>IF(ESales_DB[[#This Row],[Total_Amount]]&gt;1000,"High","Low")</f>
        <v>High</v>
      </c>
      <c r="N755" s="2" t="str">
        <f>VLOOKUP(ESales_DB[[#This Row],[Customer_ID]],Ecustom_DB[],3,FALSE)</f>
        <v>Tyler Garner</v>
      </c>
      <c r="O755" s="2" t="str">
        <f>_xlfn.XLOOKUP(ESales_DB[[#This Row],[Product_ID]],Eproduct_DB[Product_ID],Eproduct_DB[Category])</f>
        <v>Sports</v>
      </c>
      <c r="P755" s="2" t="str">
        <f>_xlfn.XLOOKUP(ESales_DB[[#This Row],[Product_ID]],Eproduct_DB[Product_ID],Eproduct_DB[Product_Name])</f>
        <v>High-Grip Football</v>
      </c>
      <c r="Q755" s="2" t="str">
        <f>_xlfn.XLOOKUP(ESales_DB[[#This Row],[Store_ID]],Estore_DB[Store_ID],Estore_DB[Region])</f>
        <v>South</v>
      </c>
      <c r="R755" t="str">
        <f>VLOOKUP(ESales_DB[[#This Row],[Customer_ID]],Ecustom_DB[],10,FALSE)</f>
        <v>Silver</v>
      </c>
      <c r="S755" t="str">
        <f>IF(ESales_DB[[#This Row],[Quantity1]]&gt;3,"Bulk order","Normal order")</f>
        <v>Normal order</v>
      </c>
    </row>
    <row r="756" spans="1:19" x14ac:dyDescent="0.3">
      <c r="A756" t="s">
        <v>3503</v>
      </c>
      <c r="B756" s="4">
        <v>45759</v>
      </c>
      <c r="C756" s="4" t="str">
        <f>TEXT(ESales_DB[[#This Row],[Order_Date]],"mmm")</f>
        <v>Apr</v>
      </c>
      <c r="D756" t="s">
        <v>1077</v>
      </c>
      <c r="E756" t="s">
        <v>1624</v>
      </c>
      <c r="F756" t="s">
        <v>1794</v>
      </c>
      <c r="G756">
        <v>1</v>
      </c>
      <c r="H756" s="10">
        <f>IF(ISBLANK(ESales_DB[[#This Row],[Quantity]]),AVERAGEIF(ESales_DB[Product_ID],ESales_DB[[#This Row],[Product_ID]],ESales_DB[Quantity]),ESales_DB[[#This Row],[Quantity]])</f>
        <v>1</v>
      </c>
      <c r="I756" s="2">
        <v>21.14</v>
      </c>
      <c r="J756">
        <v>0.06</v>
      </c>
      <c r="K756" t="s">
        <v>1829</v>
      </c>
      <c r="L756" s="2">
        <v>19.871600000000001</v>
      </c>
      <c r="M756" s="2" t="str">
        <f>IF(ESales_DB[[#This Row],[Total_Amount]]&gt;1000,"High","Low")</f>
        <v>Low</v>
      </c>
      <c r="N756" s="2" t="str">
        <f>VLOOKUP(ESales_DB[[#This Row],[Customer_ID]],Ecustom_DB[],3,FALSE)</f>
        <v>Ryan Moore</v>
      </c>
      <c r="O756" s="2" t="str">
        <f>_xlfn.XLOOKUP(ESales_DB[[#This Row],[Product_ID]],Eproduct_DB[Product_ID],Eproduct_DB[Category])</f>
        <v>Sports</v>
      </c>
      <c r="P756" s="2" t="str">
        <f>_xlfn.XLOOKUP(ESales_DB[[#This Row],[Product_ID]],Eproduct_DB[Product_ID],Eproduct_DB[Product_Name])</f>
        <v>Sports Water Hydration Pack</v>
      </c>
      <c r="Q756" s="2" t="str">
        <f>_xlfn.XLOOKUP(ESales_DB[[#This Row],[Store_ID]],Estore_DB[Store_ID],Estore_DB[Region])</f>
        <v>North</v>
      </c>
      <c r="R756" t="str">
        <f>VLOOKUP(ESales_DB[[#This Row],[Customer_ID]],Ecustom_DB[],10,FALSE)</f>
        <v>Bronze</v>
      </c>
      <c r="S756" t="str">
        <f>IF(ESales_DB[[#This Row],[Quantity1]]&gt;3,"Bulk order","Normal order")</f>
        <v>Normal order</v>
      </c>
    </row>
    <row r="757" spans="1:19" x14ac:dyDescent="0.3">
      <c r="A757" t="s">
        <v>3504</v>
      </c>
      <c r="B757" s="4">
        <v>45679</v>
      </c>
      <c r="C757" s="4" t="str">
        <f>TEXT(ESales_DB[[#This Row],[Order_Date]],"mmm")</f>
        <v>Jan</v>
      </c>
      <c r="D757" t="s">
        <v>375</v>
      </c>
      <c r="E757" t="s">
        <v>1744</v>
      </c>
      <c r="F757" t="s">
        <v>1782</v>
      </c>
      <c r="G757">
        <v>1</v>
      </c>
      <c r="H757" s="10">
        <f>IF(ISBLANK(ESales_DB[[#This Row],[Quantity]]),AVERAGEIF(ESales_DB[Product_ID],ESales_DB[[#This Row],[Product_ID]],ESales_DB[Quantity]),ESales_DB[[#This Row],[Quantity]])</f>
        <v>1</v>
      </c>
      <c r="I757" s="2">
        <v>343.03</v>
      </c>
      <c r="J757">
        <v>0.16</v>
      </c>
      <c r="K757" t="s">
        <v>1824</v>
      </c>
      <c r="L757" s="2">
        <v>288.14519999999999</v>
      </c>
      <c r="M757" s="2" t="str">
        <f>IF(ESales_DB[[#This Row],[Total_Amount]]&gt;1000,"High","Low")</f>
        <v>Low</v>
      </c>
      <c r="N757" s="2" t="str">
        <f>VLOOKUP(ESales_DB[[#This Row],[Customer_ID]],Ecustom_DB[],3,FALSE)</f>
        <v>Howard Summers</v>
      </c>
      <c r="O757" s="2" t="str">
        <f>_xlfn.XLOOKUP(ESales_DB[[#This Row],[Product_ID]],Eproduct_DB[Product_ID],Eproduct_DB[Category])</f>
        <v>Electronics</v>
      </c>
      <c r="P757" s="2" t="str">
        <f>_xlfn.XLOOKUP(ESales_DB[[#This Row],[Product_ID]],Eproduct_DB[Product_ID],Eproduct_DB[Product_Name])</f>
        <v>Portable Bluetooth Speaker</v>
      </c>
      <c r="Q757" s="2" t="str">
        <f>_xlfn.XLOOKUP(ESales_DB[[#This Row],[Store_ID]],Estore_DB[Store_ID],Estore_DB[Region])</f>
        <v>West</v>
      </c>
      <c r="R757" t="str">
        <f>VLOOKUP(ESales_DB[[#This Row],[Customer_ID]],Ecustom_DB[],10,FALSE)</f>
        <v>Bronze</v>
      </c>
      <c r="S757" t="str">
        <f>IF(ESales_DB[[#This Row],[Quantity1]]&gt;3,"Bulk order","Normal order")</f>
        <v>Normal order</v>
      </c>
    </row>
    <row r="758" spans="1:19" x14ac:dyDescent="0.3">
      <c r="A758" t="s">
        <v>3505</v>
      </c>
      <c r="B758" s="4">
        <v>45237</v>
      </c>
      <c r="C758" s="4" t="str">
        <f>TEXT(ESales_DB[[#This Row],[Order_Date]],"mmm")</f>
        <v>Nov</v>
      </c>
      <c r="D758" t="s">
        <v>791</v>
      </c>
      <c r="E758" t="s">
        <v>1588</v>
      </c>
      <c r="F758" t="s">
        <v>1810</v>
      </c>
      <c r="G758">
        <v>3</v>
      </c>
      <c r="H758" s="10">
        <f>IF(ISBLANK(ESales_DB[[#This Row],[Quantity]]),AVERAGEIF(ESales_DB[Product_ID],ESales_DB[[#This Row],[Product_ID]],ESales_DB[Quantity]),ESales_DB[[#This Row],[Quantity]])</f>
        <v>3</v>
      </c>
      <c r="I758" s="2">
        <v>94.83</v>
      </c>
      <c r="J758">
        <v>0.16</v>
      </c>
      <c r="K758" t="s">
        <v>1829</v>
      </c>
      <c r="L758" s="2">
        <v>238.9716</v>
      </c>
      <c r="M758" s="2" t="str">
        <f>IF(ESales_DB[[#This Row],[Total_Amount]]&gt;1000,"High","Low")</f>
        <v>Low</v>
      </c>
      <c r="N758" s="2" t="str">
        <f>VLOOKUP(ESales_DB[[#This Row],[Customer_ID]],Ecustom_DB[],3,FALSE)</f>
        <v>Douglas Rhodes</v>
      </c>
      <c r="O758" s="2" t="str">
        <f>_xlfn.XLOOKUP(ESales_DB[[#This Row],[Product_ID]],Eproduct_DB[Product_ID],Eproduct_DB[Category])</f>
        <v>Sports</v>
      </c>
      <c r="P758" s="2" t="str">
        <f>_xlfn.XLOOKUP(ESales_DB[[#This Row],[Product_ID]],Eproduct_DB[Product_ID],Eproduct_DB[Product_Name])</f>
        <v>Outdoor Sports Water Bottle</v>
      </c>
      <c r="Q758" s="2" t="str">
        <f>_xlfn.XLOOKUP(ESales_DB[[#This Row],[Store_ID]],Estore_DB[Store_ID],Estore_DB[Region])</f>
        <v>East</v>
      </c>
      <c r="R758" t="str">
        <f>VLOOKUP(ESales_DB[[#This Row],[Customer_ID]],Ecustom_DB[],10,FALSE)</f>
        <v>Platinum</v>
      </c>
      <c r="S758" t="str">
        <f>IF(ESales_DB[[#This Row],[Quantity1]]&gt;3,"Bulk order","Normal order")</f>
        <v>Normal order</v>
      </c>
    </row>
    <row r="759" spans="1:19" x14ac:dyDescent="0.3">
      <c r="A759" t="s">
        <v>1994</v>
      </c>
      <c r="B759" s="4">
        <v>45462</v>
      </c>
      <c r="C759" s="4" t="str">
        <f>TEXT(ESales_DB[[#This Row],[Order_Date]],"mmm")</f>
        <v>Jun</v>
      </c>
      <c r="D759" t="s">
        <v>381</v>
      </c>
      <c r="E759" t="s">
        <v>1608</v>
      </c>
      <c r="F759" t="s">
        <v>1786</v>
      </c>
      <c r="G759">
        <v>1</v>
      </c>
      <c r="H759" s="10">
        <f>IF(ISBLANK(ESales_DB[[#This Row],[Quantity]]),AVERAGEIF(ESales_DB[Product_ID],ESales_DB[[#This Row],[Product_ID]],ESales_DB[Quantity]),ESales_DB[[#This Row],[Quantity]])</f>
        <v>1</v>
      </c>
      <c r="I759" s="2">
        <v>998.19</v>
      </c>
      <c r="J759">
        <v>0.2</v>
      </c>
      <c r="K759" t="s">
        <v>1824</v>
      </c>
      <c r="L759" s="2">
        <v>798.55200000000013</v>
      </c>
      <c r="M759" s="2" t="str">
        <f>IF(ESales_DB[[#This Row],[Total_Amount]]&gt;1000,"High","Low")</f>
        <v>Low</v>
      </c>
      <c r="N759" s="2" t="str">
        <f>VLOOKUP(ESales_DB[[#This Row],[Customer_ID]],Ecustom_DB[],3,FALSE)</f>
        <v>Travis Holland</v>
      </c>
      <c r="O759" s="2" t="str">
        <f>_xlfn.XLOOKUP(ESales_DB[[#This Row],[Product_ID]],Eproduct_DB[Product_ID],Eproduct_DB[Category])</f>
        <v>Home</v>
      </c>
      <c r="P759" s="2" t="str">
        <f>_xlfn.XLOOKUP(ESales_DB[[#This Row],[Product_ID]],Eproduct_DB[Product_ID],Eproduct_DB[Product_Name])</f>
        <v>Stainless Steel Cutlery Set</v>
      </c>
      <c r="Q759" s="2" t="str">
        <f>_xlfn.XLOOKUP(ESales_DB[[#This Row],[Store_ID]],Estore_DB[Store_ID],Estore_DB[Region])</f>
        <v>South</v>
      </c>
      <c r="R759" t="str">
        <f>VLOOKUP(ESales_DB[[#This Row],[Customer_ID]],Ecustom_DB[],10,FALSE)</f>
        <v>Bronze</v>
      </c>
      <c r="S759" t="str">
        <f>IF(ESales_DB[[#This Row],[Quantity1]]&gt;3,"Bulk order","Normal order")</f>
        <v>Normal order</v>
      </c>
    </row>
    <row r="760" spans="1:19" x14ac:dyDescent="0.3">
      <c r="A760" t="s">
        <v>3506</v>
      </c>
      <c r="B760" s="4">
        <v>45790</v>
      </c>
      <c r="C760" s="4" t="str">
        <f>TEXT(ESales_DB[[#This Row],[Order_Date]],"mmm")</f>
        <v>May</v>
      </c>
      <c r="D760" t="s">
        <v>82</v>
      </c>
      <c r="E760" t="s">
        <v>1686</v>
      </c>
      <c r="F760" t="s">
        <v>1813</v>
      </c>
      <c r="G760">
        <v>3</v>
      </c>
      <c r="H760" s="10">
        <f>IF(ISBLANK(ESales_DB[[#This Row],[Quantity]]),AVERAGEIF(ESales_DB[Product_ID],ESales_DB[[#This Row],[Product_ID]],ESales_DB[Quantity]),ESales_DB[[#This Row],[Quantity]])</f>
        <v>3</v>
      </c>
      <c r="I760" s="2">
        <v>74.66</v>
      </c>
      <c r="J760">
        <v>0.03</v>
      </c>
      <c r="K760" t="s">
        <v>1826</v>
      </c>
      <c r="L760" s="2">
        <v>217.26060000000001</v>
      </c>
      <c r="M760" s="2" t="str">
        <f>IF(ESales_DB[[#This Row],[Total_Amount]]&gt;1000,"High","Low")</f>
        <v>Low</v>
      </c>
      <c r="N760" s="2" t="str">
        <f>VLOOKUP(ESales_DB[[#This Row],[Customer_ID]],Ecustom_DB[],3,FALSE)</f>
        <v>Rhonda Moss</v>
      </c>
      <c r="O760" s="2" t="str">
        <f>_xlfn.XLOOKUP(ESales_DB[[#This Row],[Product_ID]],Eproduct_DB[Product_ID],Eproduct_DB[Category])</f>
        <v>Clothing</v>
      </c>
      <c r="P760" s="2" t="str">
        <f>_xlfn.XLOOKUP(ESales_DB[[#This Row],[Product_ID]],Eproduct_DB[Product_ID],Eproduct_DB[Product_Name])</f>
        <v>Men's Sports Shorts</v>
      </c>
      <c r="Q760" s="2" t="str">
        <f>_xlfn.XLOOKUP(ESales_DB[[#This Row],[Store_ID]],Estore_DB[Store_ID],Estore_DB[Region])</f>
        <v>East</v>
      </c>
      <c r="R760" t="str">
        <f>VLOOKUP(ESales_DB[[#This Row],[Customer_ID]],Ecustom_DB[],10,FALSE)</f>
        <v>Uncategorized</v>
      </c>
      <c r="S760" t="str">
        <f>IF(ESales_DB[[#This Row],[Quantity1]]&gt;3,"Bulk order","Normal order")</f>
        <v>Normal order</v>
      </c>
    </row>
    <row r="761" spans="1:19" x14ac:dyDescent="0.3">
      <c r="A761" t="s">
        <v>3507</v>
      </c>
      <c r="B761" s="4">
        <v>45268</v>
      </c>
      <c r="C761" s="4" t="str">
        <f>TEXT(ESales_DB[[#This Row],[Order_Date]],"mmm")</f>
        <v>Dec</v>
      </c>
      <c r="D761" t="s">
        <v>464</v>
      </c>
      <c r="E761" t="s">
        <v>1622</v>
      </c>
      <c r="F761" t="s">
        <v>1801</v>
      </c>
      <c r="G761">
        <v>3</v>
      </c>
      <c r="H761" s="10">
        <f>IF(ISBLANK(ESales_DB[[#This Row],[Quantity]]),AVERAGEIF(ESales_DB[Product_ID],ESales_DB[[#This Row],[Product_ID]],ESales_DB[Quantity]),ESales_DB[[#This Row],[Quantity]])</f>
        <v>3</v>
      </c>
      <c r="I761" s="2">
        <v>281.95999999999998</v>
      </c>
      <c r="J761">
        <v>0.01</v>
      </c>
      <c r="K761" t="s">
        <v>1829</v>
      </c>
      <c r="L761" s="2">
        <v>837.42119999999989</v>
      </c>
      <c r="M761" s="2" t="str">
        <f>IF(ESales_DB[[#This Row],[Total_Amount]]&gt;1000,"High","Low")</f>
        <v>Low</v>
      </c>
      <c r="N761" s="2" t="str">
        <f>VLOOKUP(ESales_DB[[#This Row],[Customer_ID]],Ecustom_DB[],3,FALSE)</f>
        <v>Patrick Coleman</v>
      </c>
      <c r="O761" s="2" t="str">
        <f>_xlfn.XLOOKUP(ESales_DB[[#This Row],[Product_ID]],Eproduct_DB[Product_ID],Eproduct_DB[Category])</f>
        <v>Clothing</v>
      </c>
      <c r="P761" s="2" t="str">
        <f>_xlfn.XLOOKUP(ESales_DB[[#This Row],[Product_ID]],Eproduct_DB[Product_ID],Eproduct_DB[Product_Name])</f>
        <v>Men's Casual Sneakers</v>
      </c>
      <c r="Q761" s="2" t="str">
        <f>_xlfn.XLOOKUP(ESales_DB[[#This Row],[Store_ID]],Estore_DB[Store_ID],Estore_DB[Region])</f>
        <v>North</v>
      </c>
      <c r="R761" t="str">
        <f>VLOOKUP(ESales_DB[[#This Row],[Customer_ID]],Ecustom_DB[],10,FALSE)</f>
        <v>Silver</v>
      </c>
      <c r="S761" t="str">
        <f>IF(ESales_DB[[#This Row],[Quantity1]]&gt;3,"Bulk order","Normal order")</f>
        <v>Normal order</v>
      </c>
    </row>
    <row r="762" spans="1:19" x14ac:dyDescent="0.3">
      <c r="A762" t="s">
        <v>3508</v>
      </c>
      <c r="B762" s="4">
        <v>45664</v>
      </c>
      <c r="C762" s="4" t="str">
        <f>TEXT(ESales_DB[[#This Row],[Order_Date]],"mmm")</f>
        <v>Jan</v>
      </c>
      <c r="D762" t="s">
        <v>758</v>
      </c>
      <c r="E762" t="s">
        <v>1690</v>
      </c>
      <c r="F762" t="s">
        <v>1810</v>
      </c>
      <c r="G762">
        <v>4</v>
      </c>
      <c r="H762" s="10">
        <f>IF(ISBLANK(ESales_DB[[#This Row],[Quantity]]),AVERAGEIF(ESales_DB[Product_ID],ESales_DB[[#This Row],[Product_ID]],ESales_DB[Quantity]),ESales_DB[[#This Row],[Quantity]])</f>
        <v>4</v>
      </c>
      <c r="I762" s="2">
        <v>622.27</v>
      </c>
      <c r="J762">
        <v>0.02</v>
      </c>
      <c r="K762" t="s">
        <v>1826</v>
      </c>
      <c r="L762" s="2">
        <v>2439.2984000000001</v>
      </c>
      <c r="M762" s="2" t="str">
        <f>IF(ESales_DB[[#This Row],[Total_Amount]]&gt;1000,"High","Low")</f>
        <v>High</v>
      </c>
      <c r="N762" s="2" t="str">
        <f>VLOOKUP(ESales_DB[[#This Row],[Customer_ID]],Ecustom_DB[],3,FALSE)</f>
        <v>Joshua Wilson</v>
      </c>
      <c r="O762" s="2" t="str">
        <f>_xlfn.XLOOKUP(ESales_DB[[#This Row],[Product_ID]],Eproduct_DB[Product_ID],Eproduct_DB[Category])</f>
        <v>Beauty</v>
      </c>
      <c r="P762" s="2" t="str">
        <f>_xlfn.XLOOKUP(ESales_DB[[#This Row],[Product_ID]],Eproduct_DB[Product_ID],Eproduct_DB[Product_Name])</f>
        <v>Hair Repair Oil Treatment</v>
      </c>
      <c r="Q762" s="2" t="str">
        <f>_xlfn.XLOOKUP(ESales_DB[[#This Row],[Store_ID]],Estore_DB[Store_ID],Estore_DB[Region])</f>
        <v>East</v>
      </c>
      <c r="R762" t="str">
        <f>VLOOKUP(ESales_DB[[#This Row],[Customer_ID]],Ecustom_DB[],10,FALSE)</f>
        <v>Bronze</v>
      </c>
      <c r="S762" t="str">
        <f>IF(ESales_DB[[#This Row],[Quantity1]]&gt;3,"Bulk order","Normal order")</f>
        <v>Bulk order</v>
      </c>
    </row>
    <row r="763" spans="1:19" x14ac:dyDescent="0.3">
      <c r="A763" t="s">
        <v>3509</v>
      </c>
      <c r="B763" s="4">
        <v>45475</v>
      </c>
      <c r="C763" s="4" t="str">
        <f>TEXT(ESales_DB[[#This Row],[Order_Date]],"mmm")</f>
        <v>Jul</v>
      </c>
      <c r="D763" t="s">
        <v>363</v>
      </c>
      <c r="E763" t="s">
        <v>1622</v>
      </c>
      <c r="F763" t="s">
        <v>1779</v>
      </c>
      <c r="G763">
        <v>2</v>
      </c>
      <c r="H763" s="10">
        <f>IF(ISBLANK(ESales_DB[[#This Row],[Quantity]]),AVERAGEIF(ESales_DB[Product_ID],ESales_DB[[#This Row],[Product_ID]],ESales_DB[Quantity]),ESales_DB[[#This Row],[Quantity]])</f>
        <v>2</v>
      </c>
      <c r="I763" s="2">
        <v>78.27</v>
      </c>
      <c r="J763">
        <v>0.28999999999999998</v>
      </c>
      <c r="K763" t="s">
        <v>1829</v>
      </c>
      <c r="L763" s="2">
        <v>111.1434</v>
      </c>
      <c r="M763" s="2" t="str">
        <f>IF(ESales_DB[[#This Row],[Total_Amount]]&gt;1000,"High","Low")</f>
        <v>Low</v>
      </c>
      <c r="N763" s="2" t="str">
        <f>VLOOKUP(ESales_DB[[#This Row],[Customer_ID]],Ecustom_DB[],3,FALSE)</f>
        <v>Sarah Schneider</v>
      </c>
      <c r="O763" s="2" t="str">
        <f>_xlfn.XLOOKUP(ESales_DB[[#This Row],[Product_ID]],Eproduct_DB[Product_ID],Eproduct_DB[Category])</f>
        <v>Clothing</v>
      </c>
      <c r="P763" s="2" t="str">
        <f>_xlfn.XLOOKUP(ESales_DB[[#This Row],[Product_ID]],Eproduct_DB[Product_ID],Eproduct_DB[Product_Name])</f>
        <v>Men's Casual Sneakers</v>
      </c>
      <c r="Q763" s="2" t="str">
        <f>_xlfn.XLOOKUP(ESales_DB[[#This Row],[Store_ID]],Estore_DB[Store_ID],Estore_DB[Region])</f>
        <v>South</v>
      </c>
      <c r="R763" t="str">
        <f>VLOOKUP(ESales_DB[[#This Row],[Customer_ID]],Ecustom_DB[],10,FALSE)</f>
        <v>Bronze</v>
      </c>
      <c r="S763" t="str">
        <f>IF(ESales_DB[[#This Row],[Quantity1]]&gt;3,"Bulk order","Normal order")</f>
        <v>Normal order</v>
      </c>
    </row>
    <row r="764" spans="1:19" x14ac:dyDescent="0.3">
      <c r="A764" t="s">
        <v>3510</v>
      </c>
      <c r="B764" s="4">
        <v>45845</v>
      </c>
      <c r="C764" s="4" t="str">
        <f>TEXT(ESales_DB[[#This Row],[Order_Date]],"mmm")</f>
        <v>Jul</v>
      </c>
      <c r="D764" t="s">
        <v>59</v>
      </c>
      <c r="E764" t="s">
        <v>1672</v>
      </c>
      <c r="F764" t="s">
        <v>1797</v>
      </c>
      <c r="G764">
        <v>4</v>
      </c>
      <c r="H764" s="10">
        <f>IF(ISBLANK(ESales_DB[[#This Row],[Quantity]]),AVERAGEIF(ESales_DB[Product_ID],ESales_DB[[#This Row],[Product_ID]],ESales_DB[Quantity]),ESales_DB[[#This Row],[Quantity]])</f>
        <v>4</v>
      </c>
      <c r="I764" s="2">
        <v>676.58</v>
      </c>
      <c r="J764">
        <v>0.23</v>
      </c>
      <c r="K764" t="s">
        <v>1829</v>
      </c>
      <c r="L764" s="2">
        <v>2083.8663999999999</v>
      </c>
      <c r="M764" s="2" t="str">
        <f>IF(ESales_DB[[#This Row],[Total_Amount]]&gt;1000,"High","Low")</f>
        <v>High</v>
      </c>
      <c r="N764" s="2" t="str">
        <f>VLOOKUP(ESales_DB[[#This Row],[Customer_ID]],Ecustom_DB[],3,FALSE)</f>
        <v>Kenneth Lambert</v>
      </c>
      <c r="O764" s="2" t="str">
        <f>_xlfn.XLOOKUP(ESales_DB[[#This Row],[Product_ID]],Eproduct_DB[Product_ID],Eproduct_DB[Category])</f>
        <v>Electronics</v>
      </c>
      <c r="P764" s="2" t="str">
        <f>_xlfn.XLOOKUP(ESales_DB[[#This Row],[Product_ID]],Eproduct_DB[Product_ID],Eproduct_DB[Product_Name])</f>
        <v>Laptop Cooling Pad</v>
      </c>
      <c r="Q764" s="2" t="str">
        <f>_xlfn.XLOOKUP(ESales_DB[[#This Row],[Store_ID]],Estore_DB[Store_ID],Estore_DB[Region])</f>
        <v>East</v>
      </c>
      <c r="R764" t="str">
        <f>VLOOKUP(ESales_DB[[#This Row],[Customer_ID]],Ecustom_DB[],10,FALSE)</f>
        <v>Platinum</v>
      </c>
      <c r="S764" t="str">
        <f>IF(ESales_DB[[#This Row],[Quantity1]]&gt;3,"Bulk order","Normal order")</f>
        <v>Bulk order</v>
      </c>
    </row>
    <row r="765" spans="1:19" x14ac:dyDescent="0.3">
      <c r="A765" t="s">
        <v>3511</v>
      </c>
      <c r="B765" s="4">
        <v>45446</v>
      </c>
      <c r="C765" s="4" t="str">
        <f>TEXT(ESales_DB[[#This Row],[Order_Date]],"mmm")</f>
        <v>Jun</v>
      </c>
      <c r="D765" t="s">
        <v>1495</v>
      </c>
      <c r="E765" t="s">
        <v>1610</v>
      </c>
      <c r="F765" t="s">
        <v>1757</v>
      </c>
      <c r="G765">
        <v>2</v>
      </c>
      <c r="H765" s="10">
        <f>IF(ISBLANK(ESales_DB[[#This Row],[Quantity]]),AVERAGEIF(ESales_DB[Product_ID],ESales_DB[[#This Row],[Product_ID]],ESales_DB[Quantity]),ESales_DB[[#This Row],[Quantity]])</f>
        <v>2</v>
      </c>
      <c r="I765" s="2">
        <v>938.6</v>
      </c>
      <c r="J765">
        <v>0.04</v>
      </c>
      <c r="K765" t="s">
        <v>1826</v>
      </c>
      <c r="L765" s="2">
        <v>1802.1120000000001</v>
      </c>
      <c r="M765" s="2" t="str">
        <f>IF(ESales_DB[[#This Row],[Total_Amount]]&gt;1000,"High","Low")</f>
        <v>High</v>
      </c>
      <c r="N765" s="2" t="str">
        <f>VLOOKUP(ESales_DB[[#This Row],[Customer_ID]],Ecustom_DB[],3,FALSE)</f>
        <v>Eric Lee</v>
      </c>
      <c r="O765" s="2" t="str">
        <f>_xlfn.XLOOKUP(ESales_DB[[#This Row],[Product_ID]],Eproduct_DB[Product_ID],Eproduct_DB[Category])</f>
        <v>Sports</v>
      </c>
      <c r="P765" s="2" t="str">
        <f>_xlfn.XLOOKUP(ESales_DB[[#This Row],[Product_ID]],Eproduct_DB[Product_ID],Eproduct_DB[Product_Name])</f>
        <v>Basketball</v>
      </c>
      <c r="Q765" s="2" t="str">
        <f>_xlfn.XLOOKUP(ESales_DB[[#This Row],[Store_ID]],Estore_DB[Store_ID],Estore_DB[Region])</f>
        <v>North</v>
      </c>
      <c r="R765" t="str">
        <f>VLOOKUP(ESales_DB[[#This Row],[Customer_ID]],Ecustom_DB[],10,FALSE)</f>
        <v>Bronze</v>
      </c>
      <c r="S765" t="str">
        <f>IF(ESales_DB[[#This Row],[Quantity1]]&gt;3,"Bulk order","Normal order")</f>
        <v>Normal order</v>
      </c>
    </row>
    <row r="766" spans="1:19" x14ac:dyDescent="0.3">
      <c r="A766" t="s">
        <v>3512</v>
      </c>
      <c r="B766" s="4">
        <v>45761</v>
      </c>
      <c r="C766" s="4" t="str">
        <f>TEXT(ESales_DB[[#This Row],[Order_Date]],"mmm")</f>
        <v>Apr</v>
      </c>
      <c r="D766" t="s">
        <v>1112</v>
      </c>
      <c r="E766" t="s">
        <v>1574</v>
      </c>
      <c r="F766" t="s">
        <v>1799</v>
      </c>
      <c r="G766">
        <v>2</v>
      </c>
      <c r="H766" s="10">
        <f>IF(ISBLANK(ESales_DB[[#This Row],[Quantity]]),AVERAGEIF(ESales_DB[Product_ID],ESales_DB[[#This Row],[Product_ID]],ESales_DB[Quantity]),ESales_DB[[#This Row],[Quantity]])</f>
        <v>2</v>
      </c>
      <c r="I766" s="2">
        <v>859.47</v>
      </c>
      <c r="J766">
        <v>0.01</v>
      </c>
      <c r="K766" t="s">
        <v>1824</v>
      </c>
      <c r="L766" s="2">
        <v>1701.7506000000001</v>
      </c>
      <c r="M766" s="2" t="str">
        <f>IF(ESales_DB[[#This Row],[Total_Amount]]&gt;1000,"High","Low")</f>
        <v>High</v>
      </c>
      <c r="N766" s="2" t="str">
        <f>VLOOKUP(ESales_DB[[#This Row],[Customer_ID]],Ecustom_DB[],3,FALSE)</f>
        <v>Carlos Flores</v>
      </c>
      <c r="O766" s="2" t="str">
        <f>_xlfn.XLOOKUP(ESales_DB[[#This Row],[Product_ID]],Eproduct_DB[Product_ID],Eproduct_DB[Category])</f>
        <v>Electronics</v>
      </c>
      <c r="P766" s="2" t="str">
        <f>_xlfn.XLOOKUP(ESales_DB[[#This Row],[Product_ID]],Eproduct_DB[Product_ID],Eproduct_DB[Product_Name])</f>
        <v>USB-C Fast Charger</v>
      </c>
      <c r="Q766" s="2" t="str">
        <f>_xlfn.XLOOKUP(ESales_DB[[#This Row],[Store_ID]],Estore_DB[Store_ID],Estore_DB[Region])</f>
        <v>South</v>
      </c>
      <c r="R766" t="str">
        <f>VLOOKUP(ESales_DB[[#This Row],[Customer_ID]],Ecustom_DB[],10,FALSE)</f>
        <v>Gold</v>
      </c>
      <c r="S766" t="str">
        <f>IF(ESales_DB[[#This Row],[Quantity1]]&gt;3,"Bulk order","Normal order")</f>
        <v>Normal order</v>
      </c>
    </row>
    <row r="767" spans="1:19" x14ac:dyDescent="0.3">
      <c r="A767" t="s">
        <v>3513</v>
      </c>
      <c r="B767" s="4">
        <v>45363</v>
      </c>
      <c r="C767" s="4" t="str">
        <f>TEXT(ESales_DB[[#This Row],[Order_Date]],"mmm")</f>
        <v>Mar</v>
      </c>
      <c r="D767" t="s">
        <v>214</v>
      </c>
      <c r="E767" t="s">
        <v>1602</v>
      </c>
      <c r="F767" t="s">
        <v>1799</v>
      </c>
      <c r="G767">
        <v>3</v>
      </c>
      <c r="H767" s="10">
        <f>IF(ISBLANK(ESales_DB[[#This Row],[Quantity]]),AVERAGEIF(ESales_DB[Product_ID],ESales_DB[[#This Row],[Product_ID]],ESales_DB[Quantity]),ESales_DB[[#This Row],[Quantity]])</f>
        <v>3</v>
      </c>
      <c r="I767" s="2">
        <v>672.98</v>
      </c>
      <c r="J767">
        <v>0.23</v>
      </c>
      <c r="K767" t="s">
        <v>1826</v>
      </c>
      <c r="L767" s="2">
        <v>1554.5838000000001</v>
      </c>
      <c r="M767" s="2" t="str">
        <f>IF(ESales_DB[[#This Row],[Total_Amount]]&gt;1000,"High","Low")</f>
        <v>High</v>
      </c>
      <c r="N767" s="2" t="str">
        <f>VLOOKUP(ESales_DB[[#This Row],[Customer_ID]],Ecustom_DB[],3,FALSE)</f>
        <v>Jay Patel</v>
      </c>
      <c r="O767" s="2" t="str">
        <f>_xlfn.XLOOKUP(ESales_DB[[#This Row],[Product_ID]],Eproduct_DB[Product_ID],Eproduct_DB[Category])</f>
        <v>Home</v>
      </c>
      <c r="P767" s="2" t="str">
        <f>_xlfn.XLOOKUP(ESales_DB[[#This Row],[Product_ID]],Eproduct_DB[Product_ID],Eproduct_DB[Product_Name])</f>
        <v>Decorative Floor Vase</v>
      </c>
      <c r="Q767" s="2" t="str">
        <f>_xlfn.XLOOKUP(ESales_DB[[#This Row],[Store_ID]],Estore_DB[Store_ID],Estore_DB[Region])</f>
        <v>South</v>
      </c>
      <c r="R767" t="str">
        <f>VLOOKUP(ESales_DB[[#This Row],[Customer_ID]],Ecustom_DB[],10,FALSE)</f>
        <v>Platinum</v>
      </c>
      <c r="S767" t="str">
        <f>IF(ESales_DB[[#This Row],[Quantity1]]&gt;3,"Bulk order","Normal order")</f>
        <v>Normal order</v>
      </c>
    </row>
    <row r="768" spans="1:19" x14ac:dyDescent="0.3">
      <c r="A768" t="s">
        <v>3514</v>
      </c>
      <c r="B768" s="4">
        <v>45420</v>
      </c>
      <c r="C768" s="4" t="str">
        <f>TEXT(ESales_DB[[#This Row],[Order_Date]],"mmm")</f>
        <v>May</v>
      </c>
      <c r="D768" t="s">
        <v>672</v>
      </c>
      <c r="E768" t="s">
        <v>1660</v>
      </c>
      <c r="F768" t="s">
        <v>1810</v>
      </c>
      <c r="G768">
        <v>1</v>
      </c>
      <c r="H768" s="10">
        <f>IF(ISBLANK(ESales_DB[[#This Row],[Quantity]]),AVERAGEIF(ESales_DB[Product_ID],ESales_DB[[#This Row],[Product_ID]],ESales_DB[Quantity]),ESales_DB[[#This Row],[Quantity]])</f>
        <v>1</v>
      </c>
      <c r="I768" s="2">
        <v>75.8</v>
      </c>
      <c r="J768">
        <v>0.28999999999999998</v>
      </c>
      <c r="K768" t="s">
        <v>1826</v>
      </c>
      <c r="L768" s="2">
        <v>53.817999999999998</v>
      </c>
      <c r="M768" s="2" t="str">
        <f>IF(ESales_DB[[#This Row],[Total_Amount]]&gt;1000,"High","Low")</f>
        <v>Low</v>
      </c>
      <c r="N768" s="2" t="str">
        <f>VLOOKUP(ESales_DB[[#This Row],[Customer_ID]],Ecustom_DB[],3,FALSE)</f>
        <v>Ronald Jones</v>
      </c>
      <c r="O768" s="2" t="str">
        <f>_xlfn.XLOOKUP(ESales_DB[[#This Row],[Product_ID]],Eproduct_DB[Product_ID],Eproduct_DB[Category])</f>
        <v>Home</v>
      </c>
      <c r="P768" s="2" t="str">
        <f>_xlfn.XLOOKUP(ESales_DB[[#This Row],[Product_ID]],Eproduct_DB[Product_ID],Eproduct_DB[Product_Name])</f>
        <v>Premium Blanket Throw</v>
      </c>
      <c r="Q768" s="2" t="str">
        <f>_xlfn.XLOOKUP(ESales_DB[[#This Row],[Store_ID]],Estore_DB[Store_ID],Estore_DB[Region])</f>
        <v>East</v>
      </c>
      <c r="R768" t="str">
        <f>VLOOKUP(ESales_DB[[#This Row],[Customer_ID]],Ecustom_DB[],10,FALSE)</f>
        <v>Silver</v>
      </c>
      <c r="S768" t="str">
        <f>IF(ESales_DB[[#This Row],[Quantity1]]&gt;3,"Bulk order","Normal order")</f>
        <v>Normal order</v>
      </c>
    </row>
    <row r="769" spans="1:19" x14ac:dyDescent="0.3">
      <c r="A769" t="s">
        <v>3515</v>
      </c>
      <c r="B769" s="4">
        <v>45536</v>
      </c>
      <c r="C769" s="4" t="str">
        <f>TEXT(ESales_DB[[#This Row],[Order_Date]],"mmm")</f>
        <v>Sep</v>
      </c>
      <c r="D769" t="s">
        <v>137</v>
      </c>
      <c r="E769" t="s">
        <v>1582</v>
      </c>
      <c r="F769" t="s">
        <v>1801</v>
      </c>
      <c r="G769">
        <v>4</v>
      </c>
      <c r="H769" s="10">
        <f>IF(ISBLANK(ESales_DB[[#This Row],[Quantity]]),AVERAGEIF(ESales_DB[Product_ID],ESales_DB[[#This Row],[Product_ID]],ESales_DB[Quantity]),ESales_DB[[#This Row],[Quantity]])</f>
        <v>4</v>
      </c>
      <c r="I769" s="2">
        <v>742.15</v>
      </c>
      <c r="J769">
        <v>0.1</v>
      </c>
      <c r="K769" t="s">
        <v>1829</v>
      </c>
      <c r="L769" s="2">
        <v>2671.74</v>
      </c>
      <c r="M769" s="2" t="str">
        <f>IF(ESales_DB[[#This Row],[Total_Amount]]&gt;1000,"High","Low")</f>
        <v>High</v>
      </c>
      <c r="N769" s="2" t="str">
        <f>VLOOKUP(ESales_DB[[#This Row],[Customer_ID]],Ecustom_DB[],3,FALSE)</f>
        <v>Christopher Olson</v>
      </c>
      <c r="O769" s="2" t="str">
        <f>_xlfn.XLOOKUP(ESales_DB[[#This Row],[Product_ID]],Eproduct_DB[Product_ID],Eproduct_DB[Category])</f>
        <v>Sports</v>
      </c>
      <c r="P769" s="2" t="str">
        <f>_xlfn.XLOOKUP(ESales_DB[[#This Row],[Product_ID]],Eproduct_DB[Product_ID],Eproduct_DB[Product_Name])</f>
        <v>Soccer Training Cone Set</v>
      </c>
      <c r="Q769" s="2" t="str">
        <f>_xlfn.XLOOKUP(ESales_DB[[#This Row],[Store_ID]],Estore_DB[Store_ID],Estore_DB[Region])</f>
        <v>North</v>
      </c>
      <c r="R769" t="str">
        <f>VLOOKUP(ESales_DB[[#This Row],[Customer_ID]],Ecustom_DB[],10,FALSE)</f>
        <v>Platinum</v>
      </c>
      <c r="S769" t="str">
        <f>IF(ESales_DB[[#This Row],[Quantity1]]&gt;3,"Bulk order","Normal order")</f>
        <v>Bulk order</v>
      </c>
    </row>
    <row r="770" spans="1:19" x14ac:dyDescent="0.3">
      <c r="A770" t="s">
        <v>1995</v>
      </c>
      <c r="B770" s="4">
        <v>45313</v>
      </c>
      <c r="C770" s="4" t="str">
        <f>TEXT(ESales_DB[[#This Row],[Order_Date]],"mmm")</f>
        <v>Jan</v>
      </c>
      <c r="D770" t="s">
        <v>1166</v>
      </c>
      <c r="E770" t="s">
        <v>1692</v>
      </c>
      <c r="F770" t="s">
        <v>1779</v>
      </c>
      <c r="G770">
        <v>2</v>
      </c>
      <c r="H770" s="10">
        <f>IF(ISBLANK(ESales_DB[[#This Row],[Quantity]]),AVERAGEIF(ESales_DB[Product_ID],ESales_DB[[#This Row],[Product_ID]],ESales_DB[Quantity]),ESales_DB[[#This Row],[Quantity]])</f>
        <v>2</v>
      </c>
      <c r="I770" s="2">
        <v>343.42</v>
      </c>
      <c r="J770">
        <v>0.12</v>
      </c>
      <c r="K770" t="s">
        <v>1829</v>
      </c>
      <c r="L770" s="2">
        <v>604.41920000000005</v>
      </c>
      <c r="M770" s="2" t="str">
        <f>IF(ESales_DB[[#This Row],[Total_Amount]]&gt;1000,"High","Low")</f>
        <v>Low</v>
      </c>
      <c r="N770" s="2" t="str">
        <f>VLOOKUP(ESales_DB[[#This Row],[Customer_ID]],Ecustom_DB[],3,FALSE)</f>
        <v>James Orozco</v>
      </c>
      <c r="O770" s="2" t="str">
        <f>_xlfn.XLOOKUP(ESales_DB[[#This Row],[Product_ID]],Eproduct_DB[Product_ID],Eproduct_DB[Category])</f>
        <v>Sports</v>
      </c>
      <c r="P770" s="2" t="str">
        <f>_xlfn.XLOOKUP(ESales_DB[[#This Row],[Product_ID]],Eproduct_DB[Product_ID],Eproduct_DB[Product_Name])</f>
        <v>Professional Jump Rope</v>
      </c>
      <c r="Q770" s="2" t="str">
        <f>_xlfn.XLOOKUP(ESales_DB[[#This Row],[Store_ID]],Estore_DB[Store_ID],Estore_DB[Region])</f>
        <v>South</v>
      </c>
      <c r="R770" t="str">
        <f>VLOOKUP(ESales_DB[[#This Row],[Customer_ID]],Ecustom_DB[],10,FALSE)</f>
        <v>Gold</v>
      </c>
      <c r="S770" t="str">
        <f>IF(ESales_DB[[#This Row],[Quantity1]]&gt;3,"Bulk order","Normal order")</f>
        <v>Normal order</v>
      </c>
    </row>
    <row r="771" spans="1:19" x14ac:dyDescent="0.3">
      <c r="A771" t="s">
        <v>3516</v>
      </c>
      <c r="B771" s="4">
        <v>45445</v>
      </c>
      <c r="C771" s="4" t="str">
        <f>TEXT(ESales_DB[[#This Row],[Order_Date]],"mmm")</f>
        <v>Jun</v>
      </c>
      <c r="D771" t="s">
        <v>264</v>
      </c>
      <c r="E771" t="s">
        <v>1608</v>
      </c>
      <c r="F771" t="s">
        <v>1779</v>
      </c>
      <c r="G771">
        <v>1</v>
      </c>
      <c r="H771" s="10">
        <f>IF(ISBLANK(ESales_DB[[#This Row],[Quantity]]),AVERAGEIF(ESales_DB[Product_ID],ESales_DB[[#This Row],[Product_ID]],ESales_DB[Quantity]),ESales_DB[[#This Row],[Quantity]])</f>
        <v>1</v>
      </c>
      <c r="I771" s="2">
        <v>637.39</v>
      </c>
      <c r="J771">
        <v>0.22</v>
      </c>
      <c r="K771" t="s">
        <v>1826</v>
      </c>
      <c r="L771" s="2">
        <v>497.16419999999999</v>
      </c>
      <c r="M771" s="2" t="str">
        <f>IF(ESales_DB[[#This Row],[Total_Amount]]&gt;1000,"High","Low")</f>
        <v>Low</v>
      </c>
      <c r="N771" s="2" t="str">
        <f>VLOOKUP(ESales_DB[[#This Row],[Customer_ID]],Ecustom_DB[],3,FALSE)</f>
        <v>Tonya Burch</v>
      </c>
      <c r="O771" s="2" t="str">
        <f>_xlfn.XLOOKUP(ESales_DB[[#This Row],[Product_ID]],Eproduct_DB[Product_ID],Eproduct_DB[Category])</f>
        <v>Home</v>
      </c>
      <c r="P771" s="2" t="str">
        <f>_xlfn.XLOOKUP(ESales_DB[[#This Row],[Product_ID]],Eproduct_DB[Product_ID],Eproduct_DB[Product_Name])</f>
        <v>Stainless Steel Cutlery Set</v>
      </c>
      <c r="Q771" s="2" t="str">
        <f>_xlfn.XLOOKUP(ESales_DB[[#This Row],[Store_ID]],Estore_DB[Store_ID],Estore_DB[Region])</f>
        <v>South</v>
      </c>
      <c r="R771" t="str">
        <f>VLOOKUP(ESales_DB[[#This Row],[Customer_ID]],Ecustom_DB[],10,FALSE)</f>
        <v>Gold</v>
      </c>
      <c r="S771" t="str">
        <f>IF(ESales_DB[[#This Row],[Quantity1]]&gt;3,"Bulk order","Normal order")</f>
        <v>Normal order</v>
      </c>
    </row>
    <row r="772" spans="1:19" x14ac:dyDescent="0.3">
      <c r="A772" t="s">
        <v>3517</v>
      </c>
      <c r="B772" s="4">
        <v>45230</v>
      </c>
      <c r="C772" s="4" t="str">
        <f>TEXT(ESales_DB[[#This Row],[Order_Date]],"mmm")</f>
        <v>Oct</v>
      </c>
      <c r="D772" t="s">
        <v>1220</v>
      </c>
      <c r="E772" t="s">
        <v>1557</v>
      </c>
      <c r="F772" t="s">
        <v>1807</v>
      </c>
      <c r="G772">
        <v>1</v>
      </c>
      <c r="H772" s="10">
        <f>IF(ISBLANK(ESales_DB[[#This Row],[Quantity]]),AVERAGEIF(ESales_DB[Product_ID],ESales_DB[[#This Row],[Product_ID]],ESales_DB[Quantity]),ESales_DB[[#This Row],[Quantity]])</f>
        <v>1</v>
      </c>
      <c r="I772" s="2">
        <v>631</v>
      </c>
      <c r="J772">
        <v>0.04</v>
      </c>
      <c r="K772" t="s">
        <v>1824</v>
      </c>
      <c r="L772" s="2">
        <v>605.76</v>
      </c>
      <c r="M772" s="2" t="str">
        <f>IF(ESales_DB[[#This Row],[Total_Amount]]&gt;1000,"High","Low")</f>
        <v>Low</v>
      </c>
      <c r="N772" s="2" t="str">
        <f>VLOOKUP(ESales_DB[[#This Row],[Customer_ID]],Ecustom_DB[],3,FALSE)</f>
        <v>Heidi Tyler</v>
      </c>
      <c r="O772" s="2" t="str">
        <f>_xlfn.XLOOKUP(ESales_DB[[#This Row],[Product_ID]],Eproduct_DB[Product_ID],Eproduct_DB[Category])</f>
        <v>Beauty</v>
      </c>
      <c r="P772" s="2" t="str">
        <f>_xlfn.XLOOKUP(ESales_DB[[#This Row],[Product_ID]],Eproduct_DB[Product_ID],Eproduct_DB[Product_Name])</f>
        <v>Herbal Face Moisturizer</v>
      </c>
      <c r="Q772" s="2" t="str">
        <f>_xlfn.XLOOKUP(ESales_DB[[#This Row],[Store_ID]],Estore_DB[Store_ID],Estore_DB[Region])</f>
        <v>North</v>
      </c>
      <c r="R772" t="str">
        <f>VLOOKUP(ESales_DB[[#This Row],[Customer_ID]],Ecustom_DB[],10,FALSE)</f>
        <v>Bronze</v>
      </c>
      <c r="S772" t="str">
        <f>IF(ESales_DB[[#This Row],[Quantity1]]&gt;3,"Bulk order","Normal order")</f>
        <v>Normal order</v>
      </c>
    </row>
    <row r="773" spans="1:19" x14ac:dyDescent="0.3">
      <c r="A773" t="s">
        <v>3518</v>
      </c>
      <c r="B773" s="4">
        <v>45916</v>
      </c>
      <c r="C773" s="4" t="str">
        <f>TEXT(ESales_DB[[#This Row],[Order_Date]],"mmm")</f>
        <v>Sep</v>
      </c>
      <c r="D773" t="s">
        <v>1226</v>
      </c>
      <c r="E773" t="s">
        <v>1708</v>
      </c>
      <c r="F773" t="s">
        <v>1766</v>
      </c>
      <c r="G773">
        <v>4</v>
      </c>
      <c r="H773" s="10">
        <f>IF(ISBLANK(ESales_DB[[#This Row],[Quantity]]),AVERAGEIF(ESales_DB[Product_ID],ESales_DB[[#This Row],[Product_ID]],ESales_DB[Quantity]),ESales_DB[[#This Row],[Quantity]])</f>
        <v>4</v>
      </c>
      <c r="I773" s="2">
        <v>983.98</v>
      </c>
      <c r="J773">
        <v>0.11</v>
      </c>
      <c r="K773" t="s">
        <v>1829</v>
      </c>
      <c r="L773" s="2">
        <v>3502.9688000000001</v>
      </c>
      <c r="M773" s="2" t="str">
        <f>IF(ESales_DB[[#This Row],[Total_Amount]]&gt;1000,"High","Low")</f>
        <v>High</v>
      </c>
      <c r="N773" s="2" t="str">
        <f>VLOOKUP(ESales_DB[[#This Row],[Customer_ID]],Ecustom_DB[],3,FALSE)</f>
        <v>Michael Mcneil</v>
      </c>
      <c r="O773" s="2" t="str">
        <f>_xlfn.XLOOKUP(ESales_DB[[#This Row],[Product_ID]],Eproduct_DB[Product_ID],Eproduct_DB[Category])</f>
        <v>Home</v>
      </c>
      <c r="P773" s="2" t="str">
        <f>_xlfn.XLOOKUP(ESales_DB[[#This Row],[Product_ID]],Eproduct_DB[Product_ID],Eproduct_DB[Product_Name])</f>
        <v>Wall-Mounted Spice Rack</v>
      </c>
      <c r="Q773" s="2" t="str">
        <f>_xlfn.XLOOKUP(ESales_DB[[#This Row],[Store_ID]],Estore_DB[Store_ID],Estore_DB[Region])</f>
        <v>North</v>
      </c>
      <c r="R773" t="str">
        <f>VLOOKUP(ESales_DB[[#This Row],[Customer_ID]],Ecustom_DB[],10,FALSE)</f>
        <v>Bronze</v>
      </c>
      <c r="S773" t="str">
        <f>IF(ESales_DB[[#This Row],[Quantity1]]&gt;3,"Bulk order","Normal order")</f>
        <v>Bulk order</v>
      </c>
    </row>
    <row r="774" spans="1:19" x14ac:dyDescent="0.3">
      <c r="A774" t="s">
        <v>3519</v>
      </c>
      <c r="B774" s="4">
        <v>45353</v>
      </c>
      <c r="C774" s="4" t="str">
        <f>TEXT(ESales_DB[[#This Row],[Order_Date]],"mmm")</f>
        <v>Mar</v>
      </c>
      <c r="D774" t="s">
        <v>205</v>
      </c>
      <c r="E774" t="s">
        <v>1658</v>
      </c>
      <c r="F774" t="s">
        <v>1792</v>
      </c>
      <c r="G774">
        <v>4</v>
      </c>
      <c r="H774" s="10">
        <f>IF(ISBLANK(ESales_DB[[#This Row],[Quantity]]),AVERAGEIF(ESales_DB[Product_ID],ESales_DB[[#This Row],[Product_ID]],ESales_DB[Quantity]),ESales_DB[[#This Row],[Quantity]])</f>
        <v>4</v>
      </c>
      <c r="I774" s="2">
        <v>73.69</v>
      </c>
      <c r="J774">
        <v>0.08</v>
      </c>
      <c r="K774" t="s">
        <v>1824</v>
      </c>
      <c r="L774" s="2">
        <v>271.17919999999998</v>
      </c>
      <c r="M774" s="2" t="str">
        <f>IF(ESales_DB[[#This Row],[Total_Amount]]&gt;1000,"High","Low")</f>
        <v>Low</v>
      </c>
      <c r="N774" s="2" t="str">
        <f>VLOOKUP(ESales_DB[[#This Row],[Customer_ID]],Ecustom_DB[],3,FALSE)</f>
        <v>Katherine Dorsey</v>
      </c>
      <c r="O774" s="2" t="str">
        <f>_xlfn.XLOOKUP(ESales_DB[[#This Row],[Product_ID]],Eproduct_DB[Product_ID],Eproduct_DB[Category])</f>
        <v>Home</v>
      </c>
      <c r="P774" s="2" t="str">
        <f>_xlfn.XLOOKUP(ESales_DB[[#This Row],[Product_ID]],Eproduct_DB[Product_ID],Eproduct_DB[Product_Name])</f>
        <v>Ceramic Plant Pot</v>
      </c>
      <c r="Q774" s="2" t="str">
        <f>_xlfn.XLOOKUP(ESales_DB[[#This Row],[Store_ID]],Estore_DB[Store_ID],Estore_DB[Region])</f>
        <v>South</v>
      </c>
      <c r="R774" t="str">
        <f>VLOOKUP(ESales_DB[[#This Row],[Customer_ID]],Ecustom_DB[],10,FALSE)</f>
        <v>Platinum</v>
      </c>
      <c r="S774" t="str">
        <f>IF(ESales_DB[[#This Row],[Quantity1]]&gt;3,"Bulk order","Normal order")</f>
        <v>Bulk order</v>
      </c>
    </row>
    <row r="775" spans="1:19" x14ac:dyDescent="0.3">
      <c r="A775" t="s">
        <v>3520</v>
      </c>
      <c r="B775" s="4">
        <v>45490</v>
      </c>
      <c r="C775" s="4" t="str">
        <f>TEXT(ESales_DB[[#This Row],[Order_Date]],"mmm")</f>
        <v>Jul</v>
      </c>
      <c r="D775" t="s">
        <v>1343</v>
      </c>
      <c r="E775" t="s">
        <v>1570</v>
      </c>
      <c r="F775" t="s">
        <v>1779</v>
      </c>
      <c r="G775">
        <v>3</v>
      </c>
      <c r="H775" s="10">
        <f>IF(ISBLANK(ESales_DB[[#This Row],[Quantity]]),AVERAGEIF(ESales_DB[Product_ID],ESales_DB[[#This Row],[Product_ID]],ESales_DB[Quantity]),ESales_DB[[#This Row],[Quantity]])</f>
        <v>3</v>
      </c>
      <c r="I775" s="2">
        <v>110.99</v>
      </c>
      <c r="J775">
        <v>0.21</v>
      </c>
      <c r="K775" t="s">
        <v>1824</v>
      </c>
      <c r="L775" s="2">
        <v>263.04629999999997</v>
      </c>
      <c r="M775" s="2" t="str">
        <f>IF(ESales_DB[[#This Row],[Total_Amount]]&gt;1000,"High","Low")</f>
        <v>Low</v>
      </c>
      <c r="N775" s="2" t="str">
        <f>VLOOKUP(ESales_DB[[#This Row],[Customer_ID]],Ecustom_DB[],3,FALSE)</f>
        <v>Thomas Moore</v>
      </c>
      <c r="O775" s="2" t="str">
        <f>_xlfn.XLOOKUP(ESales_DB[[#This Row],[Product_ID]],Eproduct_DB[Product_ID],Eproduct_DB[Category])</f>
        <v>Electronics</v>
      </c>
      <c r="P775" s="2" t="str">
        <f>_xlfn.XLOOKUP(ESales_DB[[#This Row],[Product_ID]],Eproduct_DB[Product_ID],Eproduct_DB[Product_Name])</f>
        <v>HD Smart TV Stick</v>
      </c>
      <c r="Q775" s="2" t="str">
        <f>_xlfn.XLOOKUP(ESales_DB[[#This Row],[Store_ID]],Estore_DB[Store_ID],Estore_DB[Region])</f>
        <v>South</v>
      </c>
      <c r="R775" t="str">
        <f>VLOOKUP(ESales_DB[[#This Row],[Customer_ID]],Ecustom_DB[],10,FALSE)</f>
        <v>Silver</v>
      </c>
      <c r="S775" t="str">
        <f>IF(ESales_DB[[#This Row],[Quantity1]]&gt;3,"Bulk order","Normal order")</f>
        <v>Normal order</v>
      </c>
    </row>
    <row r="776" spans="1:19" x14ac:dyDescent="0.3">
      <c r="A776" t="s">
        <v>3521</v>
      </c>
      <c r="B776" s="4">
        <v>45850</v>
      </c>
      <c r="C776" s="4" t="str">
        <f>TEXT(ESales_DB[[#This Row],[Order_Date]],"mmm")</f>
        <v>Jul</v>
      </c>
      <c r="D776" t="s">
        <v>301</v>
      </c>
      <c r="E776" t="s">
        <v>1568</v>
      </c>
      <c r="F776" t="s">
        <v>1779</v>
      </c>
      <c r="G776">
        <v>1</v>
      </c>
      <c r="H776" s="10">
        <f>IF(ISBLANK(ESales_DB[[#This Row],[Quantity]]),AVERAGEIF(ESales_DB[Product_ID],ESales_DB[[#This Row],[Product_ID]],ESales_DB[Quantity]),ESales_DB[[#This Row],[Quantity]])</f>
        <v>1</v>
      </c>
      <c r="I776" s="2">
        <v>66.86</v>
      </c>
      <c r="J776">
        <v>0.22</v>
      </c>
      <c r="K776" t="s">
        <v>1829</v>
      </c>
      <c r="L776" s="2">
        <v>52.150799999999997</v>
      </c>
      <c r="M776" s="2" t="str">
        <f>IF(ESales_DB[[#This Row],[Total_Amount]]&gt;1000,"High","Low")</f>
        <v>Low</v>
      </c>
      <c r="N776" s="2" t="str">
        <f>VLOOKUP(ESales_DB[[#This Row],[Customer_ID]],Ecustom_DB[],3,FALSE)</f>
        <v>Thomas Robinson</v>
      </c>
      <c r="O776" s="2" t="str">
        <f>_xlfn.XLOOKUP(ESales_DB[[#This Row],[Product_ID]],Eproduct_DB[Product_ID],Eproduct_DB[Category])</f>
        <v>Home</v>
      </c>
      <c r="P776" s="2" t="str">
        <f>_xlfn.XLOOKUP(ESales_DB[[#This Row],[Product_ID]],Eproduct_DB[Product_ID],Eproduct_DB[Product_Name])</f>
        <v>Ceramic Kitchen Bowl Set</v>
      </c>
      <c r="Q776" s="2" t="str">
        <f>_xlfn.XLOOKUP(ESales_DB[[#This Row],[Store_ID]],Estore_DB[Store_ID],Estore_DB[Region])</f>
        <v>South</v>
      </c>
      <c r="R776" t="str">
        <f>VLOOKUP(ESales_DB[[#This Row],[Customer_ID]],Ecustom_DB[],10,FALSE)</f>
        <v>Bronze</v>
      </c>
      <c r="S776" t="str">
        <f>IF(ESales_DB[[#This Row],[Quantity1]]&gt;3,"Bulk order","Normal order")</f>
        <v>Normal order</v>
      </c>
    </row>
    <row r="777" spans="1:19" x14ac:dyDescent="0.3">
      <c r="A777" t="s">
        <v>3522</v>
      </c>
      <c r="B777" s="4">
        <v>45515</v>
      </c>
      <c r="C777" s="4" t="str">
        <f>TEXT(ESales_DB[[#This Row],[Order_Date]],"mmm")</f>
        <v>Aug</v>
      </c>
      <c r="D777" t="s">
        <v>1295</v>
      </c>
      <c r="E777" t="s">
        <v>1682</v>
      </c>
      <c r="F777" t="s">
        <v>1810</v>
      </c>
      <c r="G777">
        <v>1</v>
      </c>
      <c r="H777" s="10">
        <f>IF(ISBLANK(ESales_DB[[#This Row],[Quantity]]),AVERAGEIF(ESales_DB[Product_ID],ESales_DB[[#This Row],[Product_ID]],ESales_DB[Quantity]),ESales_DB[[#This Row],[Quantity]])</f>
        <v>1</v>
      </c>
      <c r="I777" s="2">
        <v>980.26</v>
      </c>
      <c r="J777">
        <v>0.14000000000000001</v>
      </c>
      <c r="K777" t="s">
        <v>1826</v>
      </c>
      <c r="L777" s="2">
        <v>843.02359999999999</v>
      </c>
      <c r="M777" s="2" t="str">
        <f>IF(ESales_DB[[#This Row],[Total_Amount]]&gt;1000,"High","Low")</f>
        <v>Low</v>
      </c>
      <c r="N777" s="2" t="str">
        <f>VLOOKUP(ESales_DB[[#This Row],[Customer_ID]],Ecustom_DB[],3,FALSE)</f>
        <v>Karen King</v>
      </c>
      <c r="O777" s="2" t="str">
        <f>_xlfn.XLOOKUP(ESales_DB[[#This Row],[Product_ID]],Eproduct_DB[Product_ID],Eproduct_DB[Category])</f>
        <v>Electronics</v>
      </c>
      <c r="P777" s="2" t="str">
        <f>_xlfn.XLOOKUP(ESales_DB[[#This Row],[Product_ID]],Eproduct_DB[Product_ID],Eproduct_DB[Product_Name])</f>
        <v>Smart LED Light Strip</v>
      </c>
      <c r="Q777" s="2" t="str">
        <f>_xlfn.XLOOKUP(ESales_DB[[#This Row],[Store_ID]],Estore_DB[Store_ID],Estore_DB[Region])</f>
        <v>East</v>
      </c>
      <c r="R777" t="str">
        <f>VLOOKUP(ESales_DB[[#This Row],[Customer_ID]],Ecustom_DB[],10,FALSE)</f>
        <v>Bronze</v>
      </c>
      <c r="S777" t="str">
        <f>IF(ESales_DB[[#This Row],[Quantity1]]&gt;3,"Bulk order","Normal order")</f>
        <v>Normal order</v>
      </c>
    </row>
    <row r="778" spans="1:19" x14ac:dyDescent="0.3">
      <c r="A778" t="s">
        <v>3523</v>
      </c>
      <c r="B778" s="4">
        <v>45322</v>
      </c>
      <c r="C778" s="4" t="str">
        <f>TEXT(ESales_DB[[#This Row],[Order_Date]],"mmm")</f>
        <v>Jan</v>
      </c>
      <c r="D778" t="s">
        <v>147</v>
      </c>
      <c r="E778" t="s">
        <v>1584</v>
      </c>
      <c r="F778" t="s">
        <v>1810</v>
      </c>
      <c r="G778">
        <v>1</v>
      </c>
      <c r="H778" s="10">
        <f>IF(ISBLANK(ESales_DB[[#This Row],[Quantity]]),AVERAGEIF(ESales_DB[Product_ID],ESales_DB[[#This Row],[Product_ID]],ESales_DB[Quantity]),ESales_DB[[#This Row],[Quantity]])</f>
        <v>1</v>
      </c>
      <c r="I778" s="2">
        <v>235.28</v>
      </c>
      <c r="J778">
        <v>0.05</v>
      </c>
      <c r="K778" t="s">
        <v>1826</v>
      </c>
      <c r="L778" s="2">
        <v>223.51599999999999</v>
      </c>
      <c r="M778" s="2" t="str">
        <f>IF(ESales_DB[[#This Row],[Total_Amount]]&gt;1000,"High","Low")</f>
        <v>Low</v>
      </c>
      <c r="N778" s="2" t="str">
        <f>VLOOKUP(ESales_DB[[#This Row],[Customer_ID]],Ecustom_DB[],3,FALSE)</f>
        <v>Christopher Carter</v>
      </c>
      <c r="O778" s="2" t="str">
        <f>_xlfn.XLOOKUP(ESales_DB[[#This Row],[Product_ID]],Eproduct_DB[Product_ID],Eproduct_DB[Category])</f>
        <v>Clothing</v>
      </c>
      <c r="P778" s="2" t="str">
        <f>_xlfn.XLOOKUP(ESales_DB[[#This Row],[Product_ID]],Eproduct_DB[Product_ID],Eproduct_DB[Product_Name])</f>
        <v>Women's Denim Jeans</v>
      </c>
      <c r="Q778" s="2" t="str">
        <f>_xlfn.XLOOKUP(ESales_DB[[#This Row],[Store_ID]],Estore_DB[Store_ID],Estore_DB[Region])</f>
        <v>East</v>
      </c>
      <c r="R778" t="str">
        <f>VLOOKUP(ESales_DB[[#This Row],[Customer_ID]],Ecustom_DB[],10,FALSE)</f>
        <v>Uncategorized</v>
      </c>
      <c r="S778" t="str">
        <f>IF(ESales_DB[[#This Row],[Quantity1]]&gt;3,"Bulk order","Normal order")</f>
        <v>Normal order</v>
      </c>
    </row>
    <row r="779" spans="1:19" x14ac:dyDescent="0.3">
      <c r="A779" t="s">
        <v>3524</v>
      </c>
      <c r="B779" s="4">
        <v>45542</v>
      </c>
      <c r="C779" s="4" t="str">
        <f>TEXT(ESales_DB[[#This Row],[Order_Date]],"mmm")</f>
        <v>Sep</v>
      </c>
      <c r="D779" t="s">
        <v>1292</v>
      </c>
      <c r="E779" t="s">
        <v>1543</v>
      </c>
      <c r="F779" t="s">
        <v>1801</v>
      </c>
      <c r="G779">
        <v>3</v>
      </c>
      <c r="H779" s="10">
        <f>IF(ISBLANK(ESales_DB[[#This Row],[Quantity]]),AVERAGEIF(ESales_DB[Product_ID],ESales_DB[[#This Row],[Product_ID]],ESales_DB[Quantity]),ESales_DB[[#This Row],[Quantity]])</f>
        <v>3</v>
      </c>
      <c r="I779" s="2">
        <v>407.39</v>
      </c>
      <c r="J779">
        <v>0.08</v>
      </c>
      <c r="K779" t="s">
        <v>1826</v>
      </c>
      <c r="L779" s="2">
        <v>1124.3964000000001</v>
      </c>
      <c r="M779" s="2" t="str">
        <f>IF(ESales_DB[[#This Row],[Total_Amount]]&gt;1000,"High","Low")</f>
        <v>High</v>
      </c>
      <c r="N779" s="2" t="str">
        <f>VLOOKUP(ESales_DB[[#This Row],[Customer_ID]],Ecustom_DB[],3,FALSE)</f>
        <v>Jennifer Myers</v>
      </c>
      <c r="O779" s="2" t="str">
        <f>_xlfn.XLOOKUP(ESales_DB[[#This Row],[Product_ID]],Eproduct_DB[Product_ID],Eproduct_DB[Category])</f>
        <v>Electronics</v>
      </c>
      <c r="P779" s="2" t="str">
        <f>_xlfn.XLOOKUP(ESales_DB[[#This Row],[Product_ID]],Eproduct_DB[Product_ID],Eproduct_DB[Product_Name])</f>
        <v>Brother Laser Printer</v>
      </c>
      <c r="Q779" s="2" t="str">
        <f>_xlfn.XLOOKUP(ESales_DB[[#This Row],[Store_ID]],Estore_DB[Store_ID],Estore_DB[Region])</f>
        <v>North</v>
      </c>
      <c r="R779" t="str">
        <f>VLOOKUP(ESales_DB[[#This Row],[Customer_ID]],Ecustom_DB[],10,FALSE)</f>
        <v>Platinum</v>
      </c>
      <c r="S779" t="str">
        <f>IF(ESales_DB[[#This Row],[Quantity1]]&gt;3,"Bulk order","Normal order")</f>
        <v>Normal order</v>
      </c>
    </row>
    <row r="780" spans="1:19" x14ac:dyDescent="0.3">
      <c r="A780" t="s">
        <v>3525</v>
      </c>
      <c r="B780" s="4">
        <v>45675</v>
      </c>
      <c r="C780" s="4" t="str">
        <f>TEXT(ESales_DB[[#This Row],[Order_Date]],"mmm")</f>
        <v>Jan</v>
      </c>
      <c r="D780" t="s">
        <v>251</v>
      </c>
      <c r="E780" t="s">
        <v>1602</v>
      </c>
      <c r="F780" t="s">
        <v>1799</v>
      </c>
      <c r="G780">
        <v>4</v>
      </c>
      <c r="H780" s="10">
        <f>IF(ISBLANK(ESales_DB[[#This Row],[Quantity]]),AVERAGEIF(ESales_DB[Product_ID],ESales_DB[[#This Row],[Product_ID]],ESales_DB[Quantity]),ESales_DB[[#This Row],[Quantity]])</f>
        <v>4</v>
      </c>
      <c r="I780" s="2">
        <v>459.83</v>
      </c>
      <c r="J780">
        <v>0.12</v>
      </c>
      <c r="K780" t="s">
        <v>1829</v>
      </c>
      <c r="L780" s="2">
        <v>1618.6016</v>
      </c>
      <c r="M780" s="2" t="str">
        <f>IF(ESales_DB[[#This Row],[Total_Amount]]&gt;1000,"High","Low")</f>
        <v>High</v>
      </c>
      <c r="N780" s="2" t="str">
        <f>VLOOKUP(ESales_DB[[#This Row],[Customer_ID]],Ecustom_DB[],3,FALSE)</f>
        <v>Mr. Mark Beasley</v>
      </c>
      <c r="O780" s="2" t="str">
        <f>_xlfn.XLOOKUP(ESales_DB[[#This Row],[Product_ID]],Eproduct_DB[Product_ID],Eproduct_DB[Category])</f>
        <v>Home</v>
      </c>
      <c r="P780" s="2" t="str">
        <f>_xlfn.XLOOKUP(ESales_DB[[#This Row],[Product_ID]],Eproduct_DB[Product_ID],Eproduct_DB[Product_Name])</f>
        <v>Decorative Floor Vase</v>
      </c>
      <c r="Q780" s="2" t="str">
        <f>_xlfn.XLOOKUP(ESales_DB[[#This Row],[Store_ID]],Estore_DB[Store_ID],Estore_DB[Region])</f>
        <v>South</v>
      </c>
      <c r="R780" t="str">
        <f>VLOOKUP(ESales_DB[[#This Row],[Customer_ID]],Ecustom_DB[],10,FALSE)</f>
        <v>Silver</v>
      </c>
      <c r="S780" t="str">
        <f>IF(ESales_DB[[#This Row],[Quantity1]]&gt;3,"Bulk order","Normal order")</f>
        <v>Bulk order</v>
      </c>
    </row>
    <row r="781" spans="1:19" x14ac:dyDescent="0.3">
      <c r="A781" t="s">
        <v>1843</v>
      </c>
      <c r="B781" s="4">
        <v>45637</v>
      </c>
      <c r="C781" s="4" t="str">
        <f>TEXT(ESales_DB[[#This Row],[Order_Date]],"mmm")</f>
        <v>Dec</v>
      </c>
      <c r="D781" t="s">
        <v>288</v>
      </c>
      <c r="E781" t="s">
        <v>1602</v>
      </c>
      <c r="F781" t="s">
        <v>1769</v>
      </c>
      <c r="G781">
        <v>2</v>
      </c>
      <c r="H781" s="10">
        <f>IF(ISBLANK(ESales_DB[[#This Row],[Quantity]]),AVERAGEIF(ESales_DB[Product_ID],ESales_DB[[#This Row],[Product_ID]],ESales_DB[Quantity]),ESales_DB[[#This Row],[Quantity]])</f>
        <v>2</v>
      </c>
      <c r="I781" s="2">
        <v>502.69</v>
      </c>
      <c r="J781">
        <v>0.23</v>
      </c>
      <c r="K781" t="s">
        <v>1824</v>
      </c>
      <c r="L781" s="2">
        <v>774.14260000000002</v>
      </c>
      <c r="M781" s="2" t="str">
        <f>IF(ESales_DB[[#This Row],[Total_Amount]]&gt;1000,"High","Low")</f>
        <v>Low</v>
      </c>
      <c r="N781" s="2" t="str">
        <f>VLOOKUP(ESales_DB[[#This Row],[Customer_ID]],Ecustom_DB[],3,FALSE)</f>
        <v>Molly Gardner</v>
      </c>
      <c r="O781" s="2" t="str">
        <f>_xlfn.XLOOKUP(ESales_DB[[#This Row],[Product_ID]],Eproduct_DB[Product_ID],Eproduct_DB[Category])</f>
        <v>Home</v>
      </c>
      <c r="P781" s="2" t="str">
        <f>_xlfn.XLOOKUP(ESales_DB[[#This Row],[Product_ID]],Eproduct_DB[Product_ID],Eproduct_DB[Product_Name])</f>
        <v>Decorative Floor Vase</v>
      </c>
      <c r="Q781" s="2" t="str">
        <f>_xlfn.XLOOKUP(ESales_DB[[#This Row],[Store_ID]],Estore_DB[Store_ID],Estore_DB[Region])</f>
        <v>South</v>
      </c>
      <c r="R781" t="str">
        <f>VLOOKUP(ESales_DB[[#This Row],[Customer_ID]],Ecustom_DB[],10,FALSE)</f>
        <v>Platinum</v>
      </c>
      <c r="S781" t="str">
        <f>IF(ESales_DB[[#This Row],[Quantity1]]&gt;3,"Bulk order","Normal order")</f>
        <v>Normal order</v>
      </c>
    </row>
    <row r="782" spans="1:19" x14ac:dyDescent="0.3">
      <c r="A782" t="s">
        <v>1996</v>
      </c>
      <c r="B782" s="4">
        <v>45390</v>
      </c>
      <c r="C782" s="4" t="str">
        <f>TEXT(ESales_DB[[#This Row],[Order_Date]],"mmm")</f>
        <v>Apr</v>
      </c>
      <c r="D782" t="s">
        <v>818</v>
      </c>
      <c r="E782" t="s">
        <v>1616</v>
      </c>
      <c r="F782" t="s">
        <v>1776</v>
      </c>
      <c r="G782">
        <v>1</v>
      </c>
      <c r="H782" s="10">
        <f>IF(ISBLANK(ESales_DB[[#This Row],[Quantity]]),AVERAGEIF(ESales_DB[Product_ID],ESales_DB[[#This Row],[Product_ID]],ESales_DB[Quantity]),ESales_DB[[#This Row],[Quantity]])</f>
        <v>1</v>
      </c>
      <c r="I782" s="2">
        <v>152.16999999999999</v>
      </c>
      <c r="J782">
        <v>0.28000000000000003</v>
      </c>
      <c r="K782" t="s">
        <v>1829</v>
      </c>
      <c r="L782" s="2">
        <v>109.5624</v>
      </c>
      <c r="M782" s="2" t="str">
        <f>IF(ESales_DB[[#This Row],[Total_Amount]]&gt;1000,"High","Low")</f>
        <v>Low</v>
      </c>
      <c r="N782" s="2" t="str">
        <f>VLOOKUP(ESales_DB[[#This Row],[Customer_ID]],Ecustom_DB[],3,FALSE)</f>
        <v>Kristen Fischer</v>
      </c>
      <c r="O782" s="2" t="str">
        <f>_xlfn.XLOOKUP(ESales_DB[[#This Row],[Product_ID]],Eproduct_DB[Product_ID],Eproduct_DB[Category])</f>
        <v>Electronics</v>
      </c>
      <c r="P782" s="2" t="str">
        <f>_xlfn.XLOOKUP(ESales_DB[[#This Row],[Product_ID]],Eproduct_DB[Product_ID],Eproduct_DB[Product_Name])</f>
        <v>Gaming Mechanical Keyboard</v>
      </c>
      <c r="Q782" s="2" t="str">
        <f>_xlfn.XLOOKUP(ESales_DB[[#This Row],[Store_ID]],Estore_DB[Store_ID],Estore_DB[Region])</f>
        <v>East</v>
      </c>
      <c r="R782" t="str">
        <f>VLOOKUP(ESales_DB[[#This Row],[Customer_ID]],Ecustom_DB[],10,FALSE)</f>
        <v>Platinum</v>
      </c>
      <c r="S782" t="str">
        <f>IF(ESales_DB[[#This Row],[Quantity1]]&gt;3,"Bulk order","Normal order")</f>
        <v>Normal order</v>
      </c>
    </row>
    <row r="783" spans="1:19" x14ac:dyDescent="0.3">
      <c r="A783" t="s">
        <v>3526</v>
      </c>
      <c r="B783" s="4">
        <v>45333</v>
      </c>
      <c r="C783" s="4" t="str">
        <f>TEXT(ESales_DB[[#This Row],[Order_Date]],"mmm")</f>
        <v>Feb</v>
      </c>
      <c r="D783" t="s">
        <v>496</v>
      </c>
      <c r="E783" t="s">
        <v>1734</v>
      </c>
      <c r="F783" t="s">
        <v>1769</v>
      </c>
      <c r="G783">
        <v>3</v>
      </c>
      <c r="H783" s="10">
        <f>IF(ISBLANK(ESales_DB[[#This Row],[Quantity]]),AVERAGEIF(ESales_DB[Product_ID],ESales_DB[[#This Row],[Product_ID]],ESales_DB[Quantity]),ESales_DB[[#This Row],[Quantity]])</f>
        <v>3</v>
      </c>
      <c r="I783" s="2">
        <v>706.6</v>
      </c>
      <c r="J783">
        <v>0.17</v>
      </c>
      <c r="K783" t="s">
        <v>1826</v>
      </c>
      <c r="L783" s="2">
        <v>1759.434</v>
      </c>
      <c r="M783" s="2" t="str">
        <f>IF(ESales_DB[[#This Row],[Total_Amount]]&gt;1000,"High","Low")</f>
        <v>High</v>
      </c>
      <c r="N783" s="2" t="str">
        <f>VLOOKUP(ESales_DB[[#This Row],[Customer_ID]],Ecustom_DB[],3,FALSE)</f>
        <v>Rhonda Young</v>
      </c>
      <c r="O783" s="2" t="str">
        <f>_xlfn.XLOOKUP(ESales_DB[[#This Row],[Product_ID]],Eproduct_DB[Product_ID],Eproduct_DB[Category])</f>
        <v>Electronics</v>
      </c>
      <c r="P783" s="2" t="str">
        <f>_xlfn.XLOOKUP(ESales_DB[[#This Row],[Product_ID]],Eproduct_DB[Product_ID],Eproduct_DB[Product_Name])</f>
        <v>USB-C Laptop Charger</v>
      </c>
      <c r="Q783" s="2" t="str">
        <f>_xlfn.XLOOKUP(ESales_DB[[#This Row],[Store_ID]],Estore_DB[Store_ID],Estore_DB[Region])</f>
        <v>South</v>
      </c>
      <c r="R783" t="str">
        <f>VLOOKUP(ESales_DB[[#This Row],[Customer_ID]],Ecustom_DB[],10,FALSE)</f>
        <v>Platinum</v>
      </c>
      <c r="S783" t="str">
        <f>IF(ESales_DB[[#This Row],[Quantity1]]&gt;3,"Bulk order","Normal order")</f>
        <v>Normal order</v>
      </c>
    </row>
    <row r="784" spans="1:19" x14ac:dyDescent="0.3">
      <c r="A784" t="s">
        <v>3527</v>
      </c>
      <c r="B784" s="4">
        <v>45819</v>
      </c>
      <c r="C784" s="4" t="str">
        <f>TEXT(ESales_DB[[#This Row],[Order_Date]],"mmm")</f>
        <v>Jun</v>
      </c>
      <c r="D784" t="s">
        <v>1425</v>
      </c>
      <c r="E784" t="s">
        <v>1730</v>
      </c>
      <c r="F784" t="s">
        <v>1813</v>
      </c>
      <c r="G784">
        <v>3</v>
      </c>
      <c r="H784" s="10">
        <f>IF(ISBLANK(ESales_DB[[#This Row],[Quantity]]),AVERAGEIF(ESales_DB[Product_ID],ESales_DB[[#This Row],[Product_ID]],ESales_DB[Quantity]),ESales_DB[[#This Row],[Quantity]])</f>
        <v>3</v>
      </c>
      <c r="I784" s="2">
        <v>811.16</v>
      </c>
      <c r="J784">
        <v>0.1</v>
      </c>
      <c r="K784" t="s">
        <v>1829</v>
      </c>
      <c r="L784" s="2">
        <v>2190.1320000000001</v>
      </c>
      <c r="M784" s="2" t="str">
        <f>IF(ESales_DB[[#This Row],[Total_Amount]]&gt;1000,"High","Low")</f>
        <v>High</v>
      </c>
      <c r="N784" s="2" t="str">
        <f>VLOOKUP(ESales_DB[[#This Row],[Customer_ID]],Ecustom_DB[],3,FALSE)</f>
        <v>Beth Martin</v>
      </c>
      <c r="O784" s="2" t="str">
        <f>_xlfn.XLOOKUP(ESales_DB[[#This Row],[Product_ID]],Eproduct_DB[Product_ID],Eproduct_DB[Category])</f>
        <v>Clothing</v>
      </c>
      <c r="P784" s="2" t="str">
        <f>_xlfn.XLOOKUP(ESales_DB[[#This Row],[Product_ID]],Eproduct_DB[Product_ID],Eproduct_DB[Product_Name])</f>
        <v>Women's High Heels</v>
      </c>
      <c r="Q784" s="2" t="str">
        <f>_xlfn.XLOOKUP(ESales_DB[[#This Row],[Store_ID]],Estore_DB[Store_ID],Estore_DB[Region])</f>
        <v>East</v>
      </c>
      <c r="R784" t="str">
        <f>VLOOKUP(ESales_DB[[#This Row],[Customer_ID]],Ecustom_DB[],10,FALSE)</f>
        <v>Silver</v>
      </c>
      <c r="S784" t="str">
        <f>IF(ESales_DB[[#This Row],[Quantity1]]&gt;3,"Bulk order","Normal order")</f>
        <v>Normal order</v>
      </c>
    </row>
    <row r="785" spans="1:19" x14ac:dyDescent="0.3">
      <c r="A785" t="s">
        <v>3528</v>
      </c>
      <c r="B785" s="4">
        <v>45268</v>
      </c>
      <c r="C785" s="4" t="str">
        <f>TEXT(ESales_DB[[#This Row],[Order_Date]],"mmm")</f>
        <v>Dec</v>
      </c>
      <c r="D785" t="s">
        <v>705</v>
      </c>
      <c r="E785" t="s">
        <v>1622</v>
      </c>
      <c r="F785" t="s">
        <v>1779</v>
      </c>
      <c r="G785">
        <v>2</v>
      </c>
      <c r="H785" s="10">
        <f>IF(ISBLANK(ESales_DB[[#This Row],[Quantity]]),AVERAGEIF(ESales_DB[Product_ID],ESales_DB[[#This Row],[Product_ID]],ESales_DB[Quantity]),ESales_DB[[#This Row],[Quantity]])</f>
        <v>2</v>
      </c>
      <c r="I785" s="2">
        <v>985.79</v>
      </c>
      <c r="J785">
        <v>0.04</v>
      </c>
      <c r="K785" t="s">
        <v>1826</v>
      </c>
      <c r="L785" s="2">
        <v>1892.7167999999999</v>
      </c>
      <c r="M785" s="2" t="str">
        <f>IF(ESales_DB[[#This Row],[Total_Amount]]&gt;1000,"High","Low")</f>
        <v>High</v>
      </c>
      <c r="N785" s="2" t="str">
        <f>VLOOKUP(ESales_DB[[#This Row],[Customer_ID]],Ecustom_DB[],3,FALSE)</f>
        <v>Kathy Copeland</v>
      </c>
      <c r="O785" s="2" t="str">
        <f>_xlfn.XLOOKUP(ESales_DB[[#This Row],[Product_ID]],Eproduct_DB[Product_ID],Eproduct_DB[Category])</f>
        <v>Clothing</v>
      </c>
      <c r="P785" s="2" t="str">
        <f>_xlfn.XLOOKUP(ESales_DB[[#This Row],[Product_ID]],Eproduct_DB[Product_ID],Eproduct_DB[Product_Name])</f>
        <v>Men's Casual Sneakers</v>
      </c>
      <c r="Q785" s="2" t="str">
        <f>_xlfn.XLOOKUP(ESales_DB[[#This Row],[Store_ID]],Estore_DB[Store_ID],Estore_DB[Region])</f>
        <v>South</v>
      </c>
      <c r="R785" t="str">
        <f>VLOOKUP(ESales_DB[[#This Row],[Customer_ID]],Ecustom_DB[],10,FALSE)</f>
        <v>Silver</v>
      </c>
      <c r="S785" t="str">
        <f>IF(ESales_DB[[#This Row],[Quantity1]]&gt;3,"Bulk order","Normal order")</f>
        <v>Normal order</v>
      </c>
    </row>
    <row r="786" spans="1:19" x14ac:dyDescent="0.3">
      <c r="A786" t="s">
        <v>3529</v>
      </c>
      <c r="B786" s="4">
        <v>45521</v>
      </c>
      <c r="C786" s="4" t="str">
        <f>TEXT(ESales_DB[[#This Row],[Order_Date]],"mmm")</f>
        <v>Aug</v>
      </c>
      <c r="D786" t="s">
        <v>616</v>
      </c>
      <c r="E786" t="s">
        <v>1614</v>
      </c>
      <c r="F786" t="s">
        <v>1799</v>
      </c>
      <c r="G786">
        <v>1</v>
      </c>
      <c r="H786" s="10">
        <f>IF(ISBLANK(ESales_DB[[#This Row],[Quantity]]),AVERAGEIF(ESales_DB[Product_ID],ESales_DB[[#This Row],[Product_ID]],ESales_DB[Quantity]),ESales_DB[[#This Row],[Quantity]])</f>
        <v>1</v>
      </c>
      <c r="I786" s="2">
        <v>255.02</v>
      </c>
      <c r="J786">
        <v>0.3</v>
      </c>
      <c r="K786" t="s">
        <v>1824</v>
      </c>
      <c r="L786" s="2">
        <v>178.51400000000001</v>
      </c>
      <c r="M786" s="2" t="str">
        <f>IF(ESales_DB[[#This Row],[Total_Amount]]&gt;1000,"High","Low")</f>
        <v>Low</v>
      </c>
      <c r="N786" s="2" t="str">
        <f>VLOOKUP(ESales_DB[[#This Row],[Customer_ID]],Ecustom_DB[],3,FALSE)</f>
        <v>Dr. Suzanne Bullock</v>
      </c>
      <c r="O786" s="2" t="str">
        <f>_xlfn.XLOOKUP(ESales_DB[[#This Row],[Product_ID]],Eproduct_DB[Product_ID],Eproduct_DB[Category])</f>
        <v>Home</v>
      </c>
      <c r="P786" s="2" t="str">
        <f>_xlfn.XLOOKUP(ESales_DB[[#This Row],[Product_ID]],Eproduct_DB[Product_ID],Eproduct_DB[Product_Name])</f>
        <v>Modern Wall Clock</v>
      </c>
      <c r="Q786" s="2" t="str">
        <f>_xlfn.XLOOKUP(ESales_DB[[#This Row],[Store_ID]],Estore_DB[Store_ID],Estore_DB[Region])</f>
        <v>South</v>
      </c>
      <c r="R786" t="str">
        <f>VLOOKUP(ESales_DB[[#This Row],[Customer_ID]],Ecustom_DB[],10,FALSE)</f>
        <v>Platinum</v>
      </c>
      <c r="S786" t="str">
        <f>IF(ESales_DB[[#This Row],[Quantity1]]&gt;3,"Bulk order","Normal order")</f>
        <v>Normal order</v>
      </c>
    </row>
    <row r="787" spans="1:19" x14ac:dyDescent="0.3">
      <c r="A787" t="s">
        <v>3530</v>
      </c>
      <c r="B787" s="4">
        <v>45693</v>
      </c>
      <c r="C787" s="4" t="str">
        <f>TEXT(ESales_DB[[#This Row],[Order_Date]],"mmm")</f>
        <v>Feb</v>
      </c>
      <c r="D787" t="s">
        <v>341</v>
      </c>
      <c r="E787" t="s">
        <v>1586</v>
      </c>
      <c r="F787" t="s">
        <v>1782</v>
      </c>
      <c r="G787">
        <v>1</v>
      </c>
      <c r="H787" s="10">
        <f>IF(ISBLANK(ESales_DB[[#This Row],[Quantity]]),AVERAGEIF(ESales_DB[Product_ID],ESales_DB[[#This Row],[Product_ID]],ESales_DB[Quantity]),ESales_DB[[#This Row],[Quantity]])</f>
        <v>1</v>
      </c>
      <c r="I787" s="2">
        <v>153.57</v>
      </c>
      <c r="J787">
        <v>0.01</v>
      </c>
      <c r="K787" t="s">
        <v>1826</v>
      </c>
      <c r="L787" s="2">
        <v>152.0343</v>
      </c>
      <c r="M787" s="2" t="str">
        <f>IF(ESales_DB[[#This Row],[Total_Amount]]&gt;1000,"High","Low")</f>
        <v>Low</v>
      </c>
      <c r="N787" s="2" t="str">
        <f>VLOOKUP(ESales_DB[[#This Row],[Customer_ID]],Ecustom_DB[],3,FALSE)</f>
        <v>Amy Fowler</v>
      </c>
      <c r="O787" s="2" t="str">
        <f>_xlfn.XLOOKUP(ESales_DB[[#This Row],[Product_ID]],Eproduct_DB[Product_ID],Eproduct_DB[Category])</f>
        <v>Sports</v>
      </c>
      <c r="P787" s="2" t="str">
        <f>_xlfn.XLOOKUP(ESales_DB[[#This Row],[Product_ID]],Eproduct_DB[Product_ID],Eproduct_DB[Product_Name])</f>
        <v>Knee Support Brace</v>
      </c>
      <c r="Q787" s="2" t="str">
        <f>_xlfn.XLOOKUP(ESales_DB[[#This Row],[Store_ID]],Estore_DB[Store_ID],Estore_DB[Region])</f>
        <v>West</v>
      </c>
      <c r="R787" t="str">
        <f>VLOOKUP(ESales_DB[[#This Row],[Customer_ID]],Ecustom_DB[],10,FALSE)</f>
        <v>Platinum</v>
      </c>
      <c r="S787" t="str">
        <f>IF(ESales_DB[[#This Row],[Quantity1]]&gt;3,"Bulk order","Normal order")</f>
        <v>Normal order</v>
      </c>
    </row>
    <row r="788" spans="1:19" x14ac:dyDescent="0.3">
      <c r="A788" t="s">
        <v>3531</v>
      </c>
      <c r="B788" s="4">
        <v>45734</v>
      </c>
      <c r="C788" s="4" t="str">
        <f>TEXT(ESales_DB[[#This Row],[Order_Date]],"mmm")</f>
        <v>Mar</v>
      </c>
      <c r="D788" t="s">
        <v>809</v>
      </c>
      <c r="E788" t="s">
        <v>1634</v>
      </c>
      <c r="F788" t="s">
        <v>1810</v>
      </c>
      <c r="G788">
        <v>3</v>
      </c>
      <c r="H788" s="10">
        <f>IF(ISBLANK(ESales_DB[[#This Row],[Quantity]]),AVERAGEIF(ESales_DB[Product_ID],ESales_DB[[#This Row],[Product_ID]],ESales_DB[Quantity]),ESales_DB[[#This Row],[Quantity]])</f>
        <v>3</v>
      </c>
      <c r="I788" s="2">
        <v>962.98</v>
      </c>
      <c r="J788">
        <v>0.21</v>
      </c>
      <c r="K788" t="s">
        <v>1824</v>
      </c>
      <c r="L788" s="2">
        <v>2282.2626</v>
      </c>
      <c r="M788" s="2" t="str">
        <f>IF(ESales_DB[[#This Row],[Total_Amount]]&gt;1000,"High","Low")</f>
        <v>High</v>
      </c>
      <c r="N788" s="2" t="str">
        <f>VLOOKUP(ESales_DB[[#This Row],[Customer_ID]],Ecustom_DB[],3,FALSE)</f>
        <v>Dr. Ashley Yates Md</v>
      </c>
      <c r="O788" s="2" t="str">
        <f>_xlfn.XLOOKUP(ESales_DB[[#This Row],[Product_ID]],Eproduct_DB[Product_ID],Eproduct_DB[Category])</f>
        <v>Electronics</v>
      </c>
      <c r="P788" s="2" t="str">
        <f>_xlfn.XLOOKUP(ESales_DB[[#This Row],[Product_ID]],Eproduct_DB[Product_ID],Eproduct_DB[Product_Name])</f>
        <v>USB External Hard Drive</v>
      </c>
      <c r="Q788" s="2" t="str">
        <f>_xlfn.XLOOKUP(ESales_DB[[#This Row],[Store_ID]],Estore_DB[Store_ID],Estore_DB[Region])</f>
        <v>East</v>
      </c>
      <c r="R788" t="str">
        <f>VLOOKUP(ESales_DB[[#This Row],[Customer_ID]],Ecustom_DB[],10,FALSE)</f>
        <v>Bronze</v>
      </c>
      <c r="S788" t="str">
        <f>IF(ESales_DB[[#This Row],[Quantity1]]&gt;3,"Bulk order","Normal order")</f>
        <v>Normal order</v>
      </c>
    </row>
    <row r="789" spans="1:19" x14ac:dyDescent="0.3">
      <c r="A789" t="s">
        <v>3532</v>
      </c>
      <c r="B789" s="4">
        <v>45377</v>
      </c>
      <c r="C789" s="4" t="str">
        <f>TEXT(ESales_DB[[#This Row],[Order_Date]],"mmm")</f>
        <v>Mar</v>
      </c>
      <c r="D789" t="s">
        <v>214</v>
      </c>
      <c r="E789" t="s">
        <v>1636</v>
      </c>
      <c r="F789" t="s">
        <v>1782</v>
      </c>
      <c r="G789">
        <v>3</v>
      </c>
      <c r="H789" s="10">
        <f>IF(ISBLANK(ESales_DB[[#This Row],[Quantity]]),AVERAGEIF(ESales_DB[Product_ID],ESales_DB[[#This Row],[Product_ID]],ESales_DB[Quantity]),ESales_DB[[#This Row],[Quantity]])</f>
        <v>3</v>
      </c>
      <c r="I789" s="2">
        <v>884.46</v>
      </c>
      <c r="J789">
        <v>0.25</v>
      </c>
      <c r="K789" t="s">
        <v>1824</v>
      </c>
      <c r="L789" s="2">
        <v>1990.0350000000001</v>
      </c>
      <c r="M789" s="2" t="str">
        <f>IF(ESales_DB[[#This Row],[Total_Amount]]&gt;1000,"High","Low")</f>
        <v>High</v>
      </c>
      <c r="N789" s="2" t="str">
        <f>VLOOKUP(ESales_DB[[#This Row],[Customer_ID]],Ecustom_DB[],3,FALSE)</f>
        <v>Jay Patel</v>
      </c>
      <c r="O789" s="2" t="str">
        <f>_xlfn.XLOOKUP(ESales_DB[[#This Row],[Product_ID]],Eproduct_DB[Product_ID],Eproduct_DB[Category])</f>
        <v>Sports</v>
      </c>
      <c r="P789" s="2" t="str">
        <f>_xlfn.XLOOKUP(ESales_DB[[#This Row],[Product_ID]],Eproduct_DB[Product_ID],Eproduct_DB[Product_Name])</f>
        <v>Adjustable Jump Rope</v>
      </c>
      <c r="Q789" s="2" t="str">
        <f>_xlfn.XLOOKUP(ESales_DB[[#This Row],[Store_ID]],Estore_DB[Store_ID],Estore_DB[Region])</f>
        <v>West</v>
      </c>
      <c r="R789" t="str">
        <f>VLOOKUP(ESales_DB[[#This Row],[Customer_ID]],Ecustom_DB[],10,FALSE)</f>
        <v>Platinum</v>
      </c>
      <c r="S789" t="str">
        <f>IF(ESales_DB[[#This Row],[Quantity1]]&gt;3,"Bulk order","Normal order")</f>
        <v>Normal order</v>
      </c>
    </row>
    <row r="790" spans="1:19" x14ac:dyDescent="0.3">
      <c r="A790" t="s">
        <v>3533</v>
      </c>
      <c r="B790" s="4">
        <v>45778</v>
      </c>
      <c r="C790" s="4" t="str">
        <f>TEXT(ESales_DB[[#This Row],[Order_Date]],"mmm")</f>
        <v>May</v>
      </c>
      <c r="D790" t="s">
        <v>1355</v>
      </c>
      <c r="E790" t="s">
        <v>1682</v>
      </c>
      <c r="F790" t="s">
        <v>1789</v>
      </c>
      <c r="G790">
        <v>4</v>
      </c>
      <c r="H790" s="10">
        <f>IF(ISBLANK(ESales_DB[[#This Row],[Quantity]]),AVERAGEIF(ESales_DB[Product_ID],ESales_DB[[#This Row],[Product_ID]],ESales_DB[Quantity]),ESales_DB[[#This Row],[Quantity]])</f>
        <v>4</v>
      </c>
      <c r="I790" s="2">
        <v>359.71</v>
      </c>
      <c r="J790">
        <v>0.05</v>
      </c>
      <c r="K790" t="s">
        <v>1826</v>
      </c>
      <c r="L790" s="2">
        <v>1366.8979999999999</v>
      </c>
      <c r="M790" s="2" t="str">
        <f>IF(ESales_DB[[#This Row],[Total_Amount]]&gt;1000,"High","Low")</f>
        <v>High</v>
      </c>
      <c r="N790" s="2" t="str">
        <f>VLOOKUP(ESales_DB[[#This Row],[Customer_ID]],Ecustom_DB[],3,FALSE)</f>
        <v>Melinda Rivera</v>
      </c>
      <c r="O790" s="2" t="str">
        <f>_xlfn.XLOOKUP(ESales_DB[[#This Row],[Product_ID]],Eproduct_DB[Product_ID],Eproduct_DB[Category])</f>
        <v>Electronics</v>
      </c>
      <c r="P790" s="2" t="str">
        <f>_xlfn.XLOOKUP(ESales_DB[[#This Row],[Product_ID]],Eproduct_DB[Product_ID],Eproduct_DB[Product_Name])</f>
        <v>Smart LED Light Strip</v>
      </c>
      <c r="Q790" s="2" t="str">
        <f>_xlfn.XLOOKUP(ESales_DB[[#This Row],[Store_ID]],Estore_DB[Store_ID],Estore_DB[Region])</f>
        <v>East</v>
      </c>
      <c r="R790" t="str">
        <f>VLOOKUP(ESales_DB[[#This Row],[Customer_ID]],Ecustom_DB[],10,FALSE)</f>
        <v>Platinum</v>
      </c>
      <c r="S790" t="str">
        <f>IF(ESales_DB[[#This Row],[Quantity1]]&gt;3,"Bulk order","Normal order")</f>
        <v>Bulk order</v>
      </c>
    </row>
    <row r="791" spans="1:19" x14ac:dyDescent="0.3">
      <c r="A791" t="s">
        <v>3534</v>
      </c>
      <c r="B791" s="4">
        <v>45715</v>
      </c>
      <c r="C791" s="4" t="str">
        <f>TEXT(ESales_DB[[#This Row],[Order_Date]],"mmm")</f>
        <v>Feb</v>
      </c>
      <c r="D791" t="s">
        <v>195</v>
      </c>
      <c r="E791" t="s">
        <v>1648</v>
      </c>
      <c r="F791" t="s">
        <v>1769</v>
      </c>
      <c r="G791">
        <v>3</v>
      </c>
      <c r="H791" s="10">
        <f>IF(ISBLANK(ESales_DB[[#This Row],[Quantity]]),AVERAGEIF(ESales_DB[Product_ID],ESales_DB[[#This Row],[Product_ID]],ESales_DB[Quantity]),ESales_DB[[#This Row],[Quantity]])</f>
        <v>3</v>
      </c>
      <c r="I791" s="2">
        <v>766.47</v>
      </c>
      <c r="J791">
        <v>0.18</v>
      </c>
      <c r="K791" t="s">
        <v>1824</v>
      </c>
      <c r="L791" s="2">
        <v>1885.5162</v>
      </c>
      <c r="M791" s="2" t="str">
        <f>IF(ESales_DB[[#This Row],[Total_Amount]]&gt;1000,"High","Low")</f>
        <v>High</v>
      </c>
      <c r="N791" s="2" t="str">
        <f>VLOOKUP(ESales_DB[[#This Row],[Customer_ID]],Ecustom_DB[],3,FALSE)</f>
        <v>Sarah Rodgers</v>
      </c>
      <c r="O791" s="2" t="str">
        <f>_xlfn.XLOOKUP(ESales_DB[[#This Row],[Product_ID]],Eproduct_DB[Product_ID],Eproduct_DB[Category])</f>
        <v>Sports</v>
      </c>
      <c r="P791" s="2" t="str">
        <f>_xlfn.XLOOKUP(ESales_DB[[#This Row],[Product_ID]],Eproduct_DB[Product_ID],Eproduct_DB[Product_Name])</f>
        <v>Boxing Hand Wraps</v>
      </c>
      <c r="Q791" s="2" t="str">
        <f>_xlfn.XLOOKUP(ESales_DB[[#This Row],[Store_ID]],Estore_DB[Store_ID],Estore_DB[Region])</f>
        <v>South</v>
      </c>
      <c r="R791" t="str">
        <f>VLOOKUP(ESales_DB[[#This Row],[Customer_ID]],Ecustom_DB[],10,FALSE)</f>
        <v>Gold</v>
      </c>
      <c r="S791" t="str">
        <f>IF(ESales_DB[[#This Row],[Quantity1]]&gt;3,"Bulk order","Normal order")</f>
        <v>Normal order</v>
      </c>
    </row>
    <row r="792" spans="1:19" x14ac:dyDescent="0.3">
      <c r="A792" t="s">
        <v>3535</v>
      </c>
      <c r="B792" s="4">
        <v>45492</v>
      </c>
      <c r="C792" s="4" t="str">
        <f>TEXT(ESales_DB[[#This Row],[Order_Date]],"mmm")</f>
        <v>Jul</v>
      </c>
      <c r="D792" t="s">
        <v>722</v>
      </c>
      <c r="E792" t="s">
        <v>1660</v>
      </c>
      <c r="F792" t="s">
        <v>1810</v>
      </c>
      <c r="G792">
        <v>1</v>
      </c>
      <c r="H792" s="10">
        <f>IF(ISBLANK(ESales_DB[[#This Row],[Quantity]]),AVERAGEIF(ESales_DB[Product_ID],ESales_DB[[#This Row],[Product_ID]],ESales_DB[Quantity]),ESales_DB[[#This Row],[Quantity]])</f>
        <v>1</v>
      </c>
      <c r="I792" s="2">
        <v>772.07</v>
      </c>
      <c r="J792">
        <v>0.26</v>
      </c>
      <c r="K792" t="s">
        <v>1826</v>
      </c>
      <c r="L792" s="2">
        <v>571.33180000000004</v>
      </c>
      <c r="M792" s="2" t="str">
        <f>IF(ESales_DB[[#This Row],[Total_Amount]]&gt;1000,"High","Low")</f>
        <v>Low</v>
      </c>
      <c r="N792" s="2" t="str">
        <f>VLOOKUP(ESales_DB[[#This Row],[Customer_ID]],Ecustom_DB[],3,FALSE)</f>
        <v>Robert Harris</v>
      </c>
      <c r="O792" s="2" t="str">
        <f>_xlfn.XLOOKUP(ESales_DB[[#This Row],[Product_ID]],Eproduct_DB[Product_ID],Eproduct_DB[Category])</f>
        <v>Home</v>
      </c>
      <c r="P792" s="2" t="str">
        <f>_xlfn.XLOOKUP(ESales_DB[[#This Row],[Product_ID]],Eproduct_DB[Product_ID],Eproduct_DB[Product_Name])</f>
        <v>Premium Blanket Throw</v>
      </c>
      <c r="Q792" s="2" t="str">
        <f>_xlfn.XLOOKUP(ESales_DB[[#This Row],[Store_ID]],Estore_DB[Store_ID],Estore_DB[Region])</f>
        <v>East</v>
      </c>
      <c r="R792" t="str">
        <f>VLOOKUP(ESales_DB[[#This Row],[Customer_ID]],Ecustom_DB[],10,FALSE)</f>
        <v>Platinum</v>
      </c>
      <c r="S792" t="str">
        <f>IF(ESales_DB[[#This Row],[Quantity1]]&gt;3,"Bulk order","Normal order")</f>
        <v>Normal order</v>
      </c>
    </row>
    <row r="793" spans="1:19" x14ac:dyDescent="0.3">
      <c r="A793" t="s">
        <v>1997</v>
      </c>
      <c r="B793" s="4">
        <v>45795</v>
      </c>
      <c r="C793" s="4" t="str">
        <f>TEXT(ESales_DB[[#This Row],[Order_Date]],"mmm")</f>
        <v>May</v>
      </c>
      <c r="D793" t="s">
        <v>579</v>
      </c>
      <c r="E793" t="s">
        <v>1646</v>
      </c>
      <c r="F793" t="s">
        <v>1792</v>
      </c>
      <c r="G793">
        <v>1</v>
      </c>
      <c r="H793" s="10">
        <f>IF(ISBLANK(ESales_DB[[#This Row],[Quantity]]),AVERAGEIF(ESales_DB[Product_ID],ESales_DB[[#This Row],[Product_ID]],ESales_DB[Quantity]),ESales_DB[[#This Row],[Quantity]])</f>
        <v>1</v>
      </c>
      <c r="I793" s="2">
        <v>325.08</v>
      </c>
      <c r="J793">
        <v>0.26</v>
      </c>
      <c r="K793" t="s">
        <v>1826</v>
      </c>
      <c r="L793" s="2">
        <v>240.5592</v>
      </c>
      <c r="M793" s="2" t="str">
        <f>IF(ESales_DB[[#This Row],[Total_Amount]]&gt;1000,"High","Low")</f>
        <v>Low</v>
      </c>
      <c r="N793" s="2" t="str">
        <f>VLOOKUP(ESales_DB[[#This Row],[Customer_ID]],Ecustom_DB[],3,FALSE)</f>
        <v>Michelle Rogers</v>
      </c>
      <c r="O793" s="2" t="str">
        <f>_xlfn.XLOOKUP(ESales_DB[[#This Row],[Product_ID]],Eproduct_DB[Product_ID],Eproduct_DB[Category])</f>
        <v>Beauty</v>
      </c>
      <c r="P793" s="2" t="str">
        <f>_xlfn.XLOOKUP(ESales_DB[[#This Row],[Product_ID]],Eproduct_DB[Product_ID],Eproduct_DB[Product_Name])</f>
        <v>Men's Roll-On Perfume</v>
      </c>
      <c r="Q793" s="2" t="str">
        <f>_xlfn.XLOOKUP(ESales_DB[[#This Row],[Store_ID]],Estore_DB[Store_ID],Estore_DB[Region])</f>
        <v>South</v>
      </c>
      <c r="R793" t="str">
        <f>VLOOKUP(ESales_DB[[#This Row],[Customer_ID]],Ecustom_DB[],10,FALSE)</f>
        <v>Platinum</v>
      </c>
      <c r="S793" t="str">
        <f>IF(ESales_DB[[#This Row],[Quantity1]]&gt;3,"Bulk order","Normal order")</f>
        <v>Normal order</v>
      </c>
    </row>
    <row r="794" spans="1:19" x14ac:dyDescent="0.3">
      <c r="A794" t="s">
        <v>3536</v>
      </c>
      <c r="B794" s="4">
        <v>45292</v>
      </c>
      <c r="C794" s="4" t="str">
        <f>TEXT(ESales_DB[[#This Row],[Order_Date]],"mmm")</f>
        <v>Jan</v>
      </c>
      <c r="D794" t="s">
        <v>881</v>
      </c>
      <c r="E794" t="s">
        <v>1586</v>
      </c>
      <c r="F794" t="s">
        <v>1773</v>
      </c>
      <c r="G794">
        <v>3</v>
      </c>
      <c r="H794" s="10">
        <f>IF(ISBLANK(ESales_DB[[#This Row],[Quantity]]),AVERAGEIF(ESales_DB[Product_ID],ESales_DB[[#This Row],[Product_ID]],ESales_DB[Quantity]),ESales_DB[[#This Row],[Quantity]])</f>
        <v>3</v>
      </c>
      <c r="I794" s="2">
        <v>108.31</v>
      </c>
      <c r="J794">
        <v>0.26</v>
      </c>
      <c r="K794" t="s">
        <v>1829</v>
      </c>
      <c r="L794" s="2">
        <v>240.44820000000001</v>
      </c>
      <c r="M794" s="2" t="str">
        <f>IF(ESales_DB[[#This Row],[Total_Amount]]&gt;1000,"High","Low")</f>
        <v>Low</v>
      </c>
      <c r="N794" s="2" t="str">
        <f>VLOOKUP(ESales_DB[[#This Row],[Customer_ID]],Ecustom_DB[],3,FALSE)</f>
        <v>Jeffrey Gomez</v>
      </c>
      <c r="O794" s="2" t="str">
        <f>_xlfn.XLOOKUP(ESales_DB[[#This Row],[Product_ID]],Eproduct_DB[Product_ID],Eproduct_DB[Category])</f>
        <v>Sports</v>
      </c>
      <c r="P794" s="2" t="str">
        <f>_xlfn.XLOOKUP(ESales_DB[[#This Row],[Product_ID]],Eproduct_DB[Product_ID],Eproduct_DB[Product_Name])</f>
        <v>Knee Support Brace</v>
      </c>
      <c r="Q794" s="2" t="str">
        <f>_xlfn.XLOOKUP(ESales_DB[[#This Row],[Store_ID]],Estore_DB[Store_ID],Estore_DB[Region])</f>
        <v>North</v>
      </c>
      <c r="R794" t="str">
        <f>VLOOKUP(ESales_DB[[#This Row],[Customer_ID]],Ecustom_DB[],10,FALSE)</f>
        <v>Platinum</v>
      </c>
      <c r="S794" t="str">
        <f>IF(ESales_DB[[#This Row],[Quantity1]]&gt;3,"Bulk order","Normal order")</f>
        <v>Normal order</v>
      </c>
    </row>
    <row r="795" spans="1:19" x14ac:dyDescent="0.3">
      <c r="A795" t="s">
        <v>3537</v>
      </c>
      <c r="B795" s="4">
        <v>45316</v>
      </c>
      <c r="C795" s="4" t="str">
        <f>TEXT(ESales_DB[[#This Row],[Order_Date]],"mmm")</f>
        <v>Jan</v>
      </c>
      <c r="D795" t="s">
        <v>708</v>
      </c>
      <c r="E795" t="s">
        <v>1706</v>
      </c>
      <c r="F795" t="s">
        <v>1776</v>
      </c>
      <c r="G795">
        <v>1</v>
      </c>
      <c r="H795" s="10">
        <f>IF(ISBLANK(ESales_DB[[#This Row],[Quantity]]),AVERAGEIF(ESales_DB[Product_ID],ESales_DB[[#This Row],[Product_ID]],ESales_DB[Quantity]),ESales_DB[[#This Row],[Quantity]])</f>
        <v>1</v>
      </c>
      <c r="I795" s="2">
        <v>502.53</v>
      </c>
      <c r="J795">
        <v>0</v>
      </c>
      <c r="K795" t="s">
        <v>1826</v>
      </c>
      <c r="L795" s="2">
        <v>502.53</v>
      </c>
      <c r="M795" s="2" t="str">
        <f>IF(ESales_DB[[#This Row],[Total_Amount]]&gt;1000,"High","Low")</f>
        <v>Low</v>
      </c>
      <c r="N795" s="2" t="str">
        <f>VLOOKUP(ESales_DB[[#This Row],[Customer_ID]],Ecustom_DB[],3,FALSE)</f>
        <v>Julia Jackson</v>
      </c>
      <c r="O795" s="2" t="str">
        <f>_xlfn.XLOOKUP(ESales_DB[[#This Row],[Product_ID]],Eproduct_DB[Product_ID],Eproduct_DB[Category])</f>
        <v>Home</v>
      </c>
      <c r="P795" s="2" t="str">
        <f>_xlfn.XLOOKUP(ESales_DB[[#This Row],[Product_ID]],Eproduct_DB[Product_ID],Eproduct_DB[Product_Name])</f>
        <v>Decorative Lamp Shade</v>
      </c>
      <c r="Q795" s="2" t="str">
        <f>_xlfn.XLOOKUP(ESales_DB[[#This Row],[Store_ID]],Estore_DB[Store_ID],Estore_DB[Region])</f>
        <v>East</v>
      </c>
      <c r="R795" t="str">
        <f>VLOOKUP(ESales_DB[[#This Row],[Customer_ID]],Ecustom_DB[],10,FALSE)</f>
        <v>Platinum</v>
      </c>
      <c r="S795" t="str">
        <f>IF(ESales_DB[[#This Row],[Quantity1]]&gt;3,"Bulk order","Normal order")</f>
        <v>Normal order</v>
      </c>
    </row>
    <row r="796" spans="1:19" x14ac:dyDescent="0.3">
      <c r="A796" t="s">
        <v>3538</v>
      </c>
      <c r="B796" s="4">
        <v>45548</v>
      </c>
      <c r="C796" s="4" t="str">
        <f>TEXT(ESales_DB[[#This Row],[Order_Date]],"mmm")</f>
        <v>Sep</v>
      </c>
      <c r="D796" t="s">
        <v>278</v>
      </c>
      <c r="E796" t="s">
        <v>1546</v>
      </c>
      <c r="F796" t="s">
        <v>1804</v>
      </c>
      <c r="G796">
        <v>2</v>
      </c>
      <c r="H796" s="10">
        <f>IF(ISBLANK(ESales_DB[[#This Row],[Quantity]]),AVERAGEIF(ESales_DB[Product_ID],ESales_DB[[#This Row],[Product_ID]],ESales_DB[Quantity]),ESales_DB[[#This Row],[Quantity]])</f>
        <v>2</v>
      </c>
      <c r="I796" s="2">
        <v>508.52</v>
      </c>
      <c r="J796">
        <v>0.11</v>
      </c>
      <c r="K796" t="s">
        <v>1829</v>
      </c>
      <c r="L796" s="2">
        <v>905.16559999999993</v>
      </c>
      <c r="M796" s="2" t="str">
        <f>IF(ESales_DB[[#This Row],[Total_Amount]]&gt;1000,"High","Low")</f>
        <v>Low</v>
      </c>
      <c r="N796" s="2" t="str">
        <f>VLOOKUP(ESales_DB[[#This Row],[Customer_ID]],Ecustom_DB[],3,FALSE)</f>
        <v>Nathan Campbell</v>
      </c>
      <c r="O796" s="2" t="str">
        <f>_xlfn.XLOOKUP(ESales_DB[[#This Row],[Product_ID]],Eproduct_DB[Product_ID],Eproduct_DB[Category])</f>
        <v>Clothing</v>
      </c>
      <c r="P796" s="2" t="str">
        <f>_xlfn.XLOOKUP(ESales_DB[[#This Row],[Product_ID]],Eproduct_DB[Product_ID],Eproduct_DB[Product_Name])</f>
        <v>Men's Graphic T-Shirt</v>
      </c>
      <c r="Q796" s="2" t="str">
        <f>_xlfn.XLOOKUP(ESales_DB[[#This Row],[Store_ID]],Estore_DB[Store_ID],Estore_DB[Region])</f>
        <v>West</v>
      </c>
      <c r="R796" t="str">
        <f>VLOOKUP(ESales_DB[[#This Row],[Customer_ID]],Ecustom_DB[],10,FALSE)</f>
        <v>Gold</v>
      </c>
      <c r="S796" t="str">
        <f>IF(ESales_DB[[#This Row],[Quantity1]]&gt;3,"Bulk order","Normal order")</f>
        <v>Normal order</v>
      </c>
    </row>
    <row r="797" spans="1:19" x14ac:dyDescent="0.3">
      <c r="A797" t="s">
        <v>3539</v>
      </c>
      <c r="B797" s="4">
        <v>45572</v>
      </c>
      <c r="C797" s="4" t="str">
        <f>TEXT(ESales_DB[[#This Row],[Order_Date]],"mmm")</f>
        <v>Oct</v>
      </c>
      <c r="D797" t="s">
        <v>1443</v>
      </c>
      <c r="E797" t="s">
        <v>1696</v>
      </c>
      <c r="F797" t="s">
        <v>1766</v>
      </c>
      <c r="G797">
        <v>1</v>
      </c>
      <c r="H797" s="10">
        <f>IF(ISBLANK(ESales_DB[[#This Row],[Quantity]]),AVERAGEIF(ESales_DB[Product_ID],ESales_DB[[#This Row],[Product_ID]],ESales_DB[Quantity]),ESales_DB[[#This Row],[Quantity]])</f>
        <v>1</v>
      </c>
      <c r="I797" s="2">
        <v>492</v>
      </c>
      <c r="J797">
        <v>0.26</v>
      </c>
      <c r="K797" t="s">
        <v>1826</v>
      </c>
      <c r="L797" s="2">
        <v>364.08</v>
      </c>
      <c r="M797" s="2" t="str">
        <f>IF(ESales_DB[[#This Row],[Total_Amount]]&gt;1000,"High","Low")</f>
        <v>Low</v>
      </c>
      <c r="N797" s="2" t="str">
        <f>VLOOKUP(ESales_DB[[#This Row],[Customer_ID]],Ecustom_DB[],3,FALSE)</f>
        <v>Gregory Curtis</v>
      </c>
      <c r="O797" s="2" t="str">
        <f>_xlfn.XLOOKUP(ESales_DB[[#This Row],[Product_ID]],Eproduct_DB[Product_ID],Eproduct_DB[Category])</f>
        <v>Electronics</v>
      </c>
      <c r="P797" s="2" t="str">
        <f>_xlfn.XLOOKUP(ESales_DB[[#This Row],[Product_ID]],Eproduct_DB[Product_ID],Eproduct_DB[Product_Name])</f>
        <v>Bluetooth Car Audio System</v>
      </c>
      <c r="Q797" s="2" t="str">
        <f>_xlfn.XLOOKUP(ESales_DB[[#This Row],[Store_ID]],Estore_DB[Store_ID],Estore_DB[Region])</f>
        <v>North</v>
      </c>
      <c r="R797" t="str">
        <f>VLOOKUP(ESales_DB[[#This Row],[Customer_ID]],Ecustom_DB[],10,FALSE)</f>
        <v>Bronze</v>
      </c>
      <c r="S797" t="str">
        <f>IF(ESales_DB[[#This Row],[Quantity1]]&gt;3,"Bulk order","Normal order")</f>
        <v>Normal order</v>
      </c>
    </row>
    <row r="798" spans="1:19" x14ac:dyDescent="0.3">
      <c r="A798" t="s">
        <v>3540</v>
      </c>
      <c r="B798" s="4">
        <v>45347</v>
      </c>
      <c r="C798" s="4" t="str">
        <f>TEXT(ESales_DB[[#This Row],[Order_Date]],"mmm")</f>
        <v>Feb</v>
      </c>
      <c r="D798" t="s">
        <v>1492</v>
      </c>
      <c r="E798" t="s">
        <v>1622</v>
      </c>
      <c r="F798" t="s">
        <v>1799</v>
      </c>
      <c r="G798">
        <v>4</v>
      </c>
      <c r="H798" s="10">
        <f>IF(ISBLANK(ESales_DB[[#This Row],[Quantity]]),AVERAGEIF(ESales_DB[Product_ID],ESales_DB[[#This Row],[Product_ID]],ESales_DB[Quantity]),ESales_DB[[#This Row],[Quantity]])</f>
        <v>4</v>
      </c>
      <c r="I798" s="2">
        <v>746.36</v>
      </c>
      <c r="J798">
        <v>0.02</v>
      </c>
      <c r="K798" t="s">
        <v>1824</v>
      </c>
      <c r="L798" s="2">
        <v>2925.7312000000002</v>
      </c>
      <c r="M798" s="2" t="str">
        <f>IF(ESales_DB[[#This Row],[Total_Amount]]&gt;1000,"High","Low")</f>
        <v>High</v>
      </c>
      <c r="N798" s="2" t="str">
        <f>VLOOKUP(ESales_DB[[#This Row],[Customer_ID]],Ecustom_DB[],3,FALSE)</f>
        <v>Sara Ingram</v>
      </c>
      <c r="O798" s="2" t="str">
        <f>_xlfn.XLOOKUP(ESales_DB[[#This Row],[Product_ID]],Eproduct_DB[Product_ID],Eproduct_DB[Category])</f>
        <v>Clothing</v>
      </c>
      <c r="P798" s="2" t="str">
        <f>_xlfn.XLOOKUP(ESales_DB[[#This Row],[Product_ID]],Eproduct_DB[Product_ID],Eproduct_DB[Product_Name])</f>
        <v>Men's Casual Sneakers</v>
      </c>
      <c r="Q798" s="2" t="str">
        <f>_xlfn.XLOOKUP(ESales_DB[[#This Row],[Store_ID]],Estore_DB[Store_ID],Estore_DB[Region])</f>
        <v>South</v>
      </c>
      <c r="R798" t="str">
        <f>VLOOKUP(ESales_DB[[#This Row],[Customer_ID]],Ecustom_DB[],10,FALSE)</f>
        <v>Bronze</v>
      </c>
      <c r="S798" t="str">
        <f>IF(ESales_DB[[#This Row],[Quantity1]]&gt;3,"Bulk order","Normal order")</f>
        <v>Bulk order</v>
      </c>
    </row>
    <row r="799" spans="1:19" x14ac:dyDescent="0.3">
      <c r="A799" t="s">
        <v>3541</v>
      </c>
      <c r="B799" s="4">
        <v>45823</v>
      </c>
      <c r="C799" s="4" t="str">
        <f>TEXT(ESales_DB[[#This Row],[Order_Date]],"mmm")</f>
        <v>Jun</v>
      </c>
      <c r="D799" t="s">
        <v>1343</v>
      </c>
      <c r="E799" t="s">
        <v>1572</v>
      </c>
      <c r="F799" t="s">
        <v>1757</v>
      </c>
      <c r="G799">
        <v>1</v>
      </c>
      <c r="H799" s="10">
        <f>IF(ISBLANK(ESales_DB[[#This Row],[Quantity]]),AVERAGEIF(ESales_DB[Product_ID],ESales_DB[[#This Row],[Product_ID]],ESales_DB[Quantity]),ESales_DB[[#This Row],[Quantity]])</f>
        <v>1</v>
      </c>
      <c r="I799" s="2">
        <v>120.83</v>
      </c>
      <c r="J799">
        <v>0.08</v>
      </c>
      <c r="K799" t="s">
        <v>1824</v>
      </c>
      <c r="L799" s="2">
        <v>111.1636</v>
      </c>
      <c r="M799" s="2" t="str">
        <f>IF(ESales_DB[[#This Row],[Total_Amount]]&gt;1000,"High","Low")</f>
        <v>Low</v>
      </c>
      <c r="N799" s="2" t="str">
        <f>VLOOKUP(ESales_DB[[#This Row],[Customer_ID]],Ecustom_DB[],3,FALSE)</f>
        <v>Thomas Moore</v>
      </c>
      <c r="O799" s="2" t="str">
        <f>_xlfn.XLOOKUP(ESales_DB[[#This Row],[Product_ID]],Eproduct_DB[Product_ID],Eproduct_DB[Category])</f>
        <v>Beauty</v>
      </c>
      <c r="P799" s="2" t="str">
        <f>_xlfn.XLOOKUP(ESales_DB[[#This Row],[Product_ID]],Eproduct_DB[Product_ID],Eproduct_DB[Product_Name])</f>
        <v>Hair Strengthening Shampoo</v>
      </c>
      <c r="Q799" s="2" t="str">
        <f>_xlfn.XLOOKUP(ESales_DB[[#This Row],[Store_ID]],Estore_DB[Store_ID],Estore_DB[Region])</f>
        <v>North</v>
      </c>
      <c r="R799" t="str">
        <f>VLOOKUP(ESales_DB[[#This Row],[Customer_ID]],Ecustom_DB[],10,FALSE)</f>
        <v>Silver</v>
      </c>
      <c r="S799" t="str">
        <f>IF(ESales_DB[[#This Row],[Quantity1]]&gt;3,"Bulk order","Normal order")</f>
        <v>Normal order</v>
      </c>
    </row>
    <row r="800" spans="1:19" x14ac:dyDescent="0.3">
      <c r="A800" t="s">
        <v>3542</v>
      </c>
      <c r="B800" s="4">
        <v>45394</v>
      </c>
      <c r="C800" s="4" t="str">
        <f>TEXT(ESales_DB[[#This Row],[Order_Date]],"mmm")</f>
        <v>Apr</v>
      </c>
      <c r="D800" t="s">
        <v>1243</v>
      </c>
      <c r="E800" t="s">
        <v>1702</v>
      </c>
      <c r="F800" t="s">
        <v>1810</v>
      </c>
      <c r="G800">
        <v>2</v>
      </c>
      <c r="H800" s="10">
        <f>IF(ISBLANK(ESales_DB[[#This Row],[Quantity]]),AVERAGEIF(ESales_DB[Product_ID],ESales_DB[[#This Row],[Product_ID]],ESales_DB[Quantity]),ESales_DB[[#This Row],[Quantity]])</f>
        <v>2</v>
      </c>
      <c r="I800" s="2">
        <v>68.31</v>
      </c>
      <c r="J800">
        <v>0.28999999999999998</v>
      </c>
      <c r="K800" t="s">
        <v>1829</v>
      </c>
      <c r="L800" s="2">
        <v>97.000199999999992</v>
      </c>
      <c r="M800" s="2" t="str">
        <f>IF(ESales_DB[[#This Row],[Total_Amount]]&gt;1000,"High","Low")</f>
        <v>Low</v>
      </c>
      <c r="N800" s="2" t="str">
        <f>VLOOKUP(ESales_DB[[#This Row],[Customer_ID]],Ecustom_DB[],3,FALSE)</f>
        <v>John Donaldson</v>
      </c>
      <c r="O800" s="2" t="str">
        <f>_xlfn.XLOOKUP(ESales_DB[[#This Row],[Product_ID]],Eproduct_DB[Product_ID],Eproduct_DB[Category])</f>
        <v>Electronics</v>
      </c>
      <c r="P800" s="2" t="str">
        <f>_xlfn.XLOOKUP(ESales_DB[[#This Row],[Product_ID]],Eproduct_DB[Product_ID],Eproduct_DB[Product_Name])</f>
        <v>WiFi Mesh Router</v>
      </c>
      <c r="Q800" s="2" t="str">
        <f>_xlfn.XLOOKUP(ESales_DB[[#This Row],[Store_ID]],Estore_DB[Store_ID],Estore_DB[Region])</f>
        <v>East</v>
      </c>
      <c r="R800" t="str">
        <f>VLOOKUP(ESales_DB[[#This Row],[Customer_ID]],Ecustom_DB[],10,FALSE)</f>
        <v>Bronze</v>
      </c>
      <c r="S800" t="str">
        <f>IF(ESales_DB[[#This Row],[Quantity1]]&gt;3,"Bulk order","Normal order")</f>
        <v>Normal order</v>
      </c>
    </row>
    <row r="801" spans="1:19" x14ac:dyDescent="0.3">
      <c r="A801" t="s">
        <v>3543</v>
      </c>
      <c r="B801" s="4">
        <v>45265</v>
      </c>
      <c r="C801" s="4" t="str">
        <f>TEXT(ESales_DB[[#This Row],[Order_Date]],"mmm")</f>
        <v>Dec</v>
      </c>
      <c r="D801" t="s">
        <v>230</v>
      </c>
      <c r="E801" t="s">
        <v>1592</v>
      </c>
      <c r="F801" t="s">
        <v>1810</v>
      </c>
      <c r="G801">
        <v>2</v>
      </c>
      <c r="H801" s="10">
        <f>IF(ISBLANK(ESales_DB[[#This Row],[Quantity]]),AVERAGEIF(ESales_DB[Product_ID],ESales_DB[[#This Row],[Product_ID]],ESales_DB[Quantity]),ESales_DB[[#This Row],[Quantity]])</f>
        <v>2</v>
      </c>
      <c r="I801" s="2">
        <v>761.71</v>
      </c>
      <c r="J801">
        <v>0.02</v>
      </c>
      <c r="K801" t="s">
        <v>1826</v>
      </c>
      <c r="L801" s="2">
        <v>1492.9516000000001</v>
      </c>
      <c r="M801" s="2" t="str">
        <f>IF(ESales_DB[[#This Row],[Total_Amount]]&gt;1000,"High","Low")</f>
        <v>High</v>
      </c>
      <c r="N801" s="2" t="str">
        <f>VLOOKUP(ESales_DB[[#This Row],[Customer_ID]],Ecustom_DB[],3,FALSE)</f>
        <v>James Bean</v>
      </c>
      <c r="O801" s="2" t="str">
        <f>_xlfn.XLOOKUP(ESales_DB[[#This Row],[Product_ID]],Eproduct_DB[Product_ID],Eproduct_DB[Category])</f>
        <v>Sports</v>
      </c>
      <c r="P801" s="2" t="str">
        <f>_xlfn.XLOOKUP(ESales_DB[[#This Row],[Product_ID]],Eproduct_DB[Product_ID],Eproduct_DB[Product_Name])</f>
        <v>Carbon Fiber Tennis Racket</v>
      </c>
      <c r="Q801" s="2" t="str">
        <f>_xlfn.XLOOKUP(ESales_DB[[#This Row],[Store_ID]],Estore_DB[Store_ID],Estore_DB[Region])</f>
        <v>East</v>
      </c>
      <c r="R801" t="str">
        <f>VLOOKUP(ESales_DB[[#This Row],[Customer_ID]],Ecustom_DB[],10,FALSE)</f>
        <v>Bronze</v>
      </c>
      <c r="S801" t="str">
        <f>IF(ESales_DB[[#This Row],[Quantity1]]&gt;3,"Bulk order","Normal order")</f>
        <v>Normal order</v>
      </c>
    </row>
    <row r="802" spans="1:19" x14ac:dyDescent="0.3">
      <c r="A802" t="s">
        <v>3544</v>
      </c>
      <c r="B802" s="4">
        <v>45261</v>
      </c>
      <c r="C802" s="4" t="str">
        <f>TEXT(ESales_DB[[#This Row],[Order_Date]],"mmm")</f>
        <v>Dec</v>
      </c>
      <c r="D802" t="s">
        <v>244</v>
      </c>
      <c r="E802" t="s">
        <v>1704</v>
      </c>
      <c r="F802" t="s">
        <v>1766</v>
      </c>
      <c r="G802">
        <v>4</v>
      </c>
      <c r="H802" s="10">
        <f>IF(ISBLANK(ESales_DB[[#This Row],[Quantity]]),AVERAGEIF(ESales_DB[Product_ID],ESales_DB[[#This Row],[Product_ID]],ESales_DB[Quantity]),ESales_DB[[#This Row],[Quantity]])</f>
        <v>4</v>
      </c>
      <c r="I802" s="2">
        <v>346.37</v>
      </c>
      <c r="J802">
        <v>0.18</v>
      </c>
      <c r="K802" t="s">
        <v>1829</v>
      </c>
      <c r="L802" s="2">
        <v>1136.0935999999999</v>
      </c>
      <c r="M802" s="2" t="str">
        <f>IF(ESales_DB[[#This Row],[Total_Amount]]&gt;1000,"High","Low")</f>
        <v>High</v>
      </c>
      <c r="N802" s="2" t="str">
        <f>VLOOKUP(ESales_DB[[#This Row],[Customer_ID]],Ecustom_DB[],3,FALSE)</f>
        <v>Cody Diaz</v>
      </c>
      <c r="O802" s="2" t="str">
        <f>_xlfn.XLOOKUP(ESales_DB[[#This Row],[Product_ID]],Eproduct_DB[Product_ID],Eproduct_DB[Category])</f>
        <v>Home</v>
      </c>
      <c r="P802" s="2" t="str">
        <f>_xlfn.XLOOKUP(ESales_DB[[#This Row],[Product_ID]],Eproduct_DB[Product_ID],Eproduct_DB[Product_Name])</f>
        <v>Essential Oil Diffuser</v>
      </c>
      <c r="Q802" s="2" t="str">
        <f>_xlfn.XLOOKUP(ESales_DB[[#This Row],[Store_ID]],Estore_DB[Store_ID],Estore_DB[Region])</f>
        <v>North</v>
      </c>
      <c r="R802" t="str">
        <f>VLOOKUP(ESales_DB[[#This Row],[Customer_ID]],Ecustom_DB[],10,FALSE)</f>
        <v>Silver</v>
      </c>
      <c r="S802" t="str">
        <f>IF(ESales_DB[[#This Row],[Quantity1]]&gt;3,"Bulk order","Normal order")</f>
        <v>Bulk order</v>
      </c>
    </row>
    <row r="803" spans="1:19" x14ac:dyDescent="0.3">
      <c r="A803" t="s">
        <v>3545</v>
      </c>
      <c r="B803" s="4">
        <v>45702</v>
      </c>
      <c r="C803" s="4" t="str">
        <f>TEXT(ESales_DB[[#This Row],[Order_Date]],"mmm")</f>
        <v>Feb</v>
      </c>
      <c r="D803" t="s">
        <v>40</v>
      </c>
      <c r="E803" t="s">
        <v>1658</v>
      </c>
      <c r="F803" t="s">
        <v>1794</v>
      </c>
      <c r="G803">
        <v>1</v>
      </c>
      <c r="H803" s="10">
        <f>IF(ISBLANK(ESales_DB[[#This Row],[Quantity]]),AVERAGEIF(ESales_DB[Product_ID],ESales_DB[[#This Row],[Product_ID]],ESales_DB[Quantity]),ESales_DB[[#This Row],[Quantity]])</f>
        <v>1</v>
      </c>
      <c r="I803" s="2">
        <v>846.3</v>
      </c>
      <c r="J803">
        <v>0.14000000000000001</v>
      </c>
      <c r="K803" t="s">
        <v>1826</v>
      </c>
      <c r="L803" s="2">
        <v>727.81799999999998</v>
      </c>
      <c r="M803" s="2" t="str">
        <f>IF(ESales_DB[[#This Row],[Total_Amount]]&gt;1000,"High","Low")</f>
        <v>Low</v>
      </c>
      <c r="N803" s="2" t="str">
        <f>VLOOKUP(ESales_DB[[#This Row],[Customer_ID]],Ecustom_DB[],3,FALSE)</f>
        <v>Daniel Boyd</v>
      </c>
      <c r="O803" s="2" t="str">
        <f>_xlfn.XLOOKUP(ESales_DB[[#This Row],[Product_ID]],Eproduct_DB[Product_ID],Eproduct_DB[Category])</f>
        <v>Home</v>
      </c>
      <c r="P803" s="2" t="str">
        <f>_xlfn.XLOOKUP(ESales_DB[[#This Row],[Product_ID]],Eproduct_DB[Product_ID],Eproduct_DB[Product_Name])</f>
        <v>Ceramic Plant Pot</v>
      </c>
      <c r="Q803" s="2" t="str">
        <f>_xlfn.XLOOKUP(ESales_DB[[#This Row],[Store_ID]],Estore_DB[Store_ID],Estore_DB[Region])</f>
        <v>North</v>
      </c>
      <c r="R803" t="str">
        <f>VLOOKUP(ESales_DB[[#This Row],[Customer_ID]],Ecustom_DB[],10,FALSE)</f>
        <v>Bronze</v>
      </c>
      <c r="S803" t="str">
        <f>IF(ESales_DB[[#This Row],[Quantity1]]&gt;3,"Bulk order","Normal order")</f>
        <v>Normal order</v>
      </c>
    </row>
    <row r="804" spans="1:19" x14ac:dyDescent="0.3">
      <c r="A804" t="s">
        <v>1998</v>
      </c>
      <c r="B804" s="4">
        <v>45267</v>
      </c>
      <c r="C804" s="4" t="str">
        <f>TEXT(ESales_DB[[#This Row],[Order_Date]],"mmm")</f>
        <v>Dec</v>
      </c>
      <c r="D804" t="s">
        <v>1080</v>
      </c>
      <c r="E804" t="s">
        <v>1726</v>
      </c>
      <c r="F804" t="s">
        <v>1789</v>
      </c>
      <c r="G804">
        <v>2</v>
      </c>
      <c r="H804" s="10">
        <f>IF(ISBLANK(ESales_DB[[#This Row],[Quantity]]),AVERAGEIF(ESales_DB[Product_ID],ESales_DB[[#This Row],[Product_ID]],ESales_DB[Quantity]),ESales_DB[[#This Row],[Quantity]])</f>
        <v>2</v>
      </c>
      <c r="I804" s="2">
        <v>827.92</v>
      </c>
      <c r="J804">
        <v>0.25</v>
      </c>
      <c r="K804" t="s">
        <v>1829</v>
      </c>
      <c r="L804" s="2">
        <v>1241.8800000000001</v>
      </c>
      <c r="M804" s="2" t="str">
        <f>IF(ESales_DB[[#This Row],[Total_Amount]]&gt;1000,"High","Low")</f>
        <v>High</v>
      </c>
      <c r="N804" s="2" t="str">
        <f>VLOOKUP(ESales_DB[[#This Row],[Customer_ID]],Ecustom_DB[],3,FALSE)</f>
        <v>Evelyn Brown</v>
      </c>
      <c r="O804" s="2" t="str">
        <f>_xlfn.XLOOKUP(ESales_DB[[#This Row],[Product_ID]],Eproduct_DB[Product_ID],Eproduct_DB[Category])</f>
        <v>Beauty</v>
      </c>
      <c r="P804" s="2" t="str">
        <f>_xlfn.XLOOKUP(ESales_DB[[#This Row],[Product_ID]],Eproduct_DB[Product_ID],Eproduct_DB[Product_Name])</f>
        <v>Face Foundation Kit</v>
      </c>
      <c r="Q804" s="2" t="str">
        <f>_xlfn.XLOOKUP(ESales_DB[[#This Row],[Store_ID]],Estore_DB[Store_ID],Estore_DB[Region])</f>
        <v>East</v>
      </c>
      <c r="R804" t="str">
        <f>VLOOKUP(ESales_DB[[#This Row],[Customer_ID]],Ecustom_DB[],10,FALSE)</f>
        <v>Gold</v>
      </c>
      <c r="S804" t="str">
        <f>IF(ESales_DB[[#This Row],[Quantity1]]&gt;3,"Bulk order","Normal order")</f>
        <v>Normal order</v>
      </c>
    </row>
    <row r="805" spans="1:19" x14ac:dyDescent="0.3">
      <c r="A805" t="s">
        <v>3546</v>
      </c>
      <c r="B805" s="4">
        <v>45624</v>
      </c>
      <c r="C805" s="4" t="str">
        <f>TEXT(ESales_DB[[#This Row],[Order_Date]],"mmm")</f>
        <v>Nov</v>
      </c>
      <c r="D805" t="s">
        <v>1340</v>
      </c>
      <c r="E805" t="s">
        <v>1543</v>
      </c>
      <c r="F805" t="s">
        <v>1813</v>
      </c>
      <c r="G805">
        <v>1</v>
      </c>
      <c r="H805" s="10">
        <f>IF(ISBLANK(ESales_DB[[#This Row],[Quantity]]),AVERAGEIF(ESales_DB[Product_ID],ESales_DB[[#This Row],[Product_ID]],ESales_DB[Quantity]),ESales_DB[[#This Row],[Quantity]])</f>
        <v>1</v>
      </c>
      <c r="I805" s="2">
        <v>458.97</v>
      </c>
      <c r="J805">
        <v>0.1</v>
      </c>
      <c r="K805" t="s">
        <v>1826</v>
      </c>
      <c r="L805" s="2">
        <v>413.07299999999998</v>
      </c>
      <c r="M805" s="2" t="str">
        <f>IF(ESales_DB[[#This Row],[Total_Amount]]&gt;1000,"High","Low")</f>
        <v>Low</v>
      </c>
      <c r="N805" s="2" t="str">
        <f>VLOOKUP(ESales_DB[[#This Row],[Customer_ID]],Ecustom_DB[],3,FALSE)</f>
        <v>Summer Weiss</v>
      </c>
      <c r="O805" s="2" t="str">
        <f>_xlfn.XLOOKUP(ESales_DB[[#This Row],[Product_ID]],Eproduct_DB[Product_ID],Eproduct_DB[Category])</f>
        <v>Electronics</v>
      </c>
      <c r="P805" s="2" t="str">
        <f>_xlfn.XLOOKUP(ESales_DB[[#This Row],[Product_ID]],Eproduct_DB[Product_ID],Eproduct_DB[Product_Name])</f>
        <v>Brother Laser Printer</v>
      </c>
      <c r="Q805" s="2" t="str">
        <f>_xlfn.XLOOKUP(ESales_DB[[#This Row],[Store_ID]],Estore_DB[Store_ID],Estore_DB[Region])</f>
        <v>East</v>
      </c>
      <c r="R805" t="str">
        <f>VLOOKUP(ESales_DB[[#This Row],[Customer_ID]],Ecustom_DB[],10,FALSE)</f>
        <v>Bronze</v>
      </c>
      <c r="S805" t="str">
        <f>IF(ESales_DB[[#This Row],[Quantity1]]&gt;3,"Bulk order","Normal order")</f>
        <v>Normal order</v>
      </c>
    </row>
    <row r="806" spans="1:19" x14ac:dyDescent="0.3">
      <c r="A806" t="s">
        <v>3547</v>
      </c>
      <c r="B806" s="4">
        <v>45736</v>
      </c>
      <c r="C806" s="4" t="str">
        <f>TEXT(ESales_DB[[#This Row],[Order_Date]],"mmm")</f>
        <v>Mar</v>
      </c>
      <c r="D806" t="s">
        <v>917</v>
      </c>
      <c r="E806" t="s">
        <v>1634</v>
      </c>
      <c r="F806" t="s">
        <v>1779</v>
      </c>
      <c r="G806">
        <v>2</v>
      </c>
      <c r="H806" s="10">
        <f>IF(ISBLANK(ESales_DB[[#This Row],[Quantity]]),AVERAGEIF(ESales_DB[Product_ID],ESales_DB[[#This Row],[Product_ID]],ESales_DB[Quantity]),ESales_DB[[#This Row],[Quantity]])</f>
        <v>2</v>
      </c>
      <c r="I806" s="2">
        <v>536.61</v>
      </c>
      <c r="J806">
        <v>0.14000000000000001</v>
      </c>
      <c r="K806" t="s">
        <v>1824</v>
      </c>
      <c r="L806" s="2">
        <v>922.9692</v>
      </c>
      <c r="M806" s="2" t="str">
        <f>IF(ESales_DB[[#This Row],[Total_Amount]]&gt;1000,"High","Low")</f>
        <v>Low</v>
      </c>
      <c r="N806" s="2" t="str">
        <f>VLOOKUP(ESales_DB[[#This Row],[Customer_ID]],Ecustom_DB[],3,FALSE)</f>
        <v>Jennifer Figueroa</v>
      </c>
      <c r="O806" s="2" t="str">
        <f>_xlfn.XLOOKUP(ESales_DB[[#This Row],[Product_ID]],Eproduct_DB[Product_ID],Eproduct_DB[Category])</f>
        <v>Electronics</v>
      </c>
      <c r="P806" s="2" t="str">
        <f>_xlfn.XLOOKUP(ESales_DB[[#This Row],[Product_ID]],Eproduct_DB[Product_ID],Eproduct_DB[Product_Name])</f>
        <v>USB External Hard Drive</v>
      </c>
      <c r="Q806" s="2" t="str">
        <f>_xlfn.XLOOKUP(ESales_DB[[#This Row],[Store_ID]],Estore_DB[Store_ID],Estore_DB[Region])</f>
        <v>South</v>
      </c>
      <c r="R806" t="str">
        <f>VLOOKUP(ESales_DB[[#This Row],[Customer_ID]],Ecustom_DB[],10,FALSE)</f>
        <v>Bronze</v>
      </c>
      <c r="S806" t="str">
        <f>IF(ESales_DB[[#This Row],[Quantity1]]&gt;3,"Bulk order","Normal order")</f>
        <v>Normal order</v>
      </c>
    </row>
    <row r="807" spans="1:19" x14ac:dyDescent="0.3">
      <c r="A807" t="s">
        <v>3548</v>
      </c>
      <c r="B807" s="4">
        <v>45709</v>
      </c>
      <c r="C807" s="4" t="str">
        <f>TEXT(ESales_DB[[#This Row],[Order_Date]],"mmm")</f>
        <v>Feb</v>
      </c>
      <c r="D807" t="s">
        <v>1304</v>
      </c>
      <c r="E807" t="s">
        <v>1664</v>
      </c>
      <c r="F807" t="s">
        <v>1752</v>
      </c>
      <c r="G807">
        <v>3</v>
      </c>
      <c r="H807" s="10">
        <f>IF(ISBLANK(ESales_DB[[#This Row],[Quantity]]),AVERAGEIF(ESales_DB[Product_ID],ESales_DB[[#This Row],[Product_ID]],ESales_DB[Quantity]),ESales_DB[[#This Row],[Quantity]])</f>
        <v>3</v>
      </c>
      <c r="I807" s="2">
        <v>130.41</v>
      </c>
      <c r="J807">
        <v>0.14000000000000001</v>
      </c>
      <c r="K807" t="s">
        <v>1826</v>
      </c>
      <c r="L807" s="2">
        <v>336.45780000000002</v>
      </c>
      <c r="M807" s="2" t="str">
        <f>IF(ESales_DB[[#This Row],[Total_Amount]]&gt;1000,"High","Low")</f>
        <v>Low</v>
      </c>
      <c r="N807" s="2" t="str">
        <f>VLOOKUP(ESales_DB[[#This Row],[Customer_ID]],Ecustom_DB[],3,FALSE)</f>
        <v>Dr. Tamara White Md</v>
      </c>
      <c r="O807" s="2" t="str">
        <f>_xlfn.XLOOKUP(ESales_DB[[#This Row],[Product_ID]],Eproduct_DB[Product_ID],Eproduct_DB[Category])</f>
        <v>Clothing</v>
      </c>
      <c r="P807" s="2" t="str">
        <f>_xlfn.XLOOKUP(ESales_DB[[#This Row],[Product_ID]],Eproduct_DB[Product_ID],Eproduct_DB[Product_Name])</f>
        <v>Womens Cotton Scarf</v>
      </c>
      <c r="Q807" s="2" t="str">
        <f>_xlfn.XLOOKUP(ESales_DB[[#This Row],[Store_ID]],Estore_DB[Store_ID],Estore_DB[Region])</f>
        <v>East</v>
      </c>
      <c r="R807" t="str">
        <f>VLOOKUP(ESales_DB[[#This Row],[Customer_ID]],Ecustom_DB[],10,FALSE)</f>
        <v>Bronze</v>
      </c>
      <c r="S807" t="str">
        <f>IF(ESales_DB[[#This Row],[Quantity1]]&gt;3,"Bulk order","Normal order")</f>
        <v>Normal order</v>
      </c>
    </row>
    <row r="808" spans="1:19" x14ac:dyDescent="0.3">
      <c r="A808" t="s">
        <v>3549</v>
      </c>
      <c r="B808" s="4">
        <v>45738</v>
      </c>
      <c r="C808" s="4" t="str">
        <f>TEXT(ESales_DB[[#This Row],[Order_Date]],"mmm")</f>
        <v>Mar</v>
      </c>
      <c r="D808" t="s">
        <v>1524</v>
      </c>
      <c r="E808" t="s">
        <v>1726</v>
      </c>
      <c r="F808" t="s">
        <v>1794</v>
      </c>
      <c r="G808">
        <v>4</v>
      </c>
      <c r="H808" s="10">
        <f>IF(ISBLANK(ESales_DB[[#This Row],[Quantity]]),AVERAGEIF(ESales_DB[Product_ID],ESales_DB[[#This Row],[Product_ID]],ESales_DB[Quantity]),ESales_DB[[#This Row],[Quantity]])</f>
        <v>4</v>
      </c>
      <c r="I808" s="2">
        <v>706.67</v>
      </c>
      <c r="J808">
        <v>0.01</v>
      </c>
      <c r="K808" t="s">
        <v>1824</v>
      </c>
      <c r="L808" s="2">
        <v>2798.4132</v>
      </c>
      <c r="M808" s="2" t="str">
        <f>IF(ESales_DB[[#This Row],[Total_Amount]]&gt;1000,"High","Low")</f>
        <v>High</v>
      </c>
      <c r="N808" s="2" t="str">
        <f>VLOOKUP(ESales_DB[[#This Row],[Customer_ID]],Ecustom_DB[],3,FALSE)</f>
        <v>Christopher Ford</v>
      </c>
      <c r="O808" s="2" t="str">
        <f>_xlfn.XLOOKUP(ESales_DB[[#This Row],[Product_ID]],Eproduct_DB[Product_ID],Eproduct_DB[Category])</f>
        <v>Beauty</v>
      </c>
      <c r="P808" s="2" t="str">
        <f>_xlfn.XLOOKUP(ESales_DB[[#This Row],[Product_ID]],Eproduct_DB[Product_ID],Eproduct_DB[Product_Name])</f>
        <v>Face Foundation Kit</v>
      </c>
      <c r="Q808" s="2" t="str">
        <f>_xlfn.XLOOKUP(ESales_DB[[#This Row],[Store_ID]],Estore_DB[Store_ID],Estore_DB[Region])</f>
        <v>North</v>
      </c>
      <c r="R808" t="str">
        <f>VLOOKUP(ESales_DB[[#This Row],[Customer_ID]],Ecustom_DB[],10,FALSE)</f>
        <v>Bronze</v>
      </c>
      <c r="S808" t="str">
        <f>IF(ESales_DB[[#This Row],[Quantity1]]&gt;3,"Bulk order","Normal order")</f>
        <v>Bulk order</v>
      </c>
    </row>
    <row r="809" spans="1:19" x14ac:dyDescent="0.3">
      <c r="A809" t="s">
        <v>3550</v>
      </c>
      <c r="B809" s="4">
        <v>45685</v>
      </c>
      <c r="C809" s="4" t="str">
        <f>TEXT(ESales_DB[[#This Row],[Order_Date]],"mmm")</f>
        <v>Jan</v>
      </c>
      <c r="D809" t="s">
        <v>1223</v>
      </c>
      <c r="E809" t="s">
        <v>1602</v>
      </c>
      <c r="F809" t="s">
        <v>1766</v>
      </c>
      <c r="G809">
        <v>3</v>
      </c>
      <c r="H809" s="10">
        <f>IF(ISBLANK(ESales_DB[[#This Row],[Quantity]]),AVERAGEIF(ESales_DB[Product_ID],ESales_DB[[#This Row],[Product_ID]],ESales_DB[Quantity]),ESales_DB[[#This Row],[Quantity]])</f>
        <v>3</v>
      </c>
      <c r="I809" s="2">
        <v>523.45000000000005</v>
      </c>
      <c r="J809">
        <v>0.17</v>
      </c>
      <c r="K809" t="s">
        <v>1824</v>
      </c>
      <c r="L809" s="2">
        <v>1303.3905</v>
      </c>
      <c r="M809" s="2" t="str">
        <f>IF(ESales_DB[[#This Row],[Total_Amount]]&gt;1000,"High","Low")</f>
        <v>High</v>
      </c>
      <c r="N809" s="2" t="str">
        <f>VLOOKUP(ESales_DB[[#This Row],[Customer_ID]],Ecustom_DB[],3,FALSE)</f>
        <v>Jacqueline Payne</v>
      </c>
      <c r="O809" s="2" t="str">
        <f>_xlfn.XLOOKUP(ESales_DB[[#This Row],[Product_ID]],Eproduct_DB[Product_ID],Eproduct_DB[Category])</f>
        <v>Home</v>
      </c>
      <c r="P809" s="2" t="str">
        <f>_xlfn.XLOOKUP(ESales_DB[[#This Row],[Product_ID]],Eproduct_DB[Product_ID],Eproduct_DB[Product_Name])</f>
        <v>Decorative Floor Vase</v>
      </c>
      <c r="Q809" s="2" t="str">
        <f>_xlfn.XLOOKUP(ESales_DB[[#This Row],[Store_ID]],Estore_DB[Store_ID],Estore_DB[Region])</f>
        <v>North</v>
      </c>
      <c r="R809" t="str">
        <f>VLOOKUP(ESales_DB[[#This Row],[Customer_ID]],Ecustom_DB[],10,FALSE)</f>
        <v>Gold</v>
      </c>
      <c r="S809" t="str">
        <f>IF(ESales_DB[[#This Row],[Quantity1]]&gt;3,"Bulk order","Normal order")</f>
        <v>Normal order</v>
      </c>
    </row>
    <row r="810" spans="1:19" x14ac:dyDescent="0.3">
      <c r="A810" t="s">
        <v>3551</v>
      </c>
      <c r="B810" s="4">
        <v>45701</v>
      </c>
      <c r="C810" s="4" t="str">
        <f>TEXT(ESales_DB[[#This Row],[Order_Date]],"mmm")</f>
        <v>Feb</v>
      </c>
      <c r="D810" t="s">
        <v>48</v>
      </c>
      <c r="E810" t="s">
        <v>1730</v>
      </c>
      <c r="F810" t="s">
        <v>1810</v>
      </c>
      <c r="G810">
        <v>3</v>
      </c>
      <c r="H810" s="10">
        <f>IF(ISBLANK(ESales_DB[[#This Row],[Quantity]]),AVERAGEIF(ESales_DB[Product_ID],ESales_DB[[#This Row],[Product_ID]],ESales_DB[Quantity]),ESales_DB[[#This Row],[Quantity]])</f>
        <v>3</v>
      </c>
      <c r="I810" s="2">
        <v>482.2</v>
      </c>
      <c r="J810">
        <v>0.23</v>
      </c>
      <c r="K810" t="s">
        <v>1829</v>
      </c>
      <c r="L810" s="2">
        <v>1113.8820000000001</v>
      </c>
      <c r="M810" s="2" t="str">
        <f>IF(ESales_DB[[#This Row],[Total_Amount]]&gt;1000,"High","Low")</f>
        <v>High</v>
      </c>
      <c r="N810" s="2" t="str">
        <f>VLOOKUP(ESales_DB[[#This Row],[Customer_ID]],Ecustom_DB[],3,FALSE)</f>
        <v>Ms. Maria Leach</v>
      </c>
      <c r="O810" s="2" t="str">
        <f>_xlfn.XLOOKUP(ESales_DB[[#This Row],[Product_ID]],Eproduct_DB[Product_ID],Eproduct_DB[Category])</f>
        <v>Clothing</v>
      </c>
      <c r="P810" s="2" t="str">
        <f>_xlfn.XLOOKUP(ESales_DB[[#This Row],[Product_ID]],Eproduct_DB[Product_ID],Eproduct_DB[Product_Name])</f>
        <v>Women's High Heels</v>
      </c>
      <c r="Q810" s="2" t="str">
        <f>_xlfn.XLOOKUP(ESales_DB[[#This Row],[Store_ID]],Estore_DB[Store_ID],Estore_DB[Region])</f>
        <v>East</v>
      </c>
      <c r="R810" t="str">
        <f>VLOOKUP(ESales_DB[[#This Row],[Customer_ID]],Ecustom_DB[],10,FALSE)</f>
        <v>Platinum</v>
      </c>
      <c r="S810" t="str">
        <f>IF(ESales_DB[[#This Row],[Quantity1]]&gt;3,"Bulk order","Normal order")</f>
        <v>Normal order</v>
      </c>
    </row>
    <row r="811" spans="1:19" x14ac:dyDescent="0.3">
      <c r="A811" t="s">
        <v>3552</v>
      </c>
      <c r="B811" s="4">
        <v>45745</v>
      </c>
      <c r="C811" s="4" t="str">
        <f>TEXT(ESales_DB[[#This Row],[Order_Date]],"mmm")</f>
        <v>Mar</v>
      </c>
      <c r="D811" t="s">
        <v>428</v>
      </c>
      <c r="E811" t="s">
        <v>1674</v>
      </c>
      <c r="F811" t="s">
        <v>1773</v>
      </c>
      <c r="G811">
        <v>4</v>
      </c>
      <c r="H811" s="10">
        <f>IF(ISBLANK(ESales_DB[[#This Row],[Quantity]]),AVERAGEIF(ESales_DB[Product_ID],ESales_DB[[#This Row],[Product_ID]],ESales_DB[Quantity]),ESales_DB[[#This Row],[Quantity]])</f>
        <v>4</v>
      </c>
      <c r="I811" s="2">
        <v>688.86</v>
      </c>
      <c r="J811">
        <v>0.02</v>
      </c>
      <c r="K811" t="s">
        <v>1829</v>
      </c>
      <c r="L811" s="2">
        <v>2700.3312000000001</v>
      </c>
      <c r="M811" s="2" t="str">
        <f>IF(ESales_DB[[#This Row],[Total_Amount]]&gt;1000,"High","Low")</f>
        <v>High</v>
      </c>
      <c r="N811" s="2" t="str">
        <f>VLOOKUP(ESales_DB[[#This Row],[Customer_ID]],Ecustom_DB[],3,FALSE)</f>
        <v>Donald Lee</v>
      </c>
      <c r="O811" s="2" t="str">
        <f>_xlfn.XLOOKUP(ESales_DB[[#This Row],[Product_ID]],Eproduct_DB[Product_ID],Eproduct_DB[Category])</f>
        <v>Beauty</v>
      </c>
      <c r="P811" s="2" t="str">
        <f>_xlfn.XLOOKUP(ESales_DB[[#This Row],[Product_ID]],Eproduct_DB[Product_ID],Eproduct_DB[Product_Name])</f>
        <v>Organic Sunscreen Lotion</v>
      </c>
      <c r="Q811" s="2" t="str">
        <f>_xlfn.XLOOKUP(ESales_DB[[#This Row],[Store_ID]],Estore_DB[Store_ID],Estore_DB[Region])</f>
        <v>North</v>
      </c>
      <c r="R811" t="str">
        <f>VLOOKUP(ESales_DB[[#This Row],[Customer_ID]],Ecustom_DB[],10,FALSE)</f>
        <v>Bronze</v>
      </c>
      <c r="S811" t="str">
        <f>IF(ESales_DB[[#This Row],[Quantity1]]&gt;3,"Bulk order","Normal order")</f>
        <v>Bulk order</v>
      </c>
    </row>
    <row r="812" spans="1:19" x14ac:dyDescent="0.3">
      <c r="A812" t="s">
        <v>3553</v>
      </c>
      <c r="B812" s="4">
        <v>45214</v>
      </c>
      <c r="C812" s="4" t="str">
        <f>TEXT(ESales_DB[[#This Row],[Order_Date]],"mmm")</f>
        <v>Oct</v>
      </c>
      <c r="D812" t="s">
        <v>100</v>
      </c>
      <c r="E812" t="s">
        <v>1572</v>
      </c>
      <c r="F812" t="s">
        <v>1752</v>
      </c>
      <c r="G812">
        <v>1</v>
      </c>
      <c r="H812" s="10">
        <f>IF(ISBLANK(ESales_DB[[#This Row],[Quantity]]),AVERAGEIF(ESales_DB[Product_ID],ESales_DB[[#This Row],[Product_ID]],ESales_DB[Quantity]),ESales_DB[[#This Row],[Quantity]])</f>
        <v>1</v>
      </c>
      <c r="I812" s="2">
        <v>145.47999999999999</v>
      </c>
      <c r="J812">
        <v>0.1</v>
      </c>
      <c r="K812" t="s">
        <v>1829</v>
      </c>
      <c r="L812" s="2">
        <v>130.93199999999999</v>
      </c>
      <c r="M812" s="2" t="str">
        <f>IF(ESales_DB[[#This Row],[Total_Amount]]&gt;1000,"High","Low")</f>
        <v>Low</v>
      </c>
      <c r="N812" s="2" t="str">
        <f>VLOOKUP(ESales_DB[[#This Row],[Customer_ID]],Ecustom_DB[],3,FALSE)</f>
        <v>Jonathan Steele</v>
      </c>
      <c r="O812" s="2" t="str">
        <f>_xlfn.XLOOKUP(ESales_DB[[#This Row],[Product_ID]],Eproduct_DB[Product_ID],Eproduct_DB[Category])</f>
        <v>Beauty</v>
      </c>
      <c r="P812" s="2" t="str">
        <f>_xlfn.XLOOKUP(ESales_DB[[#This Row],[Product_ID]],Eproduct_DB[Product_ID],Eproduct_DB[Product_Name])</f>
        <v>Hair Strengthening Shampoo</v>
      </c>
      <c r="Q812" s="2" t="str">
        <f>_xlfn.XLOOKUP(ESales_DB[[#This Row],[Store_ID]],Estore_DB[Store_ID],Estore_DB[Region])</f>
        <v>East</v>
      </c>
      <c r="R812" t="str">
        <f>VLOOKUP(ESales_DB[[#This Row],[Customer_ID]],Ecustom_DB[],10,FALSE)</f>
        <v>Silver</v>
      </c>
      <c r="S812" t="str">
        <f>IF(ESales_DB[[#This Row],[Quantity1]]&gt;3,"Bulk order","Normal order")</f>
        <v>Normal order</v>
      </c>
    </row>
    <row r="813" spans="1:19" x14ac:dyDescent="0.3">
      <c r="A813" t="s">
        <v>3554</v>
      </c>
      <c r="B813" s="4">
        <v>45547</v>
      </c>
      <c r="C813" s="4" t="str">
        <f>TEXT(ESales_DB[[#This Row],[Order_Date]],"mmm")</f>
        <v>Sep</v>
      </c>
      <c r="D813" t="s">
        <v>198</v>
      </c>
      <c r="E813" t="s">
        <v>1610</v>
      </c>
      <c r="F813" t="s">
        <v>1792</v>
      </c>
      <c r="G813">
        <v>4</v>
      </c>
      <c r="H813" s="10">
        <f>IF(ISBLANK(ESales_DB[[#This Row],[Quantity]]),AVERAGEIF(ESales_DB[Product_ID],ESales_DB[[#This Row],[Product_ID]],ESales_DB[Quantity]),ESales_DB[[#This Row],[Quantity]])</f>
        <v>4</v>
      </c>
      <c r="I813" s="2">
        <v>862.25</v>
      </c>
      <c r="J813">
        <v>0.28000000000000003</v>
      </c>
      <c r="K813" t="s">
        <v>1826</v>
      </c>
      <c r="L813" s="2">
        <v>2483.2800000000002</v>
      </c>
      <c r="M813" s="2" t="str">
        <f>IF(ESales_DB[[#This Row],[Total_Amount]]&gt;1000,"High","Low")</f>
        <v>High</v>
      </c>
      <c r="N813" s="2" t="str">
        <f>VLOOKUP(ESales_DB[[#This Row],[Customer_ID]],Ecustom_DB[],3,FALSE)</f>
        <v>Debra Liu</v>
      </c>
      <c r="O813" s="2" t="str">
        <f>_xlfn.XLOOKUP(ESales_DB[[#This Row],[Product_ID]],Eproduct_DB[Product_ID],Eproduct_DB[Category])</f>
        <v>Sports</v>
      </c>
      <c r="P813" s="2" t="str">
        <f>_xlfn.XLOOKUP(ESales_DB[[#This Row],[Product_ID]],Eproduct_DB[Product_ID],Eproduct_DB[Product_Name])</f>
        <v>Basketball</v>
      </c>
      <c r="Q813" s="2" t="str">
        <f>_xlfn.XLOOKUP(ESales_DB[[#This Row],[Store_ID]],Estore_DB[Store_ID],Estore_DB[Region])</f>
        <v>South</v>
      </c>
      <c r="R813" t="str">
        <f>VLOOKUP(ESales_DB[[#This Row],[Customer_ID]],Ecustom_DB[],10,FALSE)</f>
        <v>Bronze</v>
      </c>
      <c r="S813" t="str">
        <f>IF(ESales_DB[[#This Row],[Quantity1]]&gt;3,"Bulk order","Normal order")</f>
        <v>Bulk order</v>
      </c>
    </row>
    <row r="814" spans="1:19" x14ac:dyDescent="0.3">
      <c r="A814" t="s">
        <v>3555</v>
      </c>
      <c r="B814" s="4">
        <v>45296</v>
      </c>
      <c r="C814" s="4" t="str">
        <f>TEXT(ESales_DB[[#This Row],[Order_Date]],"mmm")</f>
        <v>Jan</v>
      </c>
      <c r="D814" t="s">
        <v>926</v>
      </c>
      <c r="E814" t="s">
        <v>1546</v>
      </c>
      <c r="F814" t="s">
        <v>1799</v>
      </c>
      <c r="G814">
        <v>4</v>
      </c>
      <c r="H814" s="10">
        <f>IF(ISBLANK(ESales_DB[[#This Row],[Quantity]]),AVERAGEIF(ESales_DB[Product_ID],ESales_DB[[#This Row],[Product_ID]],ESales_DB[Quantity]),ESales_DB[[#This Row],[Quantity]])</f>
        <v>4</v>
      </c>
      <c r="I814" s="2">
        <v>146.12</v>
      </c>
      <c r="J814">
        <v>0.12</v>
      </c>
      <c r="K814" t="s">
        <v>1829</v>
      </c>
      <c r="L814" s="2">
        <v>514.3424</v>
      </c>
      <c r="M814" s="2" t="str">
        <f>IF(ESales_DB[[#This Row],[Total_Amount]]&gt;1000,"High","Low")</f>
        <v>Low</v>
      </c>
      <c r="N814" s="2" t="str">
        <f>VLOOKUP(ESales_DB[[#This Row],[Customer_ID]],Ecustom_DB[],3,FALSE)</f>
        <v>Ricardo Jones</v>
      </c>
      <c r="O814" s="2" t="str">
        <f>_xlfn.XLOOKUP(ESales_DB[[#This Row],[Product_ID]],Eproduct_DB[Product_ID],Eproduct_DB[Category])</f>
        <v>Clothing</v>
      </c>
      <c r="P814" s="2" t="str">
        <f>_xlfn.XLOOKUP(ESales_DB[[#This Row],[Product_ID]],Eproduct_DB[Product_ID],Eproduct_DB[Product_Name])</f>
        <v>Men's Graphic T-Shirt</v>
      </c>
      <c r="Q814" s="2" t="str">
        <f>_xlfn.XLOOKUP(ESales_DB[[#This Row],[Store_ID]],Estore_DB[Store_ID],Estore_DB[Region])</f>
        <v>South</v>
      </c>
      <c r="R814" t="str">
        <f>VLOOKUP(ESales_DB[[#This Row],[Customer_ID]],Ecustom_DB[],10,FALSE)</f>
        <v>Silver</v>
      </c>
      <c r="S814" t="str">
        <f>IF(ESales_DB[[#This Row],[Quantity1]]&gt;3,"Bulk order","Normal order")</f>
        <v>Bulk order</v>
      </c>
    </row>
    <row r="815" spans="1:19" x14ac:dyDescent="0.3">
      <c r="A815" t="s">
        <v>1999</v>
      </c>
      <c r="B815" s="4">
        <v>45314</v>
      </c>
      <c r="C815" s="4" t="str">
        <f>TEXT(ESales_DB[[#This Row],[Order_Date]],"mmm")</f>
        <v>Jan</v>
      </c>
      <c r="D815" t="s">
        <v>1492</v>
      </c>
      <c r="E815" t="s">
        <v>1600</v>
      </c>
      <c r="F815" t="s">
        <v>1761</v>
      </c>
      <c r="G815">
        <v>2</v>
      </c>
      <c r="H815" s="10">
        <f>IF(ISBLANK(ESales_DB[[#This Row],[Quantity]]),AVERAGEIF(ESales_DB[Product_ID],ESales_DB[[#This Row],[Product_ID]],ESales_DB[Quantity]),ESales_DB[[#This Row],[Quantity]])</f>
        <v>2</v>
      </c>
      <c r="I815" s="2">
        <v>593.47</v>
      </c>
      <c r="J815">
        <v>0.1</v>
      </c>
      <c r="K815" t="s">
        <v>1829</v>
      </c>
      <c r="L815" s="2">
        <v>1068.2460000000001</v>
      </c>
      <c r="M815" s="2" t="str">
        <f>IF(ESales_DB[[#This Row],[Total_Amount]]&gt;1000,"High","Low")</f>
        <v>High</v>
      </c>
      <c r="N815" s="2" t="str">
        <f>VLOOKUP(ESales_DB[[#This Row],[Customer_ID]],Ecustom_DB[],3,FALSE)</f>
        <v>Sara Ingram</v>
      </c>
      <c r="O815" s="2" t="str">
        <f>_xlfn.XLOOKUP(ESales_DB[[#This Row],[Product_ID]],Eproduct_DB[Product_ID],Eproduct_DB[Category])</f>
        <v>Electronics</v>
      </c>
      <c r="P815" s="2" t="str">
        <f>_xlfn.XLOOKUP(ESales_DB[[#This Row],[Product_ID]],Eproduct_DB[Product_ID],Eproduct_DB[Product_Name])</f>
        <v>Wireless Bluetooth Speaker</v>
      </c>
      <c r="Q815" s="2" t="str">
        <f>_xlfn.XLOOKUP(ESales_DB[[#This Row],[Store_ID]],Estore_DB[Store_ID],Estore_DB[Region])</f>
        <v>South</v>
      </c>
      <c r="R815" t="str">
        <f>VLOOKUP(ESales_DB[[#This Row],[Customer_ID]],Ecustom_DB[],10,FALSE)</f>
        <v>Bronze</v>
      </c>
      <c r="S815" t="str">
        <f>IF(ESales_DB[[#This Row],[Quantity1]]&gt;3,"Bulk order","Normal order")</f>
        <v>Normal order</v>
      </c>
    </row>
    <row r="816" spans="1:19" x14ac:dyDescent="0.3">
      <c r="A816" t="s">
        <v>3556</v>
      </c>
      <c r="B816" s="4">
        <v>45549</v>
      </c>
      <c r="C816" s="4" t="str">
        <f>TEXT(ESales_DB[[#This Row],[Order_Date]],"mmm")</f>
        <v>Sep</v>
      </c>
      <c r="D816" t="s">
        <v>1472</v>
      </c>
      <c r="E816" t="s">
        <v>1610</v>
      </c>
      <c r="F816" t="s">
        <v>1810</v>
      </c>
      <c r="G816">
        <v>2</v>
      </c>
      <c r="H816" s="10">
        <f>IF(ISBLANK(ESales_DB[[#This Row],[Quantity]]),AVERAGEIF(ESales_DB[Product_ID],ESales_DB[[#This Row],[Product_ID]],ESales_DB[Quantity]),ESales_DB[[#This Row],[Quantity]])</f>
        <v>2</v>
      </c>
      <c r="I816" s="2">
        <v>695.02</v>
      </c>
      <c r="J816">
        <v>0.3</v>
      </c>
      <c r="K816" t="s">
        <v>1829</v>
      </c>
      <c r="L816" s="2">
        <v>973.02799999999991</v>
      </c>
      <c r="M816" s="2" t="str">
        <f>IF(ESales_DB[[#This Row],[Total_Amount]]&gt;1000,"High","Low")</f>
        <v>Low</v>
      </c>
      <c r="N816" s="2" t="str">
        <f>VLOOKUP(ESales_DB[[#This Row],[Customer_ID]],Ecustom_DB[],3,FALSE)</f>
        <v>Earl Smith Dds</v>
      </c>
      <c r="O816" s="2" t="str">
        <f>_xlfn.XLOOKUP(ESales_DB[[#This Row],[Product_ID]],Eproduct_DB[Product_ID],Eproduct_DB[Category])</f>
        <v>Sports</v>
      </c>
      <c r="P816" s="2" t="str">
        <f>_xlfn.XLOOKUP(ESales_DB[[#This Row],[Product_ID]],Eproduct_DB[Product_ID],Eproduct_DB[Product_Name])</f>
        <v>Basketball</v>
      </c>
      <c r="Q816" s="2" t="str">
        <f>_xlfn.XLOOKUP(ESales_DB[[#This Row],[Store_ID]],Estore_DB[Store_ID],Estore_DB[Region])</f>
        <v>East</v>
      </c>
      <c r="R816" t="str">
        <f>VLOOKUP(ESales_DB[[#This Row],[Customer_ID]],Ecustom_DB[],10,FALSE)</f>
        <v>Gold</v>
      </c>
      <c r="S816" t="str">
        <f>IF(ESales_DB[[#This Row],[Quantity1]]&gt;3,"Bulk order","Normal order")</f>
        <v>Normal order</v>
      </c>
    </row>
    <row r="817" spans="1:19" x14ac:dyDescent="0.3">
      <c r="A817" t="s">
        <v>3557</v>
      </c>
      <c r="B817" s="4">
        <v>45231</v>
      </c>
      <c r="C817" s="4" t="str">
        <f>TEXT(ESales_DB[[#This Row],[Order_Date]],"mmm")</f>
        <v>Nov</v>
      </c>
      <c r="D817" t="s">
        <v>711</v>
      </c>
      <c r="E817" t="s">
        <v>1736</v>
      </c>
      <c r="F817" t="s">
        <v>1789</v>
      </c>
      <c r="G817">
        <v>2</v>
      </c>
      <c r="H817" s="10">
        <f>IF(ISBLANK(ESales_DB[[#This Row],[Quantity]]),AVERAGEIF(ESales_DB[Product_ID],ESales_DB[[#This Row],[Product_ID]],ESales_DB[Quantity]),ESales_DB[[#This Row],[Quantity]])</f>
        <v>2</v>
      </c>
      <c r="I817" s="2">
        <v>886.67</v>
      </c>
      <c r="J817">
        <v>0.24</v>
      </c>
      <c r="K817" t="s">
        <v>1826</v>
      </c>
      <c r="L817" s="2">
        <v>1347.7384</v>
      </c>
      <c r="M817" s="2" t="str">
        <f>IF(ESales_DB[[#This Row],[Total_Amount]]&gt;1000,"High","Low")</f>
        <v>High</v>
      </c>
      <c r="N817" s="2" t="str">
        <f>VLOOKUP(ESales_DB[[#This Row],[Customer_ID]],Ecustom_DB[],3,FALSE)</f>
        <v>Jordan Wells</v>
      </c>
      <c r="O817" s="2" t="str">
        <f>_xlfn.XLOOKUP(ESales_DB[[#This Row],[Product_ID]],Eproduct_DB[Product_ID],Eproduct_DB[Category])</f>
        <v>Beauty</v>
      </c>
      <c r="P817" s="2" t="str">
        <f>_xlfn.XLOOKUP(ESales_DB[[#This Row],[Product_ID]],Eproduct_DB[Product_ID],Eproduct_DB[Product_Name])</f>
        <v>Vitamin E Body Lotion</v>
      </c>
      <c r="Q817" s="2" t="str">
        <f>_xlfn.XLOOKUP(ESales_DB[[#This Row],[Store_ID]],Estore_DB[Store_ID],Estore_DB[Region])</f>
        <v>East</v>
      </c>
      <c r="R817" t="str">
        <f>VLOOKUP(ESales_DB[[#This Row],[Customer_ID]],Ecustom_DB[],10,FALSE)</f>
        <v>Gold</v>
      </c>
      <c r="S817" t="str">
        <f>IF(ESales_DB[[#This Row],[Quantity1]]&gt;3,"Bulk order","Normal order")</f>
        <v>Normal order</v>
      </c>
    </row>
    <row r="818" spans="1:19" x14ac:dyDescent="0.3">
      <c r="A818" t="s">
        <v>3558</v>
      </c>
      <c r="B818" s="4">
        <v>45628</v>
      </c>
      <c r="C818" s="4" t="str">
        <f>TEXT(ESales_DB[[#This Row],[Order_Date]],"mmm")</f>
        <v>Dec</v>
      </c>
      <c r="D818" t="s">
        <v>205</v>
      </c>
      <c r="E818" t="s">
        <v>1680</v>
      </c>
      <c r="F818" t="s">
        <v>1810</v>
      </c>
      <c r="G818">
        <v>2</v>
      </c>
      <c r="H818" s="10">
        <f>IF(ISBLANK(ESales_DB[[#This Row],[Quantity]]),AVERAGEIF(ESales_DB[Product_ID],ESales_DB[[#This Row],[Product_ID]],ESales_DB[Quantity]),ESales_DB[[#This Row],[Quantity]])</f>
        <v>2</v>
      </c>
      <c r="I818" s="2">
        <v>864.09</v>
      </c>
      <c r="J818">
        <v>0.06</v>
      </c>
      <c r="K818" t="s">
        <v>1829</v>
      </c>
      <c r="L818" s="2">
        <v>1624.4892</v>
      </c>
      <c r="M818" s="2" t="str">
        <f>IF(ESales_DB[[#This Row],[Total_Amount]]&gt;1000,"High","Low")</f>
        <v>High</v>
      </c>
      <c r="N818" s="2" t="str">
        <f>VLOOKUP(ESales_DB[[#This Row],[Customer_ID]],Ecustom_DB[],3,FALSE)</f>
        <v>Katherine Dorsey</v>
      </c>
      <c r="O818" s="2" t="str">
        <f>_xlfn.XLOOKUP(ESales_DB[[#This Row],[Product_ID]],Eproduct_DB[Product_ID],Eproduct_DB[Category])</f>
        <v>Beauty</v>
      </c>
      <c r="P818" s="2" t="str">
        <f>_xlfn.XLOOKUP(ESales_DB[[#This Row],[Product_ID]],Eproduct_DB[Product_ID],Eproduct_DB[Product_Name])</f>
        <v>Women's Hair Dryer Brush</v>
      </c>
      <c r="Q818" s="2" t="str">
        <f>_xlfn.XLOOKUP(ESales_DB[[#This Row],[Store_ID]],Estore_DB[Store_ID],Estore_DB[Region])</f>
        <v>East</v>
      </c>
      <c r="R818" t="str">
        <f>VLOOKUP(ESales_DB[[#This Row],[Customer_ID]],Ecustom_DB[],10,FALSE)</f>
        <v>Platinum</v>
      </c>
      <c r="S818" t="str">
        <f>IF(ESales_DB[[#This Row],[Quantity1]]&gt;3,"Bulk order","Normal order")</f>
        <v>Normal order</v>
      </c>
    </row>
    <row r="819" spans="1:19" x14ac:dyDescent="0.3">
      <c r="A819" t="s">
        <v>3559</v>
      </c>
      <c r="B819" s="4">
        <v>45862</v>
      </c>
      <c r="C819" s="4" t="str">
        <f>TEXT(ESales_DB[[#This Row],[Order_Date]],"mmm")</f>
        <v>Jul</v>
      </c>
      <c r="D819" t="s">
        <v>23</v>
      </c>
      <c r="E819" t="s">
        <v>1572</v>
      </c>
      <c r="F819" t="s">
        <v>1786</v>
      </c>
      <c r="G819">
        <v>1</v>
      </c>
      <c r="H819" s="10">
        <f>IF(ISBLANK(ESales_DB[[#This Row],[Quantity]]),AVERAGEIF(ESales_DB[Product_ID],ESales_DB[[#This Row],[Product_ID]],ESales_DB[Quantity]),ESales_DB[[#This Row],[Quantity]])</f>
        <v>1</v>
      </c>
      <c r="I819" s="2">
        <v>437.65</v>
      </c>
      <c r="J819">
        <v>0.02</v>
      </c>
      <c r="K819" t="s">
        <v>1826</v>
      </c>
      <c r="L819" s="2">
        <v>428.89699999999999</v>
      </c>
      <c r="M819" s="2" t="str">
        <f>IF(ESales_DB[[#This Row],[Total_Amount]]&gt;1000,"High","Low")</f>
        <v>Low</v>
      </c>
      <c r="N819" s="2" t="str">
        <f>VLOOKUP(ESales_DB[[#This Row],[Customer_ID]],Ecustom_DB[],3,FALSE)</f>
        <v>Jeremy Harris</v>
      </c>
      <c r="O819" s="2" t="str">
        <f>_xlfn.XLOOKUP(ESales_DB[[#This Row],[Product_ID]],Eproduct_DB[Product_ID],Eproduct_DB[Category])</f>
        <v>Beauty</v>
      </c>
      <c r="P819" s="2" t="str">
        <f>_xlfn.XLOOKUP(ESales_DB[[#This Row],[Product_ID]],Eproduct_DB[Product_ID],Eproduct_DB[Product_Name])</f>
        <v>Hair Strengthening Shampoo</v>
      </c>
      <c r="Q819" s="2" t="str">
        <f>_xlfn.XLOOKUP(ESales_DB[[#This Row],[Store_ID]],Estore_DB[Store_ID],Estore_DB[Region])</f>
        <v>South</v>
      </c>
      <c r="R819" t="str">
        <f>VLOOKUP(ESales_DB[[#This Row],[Customer_ID]],Ecustom_DB[],10,FALSE)</f>
        <v>Bronze</v>
      </c>
      <c r="S819" t="str">
        <f>IF(ESales_DB[[#This Row],[Quantity1]]&gt;3,"Bulk order","Normal order")</f>
        <v>Normal order</v>
      </c>
    </row>
    <row r="820" spans="1:19" x14ac:dyDescent="0.3">
      <c r="A820" t="s">
        <v>3560</v>
      </c>
      <c r="B820" s="4">
        <v>45843</v>
      </c>
      <c r="C820" s="4" t="str">
        <f>TEXT(ESales_DB[[#This Row],[Order_Date]],"mmm")</f>
        <v>Jul</v>
      </c>
      <c r="D820" t="s">
        <v>660</v>
      </c>
      <c r="E820" t="s">
        <v>1620</v>
      </c>
      <c r="F820" t="s">
        <v>1797</v>
      </c>
      <c r="G820">
        <v>2</v>
      </c>
      <c r="H820" s="10">
        <f>IF(ISBLANK(ESales_DB[[#This Row],[Quantity]]),AVERAGEIF(ESales_DB[Product_ID],ESales_DB[[#This Row],[Product_ID]],ESales_DB[Quantity]),ESales_DB[[#This Row],[Quantity]])</f>
        <v>2</v>
      </c>
      <c r="I820" s="2">
        <v>208.09</v>
      </c>
      <c r="J820">
        <v>0.27</v>
      </c>
      <c r="K820" t="s">
        <v>1824</v>
      </c>
      <c r="L820" s="2">
        <v>303.81139999999999</v>
      </c>
      <c r="M820" s="2" t="str">
        <f>IF(ESales_DB[[#This Row],[Total_Amount]]&gt;1000,"High","Low")</f>
        <v>Low</v>
      </c>
      <c r="N820" s="2" t="str">
        <f>VLOOKUP(ESales_DB[[#This Row],[Customer_ID]],Ecustom_DB[],3,FALSE)</f>
        <v>Christina Garcia</v>
      </c>
      <c r="O820" s="2" t="str">
        <f>_xlfn.XLOOKUP(ESales_DB[[#This Row],[Product_ID]],Eproduct_DB[Product_ID],Eproduct_DB[Category])</f>
        <v>Clothing</v>
      </c>
      <c r="P820" s="2" t="str">
        <f>_xlfn.XLOOKUP(ESales_DB[[#This Row],[Product_ID]],Eproduct_DB[Product_ID],Eproduct_DB[Product_Name])</f>
        <v>Women's Summer Dress</v>
      </c>
      <c r="Q820" s="2" t="str">
        <f>_xlfn.XLOOKUP(ESales_DB[[#This Row],[Store_ID]],Estore_DB[Store_ID],Estore_DB[Region])</f>
        <v>East</v>
      </c>
      <c r="R820" t="str">
        <f>VLOOKUP(ESales_DB[[#This Row],[Customer_ID]],Ecustom_DB[],10,FALSE)</f>
        <v>Platinum</v>
      </c>
      <c r="S820" t="str">
        <f>IF(ESales_DB[[#This Row],[Quantity1]]&gt;3,"Bulk order","Normal order")</f>
        <v>Normal order</v>
      </c>
    </row>
    <row r="821" spans="1:19" x14ac:dyDescent="0.3">
      <c r="A821" t="s">
        <v>3561</v>
      </c>
      <c r="B821" s="4">
        <v>45482</v>
      </c>
      <c r="C821" s="4" t="str">
        <f>TEXT(ESales_DB[[#This Row],[Order_Date]],"mmm")</f>
        <v>Jul</v>
      </c>
      <c r="D821" t="s">
        <v>205</v>
      </c>
      <c r="E821" t="s">
        <v>1734</v>
      </c>
      <c r="F821" t="s">
        <v>1807</v>
      </c>
      <c r="G821">
        <v>4</v>
      </c>
      <c r="H821" s="10">
        <f>IF(ISBLANK(ESales_DB[[#This Row],[Quantity]]),AVERAGEIF(ESales_DB[Product_ID],ESales_DB[[#This Row],[Product_ID]],ESales_DB[Quantity]),ESales_DB[[#This Row],[Quantity]])</f>
        <v>4</v>
      </c>
      <c r="I821" s="2">
        <v>825.78</v>
      </c>
      <c r="J821">
        <v>0.02</v>
      </c>
      <c r="K821" t="s">
        <v>1824</v>
      </c>
      <c r="L821" s="2">
        <v>3237.0576000000001</v>
      </c>
      <c r="M821" s="2" t="str">
        <f>IF(ESales_DB[[#This Row],[Total_Amount]]&gt;1000,"High","Low")</f>
        <v>High</v>
      </c>
      <c r="N821" s="2" t="str">
        <f>VLOOKUP(ESales_DB[[#This Row],[Customer_ID]],Ecustom_DB[],3,FALSE)</f>
        <v>Katherine Dorsey</v>
      </c>
      <c r="O821" s="2" t="str">
        <f>_xlfn.XLOOKUP(ESales_DB[[#This Row],[Product_ID]],Eproduct_DB[Product_ID],Eproduct_DB[Category])</f>
        <v>Electronics</v>
      </c>
      <c r="P821" s="2" t="str">
        <f>_xlfn.XLOOKUP(ESales_DB[[#This Row],[Product_ID]],Eproduct_DB[Product_ID],Eproduct_DB[Product_Name])</f>
        <v>USB-C Laptop Charger</v>
      </c>
      <c r="Q821" s="2" t="str">
        <f>_xlfn.XLOOKUP(ESales_DB[[#This Row],[Store_ID]],Estore_DB[Store_ID],Estore_DB[Region])</f>
        <v>North</v>
      </c>
      <c r="R821" t="str">
        <f>VLOOKUP(ESales_DB[[#This Row],[Customer_ID]],Ecustom_DB[],10,FALSE)</f>
        <v>Platinum</v>
      </c>
      <c r="S821" t="str">
        <f>IF(ESales_DB[[#This Row],[Quantity1]]&gt;3,"Bulk order","Normal order")</f>
        <v>Bulk order</v>
      </c>
    </row>
    <row r="822" spans="1:19" x14ac:dyDescent="0.3">
      <c r="A822" t="s">
        <v>3562</v>
      </c>
      <c r="B822" s="4">
        <v>45313</v>
      </c>
      <c r="C822" s="4" t="str">
        <f>TEXT(ESales_DB[[#This Row],[Order_Date]],"mmm")</f>
        <v>Jan</v>
      </c>
      <c r="D822" t="s">
        <v>405</v>
      </c>
      <c r="E822" t="s">
        <v>1598</v>
      </c>
      <c r="F822" t="s">
        <v>1807</v>
      </c>
      <c r="G822">
        <v>3</v>
      </c>
      <c r="H822" s="10">
        <f>IF(ISBLANK(ESales_DB[[#This Row],[Quantity]]),AVERAGEIF(ESales_DB[Product_ID],ESales_DB[[#This Row],[Product_ID]],ESales_DB[Quantity]),ESales_DB[[#This Row],[Quantity]])</f>
        <v>3</v>
      </c>
      <c r="I822" s="2">
        <v>849.77</v>
      </c>
      <c r="J822">
        <v>0.12</v>
      </c>
      <c r="K822" t="s">
        <v>1826</v>
      </c>
      <c r="L822" s="2">
        <v>2243.3928000000001</v>
      </c>
      <c r="M822" s="2" t="str">
        <f>IF(ESales_DB[[#This Row],[Total_Amount]]&gt;1000,"High","Low")</f>
        <v>High</v>
      </c>
      <c r="N822" s="2" t="str">
        <f>VLOOKUP(ESales_DB[[#This Row],[Customer_ID]],Ecustom_DB[],3,FALSE)</f>
        <v>Anthony Phillips</v>
      </c>
      <c r="O822" s="2" t="str">
        <f>_xlfn.XLOOKUP(ESales_DB[[#This Row],[Product_ID]],Eproduct_DB[Product_ID],Eproduct_DB[Category])</f>
        <v>Clothing</v>
      </c>
      <c r="P822" s="2" t="str">
        <f>_xlfn.XLOOKUP(ESales_DB[[#This Row],[Product_ID]],Eproduct_DB[Product_ID],Eproduct_DB[Product_Name])</f>
        <v>Women's Scarf Set</v>
      </c>
      <c r="Q822" s="2" t="str">
        <f>_xlfn.XLOOKUP(ESales_DB[[#This Row],[Store_ID]],Estore_DB[Store_ID],Estore_DB[Region])</f>
        <v>North</v>
      </c>
      <c r="R822" t="str">
        <f>VLOOKUP(ESales_DB[[#This Row],[Customer_ID]],Ecustom_DB[],10,FALSE)</f>
        <v>Platinum</v>
      </c>
      <c r="S822" t="str">
        <f>IF(ESales_DB[[#This Row],[Quantity1]]&gt;3,"Bulk order","Normal order")</f>
        <v>Normal order</v>
      </c>
    </row>
    <row r="823" spans="1:19" x14ac:dyDescent="0.3">
      <c r="A823" t="s">
        <v>3563</v>
      </c>
      <c r="B823" s="4">
        <v>45314</v>
      </c>
      <c r="C823" s="4" t="str">
        <f>TEXT(ESales_DB[[#This Row],[Order_Date]],"mmm")</f>
        <v>Jan</v>
      </c>
      <c r="D823" t="s">
        <v>1080</v>
      </c>
      <c r="E823" t="s">
        <v>1668</v>
      </c>
      <c r="F823" t="s">
        <v>1769</v>
      </c>
      <c r="G823">
        <v>1</v>
      </c>
      <c r="H823" s="10">
        <f>IF(ISBLANK(ESales_DB[[#This Row],[Quantity]]),AVERAGEIF(ESales_DB[Product_ID],ESales_DB[[#This Row],[Product_ID]],ESales_DB[Quantity]),ESales_DB[[#This Row],[Quantity]])</f>
        <v>1</v>
      </c>
      <c r="I823" s="2">
        <v>88.78</v>
      </c>
      <c r="J823">
        <v>0.18</v>
      </c>
      <c r="K823" t="s">
        <v>1824</v>
      </c>
      <c r="L823" s="2">
        <v>72.799600000000012</v>
      </c>
      <c r="M823" s="2" t="str">
        <f>IF(ESales_DB[[#This Row],[Total_Amount]]&gt;1000,"High","Low")</f>
        <v>Low</v>
      </c>
      <c r="N823" s="2" t="str">
        <f>VLOOKUP(ESales_DB[[#This Row],[Customer_ID]],Ecustom_DB[],3,FALSE)</f>
        <v>Evelyn Brown</v>
      </c>
      <c r="O823" s="2" t="str">
        <f>_xlfn.XLOOKUP(ESales_DB[[#This Row],[Product_ID]],Eproduct_DB[Product_ID],Eproduct_DB[Category])</f>
        <v>Beauty</v>
      </c>
      <c r="P823" s="2" t="str">
        <f>_xlfn.XLOOKUP(ESales_DB[[#This Row],[Product_ID]],Eproduct_DB[Product_ID],Eproduct_DB[Product_Name])</f>
        <v>Luxury Perfume Spray</v>
      </c>
      <c r="Q823" s="2" t="str">
        <f>_xlfn.XLOOKUP(ESales_DB[[#This Row],[Store_ID]],Estore_DB[Store_ID],Estore_DB[Region])</f>
        <v>South</v>
      </c>
      <c r="R823" t="str">
        <f>VLOOKUP(ESales_DB[[#This Row],[Customer_ID]],Ecustom_DB[],10,FALSE)</f>
        <v>Gold</v>
      </c>
      <c r="S823" t="str">
        <f>IF(ESales_DB[[#This Row],[Quantity1]]&gt;3,"Bulk order","Normal order")</f>
        <v>Normal order</v>
      </c>
    </row>
    <row r="824" spans="1:19" x14ac:dyDescent="0.3">
      <c r="A824" t="s">
        <v>3564</v>
      </c>
      <c r="B824" s="4">
        <v>45526</v>
      </c>
      <c r="C824" s="4" t="str">
        <f>TEXT(ESales_DB[[#This Row],[Order_Date]],"mmm")</f>
        <v>Aug</v>
      </c>
      <c r="D824" t="s">
        <v>628</v>
      </c>
      <c r="E824" t="s">
        <v>1704</v>
      </c>
      <c r="F824" t="s">
        <v>1769</v>
      </c>
      <c r="G824">
        <v>4</v>
      </c>
      <c r="H824" s="10">
        <f>IF(ISBLANK(ESales_DB[[#This Row],[Quantity]]),AVERAGEIF(ESales_DB[Product_ID],ESales_DB[[#This Row],[Product_ID]],ESales_DB[Quantity]),ESales_DB[[#This Row],[Quantity]])</f>
        <v>4</v>
      </c>
      <c r="I824" s="2">
        <v>507.22</v>
      </c>
      <c r="J824">
        <v>0.14000000000000001</v>
      </c>
      <c r="K824" t="s">
        <v>1826</v>
      </c>
      <c r="L824" s="2">
        <v>1744.8368</v>
      </c>
      <c r="M824" s="2" t="str">
        <f>IF(ESales_DB[[#This Row],[Total_Amount]]&gt;1000,"High","Low")</f>
        <v>High</v>
      </c>
      <c r="N824" s="2" t="str">
        <f>VLOOKUP(ESales_DB[[#This Row],[Customer_ID]],Ecustom_DB[],3,FALSE)</f>
        <v>Todd Poole</v>
      </c>
      <c r="O824" s="2" t="str">
        <f>_xlfn.XLOOKUP(ESales_DB[[#This Row],[Product_ID]],Eproduct_DB[Product_ID],Eproduct_DB[Category])</f>
        <v>Home</v>
      </c>
      <c r="P824" s="2" t="str">
        <f>_xlfn.XLOOKUP(ESales_DB[[#This Row],[Product_ID]],Eproduct_DB[Product_ID],Eproduct_DB[Product_Name])</f>
        <v>Essential Oil Diffuser</v>
      </c>
      <c r="Q824" s="2" t="str">
        <f>_xlfn.XLOOKUP(ESales_DB[[#This Row],[Store_ID]],Estore_DB[Store_ID],Estore_DB[Region])</f>
        <v>South</v>
      </c>
      <c r="R824" t="str">
        <f>VLOOKUP(ESales_DB[[#This Row],[Customer_ID]],Ecustom_DB[],10,FALSE)</f>
        <v>Bronze</v>
      </c>
      <c r="S824" t="str">
        <f>IF(ESales_DB[[#This Row],[Quantity1]]&gt;3,"Bulk order","Normal order")</f>
        <v>Bulk order</v>
      </c>
    </row>
    <row r="825" spans="1:19" x14ac:dyDescent="0.3">
      <c r="A825" t="s">
        <v>3565</v>
      </c>
      <c r="B825" s="4">
        <v>45887</v>
      </c>
      <c r="C825" s="4" t="str">
        <f>TEXT(ESales_DB[[#This Row],[Order_Date]],"mmm")</f>
        <v>Aug</v>
      </c>
      <c r="D825" t="s">
        <v>996</v>
      </c>
      <c r="E825" t="s">
        <v>1740</v>
      </c>
      <c r="F825" t="s">
        <v>1752</v>
      </c>
      <c r="G825">
        <v>3</v>
      </c>
      <c r="H825" s="10">
        <f>IF(ISBLANK(ESales_DB[[#This Row],[Quantity]]),AVERAGEIF(ESales_DB[Product_ID],ESales_DB[[#This Row],[Product_ID]],ESales_DB[Quantity]),ESales_DB[[#This Row],[Quantity]])</f>
        <v>3</v>
      </c>
      <c r="I825" s="2">
        <v>330.98</v>
      </c>
      <c r="J825">
        <v>0.11</v>
      </c>
      <c r="K825" t="s">
        <v>1824</v>
      </c>
      <c r="L825" s="2">
        <v>883.71660000000008</v>
      </c>
      <c r="M825" s="2" t="str">
        <f>IF(ESales_DB[[#This Row],[Total_Amount]]&gt;1000,"High","Low")</f>
        <v>Low</v>
      </c>
      <c r="N825" s="2" t="str">
        <f>VLOOKUP(ESales_DB[[#This Row],[Customer_ID]],Ecustom_DB[],3,FALSE)</f>
        <v>Robert House</v>
      </c>
      <c r="O825" s="2" t="str">
        <f>_xlfn.XLOOKUP(ESales_DB[[#This Row],[Product_ID]],Eproduct_DB[Product_ID],Eproduct_DB[Category])</f>
        <v>Clothing</v>
      </c>
      <c r="P825" s="2" t="str">
        <f>_xlfn.XLOOKUP(ESales_DB[[#This Row],[Product_ID]],Eproduct_DB[Product_ID],Eproduct_DB[Product_Name])</f>
        <v>Women's Formal Blazer</v>
      </c>
      <c r="Q825" s="2" t="str">
        <f>_xlfn.XLOOKUP(ESales_DB[[#This Row],[Store_ID]],Estore_DB[Store_ID],Estore_DB[Region])</f>
        <v>East</v>
      </c>
      <c r="R825" t="str">
        <f>VLOOKUP(ESales_DB[[#This Row],[Customer_ID]],Ecustom_DB[],10,FALSE)</f>
        <v>Gold</v>
      </c>
      <c r="S825" t="str">
        <f>IF(ESales_DB[[#This Row],[Quantity1]]&gt;3,"Bulk order","Normal order")</f>
        <v>Normal order</v>
      </c>
    </row>
    <row r="826" spans="1:19" x14ac:dyDescent="0.3">
      <c r="A826" t="s">
        <v>2000</v>
      </c>
      <c r="B826" s="4">
        <v>45267</v>
      </c>
      <c r="C826" s="4" t="str">
        <f>TEXT(ESales_DB[[#This Row],[Order_Date]],"mmm")</f>
        <v>Dec</v>
      </c>
      <c r="D826" t="s">
        <v>929</v>
      </c>
      <c r="E826" t="s">
        <v>1588</v>
      </c>
      <c r="F826" t="s">
        <v>1779</v>
      </c>
      <c r="G826">
        <v>4</v>
      </c>
      <c r="H826" s="10">
        <f>IF(ISBLANK(ESales_DB[[#This Row],[Quantity]]),AVERAGEIF(ESales_DB[Product_ID],ESales_DB[[#This Row],[Product_ID]],ESales_DB[Quantity]),ESales_DB[[#This Row],[Quantity]])</f>
        <v>4</v>
      </c>
      <c r="I826" s="2">
        <v>756.28</v>
      </c>
      <c r="J826">
        <v>0.05</v>
      </c>
      <c r="K826" t="s">
        <v>1829</v>
      </c>
      <c r="L826" s="2">
        <v>2873.864</v>
      </c>
      <c r="M826" s="2" t="str">
        <f>IF(ESales_DB[[#This Row],[Total_Amount]]&gt;1000,"High","Low")</f>
        <v>High</v>
      </c>
      <c r="N826" s="2" t="str">
        <f>VLOOKUP(ESales_DB[[#This Row],[Customer_ID]],Ecustom_DB[],3,FALSE)</f>
        <v>Gloria Taylor</v>
      </c>
      <c r="O826" s="2" t="str">
        <f>_xlfn.XLOOKUP(ESales_DB[[#This Row],[Product_ID]],Eproduct_DB[Product_ID],Eproduct_DB[Category])</f>
        <v>Sports</v>
      </c>
      <c r="P826" s="2" t="str">
        <f>_xlfn.XLOOKUP(ESales_DB[[#This Row],[Product_ID]],Eproduct_DB[Product_ID],Eproduct_DB[Product_Name])</f>
        <v>Outdoor Sports Water Bottle</v>
      </c>
      <c r="Q826" s="2" t="str">
        <f>_xlfn.XLOOKUP(ESales_DB[[#This Row],[Store_ID]],Estore_DB[Store_ID],Estore_DB[Region])</f>
        <v>South</v>
      </c>
      <c r="R826" t="str">
        <f>VLOOKUP(ESales_DB[[#This Row],[Customer_ID]],Ecustom_DB[],10,FALSE)</f>
        <v>Platinum</v>
      </c>
      <c r="S826" t="str">
        <f>IF(ESales_DB[[#This Row],[Quantity1]]&gt;3,"Bulk order","Normal order")</f>
        <v>Bulk order</v>
      </c>
    </row>
    <row r="827" spans="1:19" x14ac:dyDescent="0.3">
      <c r="A827" t="s">
        <v>3566</v>
      </c>
      <c r="B827" s="4">
        <v>45562</v>
      </c>
      <c r="C827" s="4" t="str">
        <f>TEXT(ESales_DB[[#This Row],[Order_Date]],"mmm")</f>
        <v>Sep</v>
      </c>
      <c r="D827" t="s">
        <v>195</v>
      </c>
      <c r="E827" t="s">
        <v>1622</v>
      </c>
      <c r="F827" t="s">
        <v>1813</v>
      </c>
      <c r="G827">
        <v>4</v>
      </c>
      <c r="H827" s="10">
        <f>IF(ISBLANK(ESales_DB[[#This Row],[Quantity]]),AVERAGEIF(ESales_DB[Product_ID],ESales_DB[[#This Row],[Product_ID]],ESales_DB[Quantity]),ESales_DB[[#This Row],[Quantity]])</f>
        <v>4</v>
      </c>
      <c r="I827" s="2">
        <v>442.87</v>
      </c>
      <c r="J827">
        <v>0.08</v>
      </c>
      <c r="K827" t="s">
        <v>1824</v>
      </c>
      <c r="L827" s="2">
        <v>1629.7616</v>
      </c>
      <c r="M827" s="2" t="str">
        <f>IF(ESales_DB[[#This Row],[Total_Amount]]&gt;1000,"High","Low")</f>
        <v>High</v>
      </c>
      <c r="N827" s="2" t="str">
        <f>VLOOKUP(ESales_DB[[#This Row],[Customer_ID]],Ecustom_DB[],3,FALSE)</f>
        <v>Sarah Rodgers</v>
      </c>
      <c r="O827" s="2" t="str">
        <f>_xlfn.XLOOKUP(ESales_DB[[#This Row],[Product_ID]],Eproduct_DB[Product_ID],Eproduct_DB[Category])</f>
        <v>Clothing</v>
      </c>
      <c r="P827" s="2" t="str">
        <f>_xlfn.XLOOKUP(ESales_DB[[#This Row],[Product_ID]],Eproduct_DB[Product_ID],Eproduct_DB[Product_Name])</f>
        <v>Men's Casual Sneakers</v>
      </c>
      <c r="Q827" s="2" t="str">
        <f>_xlfn.XLOOKUP(ESales_DB[[#This Row],[Store_ID]],Estore_DB[Store_ID],Estore_DB[Region])</f>
        <v>East</v>
      </c>
      <c r="R827" t="str">
        <f>VLOOKUP(ESales_DB[[#This Row],[Customer_ID]],Ecustom_DB[],10,FALSE)</f>
        <v>Gold</v>
      </c>
      <c r="S827" t="str">
        <f>IF(ESales_DB[[#This Row],[Quantity1]]&gt;3,"Bulk order","Normal order")</f>
        <v>Bulk order</v>
      </c>
    </row>
    <row r="828" spans="1:19" x14ac:dyDescent="0.3">
      <c r="A828" t="s">
        <v>3567</v>
      </c>
      <c r="B828" s="4">
        <v>45880</v>
      </c>
      <c r="C828" s="4" t="str">
        <f>TEXT(ESales_DB[[#This Row],[Order_Date]],"mmm")</f>
        <v>Aug</v>
      </c>
      <c r="D828" t="s">
        <v>48</v>
      </c>
      <c r="E828" t="s">
        <v>1740</v>
      </c>
      <c r="F828" t="s">
        <v>1761</v>
      </c>
      <c r="G828">
        <v>2</v>
      </c>
      <c r="H828" s="10">
        <f>IF(ISBLANK(ESales_DB[[#This Row],[Quantity]]),AVERAGEIF(ESales_DB[Product_ID],ESales_DB[[#This Row],[Product_ID]],ESales_DB[Quantity]),ESales_DB[[#This Row],[Quantity]])</f>
        <v>2</v>
      </c>
      <c r="I828" s="2">
        <v>939.66</v>
      </c>
      <c r="J828">
        <v>0.14000000000000001</v>
      </c>
      <c r="K828" t="s">
        <v>1826</v>
      </c>
      <c r="L828" s="2">
        <v>1616.2152000000001</v>
      </c>
      <c r="M828" s="2" t="str">
        <f>IF(ESales_DB[[#This Row],[Total_Amount]]&gt;1000,"High","Low")</f>
        <v>High</v>
      </c>
      <c r="N828" s="2" t="str">
        <f>VLOOKUP(ESales_DB[[#This Row],[Customer_ID]],Ecustom_DB[],3,FALSE)</f>
        <v>Ms. Maria Leach</v>
      </c>
      <c r="O828" s="2" t="str">
        <f>_xlfn.XLOOKUP(ESales_DB[[#This Row],[Product_ID]],Eproduct_DB[Product_ID],Eproduct_DB[Category])</f>
        <v>Clothing</v>
      </c>
      <c r="P828" s="2" t="str">
        <f>_xlfn.XLOOKUP(ESales_DB[[#This Row],[Product_ID]],Eproduct_DB[Product_ID],Eproduct_DB[Product_Name])</f>
        <v>Women's Formal Blazer</v>
      </c>
      <c r="Q828" s="2" t="str">
        <f>_xlfn.XLOOKUP(ESales_DB[[#This Row],[Store_ID]],Estore_DB[Store_ID],Estore_DB[Region])</f>
        <v>South</v>
      </c>
      <c r="R828" t="str">
        <f>VLOOKUP(ESales_DB[[#This Row],[Customer_ID]],Ecustom_DB[],10,FALSE)</f>
        <v>Platinum</v>
      </c>
      <c r="S828" t="str">
        <f>IF(ESales_DB[[#This Row],[Quantity1]]&gt;3,"Bulk order","Normal order")</f>
        <v>Normal order</v>
      </c>
    </row>
    <row r="829" spans="1:19" x14ac:dyDescent="0.3">
      <c r="A829" t="s">
        <v>3568</v>
      </c>
      <c r="B829" s="4">
        <v>45556</v>
      </c>
      <c r="C829" s="4" t="str">
        <f>TEXT(ESales_DB[[#This Row],[Order_Date]],"mmm")</f>
        <v>Sep</v>
      </c>
      <c r="D829" t="s">
        <v>929</v>
      </c>
      <c r="E829" t="s">
        <v>1694</v>
      </c>
      <c r="F829" t="s">
        <v>1766</v>
      </c>
      <c r="G829">
        <v>1</v>
      </c>
      <c r="H829" s="10">
        <f>IF(ISBLANK(ESales_DB[[#This Row],[Quantity]]),AVERAGEIF(ESales_DB[Product_ID],ESales_DB[[#This Row],[Product_ID]],ESales_DB[Quantity]),ESales_DB[[#This Row],[Quantity]])</f>
        <v>1</v>
      </c>
      <c r="I829" s="2">
        <v>24.13</v>
      </c>
      <c r="J829">
        <v>0</v>
      </c>
      <c r="K829" t="s">
        <v>1824</v>
      </c>
      <c r="L829" s="2">
        <v>24.13</v>
      </c>
      <c r="M829" s="2" t="str">
        <f>IF(ESales_DB[[#This Row],[Total_Amount]]&gt;1000,"High","Low")</f>
        <v>Low</v>
      </c>
      <c r="N829" s="2" t="str">
        <f>VLOOKUP(ESales_DB[[#This Row],[Customer_ID]],Ecustom_DB[],3,FALSE)</f>
        <v>Gloria Taylor</v>
      </c>
      <c r="O829" s="2" t="str">
        <f>_xlfn.XLOOKUP(ESales_DB[[#This Row],[Product_ID]],Eproduct_DB[Product_ID],Eproduct_DB[Category])</f>
        <v>Sports</v>
      </c>
      <c r="P829" s="2" t="str">
        <f>_xlfn.XLOOKUP(ESales_DB[[#This Row],[Product_ID]],Eproduct_DB[Product_ID],Eproduct_DB[Product_Name])</f>
        <v>Shin Guards – Adult</v>
      </c>
      <c r="Q829" s="2" t="str">
        <f>_xlfn.XLOOKUP(ESales_DB[[#This Row],[Store_ID]],Estore_DB[Store_ID],Estore_DB[Region])</f>
        <v>North</v>
      </c>
      <c r="R829" t="str">
        <f>VLOOKUP(ESales_DB[[#This Row],[Customer_ID]],Ecustom_DB[],10,FALSE)</f>
        <v>Platinum</v>
      </c>
      <c r="S829" t="str">
        <f>IF(ESales_DB[[#This Row],[Quantity1]]&gt;3,"Bulk order","Normal order")</f>
        <v>Normal order</v>
      </c>
    </row>
    <row r="830" spans="1:19" x14ac:dyDescent="0.3">
      <c r="A830" t="s">
        <v>3569</v>
      </c>
      <c r="B830" s="4">
        <v>45355</v>
      </c>
      <c r="C830" s="4" t="str">
        <f>TEXT(ESales_DB[[#This Row],[Order_Date]],"mmm")</f>
        <v>Mar</v>
      </c>
      <c r="D830" t="s">
        <v>1139</v>
      </c>
      <c r="E830" t="s">
        <v>1630</v>
      </c>
      <c r="F830" t="s">
        <v>1766</v>
      </c>
      <c r="G830">
        <v>3</v>
      </c>
      <c r="H830" s="10">
        <f>IF(ISBLANK(ESales_DB[[#This Row],[Quantity]]),AVERAGEIF(ESales_DB[Product_ID],ESales_DB[[#This Row],[Product_ID]],ESales_DB[Quantity]),ESales_DB[[#This Row],[Quantity]])</f>
        <v>3</v>
      </c>
      <c r="I830" s="2">
        <v>239.54</v>
      </c>
      <c r="J830">
        <v>0.28999999999999998</v>
      </c>
      <c r="K830" t="s">
        <v>1829</v>
      </c>
      <c r="L830" s="2">
        <v>510.22019999999998</v>
      </c>
      <c r="M830" s="2" t="str">
        <f>IF(ESales_DB[[#This Row],[Total_Amount]]&gt;1000,"High","Low")</f>
        <v>Low</v>
      </c>
      <c r="N830" s="2" t="str">
        <f>VLOOKUP(ESales_DB[[#This Row],[Customer_ID]],Ecustom_DB[],3,FALSE)</f>
        <v>Chloe Aguilar</v>
      </c>
      <c r="O830" s="2" t="str">
        <f>_xlfn.XLOOKUP(ESales_DB[[#This Row],[Product_ID]],Eproduct_DB[Product_ID],Eproduct_DB[Category])</f>
        <v>Sports</v>
      </c>
      <c r="P830" s="2" t="str">
        <f>_xlfn.XLOOKUP(ESales_DB[[#This Row],[Product_ID]],Eproduct_DB[Product_ID],Eproduct_DB[Product_Name])</f>
        <v>Yoga Exercise Mat</v>
      </c>
      <c r="Q830" s="2" t="str">
        <f>_xlfn.XLOOKUP(ESales_DB[[#This Row],[Store_ID]],Estore_DB[Store_ID],Estore_DB[Region])</f>
        <v>North</v>
      </c>
      <c r="R830" t="str">
        <f>VLOOKUP(ESales_DB[[#This Row],[Customer_ID]],Ecustom_DB[],10,FALSE)</f>
        <v>Bronze</v>
      </c>
      <c r="S830" t="str">
        <f>IF(ESales_DB[[#This Row],[Quantity1]]&gt;3,"Bulk order","Normal order")</f>
        <v>Normal order</v>
      </c>
    </row>
    <row r="831" spans="1:19" x14ac:dyDescent="0.3">
      <c r="A831" t="s">
        <v>3570</v>
      </c>
      <c r="B831" s="4">
        <v>45244</v>
      </c>
      <c r="C831" s="4" t="str">
        <f>TEXT(ESales_DB[[#This Row],[Order_Date]],"mmm")</f>
        <v>Nov</v>
      </c>
      <c r="D831" t="s">
        <v>1484</v>
      </c>
      <c r="E831" t="s">
        <v>1640</v>
      </c>
      <c r="F831" t="s">
        <v>1799</v>
      </c>
      <c r="G831">
        <v>1</v>
      </c>
      <c r="H831" s="10">
        <f>IF(ISBLANK(ESales_DB[[#This Row],[Quantity]]),AVERAGEIF(ESales_DB[Product_ID],ESales_DB[[#This Row],[Product_ID]],ESales_DB[Quantity]),ESales_DB[[#This Row],[Quantity]])</f>
        <v>1</v>
      </c>
      <c r="I831" s="2">
        <v>588.53</v>
      </c>
      <c r="J831">
        <v>0.1</v>
      </c>
      <c r="K831" t="s">
        <v>1824</v>
      </c>
      <c r="L831" s="2">
        <v>529.67700000000002</v>
      </c>
      <c r="M831" s="2" t="str">
        <f>IF(ESales_DB[[#This Row],[Total_Amount]]&gt;1000,"High","Low")</f>
        <v>Low</v>
      </c>
      <c r="N831" s="2" t="str">
        <f>VLOOKUP(ESales_DB[[#This Row],[Customer_ID]],Ecustom_DB[],3,FALSE)</f>
        <v>Sheri Joyce</v>
      </c>
      <c r="O831" s="2" t="str">
        <f>_xlfn.XLOOKUP(ESales_DB[[#This Row],[Product_ID]],Eproduct_DB[Product_ID],Eproduct_DB[Category])</f>
        <v>Clothing</v>
      </c>
      <c r="P831" s="2" t="str">
        <f>_xlfn.XLOOKUP(ESales_DB[[#This Row],[Product_ID]],Eproduct_DB[Product_ID],Eproduct_DB[Product_Name])</f>
        <v>Men's Winter Jacket</v>
      </c>
      <c r="Q831" s="2" t="str">
        <f>_xlfn.XLOOKUP(ESales_DB[[#This Row],[Store_ID]],Estore_DB[Store_ID],Estore_DB[Region])</f>
        <v>South</v>
      </c>
      <c r="R831" t="str">
        <f>VLOOKUP(ESales_DB[[#This Row],[Customer_ID]],Ecustom_DB[],10,FALSE)</f>
        <v>Platinum</v>
      </c>
      <c r="S831" t="str">
        <f>IF(ESales_DB[[#This Row],[Quantity1]]&gt;3,"Bulk order","Normal order")</f>
        <v>Normal order</v>
      </c>
    </row>
    <row r="832" spans="1:19" x14ac:dyDescent="0.3">
      <c r="A832" t="s">
        <v>3571</v>
      </c>
      <c r="B832" s="4">
        <v>45863</v>
      </c>
      <c r="C832" s="4" t="str">
        <f>TEXT(ESales_DB[[#This Row],[Order_Date]],"mmm")</f>
        <v>Jul</v>
      </c>
      <c r="D832" t="s">
        <v>914</v>
      </c>
      <c r="E832" t="s">
        <v>1668</v>
      </c>
      <c r="F832" t="s">
        <v>1801</v>
      </c>
      <c r="G832">
        <v>1</v>
      </c>
      <c r="H832" s="10">
        <f>IF(ISBLANK(ESales_DB[[#This Row],[Quantity]]),AVERAGEIF(ESales_DB[Product_ID],ESales_DB[[#This Row],[Product_ID]],ESales_DB[Quantity]),ESales_DB[[#This Row],[Quantity]])</f>
        <v>1</v>
      </c>
      <c r="I832" s="2">
        <v>145.96</v>
      </c>
      <c r="J832">
        <v>0.3</v>
      </c>
      <c r="K832" t="s">
        <v>1824</v>
      </c>
      <c r="L832" s="2">
        <v>102.172</v>
      </c>
      <c r="M832" s="2" t="str">
        <f>IF(ESales_DB[[#This Row],[Total_Amount]]&gt;1000,"High","Low")</f>
        <v>Low</v>
      </c>
      <c r="N832" s="2" t="str">
        <f>VLOOKUP(ESales_DB[[#This Row],[Customer_ID]],Ecustom_DB[],3,FALSE)</f>
        <v>Misty Ferguson</v>
      </c>
      <c r="O832" s="2" t="str">
        <f>_xlfn.XLOOKUP(ESales_DB[[#This Row],[Product_ID]],Eproduct_DB[Product_ID],Eproduct_DB[Category])</f>
        <v>Beauty</v>
      </c>
      <c r="P832" s="2" t="str">
        <f>_xlfn.XLOOKUP(ESales_DB[[#This Row],[Product_ID]],Eproduct_DB[Product_ID],Eproduct_DB[Product_Name])</f>
        <v>Luxury Perfume Spray</v>
      </c>
      <c r="Q832" s="2" t="str">
        <f>_xlfn.XLOOKUP(ESales_DB[[#This Row],[Store_ID]],Estore_DB[Store_ID],Estore_DB[Region])</f>
        <v>North</v>
      </c>
      <c r="R832" t="str">
        <f>VLOOKUP(ESales_DB[[#This Row],[Customer_ID]],Ecustom_DB[],10,FALSE)</f>
        <v>Gold</v>
      </c>
      <c r="S832" t="str">
        <f>IF(ESales_DB[[#This Row],[Quantity1]]&gt;3,"Bulk order","Normal order")</f>
        <v>Normal order</v>
      </c>
    </row>
    <row r="833" spans="1:19" x14ac:dyDescent="0.3">
      <c r="A833" t="s">
        <v>3572</v>
      </c>
      <c r="B833" s="4">
        <v>45573</v>
      </c>
      <c r="C833" s="4" t="str">
        <f>TEXT(ESales_DB[[#This Row],[Order_Date]],"mmm")</f>
        <v>Oct</v>
      </c>
      <c r="D833" t="s">
        <v>360</v>
      </c>
      <c r="E833" t="s">
        <v>1688</v>
      </c>
      <c r="F833" t="s">
        <v>1769</v>
      </c>
      <c r="G833">
        <v>4</v>
      </c>
      <c r="H833" s="10">
        <f>IF(ISBLANK(ESales_DB[[#This Row],[Quantity]]),AVERAGEIF(ESales_DB[Product_ID],ESales_DB[[#This Row],[Product_ID]],ESales_DB[Quantity]),ESales_DB[[#This Row],[Quantity]])</f>
        <v>4</v>
      </c>
      <c r="I833" s="2">
        <v>640.91</v>
      </c>
      <c r="J833">
        <v>0.06</v>
      </c>
      <c r="K833" t="s">
        <v>1824</v>
      </c>
      <c r="L833" s="2">
        <v>2409.8216000000002</v>
      </c>
      <c r="M833" s="2" t="str">
        <f>IF(ESales_DB[[#This Row],[Total_Amount]]&gt;1000,"High","Low")</f>
        <v>High</v>
      </c>
      <c r="N833" s="2" t="str">
        <f>VLOOKUP(ESales_DB[[#This Row],[Customer_ID]],Ecustom_DB[],3,FALSE)</f>
        <v>Colleen Maynard</v>
      </c>
      <c r="O833" s="2" t="str">
        <f>_xlfn.XLOOKUP(ESales_DB[[#This Row],[Product_ID]],Eproduct_DB[Product_ID],Eproduct_DB[Category])</f>
        <v>Home</v>
      </c>
      <c r="P833" s="2" t="str">
        <f>_xlfn.XLOOKUP(ESales_DB[[#This Row],[Product_ID]],Eproduct_DB[Product_ID],Eproduct_DB[Product_Name])</f>
        <v>Kitchen Storage Rack</v>
      </c>
      <c r="Q833" s="2" t="str">
        <f>_xlfn.XLOOKUP(ESales_DB[[#This Row],[Store_ID]],Estore_DB[Store_ID],Estore_DB[Region])</f>
        <v>South</v>
      </c>
      <c r="R833" t="str">
        <f>VLOOKUP(ESales_DB[[#This Row],[Customer_ID]],Ecustom_DB[],10,FALSE)</f>
        <v>Gold</v>
      </c>
      <c r="S833" t="str">
        <f>IF(ESales_DB[[#This Row],[Quantity1]]&gt;3,"Bulk order","Normal order")</f>
        <v>Bulk order</v>
      </c>
    </row>
    <row r="834" spans="1:19" x14ac:dyDescent="0.3">
      <c r="A834" t="s">
        <v>3573</v>
      </c>
      <c r="B834" s="4">
        <v>45792</v>
      </c>
      <c r="C834" s="4" t="str">
        <f>TEXT(ESales_DB[[#This Row],[Order_Date]],"mmm")</f>
        <v>May</v>
      </c>
      <c r="D834" t="s">
        <v>164</v>
      </c>
      <c r="E834" t="s">
        <v>1676</v>
      </c>
      <c r="F834" t="s">
        <v>1792</v>
      </c>
      <c r="G834">
        <v>3</v>
      </c>
      <c r="H834" s="10">
        <f>IF(ISBLANK(ESales_DB[[#This Row],[Quantity]]),AVERAGEIF(ESales_DB[Product_ID],ESales_DB[[#This Row],[Product_ID]],ESales_DB[Quantity]),ESales_DB[[#This Row],[Quantity]])</f>
        <v>3</v>
      </c>
      <c r="I834" s="2">
        <v>773.86</v>
      </c>
      <c r="J834">
        <v>0.22</v>
      </c>
      <c r="K834" t="s">
        <v>1824</v>
      </c>
      <c r="L834" s="2">
        <v>1810.8324</v>
      </c>
      <c r="M834" s="2" t="str">
        <f>IF(ESales_DB[[#This Row],[Total_Amount]]&gt;1000,"High","Low")</f>
        <v>High</v>
      </c>
      <c r="N834" s="2" t="str">
        <f>VLOOKUP(ESales_DB[[#This Row],[Customer_ID]],Ecustom_DB[],3,FALSE)</f>
        <v>William Martin</v>
      </c>
      <c r="O834" s="2" t="str">
        <f>_xlfn.XLOOKUP(ESales_DB[[#This Row],[Product_ID]],Eproduct_DB[Product_ID],Eproduct_DB[Category])</f>
        <v>Beauty</v>
      </c>
      <c r="P834" s="2" t="str">
        <f>_xlfn.XLOOKUP(ESales_DB[[#This Row],[Product_ID]],Eproduct_DB[Product_ID],Eproduct_DB[Product_Name])</f>
        <v>Matte Lipstick Set</v>
      </c>
      <c r="Q834" s="2" t="str">
        <f>_xlfn.XLOOKUP(ESales_DB[[#This Row],[Store_ID]],Estore_DB[Store_ID],Estore_DB[Region])</f>
        <v>South</v>
      </c>
      <c r="R834" t="str">
        <f>VLOOKUP(ESales_DB[[#This Row],[Customer_ID]],Ecustom_DB[],10,FALSE)</f>
        <v>Platinum</v>
      </c>
      <c r="S834" t="str">
        <f>IF(ESales_DB[[#This Row],[Quantity1]]&gt;3,"Bulk order","Normal order")</f>
        <v>Normal order</v>
      </c>
    </row>
    <row r="835" spans="1:19" x14ac:dyDescent="0.3">
      <c r="A835" t="s">
        <v>3574</v>
      </c>
      <c r="B835" s="4">
        <v>45744</v>
      </c>
      <c r="C835" s="4" t="str">
        <f>TEXT(ESales_DB[[#This Row],[Order_Date]],"mmm")</f>
        <v>Mar</v>
      </c>
      <c r="D835" t="s">
        <v>1428</v>
      </c>
      <c r="E835" t="s">
        <v>1610</v>
      </c>
      <c r="F835" t="s">
        <v>1801</v>
      </c>
      <c r="G835">
        <v>2</v>
      </c>
      <c r="H835" s="10">
        <f>IF(ISBLANK(ESales_DB[[#This Row],[Quantity]]),AVERAGEIF(ESales_DB[Product_ID],ESales_DB[[#This Row],[Product_ID]],ESales_DB[Quantity]),ESales_DB[[#This Row],[Quantity]])</f>
        <v>2</v>
      </c>
      <c r="I835" s="2">
        <v>31.28</v>
      </c>
      <c r="J835">
        <v>0.2</v>
      </c>
      <c r="K835" t="s">
        <v>1829</v>
      </c>
      <c r="L835" s="2">
        <v>50.048000000000002</v>
      </c>
      <c r="M835" s="2" t="str">
        <f>IF(ESales_DB[[#This Row],[Total_Amount]]&gt;1000,"High","Low")</f>
        <v>Low</v>
      </c>
      <c r="N835" s="2" t="str">
        <f>VLOOKUP(ESales_DB[[#This Row],[Customer_ID]],Ecustom_DB[],3,FALSE)</f>
        <v>Samantha Lee</v>
      </c>
      <c r="O835" s="2" t="str">
        <f>_xlfn.XLOOKUP(ESales_DB[[#This Row],[Product_ID]],Eproduct_DB[Product_ID],Eproduct_DB[Category])</f>
        <v>Sports</v>
      </c>
      <c r="P835" s="2" t="str">
        <f>_xlfn.XLOOKUP(ESales_DB[[#This Row],[Product_ID]],Eproduct_DB[Product_ID],Eproduct_DB[Product_Name])</f>
        <v>Basketball</v>
      </c>
      <c r="Q835" s="2" t="str">
        <f>_xlfn.XLOOKUP(ESales_DB[[#This Row],[Store_ID]],Estore_DB[Store_ID],Estore_DB[Region])</f>
        <v>North</v>
      </c>
      <c r="R835" t="str">
        <f>VLOOKUP(ESales_DB[[#This Row],[Customer_ID]],Ecustom_DB[],10,FALSE)</f>
        <v>Bronze</v>
      </c>
      <c r="S835" t="str">
        <f>IF(ESales_DB[[#This Row],[Quantity1]]&gt;3,"Bulk order","Normal order")</f>
        <v>Normal order</v>
      </c>
    </row>
    <row r="836" spans="1:19" x14ac:dyDescent="0.3">
      <c r="A836" t="s">
        <v>3575</v>
      </c>
      <c r="B836" s="4">
        <v>45842</v>
      </c>
      <c r="C836" s="4" t="str">
        <f>TEXT(ESales_DB[[#This Row],[Order_Date]],"mmm")</f>
        <v>Jul</v>
      </c>
      <c r="D836" t="s">
        <v>1166</v>
      </c>
      <c r="E836" t="s">
        <v>1712</v>
      </c>
      <c r="F836" t="s">
        <v>1776</v>
      </c>
      <c r="G836">
        <v>4</v>
      </c>
      <c r="H836" s="10">
        <f>IF(ISBLANK(ESales_DB[[#This Row],[Quantity]]),AVERAGEIF(ESales_DB[Product_ID],ESales_DB[[#This Row],[Product_ID]],ESales_DB[Quantity]),ESales_DB[[#This Row],[Quantity]])</f>
        <v>4</v>
      </c>
      <c r="I836" s="2">
        <v>389.22</v>
      </c>
      <c r="J836">
        <v>0.18</v>
      </c>
      <c r="K836" t="s">
        <v>1824</v>
      </c>
      <c r="L836" s="2">
        <v>1276.6415999999999</v>
      </c>
      <c r="M836" s="2" t="str">
        <f>IF(ESales_DB[[#This Row],[Total_Amount]]&gt;1000,"High","Low")</f>
        <v>High</v>
      </c>
      <c r="N836" s="2" t="str">
        <f>VLOOKUP(ESales_DB[[#This Row],[Customer_ID]],Ecustom_DB[],3,FALSE)</f>
        <v>James Orozco</v>
      </c>
      <c r="O836" s="2" t="str">
        <f>_xlfn.XLOOKUP(ESales_DB[[#This Row],[Product_ID]],Eproduct_DB[Product_ID],Eproduct_DB[Category])</f>
        <v>Sports</v>
      </c>
      <c r="P836" s="2" t="str">
        <f>_xlfn.XLOOKUP(ESales_DB[[#This Row],[Product_ID]],Eproduct_DB[Product_ID],Eproduct_DB[Product_Name])</f>
        <v>Fitness Resistance Bands</v>
      </c>
      <c r="Q836" s="2" t="str">
        <f>_xlfn.XLOOKUP(ESales_DB[[#This Row],[Store_ID]],Estore_DB[Store_ID],Estore_DB[Region])</f>
        <v>East</v>
      </c>
      <c r="R836" t="str">
        <f>VLOOKUP(ESales_DB[[#This Row],[Customer_ID]],Ecustom_DB[],10,FALSE)</f>
        <v>Gold</v>
      </c>
      <c r="S836" t="str">
        <f>IF(ESales_DB[[#This Row],[Quantity1]]&gt;3,"Bulk order","Normal order")</f>
        <v>Bulk order</v>
      </c>
    </row>
    <row r="837" spans="1:19" x14ac:dyDescent="0.3">
      <c r="A837" t="s">
        <v>2001</v>
      </c>
      <c r="B837" s="4">
        <v>45641</v>
      </c>
      <c r="C837" s="4" t="str">
        <f>TEXT(ESales_DB[[#This Row],[Order_Date]],"mmm")</f>
        <v>Dec</v>
      </c>
      <c r="D837" t="s">
        <v>1178</v>
      </c>
      <c r="E837" t="s">
        <v>1732</v>
      </c>
      <c r="F837" t="s">
        <v>1757</v>
      </c>
      <c r="G837">
        <v>2</v>
      </c>
      <c r="H837" s="10">
        <f>IF(ISBLANK(ESales_DB[[#This Row],[Quantity]]),AVERAGEIF(ESales_DB[Product_ID],ESales_DB[[#This Row],[Product_ID]],ESales_DB[Quantity]),ESales_DB[[#This Row],[Quantity]])</f>
        <v>2</v>
      </c>
      <c r="I837" s="2">
        <v>707.65</v>
      </c>
      <c r="J837">
        <v>0.14000000000000001</v>
      </c>
      <c r="K837" t="s">
        <v>1824</v>
      </c>
      <c r="L837" s="2">
        <v>1217.1579999999999</v>
      </c>
      <c r="M837" s="2" t="str">
        <f>IF(ESales_DB[[#This Row],[Total_Amount]]&gt;1000,"High","Low")</f>
        <v>High</v>
      </c>
      <c r="N837" s="2" t="str">
        <f>VLOOKUP(ESales_DB[[#This Row],[Customer_ID]],Ecustom_DB[],3,FALSE)</f>
        <v>Charles Conley</v>
      </c>
      <c r="O837" s="2" t="str">
        <f>_xlfn.XLOOKUP(ESales_DB[[#This Row],[Product_ID]],Eproduct_DB[Product_ID],Eproduct_DB[Category])</f>
        <v>Home</v>
      </c>
      <c r="P837" s="2" t="str">
        <f>_xlfn.XLOOKUP(ESales_DB[[#This Row],[Product_ID]],Eproduct_DB[Product_ID],Eproduct_DB[Product_Name])</f>
        <v>Microwave Oven</v>
      </c>
      <c r="Q837" s="2" t="str">
        <f>_xlfn.XLOOKUP(ESales_DB[[#This Row],[Store_ID]],Estore_DB[Store_ID],Estore_DB[Region])</f>
        <v>North</v>
      </c>
      <c r="R837" t="str">
        <f>VLOOKUP(ESales_DB[[#This Row],[Customer_ID]],Ecustom_DB[],10,FALSE)</f>
        <v>Gold</v>
      </c>
      <c r="S837" t="str">
        <f>IF(ESales_DB[[#This Row],[Quantity1]]&gt;3,"Bulk order","Normal order")</f>
        <v>Normal order</v>
      </c>
    </row>
    <row r="838" spans="1:19" x14ac:dyDescent="0.3">
      <c r="A838" t="s">
        <v>3576</v>
      </c>
      <c r="B838" s="4">
        <v>45502</v>
      </c>
      <c r="C838" s="4" t="str">
        <f>TEXT(ESales_DB[[#This Row],[Order_Date]],"mmm")</f>
        <v>Jul</v>
      </c>
      <c r="D838" t="s">
        <v>71</v>
      </c>
      <c r="E838" t="s">
        <v>1676</v>
      </c>
      <c r="F838" t="s">
        <v>1801</v>
      </c>
      <c r="G838">
        <v>3</v>
      </c>
      <c r="H838" s="10">
        <f>IF(ISBLANK(ESales_DB[[#This Row],[Quantity]]),AVERAGEIF(ESales_DB[Product_ID],ESales_DB[[#This Row],[Product_ID]],ESales_DB[Quantity]),ESales_DB[[#This Row],[Quantity]])</f>
        <v>3</v>
      </c>
      <c r="I838" s="2">
        <v>543.44000000000005</v>
      </c>
      <c r="J838">
        <v>0.13</v>
      </c>
      <c r="K838" t="s">
        <v>1826</v>
      </c>
      <c r="L838" s="2">
        <v>1418.3784000000001</v>
      </c>
      <c r="M838" s="2" t="str">
        <f>IF(ESales_DB[[#This Row],[Total_Amount]]&gt;1000,"High","Low")</f>
        <v>High</v>
      </c>
      <c r="N838" s="2" t="str">
        <f>VLOOKUP(ESales_DB[[#This Row],[Customer_ID]],Ecustom_DB[],3,FALSE)</f>
        <v>Laura Alvarez</v>
      </c>
      <c r="O838" s="2" t="str">
        <f>_xlfn.XLOOKUP(ESales_DB[[#This Row],[Product_ID]],Eproduct_DB[Product_ID],Eproduct_DB[Category])</f>
        <v>Beauty</v>
      </c>
      <c r="P838" s="2" t="str">
        <f>_xlfn.XLOOKUP(ESales_DB[[#This Row],[Product_ID]],Eproduct_DB[Product_ID],Eproduct_DB[Product_Name])</f>
        <v>Matte Lipstick Set</v>
      </c>
      <c r="Q838" s="2" t="str">
        <f>_xlfn.XLOOKUP(ESales_DB[[#This Row],[Store_ID]],Estore_DB[Store_ID],Estore_DB[Region])</f>
        <v>North</v>
      </c>
      <c r="R838" t="str">
        <f>VLOOKUP(ESales_DB[[#This Row],[Customer_ID]],Ecustom_DB[],10,FALSE)</f>
        <v>Platinum</v>
      </c>
      <c r="S838" t="str">
        <f>IF(ESales_DB[[#This Row],[Quantity1]]&gt;3,"Bulk order","Normal order")</f>
        <v>Normal order</v>
      </c>
    </row>
    <row r="839" spans="1:19" x14ac:dyDescent="0.3">
      <c r="A839" t="s">
        <v>3577</v>
      </c>
      <c r="B839" s="4">
        <v>45296</v>
      </c>
      <c r="C839" s="4" t="str">
        <f>TEXT(ESales_DB[[#This Row],[Order_Date]],"mmm")</f>
        <v>Jan</v>
      </c>
      <c r="D839" t="s">
        <v>821</v>
      </c>
      <c r="E839" t="s">
        <v>1742</v>
      </c>
      <c r="F839" t="s">
        <v>1813</v>
      </c>
      <c r="G839">
        <v>4</v>
      </c>
      <c r="H839" s="10">
        <f>IF(ISBLANK(ESales_DB[[#This Row],[Quantity]]),AVERAGEIF(ESales_DB[Product_ID],ESales_DB[[#This Row],[Product_ID]],ESales_DB[Quantity]),ESales_DB[[#This Row],[Quantity]])</f>
        <v>4</v>
      </c>
      <c r="I839" s="2">
        <v>715.42</v>
      </c>
      <c r="J839">
        <v>0.28999999999999998</v>
      </c>
      <c r="K839" t="s">
        <v>1826</v>
      </c>
      <c r="L839" s="2">
        <v>2031.7927999999999</v>
      </c>
      <c r="M839" s="2" t="str">
        <f>IF(ESales_DB[[#This Row],[Total_Amount]]&gt;1000,"High","Low")</f>
        <v>High</v>
      </c>
      <c r="N839" s="2" t="str">
        <f>VLOOKUP(ESales_DB[[#This Row],[Customer_ID]],Ecustom_DB[],3,FALSE)</f>
        <v>Christopher David</v>
      </c>
      <c r="O839" s="2" t="str">
        <f>_xlfn.XLOOKUP(ESales_DB[[#This Row],[Product_ID]],Eproduct_DB[Product_ID],Eproduct_DB[Category])</f>
        <v>Sports</v>
      </c>
      <c r="P839" s="2" t="str">
        <f>_xlfn.XLOOKUP(ESales_DB[[#This Row],[Product_ID]],Eproduct_DB[Product_ID],Eproduct_DB[Product_Name])</f>
        <v>Cricket Bat</v>
      </c>
      <c r="Q839" s="2" t="str">
        <f>_xlfn.XLOOKUP(ESales_DB[[#This Row],[Store_ID]],Estore_DB[Store_ID],Estore_DB[Region])</f>
        <v>East</v>
      </c>
      <c r="R839" t="str">
        <f>VLOOKUP(ESales_DB[[#This Row],[Customer_ID]],Ecustom_DB[],10,FALSE)</f>
        <v>Silver</v>
      </c>
      <c r="S839" t="str">
        <f>IF(ESales_DB[[#This Row],[Quantity1]]&gt;3,"Bulk order","Normal order")</f>
        <v>Bulk order</v>
      </c>
    </row>
    <row r="840" spans="1:19" x14ac:dyDescent="0.3">
      <c r="A840" t="s">
        <v>3578</v>
      </c>
      <c r="B840" s="4">
        <v>45886</v>
      </c>
      <c r="C840" s="4" t="str">
        <f>TEXT(ESales_DB[[#This Row],[Order_Date]],"mmm")</f>
        <v>Aug</v>
      </c>
      <c r="D840" t="s">
        <v>195</v>
      </c>
      <c r="E840" t="s">
        <v>1572</v>
      </c>
      <c r="F840" t="s">
        <v>1769</v>
      </c>
      <c r="G840">
        <v>4</v>
      </c>
      <c r="H840" s="10">
        <f>IF(ISBLANK(ESales_DB[[#This Row],[Quantity]]),AVERAGEIF(ESales_DB[Product_ID],ESales_DB[[#This Row],[Product_ID]],ESales_DB[Quantity]),ESales_DB[[#This Row],[Quantity]])</f>
        <v>4</v>
      </c>
      <c r="I840" s="2">
        <v>676.14</v>
      </c>
      <c r="J840">
        <v>0.11</v>
      </c>
      <c r="K840" t="s">
        <v>1829</v>
      </c>
      <c r="L840" s="2">
        <v>2407.0583999999999</v>
      </c>
      <c r="M840" s="2" t="str">
        <f>IF(ESales_DB[[#This Row],[Total_Amount]]&gt;1000,"High","Low")</f>
        <v>High</v>
      </c>
      <c r="N840" s="2" t="str">
        <f>VLOOKUP(ESales_DB[[#This Row],[Customer_ID]],Ecustom_DB[],3,FALSE)</f>
        <v>Sarah Rodgers</v>
      </c>
      <c r="O840" s="2" t="str">
        <f>_xlfn.XLOOKUP(ESales_DB[[#This Row],[Product_ID]],Eproduct_DB[Product_ID],Eproduct_DB[Category])</f>
        <v>Beauty</v>
      </c>
      <c r="P840" s="2" t="str">
        <f>_xlfn.XLOOKUP(ESales_DB[[#This Row],[Product_ID]],Eproduct_DB[Product_ID],Eproduct_DB[Product_Name])</f>
        <v>Hair Strengthening Shampoo</v>
      </c>
      <c r="Q840" s="2" t="str">
        <f>_xlfn.XLOOKUP(ESales_DB[[#This Row],[Store_ID]],Estore_DB[Store_ID],Estore_DB[Region])</f>
        <v>South</v>
      </c>
      <c r="R840" t="str">
        <f>VLOOKUP(ESales_DB[[#This Row],[Customer_ID]],Ecustom_DB[],10,FALSE)</f>
        <v>Gold</v>
      </c>
      <c r="S840" t="str">
        <f>IF(ESales_DB[[#This Row],[Quantity1]]&gt;3,"Bulk order","Normal order")</f>
        <v>Bulk order</v>
      </c>
    </row>
    <row r="841" spans="1:19" x14ac:dyDescent="0.3">
      <c r="A841" t="s">
        <v>3579</v>
      </c>
      <c r="B841" s="4">
        <v>45425</v>
      </c>
      <c r="C841" s="4" t="str">
        <f>TEXT(ESales_DB[[#This Row],[Order_Date]],"mmm")</f>
        <v>May</v>
      </c>
      <c r="D841" t="s">
        <v>321</v>
      </c>
      <c r="E841" t="s">
        <v>1626</v>
      </c>
      <c r="F841" t="s">
        <v>1757</v>
      </c>
      <c r="G841">
        <v>4</v>
      </c>
      <c r="H841" s="10">
        <f>IF(ISBLANK(ESales_DB[[#This Row],[Quantity]]),AVERAGEIF(ESales_DB[Product_ID],ESales_DB[[#This Row],[Product_ID]],ESales_DB[Quantity]),ESales_DB[[#This Row],[Quantity]])</f>
        <v>4</v>
      </c>
      <c r="I841" s="2">
        <v>352.72</v>
      </c>
      <c r="J841">
        <v>0.25</v>
      </c>
      <c r="K841" t="s">
        <v>1824</v>
      </c>
      <c r="L841" s="2">
        <v>1058.1600000000001</v>
      </c>
      <c r="M841" s="2" t="str">
        <f>IF(ESales_DB[[#This Row],[Total_Amount]]&gt;1000,"High","Low")</f>
        <v>High</v>
      </c>
      <c r="N841" s="2" t="str">
        <f>VLOOKUP(ESales_DB[[#This Row],[Customer_ID]],Ecustom_DB[],3,FALSE)</f>
        <v>Jamie Yoder</v>
      </c>
      <c r="O841" s="2" t="str">
        <f>_xlfn.XLOOKUP(ESales_DB[[#This Row],[Product_ID]],Eproduct_DB[Product_ID],Eproduct_DB[Category])</f>
        <v>Electronics</v>
      </c>
      <c r="P841" s="2" t="str">
        <f>_xlfn.XLOOKUP(ESales_DB[[#This Row],[Product_ID]],Eproduct_DB[Product_ID],Eproduct_DB[Product_Name])</f>
        <v>Portable Power Bank</v>
      </c>
      <c r="Q841" s="2" t="str">
        <f>_xlfn.XLOOKUP(ESales_DB[[#This Row],[Store_ID]],Estore_DB[Store_ID],Estore_DB[Region])</f>
        <v>North</v>
      </c>
      <c r="R841" t="str">
        <f>VLOOKUP(ESales_DB[[#This Row],[Customer_ID]],Ecustom_DB[],10,FALSE)</f>
        <v>Platinum</v>
      </c>
      <c r="S841" t="str">
        <f>IF(ESales_DB[[#This Row],[Quantity1]]&gt;3,"Bulk order","Normal order")</f>
        <v>Bulk order</v>
      </c>
    </row>
    <row r="842" spans="1:19" x14ac:dyDescent="0.3">
      <c r="A842" t="s">
        <v>3580</v>
      </c>
      <c r="B842" s="4">
        <v>45797</v>
      </c>
      <c r="C842" s="4" t="str">
        <f>TEXT(ESales_DB[[#This Row],[Order_Date]],"mmm")</f>
        <v>May</v>
      </c>
      <c r="D842" t="s">
        <v>574</v>
      </c>
      <c r="E842" t="s">
        <v>1570</v>
      </c>
      <c r="F842" t="s">
        <v>1794</v>
      </c>
      <c r="G842">
        <v>1</v>
      </c>
      <c r="H842" s="10">
        <f>IF(ISBLANK(ESales_DB[[#This Row],[Quantity]]),AVERAGEIF(ESales_DB[Product_ID],ESales_DB[[#This Row],[Product_ID]],ESales_DB[Quantity]),ESales_DB[[#This Row],[Quantity]])</f>
        <v>1</v>
      </c>
      <c r="I842" s="2">
        <v>470.18</v>
      </c>
      <c r="J842">
        <v>0.19</v>
      </c>
      <c r="K842" t="s">
        <v>1826</v>
      </c>
      <c r="L842" s="2">
        <v>380.84580000000011</v>
      </c>
      <c r="M842" s="2" t="str">
        <f>IF(ESales_DB[[#This Row],[Total_Amount]]&gt;1000,"High","Low")</f>
        <v>Low</v>
      </c>
      <c r="N842" s="2" t="str">
        <f>VLOOKUP(ESales_DB[[#This Row],[Customer_ID]],Ecustom_DB[],3,FALSE)</f>
        <v>Teresa Stokes</v>
      </c>
      <c r="O842" s="2" t="str">
        <f>_xlfn.XLOOKUP(ESales_DB[[#This Row],[Product_ID]],Eproduct_DB[Product_ID],Eproduct_DB[Category])</f>
        <v>Electronics</v>
      </c>
      <c r="P842" s="2" t="str">
        <f>_xlfn.XLOOKUP(ESales_DB[[#This Row],[Product_ID]],Eproduct_DB[Product_ID],Eproduct_DB[Product_Name])</f>
        <v>HD Smart TV Stick</v>
      </c>
      <c r="Q842" s="2" t="str">
        <f>_xlfn.XLOOKUP(ESales_DB[[#This Row],[Store_ID]],Estore_DB[Store_ID],Estore_DB[Region])</f>
        <v>North</v>
      </c>
      <c r="R842" t="str">
        <f>VLOOKUP(ESales_DB[[#This Row],[Customer_ID]],Ecustom_DB[],10,FALSE)</f>
        <v>Platinum</v>
      </c>
      <c r="S842" t="str">
        <f>IF(ESales_DB[[#This Row],[Quantity1]]&gt;3,"Bulk order","Normal order")</f>
        <v>Normal order</v>
      </c>
    </row>
    <row r="843" spans="1:19" x14ac:dyDescent="0.3">
      <c r="A843" t="s">
        <v>3581</v>
      </c>
      <c r="B843" s="4">
        <v>45898</v>
      </c>
      <c r="C843" s="4" t="str">
        <f>TEXT(ESales_DB[[#This Row],[Order_Date]],"mmm")</f>
        <v>Aug</v>
      </c>
      <c r="D843" t="s">
        <v>740</v>
      </c>
      <c r="E843" t="s">
        <v>1680</v>
      </c>
      <c r="F843" t="s">
        <v>1792</v>
      </c>
      <c r="G843">
        <v>1</v>
      </c>
      <c r="H843" s="10">
        <f>IF(ISBLANK(ESales_DB[[#This Row],[Quantity]]),AVERAGEIF(ESales_DB[Product_ID],ESales_DB[[#This Row],[Product_ID]],ESales_DB[Quantity]),ESales_DB[[#This Row],[Quantity]])</f>
        <v>1</v>
      </c>
      <c r="I843" s="2">
        <v>891.79</v>
      </c>
      <c r="J843">
        <v>0.03</v>
      </c>
      <c r="K843" t="s">
        <v>1824</v>
      </c>
      <c r="L843" s="2">
        <v>865.03629999999998</v>
      </c>
      <c r="M843" s="2" t="str">
        <f>IF(ESales_DB[[#This Row],[Total_Amount]]&gt;1000,"High","Low")</f>
        <v>Low</v>
      </c>
      <c r="N843" s="2" t="str">
        <f>VLOOKUP(ESales_DB[[#This Row],[Customer_ID]],Ecustom_DB[],3,FALSE)</f>
        <v>Timothy Sanders</v>
      </c>
      <c r="O843" s="2" t="str">
        <f>_xlfn.XLOOKUP(ESales_DB[[#This Row],[Product_ID]],Eproduct_DB[Product_ID],Eproduct_DB[Category])</f>
        <v>Beauty</v>
      </c>
      <c r="P843" s="2" t="str">
        <f>_xlfn.XLOOKUP(ESales_DB[[#This Row],[Product_ID]],Eproduct_DB[Product_ID],Eproduct_DB[Product_Name])</f>
        <v>Women's Hair Dryer Brush</v>
      </c>
      <c r="Q843" s="2" t="str">
        <f>_xlfn.XLOOKUP(ESales_DB[[#This Row],[Store_ID]],Estore_DB[Store_ID],Estore_DB[Region])</f>
        <v>South</v>
      </c>
      <c r="R843" t="str">
        <f>VLOOKUP(ESales_DB[[#This Row],[Customer_ID]],Ecustom_DB[],10,FALSE)</f>
        <v>Bronze</v>
      </c>
      <c r="S843" t="str">
        <f>IF(ESales_DB[[#This Row],[Quantity1]]&gt;3,"Bulk order","Normal order")</f>
        <v>Normal order</v>
      </c>
    </row>
    <row r="844" spans="1:19" x14ac:dyDescent="0.3">
      <c r="A844" t="s">
        <v>3582</v>
      </c>
      <c r="B844" s="4">
        <v>45390</v>
      </c>
      <c r="C844" s="4" t="str">
        <f>TEXT(ESales_DB[[#This Row],[Order_Date]],"mmm")</f>
        <v>Apr</v>
      </c>
      <c r="D844" t="s">
        <v>1092</v>
      </c>
      <c r="E844" t="s">
        <v>1726</v>
      </c>
      <c r="F844" t="s">
        <v>1807</v>
      </c>
      <c r="G844">
        <v>2</v>
      </c>
      <c r="H844" s="10">
        <f>IF(ISBLANK(ESales_DB[[#This Row],[Quantity]]),AVERAGEIF(ESales_DB[Product_ID],ESales_DB[[#This Row],[Product_ID]],ESales_DB[Quantity]),ESales_DB[[#This Row],[Quantity]])</f>
        <v>2</v>
      </c>
      <c r="I844" s="2">
        <v>433.07</v>
      </c>
      <c r="J844">
        <v>0.25</v>
      </c>
      <c r="K844" t="s">
        <v>1829</v>
      </c>
      <c r="L844" s="2">
        <v>649.60500000000002</v>
      </c>
      <c r="M844" s="2" t="str">
        <f>IF(ESales_DB[[#This Row],[Total_Amount]]&gt;1000,"High","Low")</f>
        <v>Low</v>
      </c>
      <c r="N844" s="2" t="str">
        <f>VLOOKUP(ESales_DB[[#This Row],[Customer_ID]],Ecustom_DB[],3,FALSE)</f>
        <v>Sherry Cabrera</v>
      </c>
      <c r="O844" s="2" t="str">
        <f>_xlfn.XLOOKUP(ESales_DB[[#This Row],[Product_ID]],Eproduct_DB[Product_ID],Eproduct_DB[Category])</f>
        <v>Beauty</v>
      </c>
      <c r="P844" s="2" t="str">
        <f>_xlfn.XLOOKUP(ESales_DB[[#This Row],[Product_ID]],Eproduct_DB[Product_ID],Eproduct_DB[Product_Name])</f>
        <v>Face Foundation Kit</v>
      </c>
      <c r="Q844" s="2" t="str">
        <f>_xlfn.XLOOKUP(ESales_DB[[#This Row],[Store_ID]],Estore_DB[Store_ID],Estore_DB[Region])</f>
        <v>North</v>
      </c>
      <c r="R844" t="str">
        <f>VLOOKUP(ESales_DB[[#This Row],[Customer_ID]],Ecustom_DB[],10,FALSE)</f>
        <v>Silver</v>
      </c>
      <c r="S844" t="str">
        <f>IF(ESales_DB[[#This Row],[Quantity1]]&gt;3,"Bulk order","Normal order")</f>
        <v>Normal order</v>
      </c>
    </row>
    <row r="845" spans="1:19" x14ac:dyDescent="0.3">
      <c r="A845" t="s">
        <v>3583</v>
      </c>
      <c r="B845" s="4">
        <v>45355</v>
      </c>
      <c r="C845" s="4" t="str">
        <f>TEXT(ESales_DB[[#This Row],[Order_Date]],"mmm")</f>
        <v>Mar</v>
      </c>
      <c r="D845" t="s">
        <v>59</v>
      </c>
      <c r="E845" t="s">
        <v>1680</v>
      </c>
      <c r="F845" t="s">
        <v>1813</v>
      </c>
      <c r="G845">
        <v>3</v>
      </c>
      <c r="H845" s="10">
        <f>IF(ISBLANK(ESales_DB[[#This Row],[Quantity]]),AVERAGEIF(ESales_DB[Product_ID],ESales_DB[[#This Row],[Product_ID]],ESales_DB[Quantity]),ESales_DB[[#This Row],[Quantity]])</f>
        <v>3</v>
      </c>
      <c r="I845" s="2">
        <v>626.71</v>
      </c>
      <c r="J845">
        <v>7.0000000000000007E-2</v>
      </c>
      <c r="K845" t="s">
        <v>1829</v>
      </c>
      <c r="L845" s="2">
        <v>1748.5209</v>
      </c>
      <c r="M845" s="2" t="str">
        <f>IF(ESales_DB[[#This Row],[Total_Amount]]&gt;1000,"High","Low")</f>
        <v>High</v>
      </c>
      <c r="N845" s="2" t="str">
        <f>VLOOKUP(ESales_DB[[#This Row],[Customer_ID]],Ecustom_DB[],3,FALSE)</f>
        <v>Kenneth Lambert</v>
      </c>
      <c r="O845" s="2" t="str">
        <f>_xlfn.XLOOKUP(ESales_DB[[#This Row],[Product_ID]],Eproduct_DB[Product_ID],Eproduct_DB[Category])</f>
        <v>Beauty</v>
      </c>
      <c r="P845" s="2" t="str">
        <f>_xlfn.XLOOKUP(ESales_DB[[#This Row],[Product_ID]],Eproduct_DB[Product_ID],Eproduct_DB[Product_Name])</f>
        <v>Women's Hair Dryer Brush</v>
      </c>
      <c r="Q845" s="2" t="str">
        <f>_xlfn.XLOOKUP(ESales_DB[[#This Row],[Store_ID]],Estore_DB[Store_ID],Estore_DB[Region])</f>
        <v>East</v>
      </c>
      <c r="R845" t="str">
        <f>VLOOKUP(ESales_DB[[#This Row],[Customer_ID]],Ecustom_DB[],10,FALSE)</f>
        <v>Platinum</v>
      </c>
      <c r="S845" t="str">
        <f>IF(ESales_DB[[#This Row],[Quantity1]]&gt;3,"Bulk order","Normal order")</f>
        <v>Normal order</v>
      </c>
    </row>
    <row r="846" spans="1:19" x14ac:dyDescent="0.3">
      <c r="A846" t="s">
        <v>3584</v>
      </c>
      <c r="B846" s="4">
        <v>45916</v>
      </c>
      <c r="C846" s="4" t="str">
        <f>TEXT(ESales_DB[[#This Row],[Order_Date]],"mmm")</f>
        <v>Sep</v>
      </c>
      <c r="D846" t="s">
        <v>278</v>
      </c>
      <c r="E846" t="s">
        <v>1620</v>
      </c>
      <c r="F846" t="s">
        <v>1752</v>
      </c>
      <c r="G846">
        <v>2</v>
      </c>
      <c r="H846" s="10">
        <f>IF(ISBLANK(ESales_DB[[#This Row],[Quantity]]),AVERAGEIF(ESales_DB[Product_ID],ESales_DB[[#This Row],[Product_ID]],ESales_DB[Quantity]),ESales_DB[[#This Row],[Quantity]])</f>
        <v>2</v>
      </c>
      <c r="I846" s="2">
        <v>324.18</v>
      </c>
      <c r="J846">
        <v>0.06</v>
      </c>
      <c r="K846" t="s">
        <v>1829</v>
      </c>
      <c r="L846" s="2">
        <v>609.45839999999998</v>
      </c>
      <c r="M846" s="2" t="str">
        <f>IF(ESales_DB[[#This Row],[Total_Amount]]&gt;1000,"High","Low")</f>
        <v>Low</v>
      </c>
      <c r="N846" s="2" t="str">
        <f>VLOOKUP(ESales_DB[[#This Row],[Customer_ID]],Ecustom_DB[],3,FALSE)</f>
        <v>Nathan Campbell</v>
      </c>
      <c r="O846" s="2" t="str">
        <f>_xlfn.XLOOKUP(ESales_DB[[#This Row],[Product_ID]],Eproduct_DB[Product_ID],Eproduct_DB[Category])</f>
        <v>Clothing</v>
      </c>
      <c r="P846" s="2" t="str">
        <f>_xlfn.XLOOKUP(ESales_DB[[#This Row],[Product_ID]],Eproduct_DB[Product_ID],Eproduct_DB[Product_Name])</f>
        <v>Women's Summer Dress</v>
      </c>
      <c r="Q846" s="2" t="str">
        <f>_xlfn.XLOOKUP(ESales_DB[[#This Row],[Store_ID]],Estore_DB[Store_ID],Estore_DB[Region])</f>
        <v>East</v>
      </c>
      <c r="R846" t="str">
        <f>VLOOKUP(ESales_DB[[#This Row],[Customer_ID]],Ecustom_DB[],10,FALSE)</f>
        <v>Gold</v>
      </c>
      <c r="S846" t="str">
        <f>IF(ESales_DB[[#This Row],[Quantity1]]&gt;3,"Bulk order","Normal order")</f>
        <v>Normal order</v>
      </c>
    </row>
    <row r="847" spans="1:19" x14ac:dyDescent="0.3">
      <c r="A847" t="s">
        <v>3585</v>
      </c>
      <c r="B847" s="4">
        <v>45448</v>
      </c>
      <c r="C847" s="4" t="str">
        <f>TEXT(ESales_DB[[#This Row],[Order_Date]],"mmm")</f>
        <v>Jun</v>
      </c>
      <c r="D847" t="s">
        <v>63</v>
      </c>
      <c r="E847" t="s">
        <v>1576</v>
      </c>
      <c r="F847" t="s">
        <v>1807</v>
      </c>
      <c r="G847">
        <v>4</v>
      </c>
      <c r="H847" s="10">
        <f>IF(ISBLANK(ESales_DB[[#This Row],[Quantity]]),AVERAGEIF(ESales_DB[Product_ID],ESales_DB[[#This Row],[Product_ID]],ESales_DB[Quantity]),ESales_DB[[#This Row],[Quantity]])</f>
        <v>4</v>
      </c>
      <c r="I847" s="2">
        <v>839.74</v>
      </c>
      <c r="J847">
        <v>0.13</v>
      </c>
      <c r="K847" t="s">
        <v>1826</v>
      </c>
      <c r="L847" s="2">
        <v>2922.2952</v>
      </c>
      <c r="M847" s="2" t="str">
        <f>IF(ESales_DB[[#This Row],[Total_Amount]]&gt;1000,"High","Low")</f>
        <v>High</v>
      </c>
      <c r="N847" s="2" t="str">
        <f>VLOOKUP(ESales_DB[[#This Row],[Customer_ID]],Ecustom_DB[],3,FALSE)</f>
        <v>Nathan Hernandez</v>
      </c>
      <c r="O847" s="2" t="str">
        <f>_xlfn.XLOOKUP(ESales_DB[[#This Row],[Product_ID]],Eproduct_DB[Product_ID],Eproduct_DB[Category])</f>
        <v>Home</v>
      </c>
      <c r="P847" s="2" t="str">
        <f>_xlfn.XLOOKUP(ESales_DB[[#This Row],[Product_ID]],Eproduct_DB[Product_ID],Eproduct_DB[Product_Name])</f>
        <v>Decorative Wall Mirror</v>
      </c>
      <c r="Q847" s="2" t="str">
        <f>_xlfn.XLOOKUP(ESales_DB[[#This Row],[Store_ID]],Estore_DB[Store_ID],Estore_DB[Region])</f>
        <v>North</v>
      </c>
      <c r="R847" t="str">
        <f>VLOOKUP(ESales_DB[[#This Row],[Customer_ID]],Ecustom_DB[],10,FALSE)</f>
        <v>Silver</v>
      </c>
      <c r="S847" t="str">
        <f>IF(ESales_DB[[#This Row],[Quantity1]]&gt;3,"Bulk order","Normal order")</f>
        <v>Bulk order</v>
      </c>
    </row>
    <row r="848" spans="1:19" x14ac:dyDescent="0.3">
      <c r="A848" t="s">
        <v>2002</v>
      </c>
      <c r="B848" s="4">
        <v>45371</v>
      </c>
      <c r="C848" s="4" t="str">
        <f>TEXT(ESales_DB[[#This Row],[Order_Date]],"mmm")</f>
        <v>Mar</v>
      </c>
      <c r="D848" t="s">
        <v>441</v>
      </c>
      <c r="E848" t="s">
        <v>1598</v>
      </c>
      <c r="F848" t="s">
        <v>1801</v>
      </c>
      <c r="G848">
        <v>1</v>
      </c>
      <c r="H848" s="10">
        <f>IF(ISBLANK(ESales_DB[[#This Row],[Quantity]]),AVERAGEIF(ESales_DB[Product_ID],ESales_DB[[#This Row],[Product_ID]],ESales_DB[Quantity]),ESales_DB[[#This Row],[Quantity]])</f>
        <v>1</v>
      </c>
      <c r="I848" s="2">
        <v>857.35</v>
      </c>
      <c r="J848">
        <v>0.28000000000000003</v>
      </c>
      <c r="K848" t="s">
        <v>1826</v>
      </c>
      <c r="L848" s="2">
        <v>617.29200000000003</v>
      </c>
      <c r="M848" s="2" t="str">
        <f>IF(ESales_DB[[#This Row],[Total_Amount]]&gt;1000,"High","Low")</f>
        <v>Low</v>
      </c>
      <c r="N848" s="2" t="str">
        <f>VLOOKUP(ESales_DB[[#This Row],[Customer_ID]],Ecustom_DB[],3,FALSE)</f>
        <v>Susan Mcdonald</v>
      </c>
      <c r="O848" s="2" t="str">
        <f>_xlfn.XLOOKUP(ESales_DB[[#This Row],[Product_ID]],Eproduct_DB[Product_ID],Eproduct_DB[Category])</f>
        <v>Clothing</v>
      </c>
      <c r="P848" s="2" t="str">
        <f>_xlfn.XLOOKUP(ESales_DB[[#This Row],[Product_ID]],Eproduct_DB[Product_ID],Eproduct_DB[Product_Name])</f>
        <v>Women's Scarf Set</v>
      </c>
      <c r="Q848" s="2" t="str">
        <f>_xlfn.XLOOKUP(ESales_DB[[#This Row],[Store_ID]],Estore_DB[Store_ID],Estore_DB[Region])</f>
        <v>North</v>
      </c>
      <c r="R848" t="str">
        <f>VLOOKUP(ESales_DB[[#This Row],[Customer_ID]],Ecustom_DB[],10,FALSE)</f>
        <v>Silver</v>
      </c>
      <c r="S848" t="str">
        <f>IF(ESales_DB[[#This Row],[Quantity1]]&gt;3,"Bulk order","Normal order")</f>
        <v>Normal order</v>
      </c>
    </row>
    <row r="849" spans="1:19" x14ac:dyDescent="0.3">
      <c r="A849" t="s">
        <v>3586</v>
      </c>
      <c r="B849" s="4">
        <v>45402</v>
      </c>
      <c r="C849" s="4" t="str">
        <f>TEXT(ESales_DB[[#This Row],[Order_Date]],"mmm")</f>
        <v>Apr</v>
      </c>
      <c r="D849" t="s">
        <v>523</v>
      </c>
      <c r="E849" t="s">
        <v>1672</v>
      </c>
      <c r="F849" t="s">
        <v>1801</v>
      </c>
      <c r="G849">
        <v>3</v>
      </c>
      <c r="H849" s="10">
        <f>IF(ISBLANK(ESales_DB[[#This Row],[Quantity]]),AVERAGEIF(ESales_DB[Product_ID],ESales_DB[[#This Row],[Product_ID]],ESales_DB[Quantity]),ESales_DB[[#This Row],[Quantity]])</f>
        <v>3</v>
      </c>
      <c r="I849" s="2">
        <v>252.63</v>
      </c>
      <c r="J849">
        <v>0.28000000000000003</v>
      </c>
      <c r="K849" t="s">
        <v>1824</v>
      </c>
      <c r="L849" s="2">
        <v>545.68079999999998</v>
      </c>
      <c r="M849" s="2" t="str">
        <f>IF(ESales_DB[[#This Row],[Total_Amount]]&gt;1000,"High","Low")</f>
        <v>Low</v>
      </c>
      <c r="N849" s="2" t="str">
        <f>VLOOKUP(ESales_DB[[#This Row],[Customer_ID]],Ecustom_DB[],3,FALSE)</f>
        <v>Maria Sanchez</v>
      </c>
      <c r="O849" s="2" t="str">
        <f>_xlfn.XLOOKUP(ESales_DB[[#This Row],[Product_ID]],Eproduct_DB[Product_ID],Eproduct_DB[Category])</f>
        <v>Electronics</v>
      </c>
      <c r="P849" s="2" t="str">
        <f>_xlfn.XLOOKUP(ESales_DB[[#This Row],[Product_ID]],Eproduct_DB[Product_ID],Eproduct_DB[Product_Name])</f>
        <v>Laptop Cooling Pad</v>
      </c>
      <c r="Q849" s="2" t="str">
        <f>_xlfn.XLOOKUP(ESales_DB[[#This Row],[Store_ID]],Estore_DB[Store_ID],Estore_DB[Region])</f>
        <v>North</v>
      </c>
      <c r="R849" t="str">
        <f>VLOOKUP(ESales_DB[[#This Row],[Customer_ID]],Ecustom_DB[],10,FALSE)</f>
        <v>Bronze</v>
      </c>
      <c r="S849" t="str">
        <f>IF(ESales_DB[[#This Row],[Quantity1]]&gt;3,"Bulk order","Normal order")</f>
        <v>Normal order</v>
      </c>
    </row>
    <row r="850" spans="1:19" x14ac:dyDescent="0.3">
      <c r="A850" t="s">
        <v>3587</v>
      </c>
      <c r="B850" s="4">
        <v>45581</v>
      </c>
      <c r="C850" s="4" t="str">
        <f>TEXT(ESales_DB[[#This Row],[Order_Date]],"mmm")</f>
        <v>Oct</v>
      </c>
      <c r="D850" t="s">
        <v>815</v>
      </c>
      <c r="E850" t="s">
        <v>1706</v>
      </c>
      <c r="F850" t="s">
        <v>1813</v>
      </c>
      <c r="G850">
        <v>2</v>
      </c>
      <c r="H850" s="10">
        <f>IF(ISBLANK(ESales_DB[[#This Row],[Quantity]]),AVERAGEIF(ESales_DB[Product_ID],ESales_DB[[#This Row],[Product_ID]],ESales_DB[Quantity]),ESales_DB[[#This Row],[Quantity]])</f>
        <v>2</v>
      </c>
      <c r="I850" s="2">
        <v>60.53</v>
      </c>
      <c r="J850">
        <v>0.18</v>
      </c>
      <c r="K850" t="s">
        <v>1824</v>
      </c>
      <c r="L850" s="2">
        <v>99.269200000000012</v>
      </c>
      <c r="M850" s="2" t="str">
        <f>IF(ESales_DB[[#This Row],[Total_Amount]]&gt;1000,"High","Low")</f>
        <v>Low</v>
      </c>
      <c r="N850" s="2" t="str">
        <f>VLOOKUP(ESales_DB[[#This Row],[Customer_ID]],Ecustom_DB[],3,FALSE)</f>
        <v>Damon Perez</v>
      </c>
      <c r="O850" s="2" t="str">
        <f>_xlfn.XLOOKUP(ESales_DB[[#This Row],[Product_ID]],Eproduct_DB[Product_ID],Eproduct_DB[Category])</f>
        <v>Home</v>
      </c>
      <c r="P850" s="2" t="str">
        <f>_xlfn.XLOOKUP(ESales_DB[[#This Row],[Product_ID]],Eproduct_DB[Product_ID],Eproduct_DB[Product_Name])</f>
        <v>Decorative Lamp Shade</v>
      </c>
      <c r="Q850" s="2" t="str">
        <f>_xlfn.XLOOKUP(ESales_DB[[#This Row],[Store_ID]],Estore_DB[Store_ID],Estore_DB[Region])</f>
        <v>East</v>
      </c>
      <c r="R850" t="str">
        <f>VLOOKUP(ESales_DB[[#This Row],[Customer_ID]],Ecustom_DB[],10,FALSE)</f>
        <v>Gold</v>
      </c>
      <c r="S850" t="str">
        <f>IF(ESales_DB[[#This Row],[Quantity1]]&gt;3,"Bulk order","Normal order")</f>
        <v>Normal order</v>
      </c>
    </row>
    <row r="851" spans="1:19" x14ac:dyDescent="0.3">
      <c r="A851" t="s">
        <v>3588</v>
      </c>
      <c r="B851" s="4">
        <v>45610</v>
      </c>
      <c r="C851" s="4" t="str">
        <f>TEXT(ESales_DB[[#This Row],[Order_Date]],"mmm")</f>
        <v>Nov</v>
      </c>
      <c r="D851" t="s">
        <v>205</v>
      </c>
      <c r="E851" t="s">
        <v>1716</v>
      </c>
      <c r="F851" t="s">
        <v>1797</v>
      </c>
      <c r="G851">
        <v>4</v>
      </c>
      <c r="H851" s="10">
        <f>IF(ISBLANK(ESales_DB[[#This Row],[Quantity]]),AVERAGEIF(ESales_DB[Product_ID],ESales_DB[[#This Row],[Product_ID]],ESales_DB[Quantity]),ESales_DB[[#This Row],[Quantity]])</f>
        <v>4</v>
      </c>
      <c r="I851" s="2">
        <v>341.95</v>
      </c>
      <c r="J851">
        <v>0.25</v>
      </c>
      <c r="K851" t="s">
        <v>1824</v>
      </c>
      <c r="L851" s="2">
        <v>1025.8499999999999</v>
      </c>
      <c r="M851" s="2" t="str">
        <f>IF(ESales_DB[[#This Row],[Total_Amount]]&gt;1000,"High","Low")</f>
        <v>High</v>
      </c>
      <c r="N851" s="2" t="str">
        <f>VLOOKUP(ESales_DB[[#This Row],[Customer_ID]],Ecustom_DB[],3,FALSE)</f>
        <v>Katherine Dorsey</v>
      </c>
      <c r="O851" s="2" t="str">
        <f>_xlfn.XLOOKUP(ESales_DB[[#This Row],[Product_ID]],Eproduct_DB[Product_ID],Eproduct_DB[Category])</f>
        <v>Home</v>
      </c>
      <c r="P851" s="2" t="str">
        <f>_xlfn.XLOOKUP(ESales_DB[[#This Row],[Product_ID]],Eproduct_DB[Product_ID],Eproduct_DB[Product_Name])</f>
        <v>Wooden Bookshelf</v>
      </c>
      <c r="Q851" s="2" t="str">
        <f>_xlfn.XLOOKUP(ESales_DB[[#This Row],[Store_ID]],Estore_DB[Store_ID],Estore_DB[Region])</f>
        <v>East</v>
      </c>
      <c r="R851" t="str">
        <f>VLOOKUP(ESales_DB[[#This Row],[Customer_ID]],Ecustom_DB[],10,FALSE)</f>
        <v>Platinum</v>
      </c>
      <c r="S851" t="str">
        <f>IF(ESales_DB[[#This Row],[Quantity1]]&gt;3,"Bulk order","Normal order")</f>
        <v>Bulk order</v>
      </c>
    </row>
    <row r="852" spans="1:19" x14ac:dyDescent="0.3">
      <c r="A852" t="s">
        <v>3589</v>
      </c>
      <c r="B852" s="4">
        <v>45438</v>
      </c>
      <c r="C852" s="4" t="str">
        <f>TEXT(ESales_DB[[#This Row],[Order_Date]],"mmm")</f>
        <v>May</v>
      </c>
      <c r="D852" t="s">
        <v>899</v>
      </c>
      <c r="E852" t="s">
        <v>1592</v>
      </c>
      <c r="F852" t="s">
        <v>1804</v>
      </c>
      <c r="G852">
        <v>4</v>
      </c>
      <c r="H852" s="10">
        <f>IF(ISBLANK(ESales_DB[[#This Row],[Quantity]]),AVERAGEIF(ESales_DB[Product_ID],ESales_DB[[#This Row],[Product_ID]],ESales_DB[Quantity]),ESales_DB[[#This Row],[Quantity]])</f>
        <v>4</v>
      </c>
      <c r="I852" s="2">
        <v>300.12</v>
      </c>
      <c r="J852">
        <v>0.05</v>
      </c>
      <c r="K852" t="s">
        <v>1826</v>
      </c>
      <c r="L852" s="2">
        <v>1140.4559999999999</v>
      </c>
      <c r="M852" s="2" t="str">
        <f>IF(ESales_DB[[#This Row],[Total_Amount]]&gt;1000,"High","Low")</f>
        <v>High</v>
      </c>
      <c r="N852" s="2" t="str">
        <f>VLOOKUP(ESales_DB[[#This Row],[Customer_ID]],Ecustom_DB[],3,FALSE)</f>
        <v>Bryan Garcia</v>
      </c>
      <c r="O852" s="2" t="str">
        <f>_xlfn.XLOOKUP(ESales_DB[[#This Row],[Product_ID]],Eproduct_DB[Product_ID],Eproduct_DB[Category])</f>
        <v>Sports</v>
      </c>
      <c r="P852" s="2" t="str">
        <f>_xlfn.XLOOKUP(ESales_DB[[#This Row],[Product_ID]],Eproduct_DB[Product_ID],Eproduct_DB[Product_Name])</f>
        <v>Carbon Fiber Tennis Racket</v>
      </c>
      <c r="Q852" s="2" t="str">
        <f>_xlfn.XLOOKUP(ESales_DB[[#This Row],[Store_ID]],Estore_DB[Store_ID],Estore_DB[Region])</f>
        <v>West</v>
      </c>
      <c r="R852" t="str">
        <f>VLOOKUP(ESales_DB[[#This Row],[Customer_ID]],Ecustom_DB[],10,FALSE)</f>
        <v>Silver</v>
      </c>
      <c r="S852" t="str">
        <f>IF(ESales_DB[[#This Row],[Quantity1]]&gt;3,"Bulk order","Normal order")</f>
        <v>Bulk order</v>
      </c>
    </row>
    <row r="853" spans="1:19" x14ac:dyDescent="0.3">
      <c r="A853" t="s">
        <v>3590</v>
      </c>
      <c r="B853" s="4">
        <v>45705</v>
      </c>
      <c r="C853" s="4" t="str">
        <f>TEXT(ESales_DB[[#This Row],[Order_Date]],"mmm")</f>
        <v>Feb</v>
      </c>
      <c r="D853" t="s">
        <v>402</v>
      </c>
      <c r="E853" t="s">
        <v>1604</v>
      </c>
      <c r="F853" t="s">
        <v>1807</v>
      </c>
      <c r="G853">
        <v>2</v>
      </c>
      <c r="H853" s="10">
        <f>IF(ISBLANK(ESales_DB[[#This Row],[Quantity]]),AVERAGEIF(ESales_DB[Product_ID],ESales_DB[[#This Row],[Product_ID]],ESales_DB[Quantity]),ESales_DB[[#This Row],[Quantity]])</f>
        <v>2</v>
      </c>
      <c r="I853" s="2">
        <v>289.14</v>
      </c>
      <c r="J853">
        <v>0.12</v>
      </c>
      <c r="K853" t="s">
        <v>1829</v>
      </c>
      <c r="L853" s="2">
        <v>508.88639999999998</v>
      </c>
      <c r="M853" s="2" t="str">
        <f>IF(ESales_DB[[#This Row],[Total_Amount]]&gt;1000,"High","Low")</f>
        <v>Low</v>
      </c>
      <c r="N853" s="2" t="str">
        <f>VLOOKUP(ESales_DB[[#This Row],[Customer_ID]],Ecustom_DB[],3,FALSE)</f>
        <v>Tyler Conrad</v>
      </c>
      <c r="O853" s="2" t="str">
        <f>_xlfn.XLOOKUP(ESales_DB[[#This Row],[Product_ID]],Eproduct_DB[Product_ID],Eproduct_DB[Category])</f>
        <v>Sports</v>
      </c>
      <c r="P853" s="2" t="str">
        <f>_xlfn.XLOOKUP(ESales_DB[[#This Row],[Product_ID]],Eproduct_DB[Product_ID],Eproduct_DB[Product_Name])</f>
        <v>Sports Stopwatch Timer</v>
      </c>
      <c r="Q853" s="2" t="str">
        <f>_xlfn.XLOOKUP(ESales_DB[[#This Row],[Store_ID]],Estore_DB[Store_ID],Estore_DB[Region])</f>
        <v>North</v>
      </c>
      <c r="R853" t="str">
        <f>VLOOKUP(ESales_DB[[#This Row],[Customer_ID]],Ecustom_DB[],10,FALSE)</f>
        <v>Platinum</v>
      </c>
      <c r="S853" t="str">
        <f>IF(ESales_DB[[#This Row],[Quantity1]]&gt;3,"Bulk order","Normal order")</f>
        <v>Normal order</v>
      </c>
    </row>
    <row r="854" spans="1:19" x14ac:dyDescent="0.3">
      <c r="A854" t="s">
        <v>3591</v>
      </c>
      <c r="B854" s="4">
        <v>45695</v>
      </c>
      <c r="C854" s="4" t="str">
        <f>TEXT(ESales_DB[[#This Row],[Order_Date]],"mmm")</f>
        <v>Feb</v>
      </c>
      <c r="D854" t="s">
        <v>175</v>
      </c>
      <c r="E854" t="s">
        <v>1598</v>
      </c>
      <c r="F854" t="s">
        <v>1752</v>
      </c>
      <c r="G854">
        <v>2</v>
      </c>
      <c r="H854" s="10">
        <f>IF(ISBLANK(ESales_DB[[#This Row],[Quantity]]),AVERAGEIF(ESales_DB[Product_ID],ESales_DB[[#This Row],[Product_ID]],ESales_DB[Quantity]),ESales_DB[[#This Row],[Quantity]])</f>
        <v>2</v>
      </c>
      <c r="I854" s="2">
        <v>596.84</v>
      </c>
      <c r="J854">
        <v>0.01</v>
      </c>
      <c r="K854" t="s">
        <v>1826</v>
      </c>
      <c r="L854" s="2">
        <v>1181.7431999999999</v>
      </c>
      <c r="M854" s="2" t="str">
        <f>IF(ESales_DB[[#This Row],[Total_Amount]]&gt;1000,"High","Low")</f>
        <v>High</v>
      </c>
      <c r="N854" s="2" t="str">
        <f>VLOOKUP(ESales_DB[[#This Row],[Customer_ID]],Ecustom_DB[],3,FALSE)</f>
        <v>Jordan Jackson Dds</v>
      </c>
      <c r="O854" s="2" t="str">
        <f>_xlfn.XLOOKUP(ESales_DB[[#This Row],[Product_ID]],Eproduct_DB[Product_ID],Eproduct_DB[Category])</f>
        <v>Clothing</v>
      </c>
      <c r="P854" s="2" t="str">
        <f>_xlfn.XLOOKUP(ESales_DB[[#This Row],[Product_ID]],Eproduct_DB[Product_ID],Eproduct_DB[Product_Name])</f>
        <v>Women's Scarf Set</v>
      </c>
      <c r="Q854" s="2" t="str">
        <f>_xlfn.XLOOKUP(ESales_DB[[#This Row],[Store_ID]],Estore_DB[Store_ID],Estore_DB[Region])</f>
        <v>East</v>
      </c>
      <c r="R854" t="str">
        <f>VLOOKUP(ESales_DB[[#This Row],[Customer_ID]],Ecustom_DB[],10,FALSE)</f>
        <v>Gold</v>
      </c>
      <c r="S854" t="str">
        <f>IF(ESales_DB[[#This Row],[Quantity1]]&gt;3,"Bulk order","Normal order")</f>
        <v>Normal order</v>
      </c>
    </row>
    <row r="855" spans="1:19" x14ac:dyDescent="0.3">
      <c r="A855" t="s">
        <v>3592</v>
      </c>
      <c r="B855" s="4">
        <v>45571</v>
      </c>
      <c r="C855" s="4" t="str">
        <f>TEXT(ESales_DB[[#This Row],[Order_Date]],"mmm")</f>
        <v>Oct</v>
      </c>
      <c r="D855" t="s">
        <v>1352</v>
      </c>
      <c r="E855" t="s">
        <v>1586</v>
      </c>
      <c r="F855" t="s">
        <v>1782</v>
      </c>
      <c r="G855">
        <v>4</v>
      </c>
      <c r="H855" s="10">
        <f>IF(ISBLANK(ESales_DB[[#This Row],[Quantity]]),AVERAGEIF(ESales_DB[Product_ID],ESales_DB[[#This Row],[Product_ID]],ESales_DB[Quantity]),ESales_DB[[#This Row],[Quantity]])</f>
        <v>4</v>
      </c>
      <c r="I855" s="2">
        <v>466.24</v>
      </c>
      <c r="J855">
        <v>0.16</v>
      </c>
      <c r="K855" t="s">
        <v>1824</v>
      </c>
      <c r="L855" s="2">
        <v>1566.5663999999999</v>
      </c>
      <c r="M855" s="2" t="str">
        <f>IF(ESales_DB[[#This Row],[Total_Amount]]&gt;1000,"High","Low")</f>
        <v>High</v>
      </c>
      <c r="N855" s="2" t="str">
        <f>VLOOKUP(ESales_DB[[#This Row],[Customer_ID]],Ecustom_DB[],3,FALSE)</f>
        <v>Sharon Simpson</v>
      </c>
      <c r="O855" s="2" t="str">
        <f>_xlfn.XLOOKUP(ESales_DB[[#This Row],[Product_ID]],Eproduct_DB[Product_ID],Eproduct_DB[Category])</f>
        <v>Sports</v>
      </c>
      <c r="P855" s="2" t="str">
        <f>_xlfn.XLOOKUP(ESales_DB[[#This Row],[Product_ID]],Eproduct_DB[Product_ID],Eproduct_DB[Product_Name])</f>
        <v>Knee Support Brace</v>
      </c>
      <c r="Q855" s="2" t="str">
        <f>_xlfn.XLOOKUP(ESales_DB[[#This Row],[Store_ID]],Estore_DB[Store_ID],Estore_DB[Region])</f>
        <v>West</v>
      </c>
      <c r="R855" t="str">
        <f>VLOOKUP(ESales_DB[[#This Row],[Customer_ID]],Ecustom_DB[],10,FALSE)</f>
        <v>Gold</v>
      </c>
      <c r="S855" t="str">
        <f>IF(ESales_DB[[#This Row],[Quantity1]]&gt;3,"Bulk order","Normal order")</f>
        <v>Bulk order</v>
      </c>
    </row>
    <row r="856" spans="1:19" x14ac:dyDescent="0.3">
      <c r="A856" t="s">
        <v>3593</v>
      </c>
      <c r="B856" s="4">
        <v>45544</v>
      </c>
      <c r="C856" s="4" t="str">
        <f>TEXT(ESales_DB[[#This Row],[Order_Date]],"mmm")</f>
        <v>Sep</v>
      </c>
      <c r="D856" t="s">
        <v>806</v>
      </c>
      <c r="E856" t="s">
        <v>1574</v>
      </c>
      <c r="F856" t="s">
        <v>1804</v>
      </c>
      <c r="G856">
        <v>2</v>
      </c>
      <c r="H856" s="10">
        <f>IF(ISBLANK(ESales_DB[[#This Row],[Quantity]]),AVERAGEIF(ESales_DB[Product_ID],ESales_DB[[#This Row],[Product_ID]],ESales_DB[Quantity]),ESales_DB[[#This Row],[Quantity]])</f>
        <v>2</v>
      </c>
      <c r="I856" s="2">
        <v>330.59</v>
      </c>
      <c r="J856">
        <v>0.14000000000000001</v>
      </c>
      <c r="K856" t="s">
        <v>1824</v>
      </c>
      <c r="L856" s="2">
        <v>568.61479999999995</v>
      </c>
      <c r="M856" s="2" t="str">
        <f>IF(ESales_DB[[#This Row],[Total_Amount]]&gt;1000,"High","Low")</f>
        <v>Low</v>
      </c>
      <c r="N856" s="2" t="str">
        <f>VLOOKUP(ESales_DB[[#This Row],[Customer_ID]],Ecustom_DB[],3,FALSE)</f>
        <v>John Mccoy</v>
      </c>
      <c r="O856" s="2" t="str">
        <f>_xlfn.XLOOKUP(ESales_DB[[#This Row],[Product_ID]],Eproduct_DB[Product_ID],Eproduct_DB[Category])</f>
        <v>Electronics</v>
      </c>
      <c r="P856" s="2" t="str">
        <f>_xlfn.XLOOKUP(ESales_DB[[#This Row],[Product_ID]],Eproduct_DB[Product_ID],Eproduct_DB[Product_Name])</f>
        <v>USB-C Fast Charger</v>
      </c>
      <c r="Q856" s="2" t="str">
        <f>_xlfn.XLOOKUP(ESales_DB[[#This Row],[Store_ID]],Estore_DB[Store_ID],Estore_DB[Region])</f>
        <v>West</v>
      </c>
      <c r="R856" t="str">
        <f>VLOOKUP(ESales_DB[[#This Row],[Customer_ID]],Ecustom_DB[],10,FALSE)</f>
        <v>Silver</v>
      </c>
      <c r="S856" t="str">
        <f>IF(ESales_DB[[#This Row],[Quantity1]]&gt;3,"Bulk order","Normal order")</f>
        <v>Normal order</v>
      </c>
    </row>
    <row r="857" spans="1:19" x14ac:dyDescent="0.3">
      <c r="A857" t="s">
        <v>3594</v>
      </c>
      <c r="B857" s="4">
        <v>45654</v>
      </c>
      <c r="C857" s="4" t="str">
        <f>TEXT(ESales_DB[[#This Row],[Order_Date]],"mmm")</f>
        <v>Dec</v>
      </c>
      <c r="D857" t="s">
        <v>1516</v>
      </c>
      <c r="E857" t="s">
        <v>1592</v>
      </c>
      <c r="F857" t="s">
        <v>1776</v>
      </c>
      <c r="G857">
        <v>2</v>
      </c>
      <c r="H857" s="10">
        <f>IF(ISBLANK(ESales_DB[[#This Row],[Quantity]]),AVERAGEIF(ESales_DB[Product_ID],ESales_DB[[#This Row],[Product_ID]],ESales_DB[Quantity]),ESales_DB[[#This Row],[Quantity]])</f>
        <v>2</v>
      </c>
      <c r="I857" s="2">
        <v>616.42999999999995</v>
      </c>
      <c r="J857">
        <v>0.02</v>
      </c>
      <c r="K857" t="s">
        <v>1829</v>
      </c>
      <c r="L857" s="2">
        <v>1208.2028</v>
      </c>
      <c r="M857" s="2" t="str">
        <f>IF(ESales_DB[[#This Row],[Total_Amount]]&gt;1000,"High","Low")</f>
        <v>High</v>
      </c>
      <c r="N857" s="2" t="str">
        <f>VLOOKUP(ESales_DB[[#This Row],[Customer_ID]],Ecustom_DB[],3,FALSE)</f>
        <v>Amanda Powell</v>
      </c>
      <c r="O857" s="2" t="str">
        <f>_xlfn.XLOOKUP(ESales_DB[[#This Row],[Product_ID]],Eproduct_DB[Product_ID],Eproduct_DB[Category])</f>
        <v>Sports</v>
      </c>
      <c r="P857" s="2" t="str">
        <f>_xlfn.XLOOKUP(ESales_DB[[#This Row],[Product_ID]],Eproduct_DB[Product_ID],Eproduct_DB[Product_Name])</f>
        <v>Carbon Fiber Tennis Racket</v>
      </c>
      <c r="Q857" s="2" t="str">
        <f>_xlfn.XLOOKUP(ESales_DB[[#This Row],[Store_ID]],Estore_DB[Store_ID],Estore_DB[Region])</f>
        <v>East</v>
      </c>
      <c r="R857" t="str">
        <f>VLOOKUP(ESales_DB[[#This Row],[Customer_ID]],Ecustom_DB[],10,FALSE)</f>
        <v>Silver</v>
      </c>
      <c r="S857" t="str">
        <f>IF(ESales_DB[[#This Row],[Quantity1]]&gt;3,"Bulk order","Normal order")</f>
        <v>Normal order</v>
      </c>
    </row>
    <row r="858" spans="1:19" x14ac:dyDescent="0.3">
      <c r="A858" t="s">
        <v>3595</v>
      </c>
      <c r="B858" s="4">
        <v>45589</v>
      </c>
      <c r="C858" s="4" t="str">
        <f>TEXT(ESales_DB[[#This Row],[Order_Date]],"mmm")</f>
        <v>Oct</v>
      </c>
      <c r="D858" t="s">
        <v>1254</v>
      </c>
      <c r="E858" t="s">
        <v>1674</v>
      </c>
      <c r="F858" t="s">
        <v>1776</v>
      </c>
      <c r="G858">
        <v>3</v>
      </c>
      <c r="H858" s="10">
        <f>IF(ISBLANK(ESales_DB[[#This Row],[Quantity]]),AVERAGEIF(ESales_DB[Product_ID],ESales_DB[[#This Row],[Product_ID]],ESales_DB[Quantity]),ESales_DB[[#This Row],[Quantity]])</f>
        <v>3</v>
      </c>
      <c r="I858" s="2">
        <v>195.89</v>
      </c>
      <c r="J858">
        <v>0.16</v>
      </c>
      <c r="K858" t="s">
        <v>1826</v>
      </c>
      <c r="L858" s="2">
        <v>493.64280000000002</v>
      </c>
      <c r="M858" s="2" t="str">
        <f>IF(ESales_DB[[#This Row],[Total_Amount]]&gt;1000,"High","Low")</f>
        <v>Low</v>
      </c>
      <c r="N858" s="2" t="str">
        <f>VLOOKUP(ESales_DB[[#This Row],[Customer_ID]],Ecustom_DB[],3,FALSE)</f>
        <v>Justin Ingram</v>
      </c>
      <c r="O858" s="2" t="str">
        <f>_xlfn.XLOOKUP(ESales_DB[[#This Row],[Product_ID]],Eproduct_DB[Product_ID],Eproduct_DB[Category])</f>
        <v>Beauty</v>
      </c>
      <c r="P858" s="2" t="str">
        <f>_xlfn.XLOOKUP(ESales_DB[[#This Row],[Product_ID]],Eproduct_DB[Product_ID],Eproduct_DB[Product_Name])</f>
        <v>Organic Sunscreen Lotion</v>
      </c>
      <c r="Q858" s="2" t="str">
        <f>_xlfn.XLOOKUP(ESales_DB[[#This Row],[Store_ID]],Estore_DB[Store_ID],Estore_DB[Region])</f>
        <v>East</v>
      </c>
      <c r="R858" t="str">
        <f>VLOOKUP(ESales_DB[[#This Row],[Customer_ID]],Ecustom_DB[],10,FALSE)</f>
        <v>Bronze</v>
      </c>
      <c r="S858" t="str">
        <f>IF(ESales_DB[[#This Row],[Quantity1]]&gt;3,"Bulk order","Normal order")</f>
        <v>Normal order</v>
      </c>
    </row>
    <row r="859" spans="1:19" x14ac:dyDescent="0.3">
      <c r="A859" t="s">
        <v>2003</v>
      </c>
      <c r="B859" s="4">
        <v>45670</v>
      </c>
      <c r="C859" s="4" t="str">
        <f>TEXT(ESales_DB[[#This Row],[Order_Date]],"mmm")</f>
        <v>Jan</v>
      </c>
      <c r="D859" t="s">
        <v>1533</v>
      </c>
      <c r="E859" t="s">
        <v>1658</v>
      </c>
      <c r="F859" t="s">
        <v>1782</v>
      </c>
      <c r="G859">
        <v>1</v>
      </c>
      <c r="H859" s="10">
        <f>IF(ISBLANK(ESales_DB[[#This Row],[Quantity]]),AVERAGEIF(ESales_DB[Product_ID],ESales_DB[[#This Row],[Product_ID]],ESales_DB[Quantity]),ESales_DB[[#This Row],[Quantity]])</f>
        <v>1</v>
      </c>
      <c r="I859" s="2">
        <v>79</v>
      </c>
      <c r="J859">
        <v>0.04</v>
      </c>
      <c r="K859" t="s">
        <v>1826</v>
      </c>
      <c r="L859" s="2">
        <v>75.84</v>
      </c>
      <c r="M859" s="2" t="str">
        <f>IF(ESales_DB[[#This Row],[Total_Amount]]&gt;1000,"High","Low")</f>
        <v>Low</v>
      </c>
      <c r="N859" s="2" t="str">
        <f>VLOOKUP(ESales_DB[[#This Row],[Customer_ID]],Ecustom_DB[],3,FALSE)</f>
        <v>Philip Pennington</v>
      </c>
      <c r="O859" s="2" t="str">
        <f>_xlfn.XLOOKUP(ESales_DB[[#This Row],[Product_ID]],Eproduct_DB[Product_ID],Eproduct_DB[Category])</f>
        <v>Home</v>
      </c>
      <c r="P859" s="2" t="str">
        <f>_xlfn.XLOOKUP(ESales_DB[[#This Row],[Product_ID]],Eproduct_DB[Product_ID],Eproduct_DB[Product_Name])</f>
        <v>Ceramic Plant Pot</v>
      </c>
      <c r="Q859" s="2" t="str">
        <f>_xlfn.XLOOKUP(ESales_DB[[#This Row],[Store_ID]],Estore_DB[Store_ID],Estore_DB[Region])</f>
        <v>West</v>
      </c>
      <c r="R859" t="str">
        <f>VLOOKUP(ESales_DB[[#This Row],[Customer_ID]],Ecustom_DB[],10,FALSE)</f>
        <v>Platinum</v>
      </c>
      <c r="S859" t="str">
        <f>IF(ESales_DB[[#This Row],[Quantity1]]&gt;3,"Bulk order","Normal order")</f>
        <v>Normal order</v>
      </c>
    </row>
    <row r="860" spans="1:19" x14ac:dyDescent="0.3">
      <c r="A860" t="s">
        <v>3596</v>
      </c>
      <c r="B860" s="4">
        <v>45487</v>
      </c>
      <c r="C860" s="4" t="str">
        <f>TEXT(ESales_DB[[#This Row],[Order_Date]],"mmm")</f>
        <v>Jul</v>
      </c>
      <c r="D860" t="s">
        <v>1077</v>
      </c>
      <c r="E860" t="s">
        <v>1560</v>
      </c>
      <c r="F860" t="s">
        <v>1789</v>
      </c>
      <c r="G860">
        <v>4</v>
      </c>
      <c r="H860" s="10">
        <f>IF(ISBLANK(ESales_DB[[#This Row],[Quantity]]),AVERAGEIF(ESales_DB[Product_ID],ESales_DB[[#This Row],[Product_ID]],ESales_DB[Quantity]),ESales_DB[[#This Row],[Quantity]])</f>
        <v>4</v>
      </c>
      <c r="I860" s="2">
        <v>614.76</v>
      </c>
      <c r="J860">
        <v>0.16</v>
      </c>
      <c r="K860" t="s">
        <v>1824</v>
      </c>
      <c r="L860" s="2">
        <v>2065.5936000000002</v>
      </c>
      <c r="M860" s="2" t="str">
        <f>IF(ESales_DB[[#This Row],[Total_Amount]]&gt;1000,"High","Low")</f>
        <v>High</v>
      </c>
      <c r="N860" s="2" t="str">
        <f>VLOOKUP(ESales_DB[[#This Row],[Customer_ID]],Ecustom_DB[],3,FALSE)</f>
        <v>Ryan Moore</v>
      </c>
      <c r="O860" s="2" t="str">
        <f>_xlfn.XLOOKUP(ESales_DB[[#This Row],[Product_ID]],Eproduct_DB[Product_ID],Eproduct_DB[Category])</f>
        <v>Home</v>
      </c>
      <c r="P860" s="2" t="str">
        <f>_xlfn.XLOOKUP(ESales_DB[[#This Row],[Product_ID]],Eproduct_DB[Product_ID],Eproduct_DB[Product_Name])</f>
        <v>LED Table Lamp</v>
      </c>
      <c r="Q860" s="2" t="str">
        <f>_xlfn.XLOOKUP(ESales_DB[[#This Row],[Store_ID]],Estore_DB[Store_ID],Estore_DB[Region])</f>
        <v>East</v>
      </c>
      <c r="R860" t="str">
        <f>VLOOKUP(ESales_DB[[#This Row],[Customer_ID]],Ecustom_DB[],10,FALSE)</f>
        <v>Bronze</v>
      </c>
      <c r="S860" t="str">
        <f>IF(ESales_DB[[#This Row],[Quantity1]]&gt;3,"Bulk order","Normal order")</f>
        <v>Bulk order</v>
      </c>
    </row>
    <row r="861" spans="1:19" x14ac:dyDescent="0.3">
      <c r="A861" t="s">
        <v>3597</v>
      </c>
      <c r="B861" s="4">
        <v>45418</v>
      </c>
      <c r="C861" s="4" t="str">
        <f>TEXT(ESales_DB[[#This Row],[Order_Date]],"mmm")</f>
        <v>May</v>
      </c>
      <c r="D861" t="s">
        <v>1257</v>
      </c>
      <c r="E861" t="s">
        <v>1706</v>
      </c>
      <c r="F861" t="s">
        <v>1779</v>
      </c>
      <c r="G861">
        <v>1</v>
      </c>
      <c r="H861" s="10">
        <f>IF(ISBLANK(ESales_DB[[#This Row],[Quantity]]),AVERAGEIF(ESales_DB[Product_ID],ESales_DB[[#This Row],[Product_ID]],ESales_DB[Quantity]),ESales_DB[[#This Row],[Quantity]])</f>
        <v>1</v>
      </c>
      <c r="I861" s="2">
        <v>224.49</v>
      </c>
      <c r="J861">
        <v>0.11</v>
      </c>
      <c r="K861" t="s">
        <v>1826</v>
      </c>
      <c r="L861" s="2">
        <v>199.7961</v>
      </c>
      <c r="M861" s="2" t="str">
        <f>IF(ESales_DB[[#This Row],[Total_Amount]]&gt;1000,"High","Low")</f>
        <v>Low</v>
      </c>
      <c r="N861" s="2" t="str">
        <f>VLOOKUP(ESales_DB[[#This Row],[Customer_ID]],Ecustom_DB[],3,FALSE)</f>
        <v>David Ross</v>
      </c>
      <c r="O861" s="2" t="str">
        <f>_xlfn.XLOOKUP(ESales_DB[[#This Row],[Product_ID]],Eproduct_DB[Product_ID],Eproduct_DB[Category])</f>
        <v>Home</v>
      </c>
      <c r="P861" s="2" t="str">
        <f>_xlfn.XLOOKUP(ESales_DB[[#This Row],[Product_ID]],Eproduct_DB[Product_ID],Eproduct_DB[Product_Name])</f>
        <v>Decorative Lamp Shade</v>
      </c>
      <c r="Q861" s="2" t="str">
        <f>_xlfn.XLOOKUP(ESales_DB[[#This Row],[Store_ID]],Estore_DB[Store_ID],Estore_DB[Region])</f>
        <v>South</v>
      </c>
      <c r="R861" t="str">
        <f>VLOOKUP(ESales_DB[[#This Row],[Customer_ID]],Ecustom_DB[],10,FALSE)</f>
        <v>Silver</v>
      </c>
      <c r="S861" t="str">
        <f>IF(ESales_DB[[#This Row],[Quantity1]]&gt;3,"Bulk order","Normal order")</f>
        <v>Normal order</v>
      </c>
    </row>
    <row r="862" spans="1:19" x14ac:dyDescent="0.3">
      <c r="A862" t="s">
        <v>3598</v>
      </c>
      <c r="B862" s="4">
        <v>45338</v>
      </c>
      <c r="C862" s="4" t="str">
        <f>TEXT(ESales_DB[[#This Row],[Order_Date]],"mmm")</f>
        <v>Feb</v>
      </c>
      <c r="D862" t="s">
        <v>1115</v>
      </c>
      <c r="E862" t="s">
        <v>1658</v>
      </c>
      <c r="F862" t="s">
        <v>1794</v>
      </c>
      <c r="G862">
        <v>1</v>
      </c>
      <c r="H862" s="10">
        <f>IF(ISBLANK(ESales_DB[[#This Row],[Quantity]]),AVERAGEIF(ESales_DB[Product_ID],ESales_DB[[#This Row],[Product_ID]],ESales_DB[Quantity]),ESales_DB[[#This Row],[Quantity]])</f>
        <v>1</v>
      </c>
      <c r="I862" s="2">
        <v>967.76</v>
      </c>
      <c r="J862">
        <v>0.09</v>
      </c>
      <c r="K862" t="s">
        <v>1824</v>
      </c>
      <c r="L862" s="2">
        <v>880.66160000000002</v>
      </c>
      <c r="M862" s="2" t="str">
        <f>IF(ESales_DB[[#This Row],[Total_Amount]]&gt;1000,"High","Low")</f>
        <v>Low</v>
      </c>
      <c r="N862" s="2" t="str">
        <f>VLOOKUP(ESales_DB[[#This Row],[Customer_ID]],Ecustom_DB[],3,FALSE)</f>
        <v>Steve Hunt</v>
      </c>
      <c r="O862" s="2" t="str">
        <f>_xlfn.XLOOKUP(ESales_DB[[#This Row],[Product_ID]],Eproduct_DB[Product_ID],Eproduct_DB[Category])</f>
        <v>Home</v>
      </c>
      <c r="P862" s="2" t="str">
        <f>_xlfn.XLOOKUP(ESales_DB[[#This Row],[Product_ID]],Eproduct_DB[Product_ID],Eproduct_DB[Product_Name])</f>
        <v>Ceramic Plant Pot</v>
      </c>
      <c r="Q862" s="2" t="str">
        <f>_xlfn.XLOOKUP(ESales_DB[[#This Row],[Store_ID]],Estore_DB[Store_ID],Estore_DB[Region])</f>
        <v>North</v>
      </c>
      <c r="R862" t="str">
        <f>VLOOKUP(ESales_DB[[#This Row],[Customer_ID]],Ecustom_DB[],10,FALSE)</f>
        <v>Bronze</v>
      </c>
      <c r="S862" t="str">
        <f>IF(ESales_DB[[#This Row],[Quantity1]]&gt;3,"Bulk order","Normal order")</f>
        <v>Normal order</v>
      </c>
    </row>
    <row r="863" spans="1:19" x14ac:dyDescent="0.3">
      <c r="A863" t="s">
        <v>3599</v>
      </c>
      <c r="B863" s="4">
        <v>45507</v>
      </c>
      <c r="C863" s="4" t="str">
        <f>TEXT(ESales_DB[[#This Row],[Order_Date]],"mmm")</f>
        <v>Aug</v>
      </c>
      <c r="D863" t="s">
        <v>247</v>
      </c>
      <c r="E863" t="s">
        <v>1630</v>
      </c>
      <c r="F863" t="s">
        <v>1813</v>
      </c>
      <c r="G863">
        <v>2</v>
      </c>
      <c r="H863" s="10">
        <f>IF(ISBLANK(ESales_DB[[#This Row],[Quantity]]),AVERAGEIF(ESales_DB[Product_ID],ESales_DB[[#This Row],[Product_ID]],ESales_DB[Quantity]),ESales_DB[[#This Row],[Quantity]])</f>
        <v>2</v>
      </c>
      <c r="I863" s="2">
        <v>56.52</v>
      </c>
      <c r="J863">
        <v>0.17</v>
      </c>
      <c r="K863" t="s">
        <v>1826</v>
      </c>
      <c r="L863" s="2">
        <v>93.8232</v>
      </c>
      <c r="M863" s="2" t="str">
        <f>IF(ESales_DB[[#This Row],[Total_Amount]]&gt;1000,"High","Low")</f>
        <v>Low</v>
      </c>
      <c r="N863" s="2" t="str">
        <f>VLOOKUP(ESales_DB[[#This Row],[Customer_ID]],Ecustom_DB[],3,FALSE)</f>
        <v>Amber Mcclain</v>
      </c>
      <c r="O863" s="2" t="str">
        <f>_xlfn.XLOOKUP(ESales_DB[[#This Row],[Product_ID]],Eproduct_DB[Product_ID],Eproduct_DB[Category])</f>
        <v>Sports</v>
      </c>
      <c r="P863" s="2" t="str">
        <f>_xlfn.XLOOKUP(ESales_DB[[#This Row],[Product_ID]],Eproduct_DB[Product_ID],Eproduct_DB[Product_Name])</f>
        <v>Yoga Exercise Mat</v>
      </c>
      <c r="Q863" s="2" t="str">
        <f>_xlfn.XLOOKUP(ESales_DB[[#This Row],[Store_ID]],Estore_DB[Store_ID],Estore_DB[Region])</f>
        <v>East</v>
      </c>
      <c r="R863" t="str">
        <f>VLOOKUP(ESales_DB[[#This Row],[Customer_ID]],Ecustom_DB[],10,FALSE)</f>
        <v>Silver</v>
      </c>
      <c r="S863" t="str">
        <f>IF(ESales_DB[[#This Row],[Quantity1]]&gt;3,"Bulk order","Normal order")</f>
        <v>Normal order</v>
      </c>
    </row>
    <row r="864" spans="1:19" x14ac:dyDescent="0.3">
      <c r="A864" t="s">
        <v>3600</v>
      </c>
      <c r="B864" s="4">
        <v>45275</v>
      </c>
      <c r="C864" s="4" t="str">
        <f>TEXT(ESales_DB[[#This Row],[Order_Date]],"mmm")</f>
        <v>Dec</v>
      </c>
      <c r="D864" t="s">
        <v>1507</v>
      </c>
      <c r="E864" t="s">
        <v>1682</v>
      </c>
      <c r="F864" t="s">
        <v>1757</v>
      </c>
      <c r="G864">
        <v>4</v>
      </c>
      <c r="H864" s="10">
        <f>IF(ISBLANK(ESales_DB[[#This Row],[Quantity]]),AVERAGEIF(ESales_DB[Product_ID],ESales_DB[[#This Row],[Product_ID]],ESales_DB[Quantity]),ESales_DB[[#This Row],[Quantity]])</f>
        <v>4</v>
      </c>
      <c r="I864" s="2">
        <v>921.84</v>
      </c>
      <c r="J864">
        <v>0.04</v>
      </c>
      <c r="K864" t="s">
        <v>1824</v>
      </c>
      <c r="L864" s="2">
        <v>3539.8656000000001</v>
      </c>
      <c r="M864" s="2" t="str">
        <f>IF(ESales_DB[[#This Row],[Total_Amount]]&gt;1000,"High","Low")</f>
        <v>High</v>
      </c>
      <c r="N864" s="2" t="str">
        <f>VLOOKUP(ESales_DB[[#This Row],[Customer_ID]],Ecustom_DB[],3,FALSE)</f>
        <v>Scott Harris</v>
      </c>
      <c r="O864" s="2" t="str">
        <f>_xlfn.XLOOKUP(ESales_DB[[#This Row],[Product_ID]],Eproduct_DB[Product_ID],Eproduct_DB[Category])</f>
        <v>Electronics</v>
      </c>
      <c r="P864" s="2" t="str">
        <f>_xlfn.XLOOKUP(ESales_DB[[#This Row],[Product_ID]],Eproduct_DB[Product_ID],Eproduct_DB[Product_Name])</f>
        <v>Smart LED Light Strip</v>
      </c>
      <c r="Q864" s="2" t="str">
        <f>_xlfn.XLOOKUP(ESales_DB[[#This Row],[Store_ID]],Estore_DB[Store_ID],Estore_DB[Region])</f>
        <v>North</v>
      </c>
      <c r="R864" t="str">
        <f>VLOOKUP(ESales_DB[[#This Row],[Customer_ID]],Ecustom_DB[],10,FALSE)</f>
        <v>Platinum</v>
      </c>
      <c r="S864" t="str">
        <f>IF(ESales_DB[[#This Row],[Quantity1]]&gt;3,"Bulk order","Normal order")</f>
        <v>Bulk order</v>
      </c>
    </row>
    <row r="865" spans="1:19" x14ac:dyDescent="0.3">
      <c r="A865" t="s">
        <v>3601</v>
      </c>
      <c r="B865" s="4">
        <v>45319</v>
      </c>
      <c r="C865" s="4" t="str">
        <f>TEXT(ESales_DB[[#This Row],[Order_Date]],"mmm")</f>
        <v>Jan</v>
      </c>
      <c r="D865" t="s">
        <v>1032</v>
      </c>
      <c r="E865" t="s">
        <v>1720</v>
      </c>
      <c r="F865" t="s">
        <v>1804</v>
      </c>
      <c r="G865">
        <v>3</v>
      </c>
      <c r="H865" s="10">
        <f>IF(ISBLANK(ESales_DB[[#This Row],[Quantity]]),AVERAGEIF(ESales_DB[Product_ID],ESales_DB[[#This Row],[Product_ID]],ESales_DB[Quantity]),ESales_DB[[#This Row],[Quantity]])</f>
        <v>3</v>
      </c>
      <c r="I865" s="2">
        <v>738.47</v>
      </c>
      <c r="J865">
        <v>0.28000000000000003</v>
      </c>
      <c r="K865" t="s">
        <v>1824</v>
      </c>
      <c r="L865" s="2">
        <v>1595.0952</v>
      </c>
      <c r="M865" s="2" t="str">
        <f>IF(ESales_DB[[#This Row],[Total_Amount]]&gt;1000,"High","Low")</f>
        <v>High</v>
      </c>
      <c r="N865" s="2" t="str">
        <f>VLOOKUP(ESales_DB[[#This Row],[Customer_ID]],Ecustom_DB[],3,FALSE)</f>
        <v>Mario Harvey Jr.</v>
      </c>
      <c r="O865" s="2" t="str">
        <f>_xlfn.XLOOKUP(ESales_DB[[#This Row],[Product_ID]],Eproduct_DB[Product_ID],Eproduct_DB[Category])</f>
        <v>Home</v>
      </c>
      <c r="P865" s="2" t="str">
        <f>_xlfn.XLOOKUP(ESales_DB[[#This Row],[Product_ID]],Eproduct_DB[Product_ID],Eproduct_DB[Product_Name])</f>
        <v>Kitchen Cutting Board</v>
      </c>
      <c r="Q865" s="2" t="str">
        <f>_xlfn.XLOOKUP(ESales_DB[[#This Row],[Store_ID]],Estore_DB[Store_ID],Estore_DB[Region])</f>
        <v>West</v>
      </c>
      <c r="R865" t="str">
        <f>VLOOKUP(ESales_DB[[#This Row],[Customer_ID]],Ecustom_DB[],10,FALSE)</f>
        <v>Platinum</v>
      </c>
      <c r="S865" t="str">
        <f>IF(ESales_DB[[#This Row],[Quantity1]]&gt;3,"Bulk order","Normal order")</f>
        <v>Normal order</v>
      </c>
    </row>
    <row r="866" spans="1:19" x14ac:dyDescent="0.3">
      <c r="A866" t="s">
        <v>3602</v>
      </c>
      <c r="B866" s="4">
        <v>45620</v>
      </c>
      <c r="C866" s="4" t="str">
        <f>TEXT(ESales_DB[[#This Row],[Order_Date]],"mmm")</f>
        <v>Nov</v>
      </c>
      <c r="D866" t="s">
        <v>1032</v>
      </c>
      <c r="E866" t="s">
        <v>1555</v>
      </c>
      <c r="F866" t="s">
        <v>1752</v>
      </c>
      <c r="G866">
        <v>4</v>
      </c>
      <c r="H866" s="10">
        <f>IF(ISBLANK(ESales_DB[[#This Row],[Quantity]]),AVERAGEIF(ESales_DB[Product_ID],ESales_DB[[#This Row],[Product_ID]],ESales_DB[Quantity]),ESales_DB[[#This Row],[Quantity]])</f>
        <v>4</v>
      </c>
      <c r="I866" s="2">
        <v>477.83</v>
      </c>
      <c r="J866">
        <v>0.05</v>
      </c>
      <c r="K866" t="s">
        <v>1829</v>
      </c>
      <c r="L866" s="2">
        <v>1815.7539999999999</v>
      </c>
      <c r="M866" s="2" t="str">
        <f>IF(ESales_DB[[#This Row],[Total_Amount]]&gt;1000,"High","Low")</f>
        <v>High</v>
      </c>
      <c r="N866" s="2" t="str">
        <f>VLOOKUP(ESales_DB[[#This Row],[Customer_ID]],Ecustom_DB[],3,FALSE)</f>
        <v>Mario Harvey Jr.</v>
      </c>
      <c r="O866" s="2" t="str">
        <f>_xlfn.XLOOKUP(ESales_DB[[#This Row],[Product_ID]],Eproduct_DB[Product_ID],Eproduct_DB[Category])</f>
        <v>Clothing</v>
      </c>
      <c r="P866" s="2" t="str">
        <f>_xlfn.XLOOKUP(ESales_DB[[#This Row],[Product_ID]],Eproduct_DB[Product_ID],Eproduct_DB[Product_Name])</f>
        <v>Men's Leather Belt</v>
      </c>
      <c r="Q866" s="2" t="str">
        <f>_xlfn.XLOOKUP(ESales_DB[[#This Row],[Store_ID]],Estore_DB[Store_ID],Estore_DB[Region])</f>
        <v>East</v>
      </c>
      <c r="R866" t="str">
        <f>VLOOKUP(ESales_DB[[#This Row],[Customer_ID]],Ecustom_DB[],10,FALSE)</f>
        <v>Platinum</v>
      </c>
      <c r="S866" t="str">
        <f>IF(ESales_DB[[#This Row],[Quantity1]]&gt;3,"Bulk order","Normal order")</f>
        <v>Bulk order</v>
      </c>
    </row>
    <row r="867" spans="1:19" x14ac:dyDescent="0.3">
      <c r="A867" t="s">
        <v>3603</v>
      </c>
      <c r="B867" s="4">
        <v>45831</v>
      </c>
      <c r="C867" s="4" t="str">
        <f>TEXT(ESales_DB[[#This Row],[Order_Date]],"mmm")</f>
        <v>Jun</v>
      </c>
      <c r="D867" t="s">
        <v>559</v>
      </c>
      <c r="E867" t="s">
        <v>1632</v>
      </c>
      <c r="F867" t="s">
        <v>1794</v>
      </c>
      <c r="G867">
        <v>3</v>
      </c>
      <c r="H867" s="10">
        <f>IF(ISBLANK(ESales_DB[[#This Row],[Quantity]]),AVERAGEIF(ESales_DB[Product_ID],ESales_DB[[#This Row],[Product_ID]],ESales_DB[Quantity]),ESales_DB[[#This Row],[Quantity]])</f>
        <v>3</v>
      </c>
      <c r="I867" s="2">
        <v>605.83000000000004</v>
      </c>
      <c r="J867">
        <v>0.28000000000000003</v>
      </c>
      <c r="K867" t="s">
        <v>1829</v>
      </c>
      <c r="L867" s="2">
        <v>1308.5927999999999</v>
      </c>
      <c r="M867" s="2" t="str">
        <f>IF(ESales_DB[[#This Row],[Total_Amount]]&gt;1000,"High","Low")</f>
        <v>High</v>
      </c>
      <c r="N867" s="2" t="str">
        <f>VLOOKUP(ESales_DB[[#This Row],[Customer_ID]],Ecustom_DB[],3,FALSE)</f>
        <v>Daniel Contreras</v>
      </c>
      <c r="O867" s="2" t="str">
        <f>_xlfn.XLOOKUP(ESales_DB[[#This Row],[Product_ID]],Eproduct_DB[Product_ID],Eproduct_DB[Category])</f>
        <v>Electronics</v>
      </c>
      <c r="P867" s="2" t="str">
        <f>_xlfn.XLOOKUP(ESales_DB[[#This Row],[Product_ID]],Eproduct_DB[Product_ID],Eproduct_DB[Product_Name])</f>
        <v>Smart Home WiFi Camera</v>
      </c>
      <c r="Q867" s="2" t="str">
        <f>_xlfn.XLOOKUP(ESales_DB[[#This Row],[Store_ID]],Estore_DB[Store_ID],Estore_DB[Region])</f>
        <v>North</v>
      </c>
      <c r="R867" t="str">
        <f>VLOOKUP(ESales_DB[[#This Row],[Customer_ID]],Ecustom_DB[],10,FALSE)</f>
        <v>Platinum</v>
      </c>
      <c r="S867" t="str">
        <f>IF(ESales_DB[[#This Row],[Quantity1]]&gt;3,"Bulk order","Normal order")</f>
        <v>Normal order</v>
      </c>
    </row>
    <row r="868" spans="1:19" x14ac:dyDescent="0.3">
      <c r="A868" t="s">
        <v>3604</v>
      </c>
      <c r="B868" s="4">
        <v>45373</v>
      </c>
      <c r="C868" s="4" t="str">
        <f>TEXT(ESales_DB[[#This Row],[Order_Date]],"mmm")</f>
        <v>Mar</v>
      </c>
      <c r="D868" t="s">
        <v>247</v>
      </c>
      <c r="E868" t="s">
        <v>1634</v>
      </c>
      <c r="F868" t="s">
        <v>1766</v>
      </c>
      <c r="G868">
        <v>2</v>
      </c>
      <c r="H868" s="10">
        <f>IF(ISBLANK(ESales_DB[[#This Row],[Quantity]]),AVERAGEIF(ESales_DB[Product_ID],ESales_DB[[#This Row],[Product_ID]],ESales_DB[Quantity]),ESales_DB[[#This Row],[Quantity]])</f>
        <v>2</v>
      </c>
      <c r="I868" s="2">
        <v>521.44000000000005</v>
      </c>
      <c r="J868">
        <v>0.25</v>
      </c>
      <c r="K868" t="s">
        <v>1829</v>
      </c>
      <c r="L868" s="2">
        <v>782.16000000000008</v>
      </c>
      <c r="M868" s="2" t="str">
        <f>IF(ESales_DB[[#This Row],[Total_Amount]]&gt;1000,"High","Low")</f>
        <v>Low</v>
      </c>
      <c r="N868" s="2" t="str">
        <f>VLOOKUP(ESales_DB[[#This Row],[Customer_ID]],Ecustom_DB[],3,FALSE)</f>
        <v>Amber Mcclain</v>
      </c>
      <c r="O868" s="2" t="str">
        <f>_xlfn.XLOOKUP(ESales_DB[[#This Row],[Product_ID]],Eproduct_DB[Product_ID],Eproduct_DB[Category])</f>
        <v>Electronics</v>
      </c>
      <c r="P868" s="2" t="str">
        <f>_xlfn.XLOOKUP(ESales_DB[[#This Row],[Product_ID]],Eproduct_DB[Product_ID],Eproduct_DB[Product_Name])</f>
        <v>USB External Hard Drive</v>
      </c>
      <c r="Q868" s="2" t="str">
        <f>_xlfn.XLOOKUP(ESales_DB[[#This Row],[Store_ID]],Estore_DB[Store_ID],Estore_DB[Region])</f>
        <v>North</v>
      </c>
      <c r="R868" t="str">
        <f>VLOOKUP(ESales_DB[[#This Row],[Customer_ID]],Ecustom_DB[],10,FALSE)</f>
        <v>Silver</v>
      </c>
      <c r="S868" t="str">
        <f>IF(ESales_DB[[#This Row],[Quantity1]]&gt;3,"Bulk order","Normal order")</f>
        <v>Normal order</v>
      </c>
    </row>
    <row r="869" spans="1:19" x14ac:dyDescent="0.3">
      <c r="A869" t="s">
        <v>3605</v>
      </c>
      <c r="B869" s="4">
        <v>45863</v>
      </c>
      <c r="C869" s="4" t="str">
        <f>TEXT(ESales_DB[[#This Row],[Order_Date]],"mmm")</f>
        <v>Jul</v>
      </c>
      <c r="D869" t="s">
        <v>1166</v>
      </c>
      <c r="E869" t="s">
        <v>1568</v>
      </c>
      <c r="F869" t="s">
        <v>1779</v>
      </c>
      <c r="G869">
        <v>4</v>
      </c>
      <c r="H869" s="10">
        <f>IF(ISBLANK(ESales_DB[[#This Row],[Quantity]]),AVERAGEIF(ESales_DB[Product_ID],ESales_DB[[#This Row],[Product_ID]],ESales_DB[Quantity]),ESales_DB[[#This Row],[Quantity]])</f>
        <v>4</v>
      </c>
      <c r="I869" s="2">
        <v>499.02</v>
      </c>
      <c r="J869">
        <v>0.06</v>
      </c>
      <c r="K869" t="s">
        <v>1824</v>
      </c>
      <c r="L869" s="2">
        <v>1876.3152</v>
      </c>
      <c r="M869" s="2" t="str">
        <f>IF(ESales_DB[[#This Row],[Total_Amount]]&gt;1000,"High","Low")</f>
        <v>High</v>
      </c>
      <c r="N869" s="2" t="str">
        <f>VLOOKUP(ESales_DB[[#This Row],[Customer_ID]],Ecustom_DB[],3,FALSE)</f>
        <v>James Orozco</v>
      </c>
      <c r="O869" s="2" t="str">
        <f>_xlfn.XLOOKUP(ESales_DB[[#This Row],[Product_ID]],Eproduct_DB[Product_ID],Eproduct_DB[Category])</f>
        <v>Home</v>
      </c>
      <c r="P869" s="2" t="str">
        <f>_xlfn.XLOOKUP(ESales_DB[[#This Row],[Product_ID]],Eproduct_DB[Product_ID],Eproduct_DB[Product_Name])</f>
        <v>Ceramic Kitchen Bowl Set</v>
      </c>
      <c r="Q869" s="2" t="str">
        <f>_xlfn.XLOOKUP(ESales_DB[[#This Row],[Store_ID]],Estore_DB[Store_ID],Estore_DB[Region])</f>
        <v>South</v>
      </c>
      <c r="R869" t="str">
        <f>VLOOKUP(ESales_DB[[#This Row],[Customer_ID]],Ecustom_DB[],10,FALSE)</f>
        <v>Gold</v>
      </c>
      <c r="S869" t="str">
        <f>IF(ESales_DB[[#This Row],[Quantity1]]&gt;3,"Bulk order","Normal order")</f>
        <v>Bulk order</v>
      </c>
    </row>
    <row r="870" spans="1:19" x14ac:dyDescent="0.3">
      <c r="A870" t="s">
        <v>2004</v>
      </c>
      <c r="B870" s="4">
        <v>45885</v>
      </c>
      <c r="C870" s="4" t="str">
        <f>TEXT(ESales_DB[[#This Row],[Order_Date]],"mmm")</f>
        <v>Aug</v>
      </c>
      <c r="D870" t="s">
        <v>244</v>
      </c>
      <c r="E870" t="s">
        <v>1736</v>
      </c>
      <c r="F870" t="s">
        <v>1773</v>
      </c>
      <c r="G870">
        <v>4</v>
      </c>
      <c r="H870" s="10">
        <f>IF(ISBLANK(ESales_DB[[#This Row],[Quantity]]),AVERAGEIF(ESales_DB[Product_ID],ESales_DB[[#This Row],[Product_ID]],ESales_DB[Quantity]),ESales_DB[[#This Row],[Quantity]])</f>
        <v>4</v>
      </c>
      <c r="I870" s="2">
        <v>638.91</v>
      </c>
      <c r="J870">
        <v>0</v>
      </c>
      <c r="K870" t="s">
        <v>1829</v>
      </c>
      <c r="L870" s="2">
        <v>2555.64</v>
      </c>
      <c r="M870" s="2" t="str">
        <f>IF(ESales_DB[[#This Row],[Total_Amount]]&gt;1000,"High","Low")</f>
        <v>High</v>
      </c>
      <c r="N870" s="2" t="str">
        <f>VLOOKUP(ESales_DB[[#This Row],[Customer_ID]],Ecustom_DB[],3,FALSE)</f>
        <v>Cody Diaz</v>
      </c>
      <c r="O870" s="2" t="str">
        <f>_xlfn.XLOOKUP(ESales_DB[[#This Row],[Product_ID]],Eproduct_DB[Product_ID],Eproduct_DB[Category])</f>
        <v>Beauty</v>
      </c>
      <c r="P870" s="2" t="str">
        <f>_xlfn.XLOOKUP(ESales_DB[[#This Row],[Product_ID]],Eproduct_DB[Product_ID],Eproduct_DB[Product_Name])</f>
        <v>Vitamin E Body Lotion</v>
      </c>
      <c r="Q870" s="2" t="str">
        <f>_xlfn.XLOOKUP(ESales_DB[[#This Row],[Store_ID]],Estore_DB[Store_ID],Estore_DB[Region])</f>
        <v>North</v>
      </c>
      <c r="R870" t="str">
        <f>VLOOKUP(ESales_DB[[#This Row],[Customer_ID]],Ecustom_DB[],10,FALSE)</f>
        <v>Silver</v>
      </c>
      <c r="S870" t="str">
        <f>IF(ESales_DB[[#This Row],[Quantity1]]&gt;3,"Bulk order","Normal order")</f>
        <v>Bulk order</v>
      </c>
    </row>
    <row r="871" spans="1:19" x14ac:dyDescent="0.3">
      <c r="A871" t="s">
        <v>3606</v>
      </c>
      <c r="B871" s="4">
        <v>45758</v>
      </c>
      <c r="C871" s="4" t="str">
        <f>TEXT(ESales_DB[[#This Row],[Order_Date]],"mmm")</f>
        <v>Apr</v>
      </c>
      <c r="D871" t="s">
        <v>514</v>
      </c>
      <c r="E871" t="s">
        <v>1553</v>
      </c>
      <c r="F871" t="s">
        <v>1810</v>
      </c>
      <c r="G871">
        <v>4</v>
      </c>
      <c r="H871" s="10">
        <f>IF(ISBLANK(ESales_DB[[#This Row],[Quantity]]),AVERAGEIF(ESales_DB[Product_ID],ESales_DB[[#This Row],[Product_ID]],ESales_DB[Quantity]),ESales_DB[[#This Row],[Quantity]])</f>
        <v>4</v>
      </c>
      <c r="I871" s="2">
        <v>299.45999999999998</v>
      </c>
      <c r="J871">
        <v>0.18</v>
      </c>
      <c r="K871" t="s">
        <v>1829</v>
      </c>
      <c r="L871" s="2">
        <v>982.22879999999998</v>
      </c>
      <c r="M871" s="2" t="str">
        <f>IF(ESales_DB[[#This Row],[Total_Amount]]&gt;1000,"High","Low")</f>
        <v>Low</v>
      </c>
      <c r="N871" s="2" t="str">
        <f>VLOOKUP(ESales_DB[[#This Row],[Customer_ID]],Ecustom_DB[],3,FALSE)</f>
        <v>Joseph Faulkner</v>
      </c>
      <c r="O871" s="2" t="str">
        <f>_xlfn.XLOOKUP(ESales_DB[[#This Row],[Product_ID]],Eproduct_DB[Product_ID],Eproduct_DB[Category])</f>
        <v>Clothing</v>
      </c>
      <c r="P871" s="2" t="str">
        <f>_xlfn.XLOOKUP(ESales_DB[[#This Row],[Product_ID]],Eproduct_DB[Product_ID],Eproduct_DB[Product_Name])</f>
        <v>Women's Yoga Pants</v>
      </c>
      <c r="Q871" s="2" t="str">
        <f>_xlfn.XLOOKUP(ESales_DB[[#This Row],[Store_ID]],Estore_DB[Store_ID],Estore_DB[Region])</f>
        <v>East</v>
      </c>
      <c r="R871" t="str">
        <f>VLOOKUP(ESales_DB[[#This Row],[Customer_ID]],Ecustom_DB[],10,FALSE)</f>
        <v>Bronze</v>
      </c>
      <c r="S871" t="str">
        <f>IF(ESales_DB[[#This Row],[Quantity1]]&gt;3,"Bulk order","Normal order")</f>
        <v>Bulk order</v>
      </c>
    </row>
    <row r="872" spans="1:19" x14ac:dyDescent="0.3">
      <c r="A872" t="s">
        <v>3607</v>
      </c>
      <c r="B872" s="4">
        <v>45285</v>
      </c>
      <c r="C872" s="4" t="str">
        <f>TEXT(ESales_DB[[#This Row],[Order_Date]],"mmm")</f>
        <v>Dec</v>
      </c>
      <c r="D872" t="s">
        <v>1411</v>
      </c>
      <c r="E872" t="s">
        <v>1626</v>
      </c>
      <c r="F872" t="s">
        <v>1752</v>
      </c>
      <c r="G872">
        <v>1</v>
      </c>
      <c r="H872" s="10">
        <f>IF(ISBLANK(ESales_DB[[#This Row],[Quantity]]),AVERAGEIF(ESales_DB[Product_ID],ESales_DB[[#This Row],[Product_ID]],ESales_DB[Quantity]),ESales_DB[[#This Row],[Quantity]])</f>
        <v>1</v>
      </c>
      <c r="I872" s="2">
        <v>609.29</v>
      </c>
      <c r="J872">
        <v>0.15</v>
      </c>
      <c r="K872" t="s">
        <v>1824</v>
      </c>
      <c r="L872" s="2">
        <v>517.89649999999995</v>
      </c>
      <c r="M872" s="2" t="str">
        <f>IF(ESales_DB[[#This Row],[Total_Amount]]&gt;1000,"High","Low")</f>
        <v>Low</v>
      </c>
      <c r="N872" s="2" t="str">
        <f>VLOOKUP(ESales_DB[[#This Row],[Customer_ID]],Ecustom_DB[],3,FALSE)</f>
        <v>Christina Robertson</v>
      </c>
      <c r="O872" s="2" t="str">
        <f>_xlfn.XLOOKUP(ESales_DB[[#This Row],[Product_ID]],Eproduct_DB[Product_ID],Eproduct_DB[Category])</f>
        <v>Electronics</v>
      </c>
      <c r="P872" s="2" t="str">
        <f>_xlfn.XLOOKUP(ESales_DB[[#This Row],[Product_ID]],Eproduct_DB[Product_ID],Eproduct_DB[Product_Name])</f>
        <v>Portable Power Bank</v>
      </c>
      <c r="Q872" s="2" t="str">
        <f>_xlfn.XLOOKUP(ESales_DB[[#This Row],[Store_ID]],Estore_DB[Store_ID],Estore_DB[Region])</f>
        <v>East</v>
      </c>
      <c r="R872" t="str">
        <f>VLOOKUP(ESales_DB[[#This Row],[Customer_ID]],Ecustom_DB[],10,FALSE)</f>
        <v>Platinum</v>
      </c>
      <c r="S872" t="str">
        <f>IF(ESales_DB[[#This Row],[Quantity1]]&gt;3,"Bulk order","Normal order")</f>
        <v>Normal order</v>
      </c>
    </row>
    <row r="873" spans="1:19" x14ac:dyDescent="0.3">
      <c r="A873" t="s">
        <v>3608</v>
      </c>
      <c r="B873" s="4">
        <v>45656</v>
      </c>
      <c r="C873" s="4" t="str">
        <f>TEXT(ESales_DB[[#This Row],[Order_Date]],"mmm")</f>
        <v>Dec</v>
      </c>
      <c r="D873" t="s">
        <v>360</v>
      </c>
      <c r="E873" t="s">
        <v>1549</v>
      </c>
      <c r="F873" t="s">
        <v>1782</v>
      </c>
      <c r="G873">
        <v>1</v>
      </c>
      <c r="H873" s="10">
        <f>IF(ISBLANK(ESales_DB[[#This Row],[Quantity]]),AVERAGEIF(ESales_DB[Product_ID],ESales_DB[[#This Row],[Product_ID]],ESales_DB[Quantity]),ESales_DB[[#This Row],[Quantity]])</f>
        <v>1</v>
      </c>
      <c r="I873" s="2">
        <v>213.74</v>
      </c>
      <c r="J873">
        <v>7.0000000000000007E-2</v>
      </c>
      <c r="K873" t="s">
        <v>1829</v>
      </c>
      <c r="L873" s="2">
        <v>198.7782</v>
      </c>
      <c r="M873" s="2" t="str">
        <f>IF(ESales_DB[[#This Row],[Total_Amount]]&gt;1000,"High","Low")</f>
        <v>Low</v>
      </c>
      <c r="N873" s="2" t="str">
        <f>VLOOKUP(ESales_DB[[#This Row],[Customer_ID]],Ecustom_DB[],3,FALSE)</f>
        <v>Colleen Maynard</v>
      </c>
      <c r="O873" s="2" t="str">
        <f>_xlfn.XLOOKUP(ESales_DB[[#This Row],[Product_ID]],Eproduct_DB[Product_ID],Eproduct_DB[Category])</f>
        <v>Clothing</v>
      </c>
      <c r="P873" s="2" t="str">
        <f>_xlfn.XLOOKUP(ESales_DB[[#This Row],[Product_ID]],Eproduct_DB[Product_ID],Eproduct_DB[Product_Name])</f>
        <v>Women's Casual Hoodie</v>
      </c>
      <c r="Q873" s="2" t="str">
        <f>_xlfn.XLOOKUP(ESales_DB[[#This Row],[Store_ID]],Estore_DB[Store_ID],Estore_DB[Region])</f>
        <v>West</v>
      </c>
      <c r="R873" t="str">
        <f>VLOOKUP(ESales_DB[[#This Row],[Customer_ID]],Ecustom_DB[],10,FALSE)</f>
        <v>Gold</v>
      </c>
      <c r="S873" t="str">
        <f>IF(ESales_DB[[#This Row],[Quantity1]]&gt;3,"Bulk order","Normal order")</f>
        <v>Normal order</v>
      </c>
    </row>
    <row r="874" spans="1:19" x14ac:dyDescent="0.3">
      <c r="A874" t="s">
        <v>3609</v>
      </c>
      <c r="B874" s="4">
        <v>45718</v>
      </c>
      <c r="C874" s="4" t="str">
        <f>TEXT(ESales_DB[[#This Row],[Order_Date]],"mmm")</f>
        <v>Mar</v>
      </c>
      <c r="D874" t="s">
        <v>514</v>
      </c>
      <c r="E874" t="s">
        <v>1658</v>
      </c>
      <c r="F874" t="s">
        <v>1804</v>
      </c>
      <c r="G874">
        <v>4</v>
      </c>
      <c r="H874" s="10">
        <f>IF(ISBLANK(ESales_DB[[#This Row],[Quantity]]),AVERAGEIF(ESales_DB[Product_ID],ESales_DB[[#This Row],[Product_ID]],ESales_DB[Quantity]),ESales_DB[[#This Row],[Quantity]])</f>
        <v>4</v>
      </c>
      <c r="I874" s="2">
        <v>613.16999999999996</v>
      </c>
      <c r="J874">
        <v>0.26</v>
      </c>
      <c r="K874" t="s">
        <v>1824</v>
      </c>
      <c r="L874" s="2">
        <v>1814.9831999999999</v>
      </c>
      <c r="M874" s="2" t="str">
        <f>IF(ESales_DB[[#This Row],[Total_Amount]]&gt;1000,"High","Low")</f>
        <v>High</v>
      </c>
      <c r="N874" s="2" t="str">
        <f>VLOOKUP(ESales_DB[[#This Row],[Customer_ID]],Ecustom_DB[],3,FALSE)</f>
        <v>Joseph Faulkner</v>
      </c>
      <c r="O874" s="2" t="str">
        <f>_xlfn.XLOOKUP(ESales_DB[[#This Row],[Product_ID]],Eproduct_DB[Product_ID],Eproduct_DB[Category])</f>
        <v>Home</v>
      </c>
      <c r="P874" s="2" t="str">
        <f>_xlfn.XLOOKUP(ESales_DB[[#This Row],[Product_ID]],Eproduct_DB[Product_ID],Eproduct_DB[Product_Name])</f>
        <v>Ceramic Plant Pot</v>
      </c>
      <c r="Q874" s="2" t="str">
        <f>_xlfn.XLOOKUP(ESales_DB[[#This Row],[Store_ID]],Estore_DB[Store_ID],Estore_DB[Region])</f>
        <v>West</v>
      </c>
      <c r="R874" t="str">
        <f>VLOOKUP(ESales_DB[[#This Row],[Customer_ID]],Ecustom_DB[],10,FALSE)</f>
        <v>Bronze</v>
      </c>
      <c r="S874" t="str">
        <f>IF(ESales_DB[[#This Row],[Quantity1]]&gt;3,"Bulk order","Normal order")</f>
        <v>Bulk order</v>
      </c>
    </row>
    <row r="875" spans="1:19" x14ac:dyDescent="0.3">
      <c r="A875" t="s">
        <v>3610</v>
      </c>
      <c r="B875" s="4">
        <v>45293</v>
      </c>
      <c r="C875" s="4" t="str">
        <f>TEXT(ESales_DB[[#This Row],[Order_Date]],"mmm")</f>
        <v>Jan</v>
      </c>
      <c r="D875" t="s">
        <v>1118</v>
      </c>
      <c r="E875" t="s">
        <v>1666</v>
      </c>
      <c r="F875" t="s">
        <v>1792</v>
      </c>
      <c r="G875">
        <v>2</v>
      </c>
      <c r="H875" s="10">
        <f>IF(ISBLANK(ESales_DB[[#This Row],[Quantity]]),AVERAGEIF(ESales_DB[Product_ID],ESales_DB[[#This Row],[Product_ID]],ESales_DB[Quantity]),ESales_DB[[#This Row],[Quantity]])</f>
        <v>2</v>
      </c>
      <c r="I875" s="2">
        <v>687.36</v>
      </c>
      <c r="J875">
        <v>7.0000000000000007E-2</v>
      </c>
      <c r="K875" t="s">
        <v>1829</v>
      </c>
      <c r="L875" s="2">
        <v>1278.4896000000001</v>
      </c>
      <c r="M875" s="2" t="str">
        <f>IF(ESales_DB[[#This Row],[Total_Amount]]&gt;1000,"High","Low")</f>
        <v>High</v>
      </c>
      <c r="N875" s="2" t="str">
        <f>VLOOKUP(ESales_DB[[#This Row],[Customer_ID]],Ecustom_DB[],3,FALSE)</f>
        <v>Manuel Castillo</v>
      </c>
      <c r="O875" s="2" t="str">
        <f>_xlfn.XLOOKUP(ESales_DB[[#This Row],[Product_ID]],Eproduct_DB[Product_ID],Eproduct_DB[Category])</f>
        <v>Beauty</v>
      </c>
      <c r="P875" s="2" t="str">
        <f>_xlfn.XLOOKUP(ESales_DB[[#This Row],[Product_ID]],Eproduct_DB[Product_ID],Eproduct_DB[Product_Name])</f>
        <v>Men's Hair Styling Gel</v>
      </c>
      <c r="Q875" s="2" t="str">
        <f>_xlfn.XLOOKUP(ESales_DB[[#This Row],[Store_ID]],Estore_DB[Store_ID],Estore_DB[Region])</f>
        <v>South</v>
      </c>
      <c r="R875" t="str">
        <f>VLOOKUP(ESales_DB[[#This Row],[Customer_ID]],Ecustom_DB[],10,FALSE)</f>
        <v>Gold</v>
      </c>
      <c r="S875" t="str">
        <f>IF(ESales_DB[[#This Row],[Quantity1]]&gt;3,"Bulk order","Normal order")</f>
        <v>Normal order</v>
      </c>
    </row>
    <row r="876" spans="1:19" x14ac:dyDescent="0.3">
      <c r="A876" t="s">
        <v>3611</v>
      </c>
      <c r="B876" s="4">
        <v>45915</v>
      </c>
      <c r="C876" s="4" t="str">
        <f>TEXT(ESales_DB[[#This Row],[Order_Date]],"mmm")</f>
        <v>Sep</v>
      </c>
      <c r="D876" t="s">
        <v>1026</v>
      </c>
      <c r="E876" t="s">
        <v>1682</v>
      </c>
      <c r="F876" t="s">
        <v>1797</v>
      </c>
      <c r="G876">
        <v>3</v>
      </c>
      <c r="H876" s="10">
        <f>IF(ISBLANK(ESales_DB[[#This Row],[Quantity]]),AVERAGEIF(ESales_DB[Product_ID],ESales_DB[[#This Row],[Product_ID]],ESales_DB[Quantity]),ESales_DB[[#This Row],[Quantity]])</f>
        <v>3</v>
      </c>
      <c r="I876" s="2">
        <v>115.39</v>
      </c>
      <c r="J876">
        <v>0.02</v>
      </c>
      <c r="K876" t="s">
        <v>1826</v>
      </c>
      <c r="L876" s="2">
        <v>339.2466</v>
      </c>
      <c r="M876" s="2" t="str">
        <f>IF(ESales_DB[[#This Row],[Total_Amount]]&gt;1000,"High","Low")</f>
        <v>Low</v>
      </c>
      <c r="N876" s="2" t="str">
        <f>VLOOKUP(ESales_DB[[#This Row],[Customer_ID]],Ecustom_DB[],3,FALSE)</f>
        <v>Robert King</v>
      </c>
      <c r="O876" s="2" t="str">
        <f>_xlfn.XLOOKUP(ESales_DB[[#This Row],[Product_ID]],Eproduct_DB[Product_ID],Eproduct_DB[Category])</f>
        <v>Electronics</v>
      </c>
      <c r="P876" s="2" t="str">
        <f>_xlfn.XLOOKUP(ESales_DB[[#This Row],[Product_ID]],Eproduct_DB[Product_ID],Eproduct_DB[Product_Name])</f>
        <v>Smart LED Light Strip</v>
      </c>
      <c r="Q876" s="2" t="str">
        <f>_xlfn.XLOOKUP(ESales_DB[[#This Row],[Store_ID]],Estore_DB[Store_ID],Estore_DB[Region])</f>
        <v>East</v>
      </c>
      <c r="R876" t="str">
        <f>VLOOKUP(ESales_DB[[#This Row],[Customer_ID]],Ecustom_DB[],10,FALSE)</f>
        <v>Gold</v>
      </c>
      <c r="S876" t="str">
        <f>IF(ESales_DB[[#This Row],[Quantity1]]&gt;3,"Bulk order","Normal order")</f>
        <v>Normal order</v>
      </c>
    </row>
    <row r="877" spans="1:19" x14ac:dyDescent="0.3">
      <c r="A877" t="s">
        <v>3612</v>
      </c>
      <c r="B877" s="4">
        <v>45359</v>
      </c>
      <c r="C877" s="4" t="str">
        <f>TEXT(ESales_DB[[#This Row],[Order_Date]],"mmm")</f>
        <v>Mar</v>
      </c>
      <c r="D877" t="s">
        <v>592</v>
      </c>
      <c r="E877" t="s">
        <v>1596</v>
      </c>
      <c r="F877" t="s">
        <v>1794</v>
      </c>
      <c r="G877">
        <v>2</v>
      </c>
      <c r="H877" s="10">
        <f>IF(ISBLANK(ESales_DB[[#This Row],[Quantity]]),AVERAGEIF(ESales_DB[Product_ID],ESales_DB[[#This Row],[Product_ID]],ESales_DB[Quantity]),ESales_DB[[#This Row],[Quantity]])</f>
        <v>2</v>
      </c>
      <c r="I877" s="2">
        <v>722.06</v>
      </c>
      <c r="J877">
        <v>7.0000000000000007E-2</v>
      </c>
      <c r="K877" t="s">
        <v>1824</v>
      </c>
      <c r="L877" s="2">
        <v>1343.0316</v>
      </c>
      <c r="M877" s="2" t="str">
        <f>IF(ESales_DB[[#This Row],[Total_Amount]]&gt;1000,"High","Low")</f>
        <v>High</v>
      </c>
      <c r="N877" s="2" t="str">
        <f>VLOOKUP(ESales_DB[[#This Row],[Customer_ID]],Ecustom_DB[],3,FALSE)</f>
        <v>Nicholas Bradshaw</v>
      </c>
      <c r="O877" s="2" t="str">
        <f>_xlfn.XLOOKUP(ESales_DB[[#This Row],[Product_ID]],Eproduct_DB[Product_ID],Eproduct_DB[Category])</f>
        <v>Sports</v>
      </c>
      <c r="P877" s="2" t="str">
        <f>_xlfn.XLOOKUP(ESales_DB[[#This Row],[Product_ID]],Eproduct_DB[Product_ID],Eproduct_DB[Product_Name])</f>
        <v>Foldable Camping Chair</v>
      </c>
      <c r="Q877" s="2" t="str">
        <f>_xlfn.XLOOKUP(ESales_DB[[#This Row],[Store_ID]],Estore_DB[Store_ID],Estore_DB[Region])</f>
        <v>North</v>
      </c>
      <c r="R877" t="str">
        <f>VLOOKUP(ESales_DB[[#This Row],[Customer_ID]],Ecustom_DB[],10,FALSE)</f>
        <v>Silver</v>
      </c>
      <c r="S877" t="str">
        <f>IF(ESales_DB[[#This Row],[Quantity1]]&gt;3,"Bulk order","Normal order")</f>
        <v>Normal order</v>
      </c>
    </row>
    <row r="878" spans="1:19" x14ac:dyDescent="0.3">
      <c r="A878" t="s">
        <v>3613</v>
      </c>
      <c r="B878" s="4">
        <v>45652</v>
      </c>
      <c r="C878" s="4" t="str">
        <f>TEXT(ESales_DB[[#This Row],[Order_Date]],"mmm")</f>
        <v>Dec</v>
      </c>
      <c r="D878" t="s">
        <v>1319</v>
      </c>
      <c r="E878" t="s">
        <v>1560</v>
      </c>
      <c r="F878" t="s">
        <v>1801</v>
      </c>
      <c r="G878">
        <v>1</v>
      </c>
      <c r="H878" s="10">
        <f>IF(ISBLANK(ESales_DB[[#This Row],[Quantity]]),AVERAGEIF(ESales_DB[Product_ID],ESales_DB[[#This Row],[Product_ID]],ESales_DB[Quantity]),ESales_DB[[#This Row],[Quantity]])</f>
        <v>1</v>
      </c>
      <c r="I878" s="2">
        <v>384.57</v>
      </c>
      <c r="J878">
        <v>0.06</v>
      </c>
      <c r="K878" t="s">
        <v>1826</v>
      </c>
      <c r="L878" s="2">
        <v>361.49579999999997</v>
      </c>
      <c r="M878" s="2" t="str">
        <f>IF(ESales_DB[[#This Row],[Total_Amount]]&gt;1000,"High","Low")</f>
        <v>Low</v>
      </c>
      <c r="N878" s="2" t="str">
        <f>VLOOKUP(ESales_DB[[#This Row],[Customer_ID]],Ecustom_DB[],3,FALSE)</f>
        <v>Bryce Hawkins</v>
      </c>
      <c r="O878" s="2" t="str">
        <f>_xlfn.XLOOKUP(ESales_DB[[#This Row],[Product_ID]],Eproduct_DB[Product_ID],Eproduct_DB[Category])</f>
        <v>Home</v>
      </c>
      <c r="P878" s="2" t="str">
        <f>_xlfn.XLOOKUP(ESales_DB[[#This Row],[Product_ID]],Eproduct_DB[Product_ID],Eproduct_DB[Product_Name])</f>
        <v>LED Table Lamp</v>
      </c>
      <c r="Q878" s="2" t="str">
        <f>_xlfn.XLOOKUP(ESales_DB[[#This Row],[Store_ID]],Estore_DB[Store_ID],Estore_DB[Region])</f>
        <v>North</v>
      </c>
      <c r="R878" t="str">
        <f>VLOOKUP(ESales_DB[[#This Row],[Customer_ID]],Ecustom_DB[],10,FALSE)</f>
        <v>Bronze</v>
      </c>
      <c r="S878" t="str">
        <f>IF(ESales_DB[[#This Row],[Quantity1]]&gt;3,"Bulk order","Normal order")</f>
        <v>Normal order</v>
      </c>
    </row>
    <row r="879" spans="1:19" x14ac:dyDescent="0.3">
      <c r="A879" t="s">
        <v>3614</v>
      </c>
      <c r="B879" s="4">
        <v>45735</v>
      </c>
      <c r="C879" s="4" t="str">
        <f>TEXT(ESales_DB[[#This Row],[Order_Date]],"mmm")</f>
        <v>Mar</v>
      </c>
      <c r="D879" t="s">
        <v>684</v>
      </c>
      <c r="E879" t="s">
        <v>1562</v>
      </c>
      <c r="F879" t="s">
        <v>1797</v>
      </c>
      <c r="G879">
        <v>2</v>
      </c>
      <c r="H879" s="10">
        <f>IF(ISBLANK(ESales_DB[[#This Row],[Quantity]]),AVERAGEIF(ESales_DB[Product_ID],ESales_DB[[#This Row],[Product_ID]],ESales_DB[Quantity]),ESales_DB[[#This Row],[Quantity]])</f>
        <v>2</v>
      </c>
      <c r="I879" s="2">
        <v>194.09</v>
      </c>
      <c r="J879">
        <v>0.18</v>
      </c>
      <c r="K879" t="s">
        <v>1826</v>
      </c>
      <c r="L879" s="2">
        <v>318.30759999999998</v>
      </c>
      <c r="M879" s="2" t="str">
        <f>IF(ESales_DB[[#This Row],[Total_Amount]]&gt;1000,"High","Low")</f>
        <v>Low</v>
      </c>
      <c r="N879" s="2" t="str">
        <f>VLOOKUP(ESales_DB[[#This Row],[Customer_ID]],Ecustom_DB[],3,FALSE)</f>
        <v>Antonio Jones</v>
      </c>
      <c r="O879" s="2" t="str">
        <f>_xlfn.XLOOKUP(ESales_DB[[#This Row],[Product_ID]],Eproduct_DB[Product_ID],Eproduct_DB[Category])</f>
        <v>Electronics</v>
      </c>
      <c r="P879" s="2" t="str">
        <f>_xlfn.XLOOKUP(ESales_DB[[#This Row],[Product_ID]],Eproduct_DB[Product_ID],Eproduct_DB[Product_Name])</f>
        <v>Wireless Bluetooth Earbuds</v>
      </c>
      <c r="Q879" s="2" t="str">
        <f>_xlfn.XLOOKUP(ESales_DB[[#This Row],[Store_ID]],Estore_DB[Store_ID],Estore_DB[Region])</f>
        <v>East</v>
      </c>
      <c r="R879" t="str">
        <f>VLOOKUP(ESales_DB[[#This Row],[Customer_ID]],Ecustom_DB[],10,FALSE)</f>
        <v>Silver</v>
      </c>
      <c r="S879" t="str">
        <f>IF(ESales_DB[[#This Row],[Quantity1]]&gt;3,"Bulk order","Normal order")</f>
        <v>Normal order</v>
      </c>
    </row>
    <row r="880" spans="1:19" x14ac:dyDescent="0.3">
      <c r="A880" t="s">
        <v>3615</v>
      </c>
      <c r="B880" s="4">
        <v>45579</v>
      </c>
      <c r="C880" s="4" t="str">
        <f>TEXT(ESales_DB[[#This Row],[Order_Date]],"mmm")</f>
        <v>Oct</v>
      </c>
      <c r="D880" t="s">
        <v>571</v>
      </c>
      <c r="E880" t="s">
        <v>1724</v>
      </c>
      <c r="F880" t="s">
        <v>1766</v>
      </c>
      <c r="G880">
        <v>2</v>
      </c>
      <c r="H880" s="10">
        <f>IF(ISBLANK(ESales_DB[[#This Row],[Quantity]]),AVERAGEIF(ESales_DB[Product_ID],ESales_DB[[#This Row],[Product_ID]],ESales_DB[Quantity]),ESales_DB[[#This Row],[Quantity]])</f>
        <v>2</v>
      </c>
      <c r="I880" s="2">
        <v>403.91</v>
      </c>
      <c r="J880">
        <v>7.0000000000000007E-2</v>
      </c>
      <c r="K880" t="s">
        <v>1824</v>
      </c>
      <c r="L880" s="2">
        <v>751.27260000000001</v>
      </c>
      <c r="M880" s="2" t="str">
        <f>IF(ESales_DB[[#This Row],[Total_Amount]]&gt;1000,"High","Low")</f>
        <v>Low</v>
      </c>
      <c r="N880" s="2" t="str">
        <f>VLOOKUP(ESales_DB[[#This Row],[Customer_ID]],Ecustom_DB[],3,FALSE)</f>
        <v>Thomas Rhodes</v>
      </c>
      <c r="O880" s="2" t="str">
        <f>_xlfn.XLOOKUP(ESales_DB[[#This Row],[Product_ID]],Eproduct_DB[Product_ID],Eproduct_DB[Category])</f>
        <v>Sports</v>
      </c>
      <c r="P880" s="2" t="str">
        <f>_xlfn.XLOOKUP(ESales_DB[[#This Row],[Product_ID]],Eproduct_DB[Product_ID],Eproduct_DB[Product_Name])</f>
        <v>Sports Wrist Sweatbands</v>
      </c>
      <c r="Q880" s="2" t="str">
        <f>_xlfn.XLOOKUP(ESales_DB[[#This Row],[Store_ID]],Estore_DB[Store_ID],Estore_DB[Region])</f>
        <v>North</v>
      </c>
      <c r="R880" t="str">
        <f>VLOOKUP(ESales_DB[[#This Row],[Customer_ID]],Ecustom_DB[],10,FALSE)</f>
        <v>Bronze</v>
      </c>
      <c r="S880" t="str">
        <f>IF(ESales_DB[[#This Row],[Quantity1]]&gt;3,"Bulk order","Normal order")</f>
        <v>Normal order</v>
      </c>
    </row>
    <row r="881" spans="1:19" x14ac:dyDescent="0.3">
      <c r="A881" t="s">
        <v>2005</v>
      </c>
      <c r="B881" s="4">
        <v>45812</v>
      </c>
      <c r="C881" s="4" t="str">
        <f>TEXT(ESales_DB[[#This Row],[Order_Date]],"mmm")</f>
        <v>Jun</v>
      </c>
      <c r="D881" t="s">
        <v>295</v>
      </c>
      <c r="E881" t="s">
        <v>1638</v>
      </c>
      <c r="F881" t="s">
        <v>1752</v>
      </c>
      <c r="G881">
        <v>2</v>
      </c>
      <c r="H881" s="10">
        <f>IF(ISBLANK(ESales_DB[[#This Row],[Quantity]]),AVERAGEIF(ESales_DB[Product_ID],ESales_DB[[#This Row],[Product_ID]],ESales_DB[Quantity]),ESales_DB[[#This Row],[Quantity]])</f>
        <v>2</v>
      </c>
      <c r="I881" s="2">
        <v>522.16999999999996</v>
      </c>
      <c r="J881">
        <v>0.27</v>
      </c>
      <c r="K881" t="s">
        <v>1824</v>
      </c>
      <c r="L881" s="2">
        <v>762.36819999999989</v>
      </c>
      <c r="M881" s="2" t="str">
        <f>IF(ESales_DB[[#This Row],[Total_Amount]]&gt;1000,"High","Low")</f>
        <v>Low</v>
      </c>
      <c r="N881" s="2" t="str">
        <f>VLOOKUP(ESales_DB[[#This Row],[Customer_ID]],Ecustom_DB[],3,FALSE)</f>
        <v>Krystal Ford</v>
      </c>
      <c r="O881" s="2" t="str">
        <f>_xlfn.XLOOKUP(ESales_DB[[#This Row],[Product_ID]],Eproduct_DB[Product_ID],Eproduct_DB[Category])</f>
        <v>Sports</v>
      </c>
      <c r="P881" s="2" t="str">
        <f>_xlfn.XLOOKUP(ESales_DB[[#This Row],[Product_ID]],Eproduct_DB[Product_ID],Eproduct_DB[Product_Name])</f>
        <v>High-Grip Football</v>
      </c>
      <c r="Q881" s="2" t="str">
        <f>_xlfn.XLOOKUP(ESales_DB[[#This Row],[Store_ID]],Estore_DB[Store_ID],Estore_DB[Region])</f>
        <v>East</v>
      </c>
      <c r="R881" t="str">
        <f>VLOOKUP(ESales_DB[[#This Row],[Customer_ID]],Ecustom_DB[],10,FALSE)</f>
        <v>Platinum</v>
      </c>
      <c r="S881" t="str">
        <f>IF(ESales_DB[[#This Row],[Quantity1]]&gt;3,"Bulk order","Normal order")</f>
        <v>Normal order</v>
      </c>
    </row>
    <row r="882" spans="1:19" x14ac:dyDescent="0.3">
      <c r="A882" t="s">
        <v>3616</v>
      </c>
      <c r="B882" s="4">
        <v>45721</v>
      </c>
      <c r="C882" s="4" t="str">
        <f>TEXT(ESales_DB[[#This Row],[Order_Date]],"mmm")</f>
        <v>Mar</v>
      </c>
      <c r="D882" t="s">
        <v>278</v>
      </c>
      <c r="E882" t="s">
        <v>1582</v>
      </c>
      <c r="F882" t="s">
        <v>1799</v>
      </c>
      <c r="G882">
        <v>1</v>
      </c>
      <c r="H882" s="10">
        <f>IF(ISBLANK(ESales_DB[[#This Row],[Quantity]]),AVERAGEIF(ESales_DB[Product_ID],ESales_DB[[#This Row],[Product_ID]],ESales_DB[Quantity]),ESales_DB[[#This Row],[Quantity]])</f>
        <v>1</v>
      </c>
      <c r="I882" s="2">
        <v>878.69</v>
      </c>
      <c r="J882">
        <v>0.3</v>
      </c>
      <c r="K882" t="s">
        <v>1826</v>
      </c>
      <c r="L882" s="2">
        <v>615.08299999999997</v>
      </c>
      <c r="M882" s="2" t="str">
        <f>IF(ESales_DB[[#This Row],[Total_Amount]]&gt;1000,"High","Low")</f>
        <v>Low</v>
      </c>
      <c r="N882" s="2" t="str">
        <f>VLOOKUP(ESales_DB[[#This Row],[Customer_ID]],Ecustom_DB[],3,FALSE)</f>
        <v>Nathan Campbell</v>
      </c>
      <c r="O882" s="2" t="str">
        <f>_xlfn.XLOOKUP(ESales_DB[[#This Row],[Product_ID]],Eproduct_DB[Product_ID],Eproduct_DB[Category])</f>
        <v>Sports</v>
      </c>
      <c r="P882" s="2" t="str">
        <f>_xlfn.XLOOKUP(ESales_DB[[#This Row],[Product_ID]],Eproduct_DB[Product_ID],Eproduct_DB[Product_Name])</f>
        <v>Soccer Training Cone Set</v>
      </c>
      <c r="Q882" s="2" t="str">
        <f>_xlfn.XLOOKUP(ESales_DB[[#This Row],[Store_ID]],Estore_DB[Store_ID],Estore_DB[Region])</f>
        <v>South</v>
      </c>
      <c r="R882" t="str">
        <f>VLOOKUP(ESales_DB[[#This Row],[Customer_ID]],Ecustom_DB[],10,FALSE)</f>
        <v>Gold</v>
      </c>
      <c r="S882" t="str">
        <f>IF(ESales_DB[[#This Row],[Quantity1]]&gt;3,"Bulk order","Normal order")</f>
        <v>Normal order</v>
      </c>
    </row>
    <row r="883" spans="1:19" x14ac:dyDescent="0.3">
      <c r="A883" t="s">
        <v>3617</v>
      </c>
      <c r="B883" s="4">
        <v>45446</v>
      </c>
      <c r="C883" s="4" t="str">
        <f>TEXT(ESales_DB[[#This Row],[Order_Date]],"mmm")</f>
        <v>Jun</v>
      </c>
      <c r="D883" t="s">
        <v>1190</v>
      </c>
      <c r="E883" t="s">
        <v>1614</v>
      </c>
      <c r="F883" t="s">
        <v>1801</v>
      </c>
      <c r="G883">
        <v>1</v>
      </c>
      <c r="H883" s="10">
        <f>IF(ISBLANK(ESales_DB[[#This Row],[Quantity]]),AVERAGEIF(ESales_DB[Product_ID],ESales_DB[[#This Row],[Product_ID]],ESales_DB[Quantity]),ESales_DB[[#This Row],[Quantity]])</f>
        <v>1</v>
      </c>
      <c r="I883" s="2">
        <v>161.16999999999999</v>
      </c>
      <c r="J883">
        <v>0.05</v>
      </c>
      <c r="K883" t="s">
        <v>1824</v>
      </c>
      <c r="L883" s="2">
        <v>153.11150000000001</v>
      </c>
      <c r="M883" s="2" t="str">
        <f>IF(ESales_DB[[#This Row],[Total_Amount]]&gt;1000,"High","Low")</f>
        <v>Low</v>
      </c>
      <c r="N883" s="2" t="str">
        <f>VLOOKUP(ESales_DB[[#This Row],[Customer_ID]],Ecustom_DB[],3,FALSE)</f>
        <v>Erika Padilla</v>
      </c>
      <c r="O883" s="2" t="str">
        <f>_xlfn.XLOOKUP(ESales_DB[[#This Row],[Product_ID]],Eproduct_DB[Product_ID],Eproduct_DB[Category])</f>
        <v>Home</v>
      </c>
      <c r="P883" s="2" t="str">
        <f>_xlfn.XLOOKUP(ESales_DB[[#This Row],[Product_ID]],Eproduct_DB[Product_ID],Eproduct_DB[Product_Name])</f>
        <v>Modern Wall Clock</v>
      </c>
      <c r="Q883" s="2" t="str">
        <f>_xlfn.XLOOKUP(ESales_DB[[#This Row],[Store_ID]],Estore_DB[Store_ID],Estore_DB[Region])</f>
        <v>North</v>
      </c>
      <c r="R883" t="str">
        <f>VLOOKUP(ESales_DB[[#This Row],[Customer_ID]],Ecustom_DB[],10,FALSE)</f>
        <v>Silver</v>
      </c>
      <c r="S883" t="str">
        <f>IF(ESales_DB[[#This Row],[Quantity1]]&gt;3,"Bulk order","Normal order")</f>
        <v>Normal order</v>
      </c>
    </row>
    <row r="884" spans="1:19" x14ac:dyDescent="0.3">
      <c r="A884" t="s">
        <v>3618</v>
      </c>
      <c r="B884" s="4">
        <v>45387</v>
      </c>
      <c r="C884" s="4" t="str">
        <f>TEXT(ESales_DB[[#This Row],[Order_Date]],"mmm")</f>
        <v>Apr</v>
      </c>
      <c r="D884" t="s">
        <v>696</v>
      </c>
      <c r="E884" t="s">
        <v>1694</v>
      </c>
      <c r="F884" t="s">
        <v>1799</v>
      </c>
      <c r="G884">
        <v>2</v>
      </c>
      <c r="H884" s="10">
        <f>IF(ISBLANK(ESales_DB[[#This Row],[Quantity]]),AVERAGEIF(ESales_DB[Product_ID],ESales_DB[[#This Row],[Product_ID]],ESales_DB[Quantity]),ESales_DB[[#This Row],[Quantity]])</f>
        <v>2</v>
      </c>
      <c r="I884" s="2">
        <v>720.15</v>
      </c>
      <c r="J884">
        <v>0.22</v>
      </c>
      <c r="K884" t="s">
        <v>1829</v>
      </c>
      <c r="L884" s="2">
        <v>1123.434</v>
      </c>
      <c r="M884" s="2" t="str">
        <f>IF(ESales_DB[[#This Row],[Total_Amount]]&gt;1000,"High","Low")</f>
        <v>High</v>
      </c>
      <c r="N884" s="2" t="str">
        <f>VLOOKUP(ESales_DB[[#This Row],[Customer_ID]],Ecustom_DB[],3,FALSE)</f>
        <v>Eric Todd</v>
      </c>
      <c r="O884" s="2" t="str">
        <f>_xlfn.XLOOKUP(ESales_DB[[#This Row],[Product_ID]],Eproduct_DB[Product_ID],Eproduct_DB[Category])</f>
        <v>Sports</v>
      </c>
      <c r="P884" s="2" t="str">
        <f>_xlfn.XLOOKUP(ESales_DB[[#This Row],[Product_ID]],Eproduct_DB[Product_ID],Eproduct_DB[Product_Name])</f>
        <v>Shin Guards – Adult</v>
      </c>
      <c r="Q884" s="2" t="str">
        <f>_xlfn.XLOOKUP(ESales_DB[[#This Row],[Store_ID]],Estore_DB[Store_ID],Estore_DB[Region])</f>
        <v>South</v>
      </c>
      <c r="R884" t="str">
        <f>VLOOKUP(ESales_DB[[#This Row],[Customer_ID]],Ecustom_DB[],10,FALSE)</f>
        <v>Gold</v>
      </c>
      <c r="S884" t="str">
        <f>IF(ESales_DB[[#This Row],[Quantity1]]&gt;3,"Bulk order","Normal order")</f>
        <v>Normal order</v>
      </c>
    </row>
    <row r="885" spans="1:19" x14ac:dyDescent="0.3">
      <c r="A885" t="s">
        <v>3619</v>
      </c>
      <c r="B885" s="4">
        <v>45222</v>
      </c>
      <c r="C885" s="4" t="str">
        <f>TEXT(ESales_DB[[#This Row],[Order_Date]],"mmm")</f>
        <v>Oct</v>
      </c>
      <c r="D885" t="s">
        <v>1089</v>
      </c>
      <c r="E885" t="s">
        <v>1600</v>
      </c>
      <c r="F885" t="s">
        <v>1782</v>
      </c>
      <c r="G885">
        <v>1</v>
      </c>
      <c r="H885" s="10">
        <f>IF(ISBLANK(ESales_DB[[#This Row],[Quantity]]),AVERAGEIF(ESales_DB[Product_ID],ESales_DB[[#This Row],[Product_ID]],ESales_DB[Quantity]),ESales_DB[[#This Row],[Quantity]])</f>
        <v>1</v>
      </c>
      <c r="I885" s="2">
        <v>361.8</v>
      </c>
      <c r="J885">
        <v>0.02</v>
      </c>
      <c r="K885" t="s">
        <v>1829</v>
      </c>
      <c r="L885" s="2">
        <v>354.56400000000002</v>
      </c>
      <c r="M885" s="2" t="str">
        <f>IF(ESales_DB[[#This Row],[Total_Amount]]&gt;1000,"High","Low")</f>
        <v>Low</v>
      </c>
      <c r="N885" s="2" t="str">
        <f>VLOOKUP(ESales_DB[[#This Row],[Customer_ID]],Ecustom_DB[],3,FALSE)</f>
        <v>Justin Mason Dds</v>
      </c>
      <c r="O885" s="2" t="str">
        <f>_xlfn.XLOOKUP(ESales_DB[[#This Row],[Product_ID]],Eproduct_DB[Product_ID],Eproduct_DB[Category])</f>
        <v>Electronics</v>
      </c>
      <c r="P885" s="2" t="str">
        <f>_xlfn.XLOOKUP(ESales_DB[[#This Row],[Product_ID]],Eproduct_DB[Product_ID],Eproduct_DB[Product_Name])</f>
        <v>Wireless Bluetooth Speaker</v>
      </c>
      <c r="Q885" s="2" t="str">
        <f>_xlfn.XLOOKUP(ESales_DB[[#This Row],[Store_ID]],Estore_DB[Store_ID],Estore_DB[Region])</f>
        <v>West</v>
      </c>
      <c r="R885" t="str">
        <f>VLOOKUP(ESales_DB[[#This Row],[Customer_ID]],Ecustom_DB[],10,FALSE)</f>
        <v>Gold</v>
      </c>
      <c r="S885" t="str">
        <f>IF(ESales_DB[[#This Row],[Quantity1]]&gt;3,"Bulk order","Normal order")</f>
        <v>Normal order</v>
      </c>
    </row>
    <row r="886" spans="1:19" x14ac:dyDescent="0.3">
      <c r="A886" t="s">
        <v>3620</v>
      </c>
      <c r="B886" s="4">
        <v>45402</v>
      </c>
      <c r="C886" s="4" t="str">
        <f>TEXT(ESales_DB[[#This Row],[Order_Date]],"mmm")</f>
        <v>Apr</v>
      </c>
      <c r="D886" t="s">
        <v>740</v>
      </c>
      <c r="E886" t="s">
        <v>1738</v>
      </c>
      <c r="F886" t="s">
        <v>1776</v>
      </c>
      <c r="G886">
        <v>1</v>
      </c>
      <c r="H886" s="10">
        <f>IF(ISBLANK(ESales_DB[[#This Row],[Quantity]]),AVERAGEIF(ESales_DB[Product_ID],ESales_DB[[#This Row],[Product_ID]],ESales_DB[Quantity]),ESales_DB[[#This Row],[Quantity]])</f>
        <v>1</v>
      </c>
      <c r="I886" s="2">
        <v>779.84</v>
      </c>
      <c r="J886">
        <v>0.28999999999999998</v>
      </c>
      <c r="K886" t="s">
        <v>1826</v>
      </c>
      <c r="L886" s="2">
        <v>553.68640000000005</v>
      </c>
      <c r="M886" s="2" t="str">
        <f>IF(ESales_DB[[#This Row],[Total_Amount]]&gt;1000,"High","Low")</f>
        <v>Low</v>
      </c>
      <c r="N886" s="2" t="str">
        <f>VLOOKUP(ESales_DB[[#This Row],[Customer_ID]],Ecustom_DB[],3,FALSE)</f>
        <v>Timothy Sanders</v>
      </c>
      <c r="O886" s="2" t="str">
        <f>_xlfn.XLOOKUP(ESales_DB[[#This Row],[Product_ID]],Eproduct_DB[Product_ID],Eproduct_DB[Category])</f>
        <v>Sports</v>
      </c>
      <c r="P886" s="2" t="str">
        <f>_xlfn.XLOOKUP(ESales_DB[[#This Row],[Product_ID]],Eproduct_DB[Product_ID],Eproduct_DB[Product_Name])</f>
        <v>Sports Stopwatch Basic</v>
      </c>
      <c r="Q886" s="2" t="str">
        <f>_xlfn.XLOOKUP(ESales_DB[[#This Row],[Store_ID]],Estore_DB[Store_ID],Estore_DB[Region])</f>
        <v>East</v>
      </c>
      <c r="R886" t="str">
        <f>VLOOKUP(ESales_DB[[#This Row],[Customer_ID]],Ecustom_DB[],10,FALSE)</f>
        <v>Bronze</v>
      </c>
      <c r="S886" t="str">
        <f>IF(ESales_DB[[#This Row],[Quantity1]]&gt;3,"Bulk order","Normal order")</f>
        <v>Normal order</v>
      </c>
    </row>
    <row r="887" spans="1:19" x14ac:dyDescent="0.3">
      <c r="A887" t="s">
        <v>3621</v>
      </c>
      <c r="B887" s="4">
        <v>45455</v>
      </c>
      <c r="C887" s="4" t="str">
        <f>TEXT(ESales_DB[[#This Row],[Order_Date]],"mmm")</f>
        <v>Jun</v>
      </c>
      <c r="D887" t="s">
        <v>27</v>
      </c>
      <c r="E887" t="s">
        <v>1740</v>
      </c>
      <c r="F887" t="s">
        <v>1769</v>
      </c>
      <c r="G887">
        <v>2</v>
      </c>
      <c r="H887" s="10">
        <f>IF(ISBLANK(ESales_DB[[#This Row],[Quantity]]),AVERAGEIF(ESales_DB[Product_ID],ESales_DB[[#This Row],[Product_ID]],ESales_DB[Quantity]),ESales_DB[[#This Row],[Quantity]])</f>
        <v>2</v>
      </c>
      <c r="I887" s="2">
        <v>649.89</v>
      </c>
      <c r="J887">
        <v>0.17</v>
      </c>
      <c r="K887" t="s">
        <v>1829</v>
      </c>
      <c r="L887" s="2">
        <v>1078.8173999999999</v>
      </c>
      <c r="M887" s="2" t="str">
        <f>IF(ESales_DB[[#This Row],[Total_Amount]]&gt;1000,"High","Low")</f>
        <v>High</v>
      </c>
      <c r="N887" s="2" t="str">
        <f>VLOOKUP(ESales_DB[[#This Row],[Customer_ID]],Ecustom_DB[],3,FALSE)</f>
        <v>Caroline Collins</v>
      </c>
      <c r="O887" s="2" t="str">
        <f>_xlfn.XLOOKUP(ESales_DB[[#This Row],[Product_ID]],Eproduct_DB[Product_ID],Eproduct_DB[Category])</f>
        <v>Clothing</v>
      </c>
      <c r="P887" s="2" t="str">
        <f>_xlfn.XLOOKUP(ESales_DB[[#This Row],[Product_ID]],Eproduct_DB[Product_ID],Eproduct_DB[Product_Name])</f>
        <v>Women's Formal Blazer</v>
      </c>
      <c r="Q887" s="2" t="str">
        <f>_xlfn.XLOOKUP(ESales_DB[[#This Row],[Store_ID]],Estore_DB[Store_ID],Estore_DB[Region])</f>
        <v>South</v>
      </c>
      <c r="R887" t="str">
        <f>VLOOKUP(ESales_DB[[#This Row],[Customer_ID]],Ecustom_DB[],10,FALSE)</f>
        <v>Silver</v>
      </c>
      <c r="S887" t="str">
        <f>IF(ESales_DB[[#This Row],[Quantity1]]&gt;3,"Bulk order","Normal order")</f>
        <v>Normal order</v>
      </c>
    </row>
    <row r="888" spans="1:19" x14ac:dyDescent="0.3">
      <c r="A888" t="s">
        <v>3622</v>
      </c>
      <c r="B888" s="4">
        <v>45877</v>
      </c>
      <c r="C888" s="4" t="str">
        <f>TEXT(ESales_DB[[#This Row],[Order_Date]],"mmm")</f>
        <v>Aug</v>
      </c>
      <c r="D888" t="s">
        <v>666</v>
      </c>
      <c r="E888" t="s">
        <v>1654</v>
      </c>
      <c r="F888" t="s">
        <v>1776</v>
      </c>
      <c r="G888">
        <v>1</v>
      </c>
      <c r="H888" s="10">
        <f>IF(ISBLANK(ESales_DB[[#This Row],[Quantity]]),AVERAGEIF(ESales_DB[Product_ID],ESales_DB[[#This Row],[Product_ID]],ESales_DB[Quantity]),ESales_DB[[#This Row],[Quantity]])</f>
        <v>1</v>
      </c>
      <c r="I888" s="2">
        <v>952.73</v>
      </c>
      <c r="J888">
        <v>0.17</v>
      </c>
      <c r="K888" t="s">
        <v>1824</v>
      </c>
      <c r="L888" s="2">
        <v>790.76589999999999</v>
      </c>
      <c r="M888" s="2" t="str">
        <f>IF(ESales_DB[[#This Row],[Total_Amount]]&gt;1000,"High","Low")</f>
        <v>Low</v>
      </c>
      <c r="N888" s="2" t="str">
        <f>VLOOKUP(ESales_DB[[#This Row],[Customer_ID]],Ecustom_DB[],3,FALSE)</f>
        <v>Tiffany Herrera</v>
      </c>
      <c r="O888" s="2" t="str">
        <f>_xlfn.XLOOKUP(ESales_DB[[#This Row],[Product_ID]],Eproduct_DB[Product_ID],Eproduct_DB[Category])</f>
        <v>Clothing</v>
      </c>
      <c r="P888" s="2" t="str">
        <f>_xlfn.XLOOKUP(ESales_DB[[#This Row],[Product_ID]],Eproduct_DB[Product_ID],Eproduct_DB[Product_Name])</f>
        <v>Men's Track Pants</v>
      </c>
      <c r="Q888" s="2" t="str">
        <f>_xlfn.XLOOKUP(ESales_DB[[#This Row],[Store_ID]],Estore_DB[Store_ID],Estore_DB[Region])</f>
        <v>East</v>
      </c>
      <c r="R888" t="str">
        <f>VLOOKUP(ESales_DB[[#This Row],[Customer_ID]],Ecustom_DB[],10,FALSE)</f>
        <v>Platinum</v>
      </c>
      <c r="S888" t="str">
        <f>IF(ESales_DB[[#This Row],[Quantity1]]&gt;3,"Bulk order","Normal order")</f>
        <v>Normal order</v>
      </c>
    </row>
    <row r="889" spans="1:19" x14ac:dyDescent="0.3">
      <c r="A889" t="s">
        <v>3623</v>
      </c>
      <c r="B889" s="4">
        <v>45875</v>
      </c>
      <c r="C889" s="4" t="str">
        <f>TEXT(ESales_DB[[#This Row],[Order_Date]],"mmm")</f>
        <v>Aug</v>
      </c>
      <c r="D889" t="s">
        <v>304</v>
      </c>
      <c r="E889" t="s">
        <v>1746</v>
      </c>
      <c r="F889" t="s">
        <v>1804</v>
      </c>
      <c r="G889">
        <v>4</v>
      </c>
      <c r="H889" s="10">
        <f>IF(ISBLANK(ESales_DB[[#This Row],[Quantity]]),AVERAGEIF(ESales_DB[Product_ID],ESales_DB[[#This Row],[Product_ID]],ESales_DB[Quantity]),ESales_DB[[#This Row],[Quantity]])</f>
        <v>4</v>
      </c>
      <c r="I889" s="2">
        <v>820.78</v>
      </c>
      <c r="J889">
        <v>0.25</v>
      </c>
      <c r="K889" t="s">
        <v>1824</v>
      </c>
      <c r="L889" s="2">
        <v>2462.34</v>
      </c>
      <c r="M889" s="2" t="str">
        <f>IF(ESales_DB[[#This Row],[Total_Amount]]&gt;1000,"High","Low")</f>
        <v>High</v>
      </c>
      <c r="N889" s="2" t="str">
        <f>VLOOKUP(ESales_DB[[#This Row],[Customer_ID]],Ecustom_DB[],3,FALSE)</f>
        <v>Christy Hoffman</v>
      </c>
      <c r="O889" s="2" t="str">
        <f>_xlfn.XLOOKUP(ESales_DB[[#This Row],[Product_ID]],Eproduct_DB[Product_ID],Eproduct_DB[Category])</f>
        <v>Home</v>
      </c>
      <c r="P889" s="2" t="str">
        <f>_xlfn.XLOOKUP(ESales_DB[[#This Row],[Product_ID]],Eproduct_DB[Product_ID],Eproduct_DB[Product_Name])</f>
        <v>Stainless Steel Cookware Set</v>
      </c>
      <c r="Q889" s="2" t="str">
        <f>_xlfn.XLOOKUP(ESales_DB[[#This Row],[Store_ID]],Estore_DB[Store_ID],Estore_DB[Region])</f>
        <v>West</v>
      </c>
      <c r="R889" t="str">
        <f>VLOOKUP(ESales_DB[[#This Row],[Customer_ID]],Ecustom_DB[],10,FALSE)</f>
        <v>Platinum</v>
      </c>
      <c r="S889" t="str">
        <f>IF(ESales_DB[[#This Row],[Quantity1]]&gt;3,"Bulk order","Normal order")</f>
        <v>Bulk order</v>
      </c>
    </row>
    <row r="890" spans="1:19" x14ac:dyDescent="0.3">
      <c r="A890" t="s">
        <v>3624</v>
      </c>
      <c r="B890" s="4">
        <v>45592</v>
      </c>
      <c r="C890" s="4" t="str">
        <f>TEXT(ESales_DB[[#This Row],[Order_Date]],"mmm")</f>
        <v>Oct</v>
      </c>
      <c r="D890" t="s">
        <v>1074</v>
      </c>
      <c r="E890" t="s">
        <v>1624</v>
      </c>
      <c r="F890" t="s">
        <v>1766</v>
      </c>
      <c r="G890">
        <v>4</v>
      </c>
      <c r="H890" s="10">
        <f>IF(ISBLANK(ESales_DB[[#This Row],[Quantity]]),AVERAGEIF(ESales_DB[Product_ID],ESales_DB[[#This Row],[Product_ID]],ESales_DB[Quantity]),ESales_DB[[#This Row],[Quantity]])</f>
        <v>4</v>
      </c>
      <c r="I890" s="2">
        <v>247.55</v>
      </c>
      <c r="J890">
        <v>0.05</v>
      </c>
      <c r="K890" t="s">
        <v>1824</v>
      </c>
      <c r="L890" s="2">
        <v>940.69</v>
      </c>
      <c r="M890" s="2" t="str">
        <f>IF(ESales_DB[[#This Row],[Total_Amount]]&gt;1000,"High","Low")</f>
        <v>Low</v>
      </c>
      <c r="N890" s="2" t="str">
        <f>VLOOKUP(ESales_DB[[#This Row],[Customer_ID]],Ecustom_DB[],3,FALSE)</f>
        <v>Michelle Cunningham</v>
      </c>
      <c r="O890" s="2" t="str">
        <f>_xlfn.XLOOKUP(ESales_DB[[#This Row],[Product_ID]],Eproduct_DB[Product_ID],Eproduct_DB[Category])</f>
        <v>Sports</v>
      </c>
      <c r="P890" s="2" t="str">
        <f>_xlfn.XLOOKUP(ESales_DB[[#This Row],[Product_ID]],Eproduct_DB[Product_ID],Eproduct_DB[Product_Name])</f>
        <v>Sports Water Hydration Pack</v>
      </c>
      <c r="Q890" s="2" t="str">
        <f>_xlfn.XLOOKUP(ESales_DB[[#This Row],[Store_ID]],Estore_DB[Store_ID],Estore_DB[Region])</f>
        <v>North</v>
      </c>
      <c r="R890" t="str">
        <f>VLOOKUP(ESales_DB[[#This Row],[Customer_ID]],Ecustom_DB[],10,FALSE)</f>
        <v>Bronze</v>
      </c>
      <c r="S890" t="str">
        <f>IF(ESales_DB[[#This Row],[Quantity1]]&gt;3,"Bulk order","Normal order")</f>
        <v>Bulk order</v>
      </c>
    </row>
    <row r="891" spans="1:19" x14ac:dyDescent="0.3">
      <c r="A891" t="s">
        <v>3625</v>
      </c>
      <c r="B891" s="4">
        <v>45369</v>
      </c>
      <c r="C891" s="4" t="str">
        <f>TEXT(ESales_DB[[#This Row],[Order_Date]],"mmm")</f>
        <v>Mar</v>
      </c>
      <c r="D891" t="s">
        <v>732</v>
      </c>
      <c r="E891" t="s">
        <v>1746</v>
      </c>
      <c r="F891" t="s">
        <v>1782</v>
      </c>
      <c r="G891">
        <v>3</v>
      </c>
      <c r="H891" s="10">
        <f>IF(ISBLANK(ESales_DB[[#This Row],[Quantity]]),AVERAGEIF(ESales_DB[Product_ID],ESales_DB[[#This Row],[Product_ID]],ESales_DB[Quantity]),ESales_DB[[#This Row],[Quantity]])</f>
        <v>3</v>
      </c>
      <c r="I891" s="2">
        <v>561.44000000000005</v>
      </c>
      <c r="J891">
        <v>0.2</v>
      </c>
      <c r="K891" t="s">
        <v>1829</v>
      </c>
      <c r="L891" s="2">
        <v>1347.4559999999999</v>
      </c>
      <c r="M891" s="2" t="str">
        <f>IF(ESales_DB[[#This Row],[Total_Amount]]&gt;1000,"High","Low")</f>
        <v>High</v>
      </c>
      <c r="N891" s="2" t="str">
        <f>VLOOKUP(ESales_DB[[#This Row],[Customer_ID]],Ecustom_DB[],3,FALSE)</f>
        <v>Gregory Pham</v>
      </c>
      <c r="O891" s="2" t="str">
        <f>_xlfn.XLOOKUP(ESales_DB[[#This Row],[Product_ID]],Eproduct_DB[Product_ID],Eproduct_DB[Category])</f>
        <v>Home</v>
      </c>
      <c r="P891" s="2" t="str">
        <f>_xlfn.XLOOKUP(ESales_DB[[#This Row],[Product_ID]],Eproduct_DB[Product_ID],Eproduct_DB[Product_Name])</f>
        <v>Stainless Steel Cookware Set</v>
      </c>
      <c r="Q891" s="2" t="str">
        <f>_xlfn.XLOOKUP(ESales_DB[[#This Row],[Store_ID]],Estore_DB[Store_ID],Estore_DB[Region])</f>
        <v>West</v>
      </c>
      <c r="R891" t="str">
        <f>VLOOKUP(ESales_DB[[#This Row],[Customer_ID]],Ecustom_DB[],10,FALSE)</f>
        <v>Gold</v>
      </c>
      <c r="S891" t="str">
        <f>IF(ESales_DB[[#This Row],[Quantity1]]&gt;3,"Bulk order","Normal order")</f>
        <v>Normal order</v>
      </c>
    </row>
    <row r="892" spans="1:19" x14ac:dyDescent="0.3">
      <c r="A892" t="s">
        <v>1844</v>
      </c>
      <c r="B892" s="4">
        <v>45517</v>
      </c>
      <c r="C892" s="4" t="str">
        <f>TEXT(ESales_DB[[#This Row],[Order_Date]],"mmm")</f>
        <v>Aug</v>
      </c>
      <c r="D892" t="s">
        <v>338</v>
      </c>
      <c r="E892" t="s">
        <v>1626</v>
      </c>
      <c r="F892" t="s">
        <v>1769</v>
      </c>
      <c r="G892">
        <v>2</v>
      </c>
      <c r="H892" s="10">
        <f>IF(ISBLANK(ESales_DB[[#This Row],[Quantity]]),AVERAGEIF(ESales_DB[Product_ID],ESales_DB[[#This Row],[Product_ID]],ESales_DB[Quantity]),ESales_DB[[#This Row],[Quantity]])</f>
        <v>2</v>
      </c>
      <c r="I892" s="2">
        <v>559.23</v>
      </c>
      <c r="J892">
        <v>0.25</v>
      </c>
      <c r="K892" t="s">
        <v>1829</v>
      </c>
      <c r="L892" s="2">
        <v>838.84500000000003</v>
      </c>
      <c r="M892" s="2" t="str">
        <f>IF(ESales_DB[[#This Row],[Total_Amount]]&gt;1000,"High","Low")</f>
        <v>Low</v>
      </c>
      <c r="N892" s="2" t="str">
        <f>VLOOKUP(ESales_DB[[#This Row],[Customer_ID]],Ecustom_DB[],3,FALSE)</f>
        <v>David Patterson</v>
      </c>
      <c r="O892" s="2" t="str">
        <f>_xlfn.XLOOKUP(ESales_DB[[#This Row],[Product_ID]],Eproduct_DB[Product_ID],Eproduct_DB[Category])</f>
        <v>Electronics</v>
      </c>
      <c r="P892" s="2" t="str">
        <f>_xlfn.XLOOKUP(ESales_DB[[#This Row],[Product_ID]],Eproduct_DB[Product_ID],Eproduct_DB[Product_Name])</f>
        <v>Portable Power Bank</v>
      </c>
      <c r="Q892" s="2" t="str">
        <f>_xlfn.XLOOKUP(ESales_DB[[#This Row],[Store_ID]],Estore_DB[Store_ID],Estore_DB[Region])</f>
        <v>South</v>
      </c>
      <c r="R892" t="str">
        <f>VLOOKUP(ESales_DB[[#This Row],[Customer_ID]],Ecustom_DB[],10,FALSE)</f>
        <v>Gold</v>
      </c>
      <c r="S892" t="str">
        <f>IF(ESales_DB[[#This Row],[Quantity1]]&gt;3,"Bulk order","Normal order")</f>
        <v>Normal order</v>
      </c>
    </row>
    <row r="893" spans="1:19" x14ac:dyDescent="0.3">
      <c r="A893" t="s">
        <v>2006</v>
      </c>
      <c r="B893" s="4">
        <v>45235</v>
      </c>
      <c r="C893" s="4" t="str">
        <f>TEXT(ESales_DB[[#This Row],[Order_Date]],"mmm")</f>
        <v>Nov</v>
      </c>
      <c r="D893" t="s">
        <v>1472</v>
      </c>
      <c r="E893" t="s">
        <v>1626</v>
      </c>
      <c r="F893" t="s">
        <v>1794</v>
      </c>
      <c r="G893">
        <v>3</v>
      </c>
      <c r="H893" s="10">
        <f>IF(ISBLANK(ESales_DB[[#This Row],[Quantity]]),AVERAGEIF(ESales_DB[Product_ID],ESales_DB[[#This Row],[Product_ID]],ESales_DB[Quantity]),ESales_DB[[#This Row],[Quantity]])</f>
        <v>3</v>
      </c>
      <c r="I893" s="2">
        <v>954.29</v>
      </c>
      <c r="J893">
        <v>0.27</v>
      </c>
      <c r="K893" t="s">
        <v>1824</v>
      </c>
      <c r="L893" s="2">
        <v>2089.8951000000002</v>
      </c>
      <c r="M893" s="2" t="str">
        <f>IF(ESales_DB[[#This Row],[Total_Amount]]&gt;1000,"High","Low")</f>
        <v>High</v>
      </c>
      <c r="N893" s="2" t="str">
        <f>VLOOKUP(ESales_DB[[#This Row],[Customer_ID]],Ecustom_DB[],3,FALSE)</f>
        <v>Earl Smith Dds</v>
      </c>
      <c r="O893" s="2" t="str">
        <f>_xlfn.XLOOKUP(ESales_DB[[#This Row],[Product_ID]],Eproduct_DB[Product_ID],Eproduct_DB[Category])</f>
        <v>Electronics</v>
      </c>
      <c r="P893" s="2" t="str">
        <f>_xlfn.XLOOKUP(ESales_DB[[#This Row],[Product_ID]],Eproduct_DB[Product_ID],Eproduct_DB[Product_Name])</f>
        <v>Portable Power Bank</v>
      </c>
      <c r="Q893" s="2" t="str">
        <f>_xlfn.XLOOKUP(ESales_DB[[#This Row],[Store_ID]],Estore_DB[Store_ID],Estore_DB[Region])</f>
        <v>North</v>
      </c>
      <c r="R893" t="str">
        <f>VLOOKUP(ESales_DB[[#This Row],[Customer_ID]],Ecustom_DB[],10,FALSE)</f>
        <v>Gold</v>
      </c>
      <c r="S893" t="str">
        <f>IF(ESales_DB[[#This Row],[Quantity1]]&gt;3,"Bulk order","Normal order")</f>
        <v>Normal order</v>
      </c>
    </row>
    <row r="894" spans="1:19" x14ac:dyDescent="0.3">
      <c r="A894" t="s">
        <v>3626</v>
      </c>
      <c r="B894" s="4">
        <v>45249</v>
      </c>
      <c r="C894" s="4" t="str">
        <f>TEXT(ESales_DB[[#This Row],[Order_Date]],"mmm")</f>
        <v>Nov</v>
      </c>
      <c r="D894" t="s">
        <v>893</v>
      </c>
      <c r="E894" t="s">
        <v>1692</v>
      </c>
      <c r="F894" t="s">
        <v>1782</v>
      </c>
      <c r="G894">
        <v>4</v>
      </c>
      <c r="H894" s="10">
        <f>IF(ISBLANK(ESales_DB[[#This Row],[Quantity]]),AVERAGEIF(ESales_DB[Product_ID],ESales_DB[[#This Row],[Product_ID]],ESales_DB[Quantity]),ESales_DB[[#This Row],[Quantity]])</f>
        <v>4</v>
      </c>
      <c r="I894" s="2">
        <v>214.37</v>
      </c>
      <c r="J894">
        <v>0.11</v>
      </c>
      <c r="K894" t="s">
        <v>1829</v>
      </c>
      <c r="L894" s="2">
        <v>763.15719999999999</v>
      </c>
      <c r="M894" s="2" t="str">
        <f>IF(ESales_DB[[#This Row],[Total_Amount]]&gt;1000,"High","Low")</f>
        <v>Low</v>
      </c>
      <c r="N894" s="2" t="str">
        <f>VLOOKUP(ESales_DB[[#This Row],[Customer_ID]],Ecustom_DB[],3,FALSE)</f>
        <v>Brittany Watson</v>
      </c>
      <c r="O894" s="2" t="str">
        <f>_xlfn.XLOOKUP(ESales_DB[[#This Row],[Product_ID]],Eproduct_DB[Product_ID],Eproduct_DB[Category])</f>
        <v>Sports</v>
      </c>
      <c r="P894" s="2" t="str">
        <f>_xlfn.XLOOKUP(ESales_DB[[#This Row],[Product_ID]],Eproduct_DB[Product_ID],Eproduct_DB[Product_Name])</f>
        <v>Professional Jump Rope</v>
      </c>
      <c r="Q894" s="2" t="str">
        <f>_xlfn.XLOOKUP(ESales_DB[[#This Row],[Store_ID]],Estore_DB[Store_ID],Estore_DB[Region])</f>
        <v>West</v>
      </c>
      <c r="R894" t="str">
        <f>VLOOKUP(ESales_DB[[#This Row],[Customer_ID]],Ecustom_DB[],10,FALSE)</f>
        <v>Platinum</v>
      </c>
      <c r="S894" t="str">
        <f>IF(ESales_DB[[#This Row],[Quantity1]]&gt;3,"Bulk order","Normal order")</f>
        <v>Bulk order</v>
      </c>
    </row>
    <row r="895" spans="1:19" x14ac:dyDescent="0.3">
      <c r="A895" t="s">
        <v>3627</v>
      </c>
      <c r="B895" s="4">
        <v>45741</v>
      </c>
      <c r="C895" s="4" t="str">
        <f>TEXT(ESales_DB[[#This Row],[Order_Date]],"mmm")</f>
        <v>Mar</v>
      </c>
      <c r="D895" t="s">
        <v>1295</v>
      </c>
      <c r="E895" t="s">
        <v>1582</v>
      </c>
      <c r="F895" t="s">
        <v>1804</v>
      </c>
      <c r="G895">
        <v>3</v>
      </c>
      <c r="H895" s="10">
        <f>IF(ISBLANK(ESales_DB[[#This Row],[Quantity]]),AVERAGEIF(ESales_DB[Product_ID],ESales_DB[[#This Row],[Product_ID]],ESales_DB[Quantity]),ESales_DB[[#This Row],[Quantity]])</f>
        <v>3</v>
      </c>
      <c r="I895" s="2">
        <v>123.74</v>
      </c>
      <c r="J895">
        <v>0.23</v>
      </c>
      <c r="K895" t="s">
        <v>1826</v>
      </c>
      <c r="L895" s="2">
        <v>285.83940000000001</v>
      </c>
      <c r="M895" s="2" t="str">
        <f>IF(ESales_DB[[#This Row],[Total_Amount]]&gt;1000,"High","Low")</f>
        <v>Low</v>
      </c>
      <c r="N895" s="2" t="str">
        <f>VLOOKUP(ESales_DB[[#This Row],[Customer_ID]],Ecustom_DB[],3,FALSE)</f>
        <v>Karen King</v>
      </c>
      <c r="O895" s="2" t="str">
        <f>_xlfn.XLOOKUP(ESales_DB[[#This Row],[Product_ID]],Eproduct_DB[Product_ID],Eproduct_DB[Category])</f>
        <v>Sports</v>
      </c>
      <c r="P895" s="2" t="str">
        <f>_xlfn.XLOOKUP(ESales_DB[[#This Row],[Product_ID]],Eproduct_DB[Product_ID],Eproduct_DB[Product_Name])</f>
        <v>Soccer Training Cone Set</v>
      </c>
      <c r="Q895" s="2" t="str">
        <f>_xlfn.XLOOKUP(ESales_DB[[#This Row],[Store_ID]],Estore_DB[Store_ID],Estore_DB[Region])</f>
        <v>West</v>
      </c>
      <c r="R895" t="str">
        <f>VLOOKUP(ESales_DB[[#This Row],[Customer_ID]],Ecustom_DB[],10,FALSE)</f>
        <v>Bronze</v>
      </c>
      <c r="S895" t="str">
        <f>IF(ESales_DB[[#This Row],[Quantity1]]&gt;3,"Bulk order","Normal order")</f>
        <v>Normal order</v>
      </c>
    </row>
    <row r="896" spans="1:19" x14ac:dyDescent="0.3">
      <c r="A896" t="s">
        <v>3628</v>
      </c>
      <c r="B896" s="4">
        <v>45427</v>
      </c>
      <c r="C896" s="4" t="str">
        <f>TEXT(ESales_DB[[#This Row],[Order_Date]],"mmm")</f>
        <v>May</v>
      </c>
      <c r="D896" t="s">
        <v>63</v>
      </c>
      <c r="E896" t="s">
        <v>1682</v>
      </c>
      <c r="F896" t="s">
        <v>1792</v>
      </c>
      <c r="G896">
        <v>4</v>
      </c>
      <c r="H896" s="10">
        <f>IF(ISBLANK(ESales_DB[[#This Row],[Quantity]]),AVERAGEIF(ESales_DB[Product_ID],ESales_DB[[#This Row],[Product_ID]],ESales_DB[Quantity]),ESales_DB[[#This Row],[Quantity]])</f>
        <v>4</v>
      </c>
      <c r="I896" s="2">
        <v>645.71</v>
      </c>
      <c r="J896">
        <v>0.1</v>
      </c>
      <c r="K896" t="s">
        <v>1826</v>
      </c>
      <c r="L896" s="2">
        <v>2324.556</v>
      </c>
      <c r="M896" s="2" t="str">
        <f>IF(ESales_DB[[#This Row],[Total_Amount]]&gt;1000,"High","Low")</f>
        <v>High</v>
      </c>
      <c r="N896" s="2" t="str">
        <f>VLOOKUP(ESales_DB[[#This Row],[Customer_ID]],Ecustom_DB[],3,FALSE)</f>
        <v>Nathan Hernandez</v>
      </c>
      <c r="O896" s="2" t="str">
        <f>_xlfn.XLOOKUP(ESales_DB[[#This Row],[Product_ID]],Eproduct_DB[Product_ID],Eproduct_DB[Category])</f>
        <v>Electronics</v>
      </c>
      <c r="P896" s="2" t="str">
        <f>_xlfn.XLOOKUP(ESales_DB[[#This Row],[Product_ID]],Eproduct_DB[Product_ID],Eproduct_DB[Product_Name])</f>
        <v>Smart LED Light Strip</v>
      </c>
      <c r="Q896" s="2" t="str">
        <f>_xlfn.XLOOKUP(ESales_DB[[#This Row],[Store_ID]],Estore_DB[Store_ID],Estore_DB[Region])</f>
        <v>South</v>
      </c>
      <c r="R896" t="str">
        <f>VLOOKUP(ESales_DB[[#This Row],[Customer_ID]],Ecustom_DB[],10,FALSE)</f>
        <v>Silver</v>
      </c>
      <c r="S896" t="str">
        <f>IF(ESales_DB[[#This Row],[Quantity1]]&gt;3,"Bulk order","Normal order")</f>
        <v>Bulk order</v>
      </c>
    </row>
    <row r="897" spans="1:19" x14ac:dyDescent="0.3">
      <c r="A897" t="s">
        <v>3629</v>
      </c>
      <c r="B897" s="4">
        <v>45736</v>
      </c>
      <c r="C897" s="4" t="str">
        <f>TEXT(ESales_DB[[#This Row],[Order_Date]],"mmm")</f>
        <v>Mar</v>
      </c>
      <c r="D897" t="s">
        <v>134</v>
      </c>
      <c r="E897" t="s">
        <v>1590</v>
      </c>
      <c r="F897" t="s">
        <v>1794</v>
      </c>
      <c r="G897">
        <v>3</v>
      </c>
      <c r="H897" s="10">
        <f>IF(ISBLANK(ESales_DB[[#This Row],[Quantity]]),AVERAGEIF(ESales_DB[Product_ID],ESales_DB[[#This Row],[Product_ID]],ESales_DB[Quantity]),ESales_DB[[#This Row],[Quantity]])</f>
        <v>3</v>
      </c>
      <c r="I897" s="2">
        <v>587.12</v>
      </c>
      <c r="J897">
        <v>0.3</v>
      </c>
      <c r="K897" t="s">
        <v>1824</v>
      </c>
      <c r="L897" s="2">
        <v>1232.952</v>
      </c>
      <c r="M897" s="2" t="str">
        <f>IF(ESales_DB[[#This Row],[Total_Amount]]&gt;1000,"High","Low")</f>
        <v>High</v>
      </c>
      <c r="N897" s="2" t="str">
        <f>VLOOKUP(ESales_DB[[#This Row],[Customer_ID]],Ecustom_DB[],3,FALSE)</f>
        <v>Robert Jones Dds</v>
      </c>
      <c r="O897" s="2" t="str">
        <f>_xlfn.XLOOKUP(ESales_DB[[#This Row],[Product_ID]],Eproduct_DB[Product_ID],Eproduct_DB[Category])</f>
        <v>Home</v>
      </c>
      <c r="P897" s="2" t="str">
        <f>_xlfn.XLOOKUP(ESales_DB[[#This Row],[Product_ID]],Eproduct_DB[Product_ID],Eproduct_DB[Product_Name])</f>
        <v>Multi-Purpose Storage Box</v>
      </c>
      <c r="Q897" s="2" t="str">
        <f>_xlfn.XLOOKUP(ESales_DB[[#This Row],[Store_ID]],Estore_DB[Store_ID],Estore_DB[Region])</f>
        <v>North</v>
      </c>
      <c r="R897" t="str">
        <f>VLOOKUP(ESales_DB[[#This Row],[Customer_ID]],Ecustom_DB[],10,FALSE)</f>
        <v>Platinum</v>
      </c>
      <c r="S897" t="str">
        <f>IF(ESales_DB[[#This Row],[Quantity1]]&gt;3,"Bulk order","Normal order")</f>
        <v>Normal order</v>
      </c>
    </row>
    <row r="898" spans="1:19" x14ac:dyDescent="0.3">
      <c r="A898" t="s">
        <v>3630</v>
      </c>
      <c r="B898" s="4">
        <v>45941</v>
      </c>
      <c r="C898" s="4" t="str">
        <f>TEXT(ESales_DB[[#This Row],[Order_Date]],"mmm")</f>
        <v>Oct</v>
      </c>
      <c r="D898" t="s">
        <v>773</v>
      </c>
      <c r="E898" t="s">
        <v>1598</v>
      </c>
      <c r="F898" t="s">
        <v>1810</v>
      </c>
      <c r="G898">
        <v>1</v>
      </c>
      <c r="H898" s="10">
        <f>IF(ISBLANK(ESales_DB[[#This Row],[Quantity]]),AVERAGEIF(ESales_DB[Product_ID],ESales_DB[[#This Row],[Product_ID]],ESales_DB[Quantity]),ESales_DB[[#This Row],[Quantity]])</f>
        <v>1</v>
      </c>
      <c r="I898" s="2">
        <v>401.18</v>
      </c>
      <c r="J898">
        <v>0.15</v>
      </c>
      <c r="K898" t="s">
        <v>1829</v>
      </c>
      <c r="L898" s="2">
        <v>341.00299999999999</v>
      </c>
      <c r="M898" s="2" t="str">
        <f>IF(ESales_DB[[#This Row],[Total_Amount]]&gt;1000,"High","Low")</f>
        <v>Low</v>
      </c>
      <c r="N898" s="2" t="str">
        <f>VLOOKUP(ESales_DB[[#This Row],[Customer_ID]],Ecustom_DB[],3,FALSE)</f>
        <v>Mr. William Horton</v>
      </c>
      <c r="O898" s="2" t="str">
        <f>_xlfn.XLOOKUP(ESales_DB[[#This Row],[Product_ID]],Eproduct_DB[Product_ID],Eproduct_DB[Category])</f>
        <v>Clothing</v>
      </c>
      <c r="P898" s="2" t="str">
        <f>_xlfn.XLOOKUP(ESales_DB[[#This Row],[Product_ID]],Eproduct_DB[Product_ID],Eproduct_DB[Product_Name])</f>
        <v>Women's Scarf Set</v>
      </c>
      <c r="Q898" s="2" t="str">
        <f>_xlfn.XLOOKUP(ESales_DB[[#This Row],[Store_ID]],Estore_DB[Store_ID],Estore_DB[Region])</f>
        <v>East</v>
      </c>
      <c r="R898" t="str">
        <f>VLOOKUP(ESales_DB[[#This Row],[Customer_ID]],Ecustom_DB[],10,FALSE)</f>
        <v>Platinum</v>
      </c>
      <c r="S898" t="str">
        <f>IF(ESales_DB[[#This Row],[Quantity1]]&gt;3,"Bulk order","Normal order")</f>
        <v>Normal order</v>
      </c>
    </row>
    <row r="899" spans="1:19" x14ac:dyDescent="0.3">
      <c r="A899" t="s">
        <v>3631</v>
      </c>
      <c r="B899" s="4">
        <v>45486</v>
      </c>
      <c r="C899" s="4" t="str">
        <f>TEXT(ESales_DB[[#This Row],[Order_Date]],"mmm")</f>
        <v>Jul</v>
      </c>
      <c r="D899" t="s">
        <v>1145</v>
      </c>
      <c r="E899" t="s">
        <v>1664</v>
      </c>
      <c r="F899" t="s">
        <v>1810</v>
      </c>
      <c r="G899">
        <v>3</v>
      </c>
      <c r="H899" s="10">
        <f>IF(ISBLANK(ESales_DB[[#This Row],[Quantity]]),AVERAGEIF(ESales_DB[Product_ID],ESales_DB[[#This Row],[Product_ID]],ESales_DB[Quantity]),ESales_DB[[#This Row],[Quantity]])</f>
        <v>3</v>
      </c>
      <c r="I899" s="2">
        <v>658.33</v>
      </c>
      <c r="J899">
        <v>0.12</v>
      </c>
      <c r="K899" t="s">
        <v>1829</v>
      </c>
      <c r="L899" s="2">
        <v>1737.9911999999999</v>
      </c>
      <c r="M899" s="2" t="str">
        <f>IF(ESales_DB[[#This Row],[Total_Amount]]&gt;1000,"High","Low")</f>
        <v>High</v>
      </c>
      <c r="N899" s="2" t="str">
        <f>VLOOKUP(ESales_DB[[#This Row],[Customer_ID]],Ecustom_DB[],3,FALSE)</f>
        <v>Mallory Allen</v>
      </c>
      <c r="O899" s="2" t="str">
        <f>_xlfn.XLOOKUP(ESales_DB[[#This Row],[Product_ID]],Eproduct_DB[Product_ID],Eproduct_DB[Category])</f>
        <v>Clothing</v>
      </c>
      <c r="P899" s="2" t="str">
        <f>_xlfn.XLOOKUP(ESales_DB[[#This Row],[Product_ID]],Eproduct_DB[Product_ID],Eproduct_DB[Product_Name])</f>
        <v>Womens Cotton Scarf</v>
      </c>
      <c r="Q899" s="2" t="str">
        <f>_xlfn.XLOOKUP(ESales_DB[[#This Row],[Store_ID]],Estore_DB[Store_ID],Estore_DB[Region])</f>
        <v>East</v>
      </c>
      <c r="R899" t="str">
        <f>VLOOKUP(ESales_DB[[#This Row],[Customer_ID]],Ecustom_DB[],10,FALSE)</f>
        <v>Platinum</v>
      </c>
      <c r="S899" t="str">
        <f>IF(ESales_DB[[#This Row],[Quantity1]]&gt;3,"Bulk order","Normal order")</f>
        <v>Normal order</v>
      </c>
    </row>
    <row r="900" spans="1:19" x14ac:dyDescent="0.3">
      <c r="A900" t="s">
        <v>3632</v>
      </c>
      <c r="B900" s="4">
        <v>45474</v>
      </c>
      <c r="C900" s="4" t="str">
        <f>TEXT(ESales_DB[[#This Row],[Order_Date]],"mmm")</f>
        <v>Jul</v>
      </c>
      <c r="D900" t="s">
        <v>657</v>
      </c>
      <c r="E900" t="s">
        <v>1646</v>
      </c>
      <c r="F900" t="s">
        <v>1792</v>
      </c>
      <c r="G900">
        <v>4</v>
      </c>
      <c r="H900" s="10">
        <f>IF(ISBLANK(ESales_DB[[#This Row],[Quantity]]),AVERAGEIF(ESales_DB[Product_ID],ESales_DB[[#This Row],[Product_ID]],ESales_DB[Quantity]),ESales_DB[[#This Row],[Quantity]])</f>
        <v>4</v>
      </c>
      <c r="I900" s="2">
        <v>450.3</v>
      </c>
      <c r="J900">
        <v>0.02</v>
      </c>
      <c r="K900" t="s">
        <v>1824</v>
      </c>
      <c r="L900" s="2">
        <v>1765.1759999999999</v>
      </c>
      <c r="M900" s="2" t="str">
        <f>IF(ESales_DB[[#This Row],[Total_Amount]]&gt;1000,"High","Low")</f>
        <v>High</v>
      </c>
      <c r="N900" s="2" t="str">
        <f>VLOOKUP(ESales_DB[[#This Row],[Customer_ID]],Ecustom_DB[],3,FALSE)</f>
        <v>Mary Boyd</v>
      </c>
      <c r="O900" s="2" t="str">
        <f>_xlfn.XLOOKUP(ESales_DB[[#This Row],[Product_ID]],Eproduct_DB[Product_ID],Eproduct_DB[Category])</f>
        <v>Beauty</v>
      </c>
      <c r="P900" s="2" t="str">
        <f>_xlfn.XLOOKUP(ESales_DB[[#This Row],[Product_ID]],Eproduct_DB[Product_ID],Eproduct_DB[Product_Name])</f>
        <v>Men's Roll-On Perfume</v>
      </c>
      <c r="Q900" s="2" t="str">
        <f>_xlfn.XLOOKUP(ESales_DB[[#This Row],[Store_ID]],Estore_DB[Store_ID],Estore_DB[Region])</f>
        <v>South</v>
      </c>
      <c r="R900" t="str">
        <f>VLOOKUP(ESales_DB[[#This Row],[Customer_ID]],Ecustom_DB[],10,FALSE)</f>
        <v>Bronze</v>
      </c>
      <c r="S900" t="str">
        <f>IF(ESales_DB[[#This Row],[Quantity1]]&gt;3,"Bulk order","Normal order")</f>
        <v>Bulk order</v>
      </c>
    </row>
    <row r="901" spans="1:19" x14ac:dyDescent="0.3">
      <c r="A901" t="s">
        <v>3633</v>
      </c>
      <c r="B901" s="4">
        <v>45757</v>
      </c>
      <c r="C901" s="4" t="str">
        <f>TEXT(ESales_DB[[#This Row],[Order_Date]],"mmm")</f>
        <v>Apr</v>
      </c>
      <c r="D901" t="s">
        <v>490</v>
      </c>
      <c r="E901" t="s">
        <v>1736</v>
      </c>
      <c r="F901" t="s">
        <v>1789</v>
      </c>
      <c r="G901">
        <v>4</v>
      </c>
      <c r="H901" s="10">
        <f>IF(ISBLANK(ESales_DB[[#This Row],[Quantity]]),AVERAGEIF(ESales_DB[Product_ID],ESales_DB[[#This Row],[Product_ID]],ESales_DB[Quantity]),ESales_DB[[#This Row],[Quantity]])</f>
        <v>4</v>
      </c>
      <c r="I901" s="2">
        <v>33.630000000000003</v>
      </c>
      <c r="J901">
        <v>0.05</v>
      </c>
      <c r="K901" t="s">
        <v>1824</v>
      </c>
      <c r="L901" s="2">
        <v>127.794</v>
      </c>
      <c r="M901" s="2" t="str">
        <f>IF(ESales_DB[[#This Row],[Total_Amount]]&gt;1000,"High","Low")</f>
        <v>Low</v>
      </c>
      <c r="N901" s="2" t="str">
        <f>VLOOKUP(ESales_DB[[#This Row],[Customer_ID]],Ecustom_DB[],3,FALSE)</f>
        <v>Cameron Simpson</v>
      </c>
      <c r="O901" s="2" t="str">
        <f>_xlfn.XLOOKUP(ESales_DB[[#This Row],[Product_ID]],Eproduct_DB[Product_ID],Eproduct_DB[Category])</f>
        <v>Beauty</v>
      </c>
      <c r="P901" s="2" t="str">
        <f>_xlfn.XLOOKUP(ESales_DB[[#This Row],[Product_ID]],Eproduct_DB[Product_ID],Eproduct_DB[Product_Name])</f>
        <v>Vitamin E Body Lotion</v>
      </c>
      <c r="Q901" s="2" t="str">
        <f>_xlfn.XLOOKUP(ESales_DB[[#This Row],[Store_ID]],Estore_DB[Store_ID],Estore_DB[Region])</f>
        <v>East</v>
      </c>
      <c r="R901" t="str">
        <f>VLOOKUP(ESales_DB[[#This Row],[Customer_ID]],Ecustom_DB[],10,FALSE)</f>
        <v>Platinum</v>
      </c>
      <c r="S901" t="str">
        <f>IF(ESales_DB[[#This Row],[Quantity1]]&gt;3,"Bulk order","Normal order")</f>
        <v>Bulk order</v>
      </c>
    </row>
    <row r="902" spans="1:19" x14ac:dyDescent="0.3">
      <c r="A902" t="s">
        <v>3634</v>
      </c>
      <c r="B902" s="4">
        <v>45475</v>
      </c>
      <c r="C902" s="4" t="str">
        <f>TEXT(ESales_DB[[#This Row],[Order_Date]],"mmm")</f>
        <v>Jul</v>
      </c>
      <c r="D902" t="s">
        <v>141</v>
      </c>
      <c r="E902" t="s">
        <v>1580</v>
      </c>
      <c r="F902" t="s">
        <v>1752</v>
      </c>
      <c r="G902">
        <v>3</v>
      </c>
      <c r="H902" s="10">
        <f>IF(ISBLANK(ESales_DB[[#This Row],[Quantity]]),AVERAGEIF(ESales_DB[Product_ID],ESales_DB[[#This Row],[Product_ID]],ESales_DB[Quantity]),ESales_DB[[#This Row],[Quantity]])</f>
        <v>3</v>
      </c>
      <c r="I902" s="2">
        <v>168.89</v>
      </c>
      <c r="J902">
        <v>0.03</v>
      </c>
      <c r="K902" t="s">
        <v>1829</v>
      </c>
      <c r="L902" s="2">
        <v>491.46989999999988</v>
      </c>
      <c r="M902" s="2" t="str">
        <f>IF(ESales_DB[[#This Row],[Total_Amount]]&gt;1000,"High","Low")</f>
        <v>Low</v>
      </c>
      <c r="N902" s="2" t="str">
        <f>VLOOKUP(ESales_DB[[#This Row],[Customer_ID]],Ecustom_DB[],3,FALSE)</f>
        <v>Rachel Myers</v>
      </c>
      <c r="O902" s="2" t="str">
        <f>_xlfn.XLOOKUP(ESales_DB[[#This Row],[Product_ID]],Eproduct_DB[Product_ID],Eproduct_DB[Category])</f>
        <v>Beauty</v>
      </c>
      <c r="P902" s="2" t="str">
        <f>_xlfn.XLOOKUP(ESales_DB[[#This Row],[Product_ID]],Eproduct_DB[Product_ID],Eproduct_DB[Product_Name])</f>
        <v>Beard Grooming Kit</v>
      </c>
      <c r="Q902" s="2" t="str">
        <f>_xlfn.XLOOKUP(ESales_DB[[#This Row],[Store_ID]],Estore_DB[Store_ID],Estore_DB[Region])</f>
        <v>East</v>
      </c>
      <c r="R902" t="str">
        <f>VLOOKUP(ESales_DB[[#This Row],[Customer_ID]],Ecustom_DB[],10,FALSE)</f>
        <v>Silver</v>
      </c>
      <c r="S902" t="str">
        <f>IF(ESales_DB[[#This Row],[Quantity1]]&gt;3,"Bulk order","Normal order")</f>
        <v>Normal order</v>
      </c>
    </row>
    <row r="903" spans="1:19" x14ac:dyDescent="0.3">
      <c r="A903" t="s">
        <v>3635</v>
      </c>
      <c r="B903" s="4">
        <v>45546</v>
      </c>
      <c r="C903" s="4" t="str">
        <f>TEXT(ESales_DB[[#This Row],[Order_Date]],"mmm")</f>
        <v>Sep</v>
      </c>
      <c r="D903" t="s">
        <v>341</v>
      </c>
      <c r="E903" t="s">
        <v>1668</v>
      </c>
      <c r="F903" t="s">
        <v>1792</v>
      </c>
      <c r="G903">
        <v>1</v>
      </c>
      <c r="H903" s="10">
        <f>IF(ISBLANK(ESales_DB[[#This Row],[Quantity]]),AVERAGEIF(ESales_DB[Product_ID],ESales_DB[[#This Row],[Product_ID]],ESales_DB[Quantity]),ESales_DB[[#This Row],[Quantity]])</f>
        <v>1</v>
      </c>
      <c r="I903" s="2">
        <v>141.85</v>
      </c>
      <c r="J903">
        <v>0.06</v>
      </c>
      <c r="K903" t="s">
        <v>1826</v>
      </c>
      <c r="L903" s="2">
        <v>133.339</v>
      </c>
      <c r="M903" s="2" t="str">
        <f>IF(ESales_DB[[#This Row],[Total_Amount]]&gt;1000,"High","Low")</f>
        <v>Low</v>
      </c>
      <c r="N903" s="2" t="str">
        <f>VLOOKUP(ESales_DB[[#This Row],[Customer_ID]],Ecustom_DB[],3,FALSE)</f>
        <v>Amy Fowler</v>
      </c>
      <c r="O903" s="2" t="str">
        <f>_xlfn.XLOOKUP(ESales_DB[[#This Row],[Product_ID]],Eproduct_DB[Product_ID],Eproduct_DB[Category])</f>
        <v>Beauty</v>
      </c>
      <c r="P903" s="2" t="str">
        <f>_xlfn.XLOOKUP(ESales_DB[[#This Row],[Product_ID]],Eproduct_DB[Product_ID],Eproduct_DB[Product_Name])</f>
        <v>Luxury Perfume Spray</v>
      </c>
      <c r="Q903" s="2" t="str">
        <f>_xlfn.XLOOKUP(ESales_DB[[#This Row],[Store_ID]],Estore_DB[Store_ID],Estore_DB[Region])</f>
        <v>South</v>
      </c>
      <c r="R903" t="str">
        <f>VLOOKUP(ESales_DB[[#This Row],[Customer_ID]],Ecustom_DB[],10,FALSE)</f>
        <v>Platinum</v>
      </c>
      <c r="S903" t="str">
        <f>IF(ESales_DB[[#This Row],[Quantity1]]&gt;3,"Bulk order","Normal order")</f>
        <v>Normal order</v>
      </c>
    </row>
    <row r="904" spans="1:19" x14ac:dyDescent="0.3">
      <c r="A904" t="s">
        <v>2007</v>
      </c>
      <c r="B904" s="4">
        <v>45710</v>
      </c>
      <c r="C904" s="4" t="str">
        <f>TEXT(ESales_DB[[#This Row],[Order_Date]],"mmm")</f>
        <v>Feb</v>
      </c>
      <c r="D904" t="s">
        <v>1425</v>
      </c>
      <c r="E904" t="s">
        <v>1614</v>
      </c>
      <c r="F904" t="s">
        <v>1797</v>
      </c>
      <c r="G904">
        <v>3</v>
      </c>
      <c r="H904" s="10">
        <f>IF(ISBLANK(ESales_DB[[#This Row],[Quantity]]),AVERAGEIF(ESales_DB[Product_ID],ESales_DB[[#This Row],[Product_ID]],ESales_DB[Quantity]),ESales_DB[[#This Row],[Quantity]])</f>
        <v>3</v>
      </c>
      <c r="I904" s="2">
        <v>53.92</v>
      </c>
      <c r="J904">
        <v>0.15</v>
      </c>
      <c r="K904" t="s">
        <v>1826</v>
      </c>
      <c r="L904" s="2">
        <v>137.49600000000001</v>
      </c>
      <c r="M904" s="2" t="str">
        <f>IF(ESales_DB[[#This Row],[Total_Amount]]&gt;1000,"High","Low")</f>
        <v>Low</v>
      </c>
      <c r="N904" s="2" t="str">
        <f>VLOOKUP(ESales_DB[[#This Row],[Customer_ID]],Ecustom_DB[],3,FALSE)</f>
        <v>Beth Martin</v>
      </c>
      <c r="O904" s="2" t="str">
        <f>_xlfn.XLOOKUP(ESales_DB[[#This Row],[Product_ID]],Eproduct_DB[Product_ID],Eproduct_DB[Category])</f>
        <v>Home</v>
      </c>
      <c r="P904" s="2" t="str">
        <f>_xlfn.XLOOKUP(ESales_DB[[#This Row],[Product_ID]],Eproduct_DB[Product_ID],Eproduct_DB[Product_Name])</f>
        <v>Modern Wall Clock</v>
      </c>
      <c r="Q904" s="2" t="str">
        <f>_xlfn.XLOOKUP(ESales_DB[[#This Row],[Store_ID]],Estore_DB[Store_ID],Estore_DB[Region])</f>
        <v>East</v>
      </c>
      <c r="R904" t="str">
        <f>VLOOKUP(ESales_DB[[#This Row],[Customer_ID]],Ecustom_DB[],10,FALSE)</f>
        <v>Silver</v>
      </c>
      <c r="S904" t="str">
        <f>IF(ESales_DB[[#This Row],[Quantity1]]&gt;3,"Bulk order","Normal order")</f>
        <v>Normal order</v>
      </c>
    </row>
    <row r="905" spans="1:19" x14ac:dyDescent="0.3">
      <c r="A905" t="s">
        <v>3636</v>
      </c>
      <c r="B905" s="4">
        <v>45520</v>
      </c>
      <c r="C905" s="4" t="str">
        <f>TEXT(ESales_DB[[#This Row],[Order_Date]],"mmm")</f>
        <v>Aug</v>
      </c>
      <c r="D905" t="s">
        <v>966</v>
      </c>
      <c r="E905" t="s">
        <v>1618</v>
      </c>
      <c r="F905" t="s">
        <v>1779</v>
      </c>
      <c r="G905">
        <v>1</v>
      </c>
      <c r="H905" s="10">
        <f>IF(ISBLANK(ESales_DB[[#This Row],[Quantity]]),AVERAGEIF(ESales_DB[Product_ID],ESales_DB[[#This Row],[Product_ID]],ESales_DB[Quantity]),ESales_DB[[#This Row],[Quantity]])</f>
        <v>1</v>
      </c>
      <c r="I905" s="2">
        <v>617.4</v>
      </c>
      <c r="J905">
        <v>0.21</v>
      </c>
      <c r="K905" t="s">
        <v>1824</v>
      </c>
      <c r="L905" s="2">
        <v>487.74599999999998</v>
      </c>
      <c r="M905" s="2" t="str">
        <f>IF(ESales_DB[[#This Row],[Total_Amount]]&gt;1000,"High","Low")</f>
        <v>Low</v>
      </c>
      <c r="N905" s="2" t="str">
        <f>VLOOKUP(ESales_DB[[#This Row],[Customer_ID]],Ecustom_DB[],3,FALSE)</f>
        <v>Angela Robinson</v>
      </c>
      <c r="O905" s="2" t="str">
        <f>_xlfn.XLOOKUP(ESales_DB[[#This Row],[Product_ID]],Eproduct_DB[Product_ID],Eproduct_DB[Category])</f>
        <v>Home</v>
      </c>
      <c r="P905" s="2" t="str">
        <f>_xlfn.XLOOKUP(ESales_DB[[#This Row],[Product_ID]],Eproduct_DB[Product_ID],Eproduct_DB[Product_Name])</f>
        <v>Bedroom Table Lamp</v>
      </c>
      <c r="Q905" s="2" t="str">
        <f>_xlfn.XLOOKUP(ESales_DB[[#This Row],[Store_ID]],Estore_DB[Store_ID],Estore_DB[Region])</f>
        <v>South</v>
      </c>
      <c r="R905" t="str">
        <f>VLOOKUP(ESales_DB[[#This Row],[Customer_ID]],Ecustom_DB[],10,FALSE)</f>
        <v>Platinum</v>
      </c>
      <c r="S905" t="str">
        <f>IF(ESales_DB[[#This Row],[Quantity1]]&gt;3,"Bulk order","Normal order")</f>
        <v>Normal order</v>
      </c>
    </row>
    <row r="906" spans="1:19" x14ac:dyDescent="0.3">
      <c r="A906" t="s">
        <v>3637</v>
      </c>
      <c r="B906" s="4">
        <v>45534</v>
      </c>
      <c r="C906" s="4" t="str">
        <f>TEXT(ESales_DB[[#This Row],[Order_Date]],"mmm")</f>
        <v>Aug</v>
      </c>
      <c r="D906" t="s">
        <v>496</v>
      </c>
      <c r="E906" t="s">
        <v>1654</v>
      </c>
      <c r="F906" t="s">
        <v>1757</v>
      </c>
      <c r="G906">
        <v>3</v>
      </c>
      <c r="H906" s="10">
        <f>IF(ISBLANK(ESales_DB[[#This Row],[Quantity]]),AVERAGEIF(ESales_DB[Product_ID],ESales_DB[[#This Row],[Product_ID]],ESales_DB[Quantity]),ESales_DB[[#This Row],[Quantity]])</f>
        <v>3</v>
      </c>
      <c r="I906" s="2">
        <v>841.47</v>
      </c>
      <c r="J906">
        <v>0.15</v>
      </c>
      <c r="K906" t="s">
        <v>1829</v>
      </c>
      <c r="L906" s="2">
        <v>2145.7485000000001</v>
      </c>
      <c r="M906" s="2" t="str">
        <f>IF(ESales_DB[[#This Row],[Total_Amount]]&gt;1000,"High","Low")</f>
        <v>High</v>
      </c>
      <c r="N906" s="2" t="str">
        <f>VLOOKUP(ESales_DB[[#This Row],[Customer_ID]],Ecustom_DB[],3,FALSE)</f>
        <v>Rhonda Young</v>
      </c>
      <c r="O906" s="2" t="str">
        <f>_xlfn.XLOOKUP(ESales_DB[[#This Row],[Product_ID]],Eproduct_DB[Product_ID],Eproduct_DB[Category])</f>
        <v>Clothing</v>
      </c>
      <c r="P906" s="2" t="str">
        <f>_xlfn.XLOOKUP(ESales_DB[[#This Row],[Product_ID]],Eproduct_DB[Product_ID],Eproduct_DB[Product_Name])</f>
        <v>Men's Track Pants</v>
      </c>
      <c r="Q906" s="2" t="str">
        <f>_xlfn.XLOOKUP(ESales_DB[[#This Row],[Store_ID]],Estore_DB[Store_ID],Estore_DB[Region])</f>
        <v>North</v>
      </c>
      <c r="R906" t="str">
        <f>VLOOKUP(ESales_DB[[#This Row],[Customer_ID]],Ecustom_DB[],10,FALSE)</f>
        <v>Platinum</v>
      </c>
      <c r="S906" t="str">
        <f>IF(ESales_DB[[#This Row],[Quantity1]]&gt;3,"Bulk order","Normal order")</f>
        <v>Normal order</v>
      </c>
    </row>
    <row r="907" spans="1:19" x14ac:dyDescent="0.3">
      <c r="A907" t="s">
        <v>3638</v>
      </c>
      <c r="B907" s="4">
        <v>45334</v>
      </c>
      <c r="C907" s="4" t="str">
        <f>TEXT(ESales_DB[[#This Row],[Order_Date]],"mmm")</f>
        <v>Feb</v>
      </c>
      <c r="D907" t="s">
        <v>221</v>
      </c>
      <c r="E907" t="s">
        <v>1590</v>
      </c>
      <c r="F907" t="s">
        <v>1797</v>
      </c>
      <c r="G907">
        <v>2</v>
      </c>
      <c r="H907" s="10">
        <f>IF(ISBLANK(ESales_DB[[#This Row],[Quantity]]),AVERAGEIF(ESales_DB[Product_ID],ESales_DB[[#This Row],[Product_ID]],ESales_DB[Quantity]),ESales_DB[[#This Row],[Quantity]])</f>
        <v>2</v>
      </c>
      <c r="I907" s="2">
        <v>960.41</v>
      </c>
      <c r="J907">
        <v>0.18</v>
      </c>
      <c r="K907" t="s">
        <v>1824</v>
      </c>
      <c r="L907" s="2">
        <v>1575.0724</v>
      </c>
      <c r="M907" s="2" t="str">
        <f>IF(ESales_DB[[#This Row],[Total_Amount]]&gt;1000,"High","Low")</f>
        <v>High</v>
      </c>
      <c r="N907" s="2" t="str">
        <f>VLOOKUP(ESales_DB[[#This Row],[Customer_ID]],Ecustom_DB[],3,FALSE)</f>
        <v>Alyssa Vargas</v>
      </c>
      <c r="O907" s="2" t="str">
        <f>_xlfn.XLOOKUP(ESales_DB[[#This Row],[Product_ID]],Eproduct_DB[Product_ID],Eproduct_DB[Category])</f>
        <v>Home</v>
      </c>
      <c r="P907" s="2" t="str">
        <f>_xlfn.XLOOKUP(ESales_DB[[#This Row],[Product_ID]],Eproduct_DB[Product_ID],Eproduct_DB[Product_Name])</f>
        <v>Multi-Purpose Storage Box</v>
      </c>
      <c r="Q907" s="2" t="str">
        <f>_xlfn.XLOOKUP(ESales_DB[[#This Row],[Store_ID]],Estore_DB[Store_ID],Estore_DB[Region])</f>
        <v>East</v>
      </c>
      <c r="R907" t="str">
        <f>VLOOKUP(ESales_DB[[#This Row],[Customer_ID]],Ecustom_DB[],10,FALSE)</f>
        <v>Platinum</v>
      </c>
      <c r="S907" t="str">
        <f>IF(ESales_DB[[#This Row],[Quantity1]]&gt;3,"Bulk order","Normal order")</f>
        <v>Normal order</v>
      </c>
    </row>
    <row r="908" spans="1:19" x14ac:dyDescent="0.3">
      <c r="A908" t="s">
        <v>3639</v>
      </c>
      <c r="B908" s="4">
        <v>45289</v>
      </c>
      <c r="C908" s="4" t="str">
        <f>TEXT(ESales_DB[[#This Row],[Order_Date]],"mmm")</f>
        <v>Dec</v>
      </c>
      <c r="D908" t="s">
        <v>1395</v>
      </c>
      <c r="E908" t="s">
        <v>1698</v>
      </c>
      <c r="F908" t="s">
        <v>1810</v>
      </c>
      <c r="G908">
        <v>3</v>
      </c>
      <c r="H908" s="10">
        <f>IF(ISBLANK(ESales_DB[[#This Row],[Quantity]]),AVERAGEIF(ESales_DB[Product_ID],ESales_DB[[#This Row],[Product_ID]],ESales_DB[Quantity]),ESales_DB[[#This Row],[Quantity]])</f>
        <v>3</v>
      </c>
      <c r="I908" s="2">
        <v>717.22</v>
      </c>
      <c r="J908">
        <v>0.24</v>
      </c>
      <c r="K908" t="s">
        <v>1826</v>
      </c>
      <c r="L908" s="2">
        <v>1635.2616</v>
      </c>
      <c r="M908" s="2" t="str">
        <f>IF(ESales_DB[[#This Row],[Total_Amount]]&gt;1000,"High","Low")</f>
        <v>High</v>
      </c>
      <c r="N908" s="2" t="str">
        <f>VLOOKUP(ESales_DB[[#This Row],[Customer_ID]],Ecustom_DB[],3,FALSE)</f>
        <v>Ashley Roberts</v>
      </c>
      <c r="O908" s="2" t="str">
        <f>_xlfn.XLOOKUP(ESales_DB[[#This Row],[Product_ID]],Eproduct_DB[Product_ID],Eproduct_DB[Category])</f>
        <v>Clothing</v>
      </c>
      <c r="P908" s="2" t="str">
        <f>_xlfn.XLOOKUP(ESales_DB[[#This Row],[Product_ID]],Eproduct_DB[Product_ID],Eproduct_DB[Product_Name])</f>
        <v>Women's Ankle Boots</v>
      </c>
      <c r="Q908" s="2" t="str">
        <f>_xlfn.XLOOKUP(ESales_DB[[#This Row],[Store_ID]],Estore_DB[Store_ID],Estore_DB[Region])</f>
        <v>East</v>
      </c>
      <c r="R908" t="str">
        <f>VLOOKUP(ESales_DB[[#This Row],[Customer_ID]],Ecustom_DB[],10,FALSE)</f>
        <v>Gold</v>
      </c>
      <c r="S908" t="str">
        <f>IF(ESales_DB[[#This Row],[Quantity1]]&gt;3,"Bulk order","Normal order")</f>
        <v>Normal order</v>
      </c>
    </row>
    <row r="909" spans="1:19" x14ac:dyDescent="0.3">
      <c r="A909" t="s">
        <v>3640</v>
      </c>
      <c r="B909" s="4">
        <v>45832</v>
      </c>
      <c r="C909" s="4" t="str">
        <f>TEXT(ESales_DB[[#This Row],[Order_Date]],"mmm")</f>
        <v>Jun</v>
      </c>
      <c r="D909" t="s">
        <v>402</v>
      </c>
      <c r="E909" t="s">
        <v>1572</v>
      </c>
      <c r="F909" t="s">
        <v>1752</v>
      </c>
      <c r="G909">
        <v>1</v>
      </c>
      <c r="H909" s="10">
        <f>IF(ISBLANK(ESales_DB[[#This Row],[Quantity]]),AVERAGEIF(ESales_DB[Product_ID],ESales_DB[[#This Row],[Product_ID]],ESales_DB[Quantity]),ESales_DB[[#This Row],[Quantity]])</f>
        <v>1</v>
      </c>
      <c r="I909" s="2">
        <v>281.83</v>
      </c>
      <c r="J909">
        <v>0.16</v>
      </c>
      <c r="K909" t="s">
        <v>1829</v>
      </c>
      <c r="L909" s="2">
        <v>236.7372</v>
      </c>
      <c r="M909" s="2" t="str">
        <f>IF(ESales_DB[[#This Row],[Total_Amount]]&gt;1000,"High","Low")</f>
        <v>Low</v>
      </c>
      <c r="N909" s="2" t="str">
        <f>VLOOKUP(ESales_DB[[#This Row],[Customer_ID]],Ecustom_DB[],3,FALSE)</f>
        <v>Tyler Conrad</v>
      </c>
      <c r="O909" s="2" t="str">
        <f>_xlfn.XLOOKUP(ESales_DB[[#This Row],[Product_ID]],Eproduct_DB[Product_ID],Eproduct_DB[Category])</f>
        <v>Beauty</v>
      </c>
      <c r="P909" s="2" t="str">
        <f>_xlfn.XLOOKUP(ESales_DB[[#This Row],[Product_ID]],Eproduct_DB[Product_ID],Eproduct_DB[Product_Name])</f>
        <v>Hair Strengthening Shampoo</v>
      </c>
      <c r="Q909" s="2" t="str">
        <f>_xlfn.XLOOKUP(ESales_DB[[#This Row],[Store_ID]],Estore_DB[Store_ID],Estore_DB[Region])</f>
        <v>East</v>
      </c>
      <c r="R909" t="str">
        <f>VLOOKUP(ESales_DB[[#This Row],[Customer_ID]],Ecustom_DB[],10,FALSE)</f>
        <v>Platinum</v>
      </c>
      <c r="S909" t="str">
        <f>IF(ESales_DB[[#This Row],[Quantity1]]&gt;3,"Bulk order","Normal order")</f>
        <v>Normal order</v>
      </c>
    </row>
    <row r="910" spans="1:19" x14ac:dyDescent="0.3">
      <c r="A910" t="s">
        <v>3641</v>
      </c>
      <c r="B910" s="4">
        <v>45400</v>
      </c>
      <c r="C910" s="4" t="str">
        <f>TEXT(ESales_DB[[#This Row],[Order_Date]],"mmm")</f>
        <v>Apr</v>
      </c>
      <c r="D910" t="s">
        <v>666</v>
      </c>
      <c r="E910" t="s">
        <v>1666</v>
      </c>
      <c r="F910" t="s">
        <v>1799</v>
      </c>
      <c r="G910">
        <v>1</v>
      </c>
      <c r="H910" s="10">
        <f>IF(ISBLANK(ESales_DB[[#This Row],[Quantity]]),AVERAGEIF(ESales_DB[Product_ID],ESales_DB[[#This Row],[Product_ID]],ESales_DB[Quantity]),ESales_DB[[#This Row],[Quantity]])</f>
        <v>1</v>
      </c>
      <c r="I910" s="2">
        <v>509.08</v>
      </c>
      <c r="J910">
        <v>0.04</v>
      </c>
      <c r="K910" t="s">
        <v>1826</v>
      </c>
      <c r="L910" s="2">
        <v>488.71679999999998</v>
      </c>
      <c r="M910" s="2" t="str">
        <f>IF(ESales_DB[[#This Row],[Total_Amount]]&gt;1000,"High","Low")</f>
        <v>Low</v>
      </c>
      <c r="N910" s="2" t="str">
        <f>VLOOKUP(ESales_DB[[#This Row],[Customer_ID]],Ecustom_DB[],3,FALSE)</f>
        <v>Tiffany Herrera</v>
      </c>
      <c r="O910" s="2" t="str">
        <f>_xlfn.XLOOKUP(ESales_DB[[#This Row],[Product_ID]],Eproduct_DB[Product_ID],Eproduct_DB[Category])</f>
        <v>Beauty</v>
      </c>
      <c r="P910" s="2" t="str">
        <f>_xlfn.XLOOKUP(ESales_DB[[#This Row],[Product_ID]],Eproduct_DB[Product_ID],Eproduct_DB[Product_Name])</f>
        <v>Men's Hair Styling Gel</v>
      </c>
      <c r="Q910" s="2" t="str">
        <f>_xlfn.XLOOKUP(ESales_DB[[#This Row],[Store_ID]],Estore_DB[Store_ID],Estore_DB[Region])</f>
        <v>South</v>
      </c>
      <c r="R910" t="str">
        <f>VLOOKUP(ESales_DB[[#This Row],[Customer_ID]],Ecustom_DB[],10,FALSE)</f>
        <v>Platinum</v>
      </c>
      <c r="S910" t="str">
        <f>IF(ESales_DB[[#This Row],[Quantity1]]&gt;3,"Bulk order","Normal order")</f>
        <v>Normal order</v>
      </c>
    </row>
    <row r="911" spans="1:19" x14ac:dyDescent="0.3">
      <c r="A911" t="s">
        <v>3642</v>
      </c>
      <c r="B911" s="4">
        <v>45930</v>
      </c>
      <c r="C911" s="4" t="str">
        <f>TEXT(ESales_DB[[#This Row],[Order_Date]],"mmm")</f>
        <v>Sep</v>
      </c>
      <c r="D911" t="s">
        <v>1246</v>
      </c>
      <c r="E911" t="s">
        <v>1740</v>
      </c>
      <c r="F911" t="s">
        <v>1761</v>
      </c>
      <c r="G911">
        <v>4</v>
      </c>
      <c r="H911" s="10">
        <f>IF(ISBLANK(ESales_DB[[#This Row],[Quantity]]),AVERAGEIF(ESales_DB[Product_ID],ESales_DB[[#This Row],[Product_ID]],ESales_DB[Quantity]),ESales_DB[[#This Row],[Quantity]])</f>
        <v>4</v>
      </c>
      <c r="I911" s="2">
        <v>827.09</v>
      </c>
      <c r="J911">
        <v>0.3</v>
      </c>
      <c r="K911" t="s">
        <v>1824</v>
      </c>
      <c r="L911" s="2">
        <v>2315.8519999999999</v>
      </c>
      <c r="M911" s="2" t="str">
        <f>IF(ESales_DB[[#This Row],[Total_Amount]]&gt;1000,"High","Low")</f>
        <v>High</v>
      </c>
      <c r="N911" s="2" t="str">
        <f>VLOOKUP(ESales_DB[[#This Row],[Customer_ID]],Ecustom_DB[],3,FALSE)</f>
        <v>Mark Rogers</v>
      </c>
      <c r="O911" s="2" t="str">
        <f>_xlfn.XLOOKUP(ESales_DB[[#This Row],[Product_ID]],Eproduct_DB[Product_ID],Eproduct_DB[Category])</f>
        <v>Clothing</v>
      </c>
      <c r="P911" s="2" t="str">
        <f>_xlfn.XLOOKUP(ESales_DB[[#This Row],[Product_ID]],Eproduct_DB[Product_ID],Eproduct_DB[Product_Name])</f>
        <v>Women's Formal Blazer</v>
      </c>
      <c r="Q911" s="2" t="str">
        <f>_xlfn.XLOOKUP(ESales_DB[[#This Row],[Store_ID]],Estore_DB[Store_ID],Estore_DB[Region])</f>
        <v>South</v>
      </c>
      <c r="R911" t="str">
        <f>VLOOKUP(ESales_DB[[#This Row],[Customer_ID]],Ecustom_DB[],10,FALSE)</f>
        <v>Platinum</v>
      </c>
      <c r="S911" t="str">
        <f>IF(ESales_DB[[#This Row],[Quantity1]]&gt;3,"Bulk order","Normal order")</f>
        <v>Bulk order</v>
      </c>
    </row>
    <row r="912" spans="1:19" x14ac:dyDescent="0.3">
      <c r="A912" t="s">
        <v>3643</v>
      </c>
      <c r="B912" s="4">
        <v>45935</v>
      </c>
      <c r="C912" s="4" t="str">
        <f>TEXT(ESales_DB[[#This Row],[Order_Date]],"mmm")</f>
        <v>Oct</v>
      </c>
      <c r="D912" t="s">
        <v>684</v>
      </c>
      <c r="E912" t="s">
        <v>1606</v>
      </c>
      <c r="F912" t="s">
        <v>1769</v>
      </c>
      <c r="G912">
        <v>2</v>
      </c>
      <c r="H912" s="10">
        <f>IF(ISBLANK(ESales_DB[[#This Row],[Quantity]]),AVERAGEIF(ESales_DB[Product_ID],ESales_DB[[#This Row],[Product_ID]],ESales_DB[Quantity]),ESales_DB[[#This Row],[Quantity]])</f>
        <v>2</v>
      </c>
      <c r="I912" s="2">
        <v>823.36</v>
      </c>
      <c r="J912">
        <v>0.23</v>
      </c>
      <c r="K912" t="s">
        <v>1824</v>
      </c>
      <c r="L912" s="2">
        <v>1267.9744000000001</v>
      </c>
      <c r="M912" s="2" t="str">
        <f>IF(ESales_DB[[#This Row],[Total_Amount]]&gt;1000,"High","Low")</f>
        <v>High</v>
      </c>
      <c r="N912" s="2" t="str">
        <f>VLOOKUP(ESales_DB[[#This Row],[Customer_ID]],Ecustom_DB[],3,FALSE)</f>
        <v>Antonio Jones</v>
      </c>
      <c r="O912" s="2" t="str">
        <f>_xlfn.XLOOKUP(ESales_DB[[#This Row],[Product_ID]],Eproduct_DB[Product_ID],Eproduct_DB[Category])</f>
        <v>Home</v>
      </c>
      <c r="P912" s="2" t="str">
        <f>_xlfn.XLOOKUP(ESales_DB[[#This Row],[Product_ID]],Eproduct_DB[Product_ID],Eproduct_DB[Product_Name])</f>
        <v>Fabric Sofa Throw Blanket</v>
      </c>
      <c r="Q912" s="2" t="str">
        <f>_xlfn.XLOOKUP(ESales_DB[[#This Row],[Store_ID]],Estore_DB[Store_ID],Estore_DB[Region])</f>
        <v>South</v>
      </c>
      <c r="R912" t="str">
        <f>VLOOKUP(ESales_DB[[#This Row],[Customer_ID]],Ecustom_DB[],10,FALSE)</f>
        <v>Silver</v>
      </c>
      <c r="S912" t="str">
        <f>IF(ESales_DB[[#This Row],[Quantity1]]&gt;3,"Bulk order","Normal order")</f>
        <v>Normal order</v>
      </c>
    </row>
    <row r="913" spans="1:19" x14ac:dyDescent="0.3">
      <c r="A913" t="s">
        <v>3644</v>
      </c>
      <c r="B913" s="4">
        <v>45814</v>
      </c>
      <c r="C913" s="4" t="str">
        <f>TEXT(ESales_DB[[#This Row],[Order_Date]],"mmm")</f>
        <v>Jun</v>
      </c>
      <c r="D913" t="s">
        <v>467</v>
      </c>
      <c r="E913" t="s">
        <v>1600</v>
      </c>
      <c r="F913" t="s">
        <v>1773</v>
      </c>
      <c r="G913">
        <v>4</v>
      </c>
      <c r="H913" s="10">
        <f>IF(ISBLANK(ESales_DB[[#This Row],[Quantity]]),AVERAGEIF(ESales_DB[Product_ID],ESales_DB[[#This Row],[Product_ID]],ESales_DB[Quantity]),ESales_DB[[#This Row],[Quantity]])</f>
        <v>4</v>
      </c>
      <c r="I913" s="2">
        <v>282.18</v>
      </c>
      <c r="J913">
        <v>0.13</v>
      </c>
      <c r="K913" t="s">
        <v>1829</v>
      </c>
      <c r="L913" s="2">
        <v>981.9864</v>
      </c>
      <c r="M913" s="2" t="str">
        <f>IF(ESales_DB[[#This Row],[Total_Amount]]&gt;1000,"High","Low")</f>
        <v>Low</v>
      </c>
      <c r="N913" s="2" t="str">
        <f>VLOOKUP(ESales_DB[[#This Row],[Customer_ID]],Ecustom_DB[],3,FALSE)</f>
        <v>Rick Dominguez</v>
      </c>
      <c r="O913" s="2" t="str">
        <f>_xlfn.XLOOKUP(ESales_DB[[#This Row],[Product_ID]],Eproduct_DB[Product_ID],Eproduct_DB[Category])</f>
        <v>Electronics</v>
      </c>
      <c r="P913" s="2" t="str">
        <f>_xlfn.XLOOKUP(ESales_DB[[#This Row],[Product_ID]],Eproduct_DB[Product_ID],Eproduct_DB[Product_Name])</f>
        <v>Wireless Bluetooth Speaker</v>
      </c>
      <c r="Q913" s="2" t="str">
        <f>_xlfn.XLOOKUP(ESales_DB[[#This Row],[Store_ID]],Estore_DB[Store_ID],Estore_DB[Region])</f>
        <v>North</v>
      </c>
      <c r="R913" t="str">
        <f>VLOOKUP(ESales_DB[[#This Row],[Customer_ID]],Ecustom_DB[],10,FALSE)</f>
        <v>Platinum</v>
      </c>
      <c r="S913" t="str">
        <f>IF(ESales_DB[[#This Row],[Quantity1]]&gt;3,"Bulk order","Normal order")</f>
        <v>Bulk order</v>
      </c>
    </row>
    <row r="914" spans="1:19" x14ac:dyDescent="0.3">
      <c r="A914" t="s">
        <v>3645</v>
      </c>
      <c r="B914" s="4">
        <v>45323</v>
      </c>
      <c r="C914" s="4" t="str">
        <f>TEXT(ESales_DB[[#This Row],[Order_Date]],"mmm")</f>
        <v>Feb</v>
      </c>
      <c r="D914" t="s">
        <v>571</v>
      </c>
      <c r="E914" t="s">
        <v>1590</v>
      </c>
      <c r="F914" t="s">
        <v>1757</v>
      </c>
      <c r="G914">
        <v>1</v>
      </c>
      <c r="H914" s="10">
        <f>IF(ISBLANK(ESales_DB[[#This Row],[Quantity]]),AVERAGEIF(ESales_DB[Product_ID],ESales_DB[[#This Row],[Product_ID]],ESales_DB[Quantity]),ESales_DB[[#This Row],[Quantity]])</f>
        <v>1</v>
      </c>
      <c r="I914" s="2">
        <v>486.39</v>
      </c>
      <c r="J914">
        <v>0.09</v>
      </c>
      <c r="K914" t="s">
        <v>1829</v>
      </c>
      <c r="L914" s="2">
        <v>442.61489999999998</v>
      </c>
      <c r="M914" s="2" t="str">
        <f>IF(ESales_DB[[#This Row],[Total_Amount]]&gt;1000,"High","Low")</f>
        <v>Low</v>
      </c>
      <c r="N914" s="2" t="str">
        <f>VLOOKUP(ESales_DB[[#This Row],[Customer_ID]],Ecustom_DB[],3,FALSE)</f>
        <v>Thomas Rhodes</v>
      </c>
      <c r="O914" s="2" t="str">
        <f>_xlfn.XLOOKUP(ESales_DB[[#This Row],[Product_ID]],Eproduct_DB[Product_ID],Eproduct_DB[Category])</f>
        <v>Home</v>
      </c>
      <c r="P914" s="2" t="str">
        <f>_xlfn.XLOOKUP(ESales_DB[[#This Row],[Product_ID]],Eproduct_DB[Product_ID],Eproduct_DB[Product_Name])</f>
        <v>Multi-Purpose Storage Box</v>
      </c>
      <c r="Q914" s="2" t="str">
        <f>_xlfn.XLOOKUP(ESales_DB[[#This Row],[Store_ID]],Estore_DB[Store_ID],Estore_DB[Region])</f>
        <v>North</v>
      </c>
      <c r="R914" t="str">
        <f>VLOOKUP(ESales_DB[[#This Row],[Customer_ID]],Ecustom_DB[],10,FALSE)</f>
        <v>Bronze</v>
      </c>
      <c r="S914" t="str">
        <f>IF(ESales_DB[[#This Row],[Quantity1]]&gt;3,"Bulk order","Normal order")</f>
        <v>Normal order</v>
      </c>
    </row>
    <row r="915" spans="1:19" x14ac:dyDescent="0.3">
      <c r="A915" t="s">
        <v>2008</v>
      </c>
      <c r="B915" s="4">
        <v>45753</v>
      </c>
      <c r="C915" s="4" t="str">
        <f>TEXT(ESales_DB[[#This Row],[Order_Date]],"mmm")</f>
        <v>Apr</v>
      </c>
      <c r="D915" t="s">
        <v>1235</v>
      </c>
      <c r="E915" t="s">
        <v>1616</v>
      </c>
      <c r="F915" t="s">
        <v>1752</v>
      </c>
      <c r="G915">
        <v>4</v>
      </c>
      <c r="H915" s="10">
        <f>IF(ISBLANK(ESales_DB[[#This Row],[Quantity]]),AVERAGEIF(ESales_DB[Product_ID],ESales_DB[[#This Row],[Product_ID]],ESales_DB[Quantity]),ESales_DB[[#This Row],[Quantity]])</f>
        <v>4</v>
      </c>
      <c r="I915" s="2">
        <v>741.88</v>
      </c>
      <c r="J915">
        <v>0.02</v>
      </c>
      <c r="K915" t="s">
        <v>1829</v>
      </c>
      <c r="L915" s="2">
        <v>2908.1696000000002</v>
      </c>
      <c r="M915" s="2" t="str">
        <f>IF(ESales_DB[[#This Row],[Total_Amount]]&gt;1000,"High","Low")</f>
        <v>High</v>
      </c>
      <c r="N915" s="2" t="str">
        <f>VLOOKUP(ESales_DB[[#This Row],[Customer_ID]],Ecustom_DB[],3,FALSE)</f>
        <v>Alexander Byrd</v>
      </c>
      <c r="O915" s="2" t="str">
        <f>_xlfn.XLOOKUP(ESales_DB[[#This Row],[Product_ID]],Eproduct_DB[Product_ID],Eproduct_DB[Category])</f>
        <v>Electronics</v>
      </c>
      <c r="P915" s="2" t="str">
        <f>_xlfn.XLOOKUP(ESales_DB[[#This Row],[Product_ID]],Eproduct_DB[Product_ID],Eproduct_DB[Product_Name])</f>
        <v>Gaming Mechanical Keyboard</v>
      </c>
      <c r="Q915" s="2" t="str">
        <f>_xlfn.XLOOKUP(ESales_DB[[#This Row],[Store_ID]],Estore_DB[Store_ID],Estore_DB[Region])</f>
        <v>East</v>
      </c>
      <c r="R915" t="str">
        <f>VLOOKUP(ESales_DB[[#This Row],[Customer_ID]],Ecustom_DB[],10,FALSE)</f>
        <v>Silver</v>
      </c>
      <c r="S915" t="str">
        <f>IF(ESales_DB[[#This Row],[Quantity1]]&gt;3,"Bulk order","Normal order")</f>
        <v>Bulk order</v>
      </c>
    </row>
    <row r="916" spans="1:19" x14ac:dyDescent="0.3">
      <c r="A916" t="s">
        <v>3646</v>
      </c>
      <c r="B916" s="4">
        <v>45312</v>
      </c>
      <c r="C916" s="4" t="str">
        <f>TEXT(ESales_DB[[#This Row],[Order_Date]],"mmm")</f>
        <v>Jan</v>
      </c>
      <c r="D916" t="s">
        <v>172</v>
      </c>
      <c r="E916" t="s">
        <v>1584</v>
      </c>
      <c r="F916" t="s">
        <v>1766</v>
      </c>
      <c r="G916">
        <v>2</v>
      </c>
      <c r="H916" s="10">
        <f>IF(ISBLANK(ESales_DB[[#This Row],[Quantity]]),AVERAGEIF(ESales_DB[Product_ID],ESales_DB[[#This Row],[Product_ID]],ESales_DB[Quantity]),ESales_DB[[#This Row],[Quantity]])</f>
        <v>2</v>
      </c>
      <c r="I916" s="2">
        <v>603.62</v>
      </c>
      <c r="J916">
        <v>0.18</v>
      </c>
      <c r="K916" t="s">
        <v>1829</v>
      </c>
      <c r="L916" s="2">
        <v>989.93680000000006</v>
      </c>
      <c r="M916" s="2" t="str">
        <f>IF(ESales_DB[[#This Row],[Total_Amount]]&gt;1000,"High","Low")</f>
        <v>Low</v>
      </c>
      <c r="N916" s="2" t="str">
        <f>VLOOKUP(ESales_DB[[#This Row],[Customer_ID]],Ecustom_DB[],3,FALSE)</f>
        <v>Denise Williams</v>
      </c>
      <c r="O916" s="2" t="str">
        <f>_xlfn.XLOOKUP(ESales_DB[[#This Row],[Product_ID]],Eproduct_DB[Product_ID],Eproduct_DB[Category])</f>
        <v>Clothing</v>
      </c>
      <c r="P916" s="2" t="str">
        <f>_xlfn.XLOOKUP(ESales_DB[[#This Row],[Product_ID]],Eproduct_DB[Product_ID],Eproduct_DB[Product_Name])</f>
        <v>Women's Denim Jeans</v>
      </c>
      <c r="Q916" s="2" t="str">
        <f>_xlfn.XLOOKUP(ESales_DB[[#This Row],[Store_ID]],Estore_DB[Store_ID],Estore_DB[Region])</f>
        <v>North</v>
      </c>
      <c r="R916" t="str">
        <f>VLOOKUP(ESales_DB[[#This Row],[Customer_ID]],Ecustom_DB[],10,FALSE)</f>
        <v>Bronze</v>
      </c>
      <c r="S916" t="str">
        <f>IF(ESales_DB[[#This Row],[Quantity1]]&gt;3,"Bulk order","Normal order")</f>
        <v>Normal order</v>
      </c>
    </row>
    <row r="917" spans="1:19" x14ac:dyDescent="0.3">
      <c r="A917" t="s">
        <v>3647</v>
      </c>
      <c r="B917" s="4">
        <v>45554</v>
      </c>
      <c r="C917" s="4" t="str">
        <f>TEXT(ESales_DB[[#This Row],[Order_Date]],"mmm")</f>
        <v>Sep</v>
      </c>
      <c r="D917" t="s">
        <v>496</v>
      </c>
      <c r="E917" t="s">
        <v>1622</v>
      </c>
      <c r="F917" t="s">
        <v>1782</v>
      </c>
      <c r="G917">
        <v>3</v>
      </c>
      <c r="H917" s="10">
        <f>IF(ISBLANK(ESales_DB[[#This Row],[Quantity]]),AVERAGEIF(ESales_DB[Product_ID],ESales_DB[[#This Row],[Product_ID]],ESales_DB[Quantity]),ESales_DB[[#This Row],[Quantity]])</f>
        <v>3</v>
      </c>
      <c r="I917" s="2">
        <v>204.17</v>
      </c>
      <c r="J917">
        <v>0.1</v>
      </c>
      <c r="K917" t="s">
        <v>1826</v>
      </c>
      <c r="L917" s="2">
        <v>551.25900000000001</v>
      </c>
      <c r="M917" s="2" t="str">
        <f>IF(ESales_DB[[#This Row],[Total_Amount]]&gt;1000,"High","Low")</f>
        <v>Low</v>
      </c>
      <c r="N917" s="2" t="str">
        <f>VLOOKUP(ESales_DB[[#This Row],[Customer_ID]],Ecustom_DB[],3,FALSE)</f>
        <v>Rhonda Young</v>
      </c>
      <c r="O917" s="2" t="str">
        <f>_xlfn.XLOOKUP(ESales_DB[[#This Row],[Product_ID]],Eproduct_DB[Product_ID],Eproduct_DB[Category])</f>
        <v>Clothing</v>
      </c>
      <c r="P917" s="2" t="str">
        <f>_xlfn.XLOOKUP(ESales_DB[[#This Row],[Product_ID]],Eproduct_DB[Product_ID],Eproduct_DB[Product_Name])</f>
        <v>Men's Casual Sneakers</v>
      </c>
      <c r="Q917" s="2" t="str">
        <f>_xlfn.XLOOKUP(ESales_DB[[#This Row],[Store_ID]],Estore_DB[Store_ID],Estore_DB[Region])</f>
        <v>West</v>
      </c>
      <c r="R917" t="str">
        <f>VLOOKUP(ESales_DB[[#This Row],[Customer_ID]],Ecustom_DB[],10,FALSE)</f>
        <v>Platinum</v>
      </c>
      <c r="S917" t="str">
        <f>IF(ESales_DB[[#This Row],[Quantity1]]&gt;3,"Bulk order","Normal order")</f>
        <v>Normal order</v>
      </c>
    </row>
    <row r="918" spans="1:19" x14ac:dyDescent="0.3">
      <c r="A918" t="s">
        <v>3648</v>
      </c>
      <c r="B918" s="4">
        <v>45310</v>
      </c>
      <c r="C918" s="4" t="str">
        <f>TEXT(ESales_DB[[#This Row],[Order_Date]],"mmm")</f>
        <v>Jan</v>
      </c>
      <c r="D918" t="s">
        <v>467</v>
      </c>
      <c r="E918" t="s">
        <v>1562</v>
      </c>
      <c r="F918" t="s">
        <v>1801</v>
      </c>
      <c r="G918">
        <v>1</v>
      </c>
      <c r="H918" s="10">
        <f>IF(ISBLANK(ESales_DB[[#This Row],[Quantity]]),AVERAGEIF(ESales_DB[Product_ID],ESales_DB[[#This Row],[Product_ID]],ESales_DB[Quantity]),ESales_DB[[#This Row],[Quantity]])</f>
        <v>1</v>
      </c>
      <c r="I918" s="2">
        <v>43.58</v>
      </c>
      <c r="J918">
        <v>0.01</v>
      </c>
      <c r="K918" t="s">
        <v>1829</v>
      </c>
      <c r="L918" s="2">
        <v>43.144199999999998</v>
      </c>
      <c r="M918" s="2" t="str">
        <f>IF(ESales_DB[[#This Row],[Total_Amount]]&gt;1000,"High","Low")</f>
        <v>Low</v>
      </c>
      <c r="N918" s="2" t="str">
        <f>VLOOKUP(ESales_DB[[#This Row],[Customer_ID]],Ecustom_DB[],3,FALSE)</f>
        <v>Rick Dominguez</v>
      </c>
      <c r="O918" s="2" t="str">
        <f>_xlfn.XLOOKUP(ESales_DB[[#This Row],[Product_ID]],Eproduct_DB[Product_ID],Eproduct_DB[Category])</f>
        <v>Electronics</v>
      </c>
      <c r="P918" s="2" t="str">
        <f>_xlfn.XLOOKUP(ESales_DB[[#This Row],[Product_ID]],Eproduct_DB[Product_ID],Eproduct_DB[Product_Name])</f>
        <v>Wireless Bluetooth Earbuds</v>
      </c>
      <c r="Q918" s="2" t="str">
        <f>_xlfn.XLOOKUP(ESales_DB[[#This Row],[Store_ID]],Estore_DB[Store_ID],Estore_DB[Region])</f>
        <v>North</v>
      </c>
      <c r="R918" t="str">
        <f>VLOOKUP(ESales_DB[[#This Row],[Customer_ID]],Ecustom_DB[],10,FALSE)</f>
        <v>Platinum</v>
      </c>
      <c r="S918" t="str">
        <f>IF(ESales_DB[[#This Row],[Quantity1]]&gt;3,"Bulk order","Normal order")</f>
        <v>Normal order</v>
      </c>
    </row>
    <row r="919" spans="1:19" x14ac:dyDescent="0.3">
      <c r="A919" t="s">
        <v>3649</v>
      </c>
      <c r="B919" s="4">
        <v>45594</v>
      </c>
      <c r="C919" s="4" t="str">
        <f>TEXT(ESales_DB[[#This Row],[Order_Date]],"mmm")</f>
        <v>Oct</v>
      </c>
      <c r="D919" t="s">
        <v>1044</v>
      </c>
      <c r="E919" t="s">
        <v>1642</v>
      </c>
      <c r="F919" t="s">
        <v>1761</v>
      </c>
      <c r="G919">
        <v>3</v>
      </c>
      <c r="H919" s="10">
        <f>IF(ISBLANK(ESales_DB[[#This Row],[Quantity]]),AVERAGEIF(ESales_DB[Product_ID],ESales_DB[[#This Row],[Product_ID]],ESales_DB[Quantity]),ESales_DB[[#This Row],[Quantity]])</f>
        <v>3</v>
      </c>
      <c r="I919" s="2">
        <v>469.33</v>
      </c>
      <c r="J919">
        <v>0.14000000000000001</v>
      </c>
      <c r="K919" t="s">
        <v>1826</v>
      </c>
      <c r="L919" s="2">
        <v>1210.8714</v>
      </c>
      <c r="M919" s="2" t="str">
        <f>IF(ESales_DB[[#This Row],[Total_Amount]]&gt;1000,"High","Low")</f>
        <v>High</v>
      </c>
      <c r="N919" s="2" t="str">
        <f>VLOOKUP(ESales_DB[[#This Row],[Customer_ID]],Ecustom_DB[],3,FALSE)</f>
        <v>Dr. Lindsay Hanna</v>
      </c>
      <c r="O919" s="2" t="str">
        <f>_xlfn.XLOOKUP(ESales_DB[[#This Row],[Product_ID]],Eproduct_DB[Product_ID],Eproduct_DB[Category])</f>
        <v>Beauty</v>
      </c>
      <c r="P919" s="2" t="str">
        <f>_xlfn.XLOOKUP(ESales_DB[[#This Row],[Product_ID]],Eproduct_DB[Product_ID],Eproduct_DB[Product_Name])</f>
        <v>Makeup Brush Set</v>
      </c>
      <c r="Q919" s="2" t="str">
        <f>_xlfn.XLOOKUP(ESales_DB[[#This Row],[Store_ID]],Estore_DB[Store_ID],Estore_DB[Region])</f>
        <v>South</v>
      </c>
      <c r="R919" t="str">
        <f>VLOOKUP(ESales_DB[[#This Row],[Customer_ID]],Ecustom_DB[],10,FALSE)</f>
        <v>Bronze</v>
      </c>
      <c r="S919" t="str">
        <f>IF(ESales_DB[[#This Row],[Quantity1]]&gt;3,"Bulk order","Normal order")</f>
        <v>Normal order</v>
      </c>
    </row>
    <row r="920" spans="1:19" x14ac:dyDescent="0.3">
      <c r="A920" t="s">
        <v>3650</v>
      </c>
      <c r="B920" s="4">
        <v>45840</v>
      </c>
      <c r="C920" s="4" t="str">
        <f>TEXT(ESales_DB[[#This Row],[Order_Date]],"mmm")</f>
        <v>Jul</v>
      </c>
      <c r="D920" t="s">
        <v>681</v>
      </c>
      <c r="E920" t="s">
        <v>1562</v>
      </c>
      <c r="F920" t="s">
        <v>1782</v>
      </c>
      <c r="G920">
        <v>4</v>
      </c>
      <c r="H920" s="10">
        <f>IF(ISBLANK(ESales_DB[[#This Row],[Quantity]]),AVERAGEIF(ESales_DB[Product_ID],ESales_DB[[#This Row],[Product_ID]],ESales_DB[Quantity]),ESales_DB[[#This Row],[Quantity]])</f>
        <v>4</v>
      </c>
      <c r="I920" s="2">
        <v>836.23</v>
      </c>
      <c r="J920">
        <v>0.12</v>
      </c>
      <c r="K920" t="s">
        <v>1824</v>
      </c>
      <c r="L920" s="2">
        <v>2943.5295999999998</v>
      </c>
      <c r="M920" s="2" t="str">
        <f>IF(ESales_DB[[#This Row],[Total_Amount]]&gt;1000,"High","Low")</f>
        <v>High</v>
      </c>
      <c r="N920" s="2" t="str">
        <f>VLOOKUP(ESales_DB[[#This Row],[Customer_ID]],Ecustom_DB[],3,FALSE)</f>
        <v>Joan Johnson</v>
      </c>
      <c r="O920" s="2" t="str">
        <f>_xlfn.XLOOKUP(ESales_DB[[#This Row],[Product_ID]],Eproduct_DB[Product_ID],Eproduct_DB[Category])</f>
        <v>Electronics</v>
      </c>
      <c r="P920" s="2" t="str">
        <f>_xlfn.XLOOKUP(ESales_DB[[#This Row],[Product_ID]],Eproduct_DB[Product_ID],Eproduct_DB[Product_Name])</f>
        <v>Wireless Bluetooth Earbuds</v>
      </c>
      <c r="Q920" s="2" t="str">
        <f>_xlfn.XLOOKUP(ESales_DB[[#This Row],[Store_ID]],Estore_DB[Store_ID],Estore_DB[Region])</f>
        <v>West</v>
      </c>
      <c r="R920" t="str">
        <f>VLOOKUP(ESales_DB[[#This Row],[Customer_ID]],Ecustom_DB[],10,FALSE)</f>
        <v>Platinum</v>
      </c>
      <c r="S920" t="str">
        <f>IF(ESales_DB[[#This Row],[Quantity1]]&gt;3,"Bulk order","Normal order")</f>
        <v>Bulk order</v>
      </c>
    </row>
    <row r="921" spans="1:19" x14ac:dyDescent="0.3">
      <c r="A921" t="s">
        <v>3651</v>
      </c>
      <c r="B921" s="4">
        <v>45549</v>
      </c>
      <c r="C921" s="4" t="str">
        <f>TEXT(ESales_DB[[#This Row],[Order_Date]],"mmm")</f>
        <v>Sep</v>
      </c>
      <c r="D921" t="s">
        <v>589</v>
      </c>
      <c r="E921" t="s">
        <v>1682</v>
      </c>
      <c r="F921" t="s">
        <v>1813</v>
      </c>
      <c r="G921">
        <v>2</v>
      </c>
      <c r="H921" s="10">
        <f>IF(ISBLANK(ESales_DB[[#This Row],[Quantity]]),AVERAGEIF(ESales_DB[Product_ID],ESales_DB[[#This Row],[Product_ID]],ESales_DB[Quantity]),ESales_DB[[#This Row],[Quantity]])</f>
        <v>2</v>
      </c>
      <c r="I921" s="2">
        <v>661.53</v>
      </c>
      <c r="J921">
        <v>0.2</v>
      </c>
      <c r="K921" t="s">
        <v>1826</v>
      </c>
      <c r="L921" s="2">
        <v>1058.4480000000001</v>
      </c>
      <c r="M921" s="2" t="str">
        <f>IF(ESales_DB[[#This Row],[Total_Amount]]&gt;1000,"High","Low")</f>
        <v>High</v>
      </c>
      <c r="N921" s="2" t="str">
        <f>VLOOKUP(ESales_DB[[#This Row],[Customer_ID]],Ecustom_DB[],3,FALSE)</f>
        <v>Michelle Myers</v>
      </c>
      <c r="O921" s="2" t="str">
        <f>_xlfn.XLOOKUP(ESales_DB[[#This Row],[Product_ID]],Eproduct_DB[Product_ID],Eproduct_DB[Category])</f>
        <v>Electronics</v>
      </c>
      <c r="P921" s="2" t="str">
        <f>_xlfn.XLOOKUP(ESales_DB[[#This Row],[Product_ID]],Eproduct_DB[Product_ID],Eproduct_DB[Product_Name])</f>
        <v>Smart LED Light Strip</v>
      </c>
      <c r="Q921" s="2" t="str">
        <f>_xlfn.XLOOKUP(ESales_DB[[#This Row],[Store_ID]],Estore_DB[Store_ID],Estore_DB[Region])</f>
        <v>East</v>
      </c>
      <c r="R921" t="str">
        <f>VLOOKUP(ESales_DB[[#This Row],[Customer_ID]],Ecustom_DB[],10,FALSE)</f>
        <v>Bronze</v>
      </c>
      <c r="S921" t="str">
        <f>IF(ESales_DB[[#This Row],[Quantity1]]&gt;3,"Bulk order","Normal order")</f>
        <v>Normal order</v>
      </c>
    </row>
    <row r="922" spans="1:19" x14ac:dyDescent="0.3">
      <c r="A922" t="s">
        <v>3652</v>
      </c>
      <c r="B922" s="4">
        <v>45903</v>
      </c>
      <c r="C922" s="4" t="str">
        <f>TEXT(ESales_DB[[#This Row],[Order_Date]],"mmm")</f>
        <v>Sep</v>
      </c>
      <c r="D922" t="s">
        <v>411</v>
      </c>
      <c r="E922" t="s">
        <v>1660</v>
      </c>
      <c r="F922" t="s">
        <v>1804</v>
      </c>
      <c r="G922">
        <v>3</v>
      </c>
      <c r="H922" s="10">
        <f>IF(ISBLANK(ESales_DB[[#This Row],[Quantity]]),AVERAGEIF(ESales_DB[Product_ID],ESales_DB[[#This Row],[Product_ID]],ESales_DB[Quantity]),ESales_DB[[#This Row],[Quantity]])</f>
        <v>3</v>
      </c>
      <c r="I922" s="2">
        <v>753.47</v>
      </c>
      <c r="J922">
        <v>0.25</v>
      </c>
      <c r="K922" t="s">
        <v>1826</v>
      </c>
      <c r="L922" s="2">
        <v>1695.3074999999999</v>
      </c>
      <c r="M922" s="2" t="str">
        <f>IF(ESales_DB[[#This Row],[Total_Amount]]&gt;1000,"High","Low")</f>
        <v>High</v>
      </c>
      <c r="N922" s="2" t="str">
        <f>VLOOKUP(ESales_DB[[#This Row],[Customer_ID]],Ecustom_DB[],3,FALSE)</f>
        <v>Earl Allen</v>
      </c>
      <c r="O922" s="2" t="str">
        <f>_xlfn.XLOOKUP(ESales_DB[[#This Row],[Product_ID]],Eproduct_DB[Product_ID],Eproduct_DB[Category])</f>
        <v>Home</v>
      </c>
      <c r="P922" s="2" t="str">
        <f>_xlfn.XLOOKUP(ESales_DB[[#This Row],[Product_ID]],Eproduct_DB[Product_ID],Eproduct_DB[Product_Name])</f>
        <v>Premium Blanket Throw</v>
      </c>
      <c r="Q922" s="2" t="str">
        <f>_xlfn.XLOOKUP(ESales_DB[[#This Row],[Store_ID]],Estore_DB[Store_ID],Estore_DB[Region])</f>
        <v>West</v>
      </c>
      <c r="R922" t="str">
        <f>VLOOKUP(ESales_DB[[#This Row],[Customer_ID]],Ecustom_DB[],10,FALSE)</f>
        <v>Platinum</v>
      </c>
      <c r="S922" t="str">
        <f>IF(ESales_DB[[#This Row],[Quantity1]]&gt;3,"Bulk order","Normal order")</f>
        <v>Normal order</v>
      </c>
    </row>
    <row r="923" spans="1:19" x14ac:dyDescent="0.3">
      <c r="A923" t="s">
        <v>3653</v>
      </c>
      <c r="B923" s="4">
        <v>45673</v>
      </c>
      <c r="C923" s="4" t="str">
        <f>TEXT(ESales_DB[[#This Row],[Order_Date]],"mmm")</f>
        <v>Jan</v>
      </c>
      <c r="D923" t="s">
        <v>523</v>
      </c>
      <c r="E923" t="s">
        <v>1676</v>
      </c>
      <c r="F923" t="s">
        <v>1752</v>
      </c>
      <c r="G923">
        <v>3</v>
      </c>
      <c r="H923" s="10">
        <f>IF(ISBLANK(ESales_DB[[#This Row],[Quantity]]),AVERAGEIF(ESales_DB[Product_ID],ESales_DB[[#This Row],[Product_ID]],ESales_DB[Quantity]),ESales_DB[[#This Row],[Quantity]])</f>
        <v>3</v>
      </c>
      <c r="I923" s="2">
        <v>713.95</v>
      </c>
      <c r="J923">
        <v>0</v>
      </c>
      <c r="K923" t="s">
        <v>1824</v>
      </c>
      <c r="L923" s="2">
        <v>2141.85</v>
      </c>
      <c r="M923" s="2" t="str">
        <f>IF(ESales_DB[[#This Row],[Total_Amount]]&gt;1000,"High","Low")</f>
        <v>High</v>
      </c>
      <c r="N923" s="2" t="str">
        <f>VLOOKUP(ESales_DB[[#This Row],[Customer_ID]],Ecustom_DB[],3,FALSE)</f>
        <v>Maria Sanchez</v>
      </c>
      <c r="O923" s="2" t="str">
        <f>_xlfn.XLOOKUP(ESales_DB[[#This Row],[Product_ID]],Eproduct_DB[Product_ID],Eproduct_DB[Category])</f>
        <v>Beauty</v>
      </c>
      <c r="P923" s="2" t="str">
        <f>_xlfn.XLOOKUP(ESales_DB[[#This Row],[Product_ID]],Eproduct_DB[Product_ID],Eproduct_DB[Product_Name])</f>
        <v>Matte Lipstick Set</v>
      </c>
      <c r="Q923" s="2" t="str">
        <f>_xlfn.XLOOKUP(ESales_DB[[#This Row],[Store_ID]],Estore_DB[Store_ID],Estore_DB[Region])</f>
        <v>East</v>
      </c>
      <c r="R923" t="str">
        <f>VLOOKUP(ESales_DB[[#This Row],[Customer_ID]],Ecustom_DB[],10,FALSE)</f>
        <v>Bronze</v>
      </c>
      <c r="S923" t="str">
        <f>IF(ESales_DB[[#This Row],[Quantity1]]&gt;3,"Bulk order","Normal order")</f>
        <v>Normal order</v>
      </c>
    </row>
    <row r="924" spans="1:19" x14ac:dyDescent="0.3">
      <c r="A924" t="s">
        <v>3654</v>
      </c>
      <c r="B924" s="4">
        <v>45395</v>
      </c>
      <c r="C924" s="4" t="str">
        <f>TEXT(ESales_DB[[#This Row],[Order_Date]],"mmm")</f>
        <v>Apr</v>
      </c>
      <c r="D924" t="s">
        <v>353</v>
      </c>
      <c r="E924" t="s">
        <v>1570</v>
      </c>
      <c r="F924" t="s">
        <v>1773</v>
      </c>
      <c r="G924">
        <v>3</v>
      </c>
      <c r="H924" s="10">
        <f>IF(ISBLANK(ESales_DB[[#This Row],[Quantity]]),AVERAGEIF(ESales_DB[Product_ID],ESales_DB[[#This Row],[Product_ID]],ESales_DB[Quantity]),ESales_DB[[#This Row],[Quantity]])</f>
        <v>3</v>
      </c>
      <c r="I924" s="2">
        <v>596</v>
      </c>
      <c r="J924">
        <v>0.28000000000000003</v>
      </c>
      <c r="K924" t="s">
        <v>1829</v>
      </c>
      <c r="L924" s="2">
        <v>1287.3599999999999</v>
      </c>
      <c r="M924" s="2" t="str">
        <f>IF(ESales_DB[[#This Row],[Total_Amount]]&gt;1000,"High","Low")</f>
        <v>High</v>
      </c>
      <c r="N924" s="2" t="str">
        <f>VLOOKUP(ESales_DB[[#This Row],[Customer_ID]],Ecustom_DB[],3,FALSE)</f>
        <v>Sheila Wilson</v>
      </c>
      <c r="O924" s="2" t="str">
        <f>_xlfn.XLOOKUP(ESales_DB[[#This Row],[Product_ID]],Eproduct_DB[Product_ID],Eproduct_DB[Category])</f>
        <v>Electronics</v>
      </c>
      <c r="P924" s="2" t="str">
        <f>_xlfn.XLOOKUP(ESales_DB[[#This Row],[Product_ID]],Eproduct_DB[Product_ID],Eproduct_DB[Product_Name])</f>
        <v>HD Smart TV Stick</v>
      </c>
      <c r="Q924" s="2" t="str">
        <f>_xlfn.XLOOKUP(ESales_DB[[#This Row],[Store_ID]],Estore_DB[Store_ID],Estore_DB[Region])</f>
        <v>North</v>
      </c>
      <c r="R924" t="str">
        <f>VLOOKUP(ESales_DB[[#This Row],[Customer_ID]],Ecustom_DB[],10,FALSE)</f>
        <v>Silver</v>
      </c>
      <c r="S924" t="str">
        <f>IF(ESales_DB[[#This Row],[Quantity1]]&gt;3,"Bulk order","Normal order")</f>
        <v>Normal order</v>
      </c>
    </row>
    <row r="925" spans="1:19" x14ac:dyDescent="0.3">
      <c r="A925" t="s">
        <v>3655</v>
      </c>
      <c r="B925" s="4">
        <v>45379</v>
      </c>
      <c r="C925" s="4" t="str">
        <f>TEXT(ESales_DB[[#This Row],[Order_Date]],"mmm")</f>
        <v>Mar</v>
      </c>
      <c r="D925" t="s">
        <v>1050</v>
      </c>
      <c r="E925" t="s">
        <v>1565</v>
      </c>
      <c r="F925" t="s">
        <v>1786</v>
      </c>
      <c r="G925">
        <v>2</v>
      </c>
      <c r="H925" s="10">
        <f>IF(ISBLANK(ESales_DB[[#This Row],[Quantity]]),AVERAGEIF(ESales_DB[Product_ID],ESales_DB[[#This Row],[Product_ID]],ESales_DB[Quantity]),ESales_DB[[#This Row],[Quantity]])</f>
        <v>2</v>
      </c>
      <c r="I925" s="2">
        <v>169.46</v>
      </c>
      <c r="J925">
        <v>0.03</v>
      </c>
      <c r="K925" t="s">
        <v>1826</v>
      </c>
      <c r="L925" s="2">
        <v>328.75240000000002</v>
      </c>
      <c r="M925" s="2" t="str">
        <f>IF(ESales_DB[[#This Row],[Total_Amount]]&gt;1000,"High","Low")</f>
        <v>Low</v>
      </c>
      <c r="N925" s="2" t="str">
        <f>VLOOKUP(ESales_DB[[#This Row],[Customer_ID]],Ecustom_DB[],3,FALSE)</f>
        <v>Mr. Christopher Sims</v>
      </c>
      <c r="O925" s="2" t="str">
        <f>_xlfn.XLOOKUP(ESales_DB[[#This Row],[Product_ID]],Eproduct_DB[Product_ID],Eproduct_DB[Category])</f>
        <v>Sports</v>
      </c>
      <c r="P925" s="2" t="str">
        <f>_xlfn.XLOOKUP(ESales_DB[[#This Row],[Product_ID]],Eproduct_DB[Product_ID],Eproduct_DB[Product_Name])</f>
        <v>Adjustable Dumbbell Set</v>
      </c>
      <c r="Q925" s="2" t="str">
        <f>_xlfn.XLOOKUP(ESales_DB[[#This Row],[Store_ID]],Estore_DB[Store_ID],Estore_DB[Region])</f>
        <v>South</v>
      </c>
      <c r="R925" t="str">
        <f>VLOOKUP(ESales_DB[[#This Row],[Customer_ID]],Ecustom_DB[],10,FALSE)</f>
        <v>Silver</v>
      </c>
      <c r="S925" t="str">
        <f>IF(ESales_DB[[#This Row],[Quantity1]]&gt;3,"Bulk order","Normal order")</f>
        <v>Normal order</v>
      </c>
    </row>
    <row r="926" spans="1:19" x14ac:dyDescent="0.3">
      <c r="A926" t="s">
        <v>2009</v>
      </c>
      <c r="B926" s="4">
        <v>45594</v>
      </c>
      <c r="C926" s="4" t="str">
        <f>TEXT(ESales_DB[[#This Row],[Order_Date]],"mmm")</f>
        <v>Oct</v>
      </c>
      <c r="D926" t="s">
        <v>134</v>
      </c>
      <c r="E926" t="s">
        <v>1640</v>
      </c>
      <c r="F926" t="s">
        <v>1766</v>
      </c>
      <c r="G926">
        <v>1</v>
      </c>
      <c r="H926" s="10">
        <f>IF(ISBLANK(ESales_DB[[#This Row],[Quantity]]),AVERAGEIF(ESales_DB[Product_ID],ESales_DB[[#This Row],[Product_ID]],ESales_DB[Quantity]),ESales_DB[[#This Row],[Quantity]])</f>
        <v>1</v>
      </c>
      <c r="I926" s="2">
        <v>547.09</v>
      </c>
      <c r="J926">
        <v>0.01</v>
      </c>
      <c r="K926" t="s">
        <v>1826</v>
      </c>
      <c r="L926" s="2">
        <v>541.6191</v>
      </c>
      <c r="M926" s="2" t="str">
        <f>IF(ESales_DB[[#This Row],[Total_Amount]]&gt;1000,"High","Low")</f>
        <v>Low</v>
      </c>
      <c r="N926" s="2" t="str">
        <f>VLOOKUP(ESales_DB[[#This Row],[Customer_ID]],Ecustom_DB[],3,FALSE)</f>
        <v>Robert Jones Dds</v>
      </c>
      <c r="O926" s="2" t="str">
        <f>_xlfn.XLOOKUP(ESales_DB[[#This Row],[Product_ID]],Eproduct_DB[Product_ID],Eproduct_DB[Category])</f>
        <v>Clothing</v>
      </c>
      <c r="P926" s="2" t="str">
        <f>_xlfn.XLOOKUP(ESales_DB[[#This Row],[Product_ID]],Eproduct_DB[Product_ID],Eproduct_DB[Product_Name])</f>
        <v>Men's Winter Jacket</v>
      </c>
      <c r="Q926" s="2" t="str">
        <f>_xlfn.XLOOKUP(ESales_DB[[#This Row],[Store_ID]],Estore_DB[Store_ID],Estore_DB[Region])</f>
        <v>North</v>
      </c>
      <c r="R926" t="str">
        <f>VLOOKUP(ESales_DB[[#This Row],[Customer_ID]],Ecustom_DB[],10,FALSE)</f>
        <v>Platinum</v>
      </c>
      <c r="S926" t="str">
        <f>IF(ESales_DB[[#This Row],[Quantity1]]&gt;3,"Bulk order","Normal order")</f>
        <v>Normal order</v>
      </c>
    </row>
    <row r="927" spans="1:19" x14ac:dyDescent="0.3">
      <c r="A927" t="s">
        <v>3656</v>
      </c>
      <c r="B927" s="4">
        <v>45860</v>
      </c>
      <c r="C927" s="4" t="str">
        <f>TEXT(ESales_DB[[#This Row],[Order_Date]],"mmm")</f>
        <v>Jul</v>
      </c>
      <c r="D927" t="s">
        <v>948</v>
      </c>
      <c r="E927" t="s">
        <v>1678</v>
      </c>
      <c r="F927" t="s">
        <v>1799</v>
      </c>
      <c r="G927">
        <v>4</v>
      </c>
      <c r="H927" s="10">
        <f>IF(ISBLANK(ESales_DB[[#This Row],[Quantity]]),AVERAGEIF(ESales_DB[Product_ID],ESales_DB[[#This Row],[Product_ID]],ESales_DB[Quantity]),ESales_DB[[#This Row],[Quantity]])</f>
        <v>4</v>
      </c>
      <c r="I927" s="2">
        <v>611.91999999999996</v>
      </c>
      <c r="J927">
        <v>0.2</v>
      </c>
      <c r="K927" t="s">
        <v>1826</v>
      </c>
      <c r="L927" s="2">
        <v>1958.144</v>
      </c>
      <c r="M927" s="2" t="str">
        <f>IF(ESales_DB[[#This Row],[Total_Amount]]&gt;1000,"High","Low")</f>
        <v>High</v>
      </c>
      <c r="N927" s="2" t="str">
        <f>VLOOKUP(ESales_DB[[#This Row],[Customer_ID]],Ecustom_DB[],3,FALSE)</f>
        <v>Matthew Avery</v>
      </c>
      <c r="O927" s="2" t="str">
        <f>_xlfn.XLOOKUP(ESales_DB[[#This Row],[Product_ID]],Eproduct_DB[Product_ID],Eproduct_DB[Category])</f>
        <v>Sports</v>
      </c>
      <c r="P927" s="2" t="str">
        <f>_xlfn.XLOOKUP(ESales_DB[[#This Row],[Product_ID]],Eproduct_DB[Product_ID],Eproduct_DB[Product_Name])</f>
        <v>Adjustable Dumbbells 20kg</v>
      </c>
      <c r="Q927" s="2" t="str">
        <f>_xlfn.XLOOKUP(ESales_DB[[#This Row],[Store_ID]],Estore_DB[Store_ID],Estore_DB[Region])</f>
        <v>South</v>
      </c>
      <c r="R927" t="str">
        <f>VLOOKUP(ESales_DB[[#This Row],[Customer_ID]],Ecustom_DB[],10,FALSE)</f>
        <v>Silver</v>
      </c>
      <c r="S927" t="str">
        <f>IF(ESales_DB[[#This Row],[Quantity1]]&gt;3,"Bulk order","Normal order")</f>
        <v>Bulk order</v>
      </c>
    </row>
    <row r="928" spans="1:19" x14ac:dyDescent="0.3">
      <c r="A928" t="s">
        <v>3657</v>
      </c>
      <c r="B928" s="4">
        <v>45704</v>
      </c>
      <c r="C928" s="4" t="str">
        <f>TEXT(ESales_DB[[#This Row],[Order_Date]],"mmm")</f>
        <v>Feb</v>
      </c>
      <c r="D928" t="s">
        <v>23</v>
      </c>
      <c r="E928" t="s">
        <v>1696</v>
      </c>
      <c r="F928" t="s">
        <v>1801</v>
      </c>
      <c r="G928">
        <v>2</v>
      </c>
      <c r="H928" s="10">
        <f>IF(ISBLANK(ESales_DB[[#This Row],[Quantity]]),AVERAGEIF(ESales_DB[Product_ID],ESales_DB[[#This Row],[Product_ID]],ESales_DB[Quantity]),ESales_DB[[#This Row],[Quantity]])</f>
        <v>2</v>
      </c>
      <c r="I928" s="2">
        <v>25.3</v>
      </c>
      <c r="J928">
        <v>0.21</v>
      </c>
      <c r="K928" t="s">
        <v>1824</v>
      </c>
      <c r="L928" s="2">
        <v>39.973999999999997</v>
      </c>
      <c r="M928" s="2" t="str">
        <f>IF(ESales_DB[[#This Row],[Total_Amount]]&gt;1000,"High","Low")</f>
        <v>Low</v>
      </c>
      <c r="N928" s="2" t="str">
        <f>VLOOKUP(ESales_DB[[#This Row],[Customer_ID]],Ecustom_DB[],3,FALSE)</f>
        <v>Jeremy Harris</v>
      </c>
      <c r="O928" s="2" t="str">
        <f>_xlfn.XLOOKUP(ESales_DB[[#This Row],[Product_ID]],Eproduct_DB[Product_ID],Eproduct_DB[Category])</f>
        <v>Electronics</v>
      </c>
      <c r="P928" s="2" t="str">
        <f>_xlfn.XLOOKUP(ESales_DB[[#This Row],[Product_ID]],Eproduct_DB[Product_ID],Eproduct_DB[Product_Name])</f>
        <v>Bluetooth Car Audio System</v>
      </c>
      <c r="Q928" s="2" t="str">
        <f>_xlfn.XLOOKUP(ESales_DB[[#This Row],[Store_ID]],Estore_DB[Store_ID],Estore_DB[Region])</f>
        <v>North</v>
      </c>
      <c r="R928" t="str">
        <f>VLOOKUP(ESales_DB[[#This Row],[Customer_ID]],Ecustom_DB[],10,FALSE)</f>
        <v>Bronze</v>
      </c>
      <c r="S928" t="str">
        <f>IF(ESales_DB[[#This Row],[Quantity1]]&gt;3,"Bulk order","Normal order")</f>
        <v>Normal order</v>
      </c>
    </row>
    <row r="929" spans="1:19" x14ac:dyDescent="0.3">
      <c r="A929" t="s">
        <v>3658</v>
      </c>
      <c r="B929" s="4">
        <v>45327</v>
      </c>
      <c r="C929" s="4" t="str">
        <f>TEXT(ESales_DB[[#This Row],[Order_Date]],"mmm")</f>
        <v>Feb</v>
      </c>
      <c r="D929" t="s">
        <v>1343</v>
      </c>
      <c r="E929" t="s">
        <v>1694</v>
      </c>
      <c r="F929" t="s">
        <v>1789</v>
      </c>
      <c r="G929">
        <v>4</v>
      </c>
      <c r="H929" s="10">
        <f>IF(ISBLANK(ESales_DB[[#This Row],[Quantity]]),AVERAGEIF(ESales_DB[Product_ID],ESales_DB[[#This Row],[Product_ID]],ESales_DB[Quantity]),ESales_DB[[#This Row],[Quantity]])</f>
        <v>4</v>
      </c>
      <c r="I929" s="2">
        <v>166.93</v>
      </c>
      <c r="J929">
        <v>0.02</v>
      </c>
      <c r="K929" t="s">
        <v>1826</v>
      </c>
      <c r="L929" s="2">
        <v>654.36559999999997</v>
      </c>
      <c r="M929" s="2" t="str">
        <f>IF(ESales_DB[[#This Row],[Total_Amount]]&gt;1000,"High","Low")</f>
        <v>Low</v>
      </c>
      <c r="N929" s="2" t="str">
        <f>VLOOKUP(ESales_DB[[#This Row],[Customer_ID]],Ecustom_DB[],3,FALSE)</f>
        <v>Thomas Moore</v>
      </c>
      <c r="O929" s="2" t="str">
        <f>_xlfn.XLOOKUP(ESales_DB[[#This Row],[Product_ID]],Eproduct_DB[Product_ID],Eproduct_DB[Category])</f>
        <v>Sports</v>
      </c>
      <c r="P929" s="2" t="str">
        <f>_xlfn.XLOOKUP(ESales_DB[[#This Row],[Product_ID]],Eproduct_DB[Product_ID],Eproduct_DB[Product_Name])</f>
        <v>Shin Guards – Adult</v>
      </c>
      <c r="Q929" s="2" t="str">
        <f>_xlfn.XLOOKUP(ESales_DB[[#This Row],[Store_ID]],Estore_DB[Store_ID],Estore_DB[Region])</f>
        <v>East</v>
      </c>
      <c r="R929" t="str">
        <f>VLOOKUP(ESales_DB[[#This Row],[Customer_ID]],Ecustom_DB[],10,FALSE)</f>
        <v>Silver</v>
      </c>
      <c r="S929" t="str">
        <f>IF(ESales_DB[[#This Row],[Quantity1]]&gt;3,"Bulk order","Normal order")</f>
        <v>Bulk order</v>
      </c>
    </row>
    <row r="930" spans="1:19" x14ac:dyDescent="0.3">
      <c r="A930" t="s">
        <v>3659</v>
      </c>
      <c r="B930" s="4">
        <v>45721</v>
      </c>
      <c r="C930" s="4" t="str">
        <f>TEXT(ESales_DB[[#This Row],[Order_Date]],"mmm")</f>
        <v>Mar</v>
      </c>
      <c r="D930" t="s">
        <v>890</v>
      </c>
      <c r="E930" t="s">
        <v>1668</v>
      </c>
      <c r="F930" t="s">
        <v>1792</v>
      </c>
      <c r="G930">
        <v>4</v>
      </c>
      <c r="H930" s="10">
        <f>IF(ISBLANK(ESales_DB[[#This Row],[Quantity]]),AVERAGEIF(ESales_DB[Product_ID],ESales_DB[[#This Row],[Product_ID]],ESales_DB[Quantity]),ESales_DB[[#This Row],[Quantity]])</f>
        <v>4</v>
      </c>
      <c r="I930" s="2">
        <v>861.55</v>
      </c>
      <c r="J930">
        <v>0.12</v>
      </c>
      <c r="K930" t="s">
        <v>1824</v>
      </c>
      <c r="L930" s="2">
        <v>3032.6559999999999</v>
      </c>
      <c r="M930" s="2" t="str">
        <f>IF(ESales_DB[[#This Row],[Total_Amount]]&gt;1000,"High","Low")</f>
        <v>High</v>
      </c>
      <c r="N930" s="2" t="str">
        <f>VLOOKUP(ESales_DB[[#This Row],[Customer_ID]],Ecustom_DB[],3,FALSE)</f>
        <v>Antonio Leon</v>
      </c>
      <c r="O930" s="2" t="str">
        <f>_xlfn.XLOOKUP(ESales_DB[[#This Row],[Product_ID]],Eproduct_DB[Product_ID],Eproduct_DB[Category])</f>
        <v>Beauty</v>
      </c>
      <c r="P930" s="2" t="str">
        <f>_xlfn.XLOOKUP(ESales_DB[[#This Row],[Product_ID]],Eproduct_DB[Product_ID],Eproduct_DB[Product_Name])</f>
        <v>Luxury Perfume Spray</v>
      </c>
      <c r="Q930" s="2" t="str">
        <f>_xlfn.XLOOKUP(ESales_DB[[#This Row],[Store_ID]],Estore_DB[Store_ID],Estore_DB[Region])</f>
        <v>South</v>
      </c>
      <c r="R930" t="str">
        <f>VLOOKUP(ESales_DB[[#This Row],[Customer_ID]],Ecustom_DB[],10,FALSE)</f>
        <v>Bronze</v>
      </c>
      <c r="S930" t="str">
        <f>IF(ESales_DB[[#This Row],[Quantity1]]&gt;3,"Bulk order","Normal order")</f>
        <v>Bulk order</v>
      </c>
    </row>
    <row r="931" spans="1:19" x14ac:dyDescent="0.3">
      <c r="A931" t="s">
        <v>3660</v>
      </c>
      <c r="B931" s="4">
        <v>45842</v>
      </c>
      <c r="C931" s="4" t="str">
        <f>TEXT(ESales_DB[[#This Row],[Order_Date]],"mmm")</f>
        <v>Jul</v>
      </c>
      <c r="D931" t="s">
        <v>1127</v>
      </c>
      <c r="E931" t="s">
        <v>1634</v>
      </c>
      <c r="F931" t="s">
        <v>1773</v>
      </c>
      <c r="G931">
        <v>3</v>
      </c>
      <c r="H931" s="10">
        <f>IF(ISBLANK(ESales_DB[[#This Row],[Quantity]]),AVERAGEIF(ESales_DB[Product_ID],ESales_DB[[#This Row],[Product_ID]],ESales_DB[Quantity]),ESales_DB[[#This Row],[Quantity]])</f>
        <v>3</v>
      </c>
      <c r="I931" s="2">
        <v>56.17</v>
      </c>
      <c r="J931">
        <v>0.01</v>
      </c>
      <c r="K931" t="s">
        <v>1829</v>
      </c>
      <c r="L931" s="2">
        <v>166.82490000000001</v>
      </c>
      <c r="M931" s="2" t="str">
        <f>IF(ESales_DB[[#This Row],[Total_Amount]]&gt;1000,"High","Low")</f>
        <v>Low</v>
      </c>
      <c r="N931" s="2" t="str">
        <f>VLOOKUP(ESales_DB[[#This Row],[Customer_ID]],Ecustom_DB[],3,FALSE)</f>
        <v>Denise Tate</v>
      </c>
      <c r="O931" s="2" t="str">
        <f>_xlfn.XLOOKUP(ESales_DB[[#This Row],[Product_ID]],Eproduct_DB[Product_ID],Eproduct_DB[Category])</f>
        <v>Electronics</v>
      </c>
      <c r="P931" s="2" t="str">
        <f>_xlfn.XLOOKUP(ESales_DB[[#This Row],[Product_ID]],Eproduct_DB[Product_ID],Eproduct_DB[Product_Name])</f>
        <v>USB External Hard Drive</v>
      </c>
      <c r="Q931" s="2" t="str">
        <f>_xlfn.XLOOKUP(ESales_DB[[#This Row],[Store_ID]],Estore_DB[Store_ID],Estore_DB[Region])</f>
        <v>North</v>
      </c>
      <c r="R931" t="str">
        <f>VLOOKUP(ESales_DB[[#This Row],[Customer_ID]],Ecustom_DB[],10,FALSE)</f>
        <v>Platinum</v>
      </c>
      <c r="S931" t="str">
        <f>IF(ESales_DB[[#This Row],[Quantity1]]&gt;3,"Bulk order","Normal order")</f>
        <v>Normal order</v>
      </c>
    </row>
    <row r="932" spans="1:19" x14ac:dyDescent="0.3">
      <c r="A932" t="s">
        <v>3661</v>
      </c>
      <c r="B932" s="4">
        <v>45862</v>
      </c>
      <c r="C932" s="4" t="str">
        <f>TEXT(ESales_DB[[#This Row],[Order_Date]],"mmm")</f>
        <v>Jul</v>
      </c>
      <c r="D932" t="s">
        <v>849</v>
      </c>
      <c r="E932" t="s">
        <v>1578</v>
      </c>
      <c r="F932" t="s">
        <v>1813</v>
      </c>
      <c r="G932">
        <v>1</v>
      </c>
      <c r="H932" s="10">
        <f>IF(ISBLANK(ESales_DB[[#This Row],[Quantity]]),AVERAGEIF(ESales_DB[Product_ID],ESales_DB[[#This Row],[Product_ID]],ESales_DB[Quantity]),ESales_DB[[#This Row],[Quantity]])</f>
        <v>1</v>
      </c>
      <c r="I932" s="2">
        <v>582.29</v>
      </c>
      <c r="J932">
        <v>0.2</v>
      </c>
      <c r="K932" t="s">
        <v>1824</v>
      </c>
      <c r="L932" s="2">
        <v>465.83199999999999</v>
      </c>
      <c r="M932" s="2" t="str">
        <f>IF(ESales_DB[[#This Row],[Total_Amount]]&gt;1000,"High","Low")</f>
        <v>Low</v>
      </c>
      <c r="N932" s="2" t="str">
        <f>VLOOKUP(ESales_DB[[#This Row],[Customer_ID]],Ecustom_DB[],3,FALSE)</f>
        <v>Cynthia Payne</v>
      </c>
      <c r="O932" s="2" t="str">
        <f>_xlfn.XLOOKUP(ESales_DB[[#This Row],[Product_ID]],Eproduct_DB[Product_ID],Eproduct_DB[Category])</f>
        <v>Electronics</v>
      </c>
      <c r="P932" s="2" t="str">
        <f>_xlfn.XLOOKUP(ESales_DB[[#This Row],[Product_ID]],Eproduct_DB[Product_ID],Eproduct_DB[Product_Name])</f>
        <v>4K Home Projector</v>
      </c>
      <c r="Q932" s="2" t="str">
        <f>_xlfn.XLOOKUP(ESales_DB[[#This Row],[Store_ID]],Estore_DB[Store_ID],Estore_DB[Region])</f>
        <v>East</v>
      </c>
      <c r="R932" t="str">
        <f>VLOOKUP(ESales_DB[[#This Row],[Customer_ID]],Ecustom_DB[],10,FALSE)</f>
        <v>Bronze</v>
      </c>
      <c r="S932" t="str">
        <f>IF(ESales_DB[[#This Row],[Quantity1]]&gt;3,"Bulk order","Normal order")</f>
        <v>Normal order</v>
      </c>
    </row>
    <row r="933" spans="1:19" x14ac:dyDescent="0.3">
      <c r="A933" t="s">
        <v>3662</v>
      </c>
      <c r="B933" s="4">
        <v>45681</v>
      </c>
      <c r="C933" s="4" t="str">
        <f>TEXT(ESales_DB[[#This Row],[Order_Date]],"mmm")</f>
        <v>Jan</v>
      </c>
      <c r="D933" t="s">
        <v>833</v>
      </c>
      <c r="E933" t="s">
        <v>1714</v>
      </c>
      <c r="F933" t="s">
        <v>1752</v>
      </c>
      <c r="G933">
        <v>3</v>
      </c>
      <c r="H933" s="10">
        <f>IF(ISBLANK(ESales_DB[[#This Row],[Quantity]]),AVERAGEIF(ESales_DB[Product_ID],ESales_DB[[#This Row],[Product_ID]],ESales_DB[Quantity]),ESales_DB[[#This Row],[Quantity]])</f>
        <v>3</v>
      </c>
      <c r="I933" s="2">
        <v>63.96</v>
      </c>
      <c r="J933">
        <v>0.02</v>
      </c>
      <c r="K933" t="s">
        <v>1824</v>
      </c>
      <c r="L933" s="2">
        <v>188.04239999999999</v>
      </c>
      <c r="M933" s="2" t="str">
        <f>IF(ESales_DB[[#This Row],[Total_Amount]]&gt;1000,"High","Low")</f>
        <v>Low</v>
      </c>
      <c r="N933" s="2" t="str">
        <f>VLOOKUP(ESales_DB[[#This Row],[Customer_ID]],Ecustom_DB[],3,FALSE)</f>
        <v>Carol Bishop</v>
      </c>
      <c r="O933" s="2" t="str">
        <f>_xlfn.XLOOKUP(ESales_DB[[#This Row],[Product_ID]],Eproduct_DB[Product_ID],Eproduct_DB[Category])</f>
        <v>Beauty</v>
      </c>
      <c r="P933" s="2" t="str">
        <f>_xlfn.XLOOKUP(ESales_DB[[#This Row],[Product_ID]],Eproduct_DB[Product_ID],Eproduct_DB[Product_Name])</f>
        <v>Hydrating Face Cleanser</v>
      </c>
      <c r="Q933" s="2" t="str">
        <f>_xlfn.XLOOKUP(ESales_DB[[#This Row],[Store_ID]],Estore_DB[Store_ID],Estore_DB[Region])</f>
        <v>East</v>
      </c>
      <c r="R933" t="str">
        <f>VLOOKUP(ESales_DB[[#This Row],[Customer_ID]],Ecustom_DB[],10,FALSE)</f>
        <v>Silver</v>
      </c>
      <c r="S933" t="str">
        <f>IF(ESales_DB[[#This Row],[Quantity1]]&gt;3,"Bulk order","Normal order")</f>
        <v>Normal order</v>
      </c>
    </row>
    <row r="934" spans="1:19" x14ac:dyDescent="0.3">
      <c r="A934" t="s">
        <v>3663</v>
      </c>
      <c r="B934" s="4">
        <v>45392</v>
      </c>
      <c r="C934" s="4" t="str">
        <f>TEXT(ESales_DB[[#This Row],[Order_Date]],"mmm")</f>
        <v>Apr</v>
      </c>
      <c r="D934" t="s">
        <v>241</v>
      </c>
      <c r="E934" t="s">
        <v>1565</v>
      </c>
      <c r="F934" t="s">
        <v>1794</v>
      </c>
      <c r="G934">
        <v>1</v>
      </c>
      <c r="H934" s="10">
        <f>IF(ISBLANK(ESales_DB[[#This Row],[Quantity]]),AVERAGEIF(ESales_DB[Product_ID],ESales_DB[[#This Row],[Product_ID]],ESales_DB[Quantity]),ESales_DB[[#This Row],[Quantity]])</f>
        <v>1</v>
      </c>
      <c r="I934" s="2">
        <v>829.83</v>
      </c>
      <c r="J934">
        <v>0.26</v>
      </c>
      <c r="K934" t="s">
        <v>1829</v>
      </c>
      <c r="L934" s="2">
        <v>614.07420000000002</v>
      </c>
      <c r="M934" s="2" t="str">
        <f>IF(ESales_DB[[#This Row],[Total_Amount]]&gt;1000,"High","Low")</f>
        <v>Low</v>
      </c>
      <c r="N934" s="2" t="str">
        <f>VLOOKUP(ESales_DB[[#This Row],[Customer_ID]],Ecustom_DB[],3,FALSE)</f>
        <v>Michael Thomas</v>
      </c>
      <c r="O934" s="2" t="str">
        <f>_xlfn.XLOOKUP(ESales_DB[[#This Row],[Product_ID]],Eproduct_DB[Product_ID],Eproduct_DB[Category])</f>
        <v>Sports</v>
      </c>
      <c r="P934" s="2" t="str">
        <f>_xlfn.XLOOKUP(ESales_DB[[#This Row],[Product_ID]],Eproduct_DB[Product_ID],Eproduct_DB[Product_Name])</f>
        <v>Adjustable Dumbbell Set</v>
      </c>
      <c r="Q934" s="2" t="str">
        <f>_xlfn.XLOOKUP(ESales_DB[[#This Row],[Store_ID]],Estore_DB[Store_ID],Estore_DB[Region])</f>
        <v>North</v>
      </c>
      <c r="R934" t="str">
        <f>VLOOKUP(ESales_DB[[#This Row],[Customer_ID]],Ecustom_DB[],10,FALSE)</f>
        <v>Silver</v>
      </c>
      <c r="S934" t="str">
        <f>IF(ESales_DB[[#This Row],[Quantity1]]&gt;3,"Bulk order","Normal order")</f>
        <v>Normal order</v>
      </c>
    </row>
    <row r="935" spans="1:19" x14ac:dyDescent="0.3">
      <c r="A935" t="s">
        <v>3664</v>
      </c>
      <c r="B935" s="4">
        <v>45586</v>
      </c>
      <c r="C935" s="4" t="str">
        <f>TEXT(ESales_DB[[#This Row],[Order_Date]],"mmm")</f>
        <v>Oct</v>
      </c>
      <c r="D935" t="s">
        <v>1157</v>
      </c>
      <c r="E935" t="s">
        <v>1616</v>
      </c>
      <c r="F935" t="s">
        <v>1804</v>
      </c>
      <c r="G935">
        <v>2</v>
      </c>
      <c r="H935" s="10">
        <f>IF(ISBLANK(ESales_DB[[#This Row],[Quantity]]),AVERAGEIF(ESales_DB[Product_ID],ESales_DB[[#This Row],[Product_ID]],ESales_DB[Quantity]),ESales_DB[[#This Row],[Quantity]])</f>
        <v>2</v>
      </c>
      <c r="I935" s="2">
        <v>858.15</v>
      </c>
      <c r="J935">
        <v>0.03</v>
      </c>
      <c r="K935" t="s">
        <v>1824</v>
      </c>
      <c r="L935" s="2">
        <v>1664.8109999999999</v>
      </c>
      <c r="M935" s="2" t="str">
        <f>IF(ESales_DB[[#This Row],[Total_Amount]]&gt;1000,"High","Low")</f>
        <v>High</v>
      </c>
      <c r="N935" s="2" t="str">
        <f>VLOOKUP(ESales_DB[[#This Row],[Customer_ID]],Ecustom_DB[],3,FALSE)</f>
        <v>James Holloway Jr.</v>
      </c>
      <c r="O935" s="2" t="str">
        <f>_xlfn.XLOOKUP(ESales_DB[[#This Row],[Product_ID]],Eproduct_DB[Product_ID],Eproduct_DB[Category])</f>
        <v>Electronics</v>
      </c>
      <c r="P935" s="2" t="str">
        <f>_xlfn.XLOOKUP(ESales_DB[[#This Row],[Product_ID]],Eproduct_DB[Product_ID],Eproduct_DB[Product_Name])</f>
        <v>Gaming Mechanical Keyboard</v>
      </c>
      <c r="Q935" s="2" t="str">
        <f>_xlfn.XLOOKUP(ESales_DB[[#This Row],[Store_ID]],Estore_DB[Store_ID],Estore_DB[Region])</f>
        <v>West</v>
      </c>
      <c r="R935" t="str">
        <f>VLOOKUP(ESales_DB[[#This Row],[Customer_ID]],Ecustom_DB[],10,FALSE)</f>
        <v>Silver</v>
      </c>
      <c r="S935" t="str">
        <f>IF(ESales_DB[[#This Row],[Quantity1]]&gt;3,"Bulk order","Normal order")</f>
        <v>Normal order</v>
      </c>
    </row>
    <row r="936" spans="1:19" x14ac:dyDescent="0.3">
      <c r="A936" t="s">
        <v>3665</v>
      </c>
      <c r="B936" s="4">
        <v>45340</v>
      </c>
      <c r="C936" s="4" t="str">
        <f>TEXT(ESales_DB[[#This Row],[Order_Date]],"mmm")</f>
        <v>Feb</v>
      </c>
      <c r="D936" t="s">
        <v>1124</v>
      </c>
      <c r="E936" t="s">
        <v>1694</v>
      </c>
      <c r="F936" t="s">
        <v>1797</v>
      </c>
      <c r="G936">
        <v>3</v>
      </c>
      <c r="H936" s="10">
        <f>IF(ISBLANK(ESales_DB[[#This Row],[Quantity]]),AVERAGEIF(ESales_DB[Product_ID],ESales_DB[[#This Row],[Product_ID]],ESales_DB[Quantity]),ESales_DB[[#This Row],[Quantity]])</f>
        <v>3</v>
      </c>
      <c r="I936" s="2">
        <v>717.32</v>
      </c>
      <c r="J936">
        <v>0.23</v>
      </c>
      <c r="K936" t="s">
        <v>1829</v>
      </c>
      <c r="L936" s="2">
        <v>1657.0092</v>
      </c>
      <c r="M936" s="2" t="str">
        <f>IF(ESales_DB[[#This Row],[Total_Amount]]&gt;1000,"High","Low")</f>
        <v>High</v>
      </c>
      <c r="N936" s="2" t="str">
        <f>VLOOKUP(ESales_DB[[#This Row],[Customer_ID]],Ecustom_DB[],3,FALSE)</f>
        <v>Melanie Lam</v>
      </c>
      <c r="O936" s="2" t="str">
        <f>_xlfn.XLOOKUP(ESales_DB[[#This Row],[Product_ID]],Eproduct_DB[Product_ID],Eproduct_DB[Category])</f>
        <v>Sports</v>
      </c>
      <c r="P936" s="2" t="str">
        <f>_xlfn.XLOOKUP(ESales_DB[[#This Row],[Product_ID]],Eproduct_DB[Product_ID],Eproduct_DB[Product_Name])</f>
        <v>Shin Guards – Adult</v>
      </c>
      <c r="Q936" s="2" t="str">
        <f>_xlfn.XLOOKUP(ESales_DB[[#This Row],[Store_ID]],Estore_DB[Store_ID],Estore_DB[Region])</f>
        <v>East</v>
      </c>
      <c r="R936" t="str">
        <f>VLOOKUP(ESales_DB[[#This Row],[Customer_ID]],Ecustom_DB[],10,FALSE)</f>
        <v>Silver</v>
      </c>
      <c r="S936" t="str">
        <f>IF(ESales_DB[[#This Row],[Quantity1]]&gt;3,"Bulk order","Normal order")</f>
        <v>Normal order</v>
      </c>
    </row>
    <row r="937" spans="1:19" x14ac:dyDescent="0.3">
      <c r="A937" t="s">
        <v>2010</v>
      </c>
      <c r="B937" s="4">
        <v>45686</v>
      </c>
      <c r="C937" s="4" t="str">
        <f>TEXT(ESales_DB[[#This Row],[Order_Date]],"mmm")</f>
        <v>Jan</v>
      </c>
      <c r="D937" t="s">
        <v>1504</v>
      </c>
      <c r="E937" t="s">
        <v>1726</v>
      </c>
      <c r="F937" t="s">
        <v>1766</v>
      </c>
      <c r="G937">
        <v>1</v>
      </c>
      <c r="H937" s="10">
        <f>IF(ISBLANK(ESales_DB[[#This Row],[Quantity]]),AVERAGEIF(ESales_DB[Product_ID],ESales_DB[[#This Row],[Product_ID]],ESales_DB[Quantity]),ESales_DB[[#This Row],[Quantity]])</f>
        <v>1</v>
      </c>
      <c r="I937" s="2">
        <v>789.35</v>
      </c>
      <c r="J937">
        <v>0.14000000000000001</v>
      </c>
      <c r="K937" t="s">
        <v>1826</v>
      </c>
      <c r="L937" s="2">
        <v>678.84100000000001</v>
      </c>
      <c r="M937" s="2" t="str">
        <f>IF(ESales_DB[[#This Row],[Total_Amount]]&gt;1000,"High","Low")</f>
        <v>Low</v>
      </c>
      <c r="N937" s="2" t="str">
        <f>VLOOKUP(ESales_DB[[#This Row],[Customer_ID]],Ecustom_DB[],3,FALSE)</f>
        <v>Melinda Thomas</v>
      </c>
      <c r="O937" s="2" t="str">
        <f>_xlfn.XLOOKUP(ESales_DB[[#This Row],[Product_ID]],Eproduct_DB[Product_ID],Eproduct_DB[Category])</f>
        <v>Beauty</v>
      </c>
      <c r="P937" s="2" t="str">
        <f>_xlfn.XLOOKUP(ESales_DB[[#This Row],[Product_ID]],Eproduct_DB[Product_ID],Eproduct_DB[Product_Name])</f>
        <v>Face Foundation Kit</v>
      </c>
      <c r="Q937" s="2" t="str">
        <f>_xlfn.XLOOKUP(ESales_DB[[#This Row],[Store_ID]],Estore_DB[Store_ID],Estore_DB[Region])</f>
        <v>North</v>
      </c>
      <c r="R937" t="str">
        <f>VLOOKUP(ESales_DB[[#This Row],[Customer_ID]],Ecustom_DB[],10,FALSE)</f>
        <v>Silver</v>
      </c>
      <c r="S937" t="str">
        <f>IF(ESales_DB[[#This Row],[Quantity1]]&gt;3,"Bulk order","Normal order")</f>
        <v>Normal order</v>
      </c>
    </row>
    <row r="938" spans="1:19" x14ac:dyDescent="0.3">
      <c r="A938" t="s">
        <v>3666</v>
      </c>
      <c r="B938" s="4">
        <v>45853</v>
      </c>
      <c r="C938" s="4" t="str">
        <f>TEXT(ESales_DB[[#This Row],[Order_Date]],"mmm")</f>
        <v>Jul</v>
      </c>
      <c r="D938" t="s">
        <v>1328</v>
      </c>
      <c r="E938" t="s">
        <v>1714</v>
      </c>
      <c r="F938" t="s">
        <v>1794</v>
      </c>
      <c r="G938">
        <v>1</v>
      </c>
      <c r="H938" s="10">
        <f>IF(ISBLANK(ESales_DB[[#This Row],[Quantity]]),AVERAGEIF(ESales_DB[Product_ID],ESales_DB[[#This Row],[Product_ID]],ESales_DB[Quantity]),ESales_DB[[#This Row],[Quantity]])</f>
        <v>1</v>
      </c>
      <c r="I938" s="2">
        <v>163.19999999999999</v>
      </c>
      <c r="J938">
        <v>0.22</v>
      </c>
      <c r="K938" t="s">
        <v>1826</v>
      </c>
      <c r="L938" s="2">
        <v>127.29600000000001</v>
      </c>
      <c r="M938" s="2" t="str">
        <f>IF(ESales_DB[[#This Row],[Total_Amount]]&gt;1000,"High","Low")</f>
        <v>Low</v>
      </c>
      <c r="N938" s="2" t="str">
        <f>VLOOKUP(ESales_DB[[#This Row],[Customer_ID]],Ecustom_DB[],3,FALSE)</f>
        <v>Samuel Mullins</v>
      </c>
      <c r="O938" s="2" t="str">
        <f>_xlfn.XLOOKUP(ESales_DB[[#This Row],[Product_ID]],Eproduct_DB[Product_ID],Eproduct_DB[Category])</f>
        <v>Beauty</v>
      </c>
      <c r="P938" s="2" t="str">
        <f>_xlfn.XLOOKUP(ESales_DB[[#This Row],[Product_ID]],Eproduct_DB[Product_ID],Eproduct_DB[Product_Name])</f>
        <v>Hydrating Face Cleanser</v>
      </c>
      <c r="Q938" s="2" t="str">
        <f>_xlfn.XLOOKUP(ESales_DB[[#This Row],[Store_ID]],Estore_DB[Store_ID],Estore_DB[Region])</f>
        <v>North</v>
      </c>
      <c r="R938" t="str">
        <f>VLOOKUP(ESales_DB[[#This Row],[Customer_ID]],Ecustom_DB[],10,FALSE)</f>
        <v>Bronze</v>
      </c>
      <c r="S938" t="str">
        <f>IF(ESales_DB[[#This Row],[Quantity1]]&gt;3,"Bulk order","Normal order")</f>
        <v>Normal order</v>
      </c>
    </row>
    <row r="939" spans="1:19" x14ac:dyDescent="0.3">
      <c r="A939" t="s">
        <v>3667</v>
      </c>
      <c r="B939" s="4">
        <v>45489</v>
      </c>
      <c r="C939" s="4" t="str">
        <f>TEXT(ESales_DB[[#This Row],[Order_Date]],"mmm")</f>
        <v>Jul</v>
      </c>
      <c r="D939" t="s">
        <v>435</v>
      </c>
      <c r="E939" t="s">
        <v>1710</v>
      </c>
      <c r="F939" t="s">
        <v>1794</v>
      </c>
      <c r="G939">
        <v>2</v>
      </c>
      <c r="H939" s="10">
        <f>IF(ISBLANK(ESales_DB[[#This Row],[Quantity]]),AVERAGEIF(ESales_DB[Product_ID],ESales_DB[[#This Row],[Product_ID]],ESales_DB[Quantity]),ESales_DB[[#This Row],[Quantity]])</f>
        <v>2</v>
      </c>
      <c r="I939" s="2">
        <v>966.71</v>
      </c>
      <c r="J939">
        <v>0.11</v>
      </c>
      <c r="K939" t="s">
        <v>1824</v>
      </c>
      <c r="L939" s="2">
        <v>1720.7438</v>
      </c>
      <c r="M939" s="2" t="str">
        <f>IF(ESales_DB[[#This Row],[Total_Amount]]&gt;1000,"High","Low")</f>
        <v>High</v>
      </c>
      <c r="N939" s="2" t="str">
        <f>VLOOKUP(ESales_DB[[#This Row],[Customer_ID]],Ecustom_DB[],3,FALSE)</f>
        <v>James Wolfe</v>
      </c>
      <c r="O939" s="2" t="str">
        <f>_xlfn.XLOOKUP(ESales_DB[[#This Row],[Product_ID]],Eproduct_DB[Product_ID],Eproduct_DB[Category])</f>
        <v>Sports</v>
      </c>
      <c r="P939" s="2" t="str">
        <f>_xlfn.XLOOKUP(ESales_DB[[#This Row],[Product_ID]],Eproduct_DB[Product_ID],Eproduct_DB[Product_Name])</f>
        <v>Badminton Racket Set</v>
      </c>
      <c r="Q939" s="2" t="str">
        <f>_xlfn.XLOOKUP(ESales_DB[[#This Row],[Store_ID]],Estore_DB[Store_ID],Estore_DB[Region])</f>
        <v>North</v>
      </c>
      <c r="R939" t="str">
        <f>VLOOKUP(ESales_DB[[#This Row],[Customer_ID]],Ecustom_DB[],10,FALSE)</f>
        <v>Gold</v>
      </c>
      <c r="S939" t="str">
        <f>IF(ESales_DB[[#This Row],[Quantity1]]&gt;3,"Bulk order","Normal order")</f>
        <v>Normal order</v>
      </c>
    </row>
    <row r="940" spans="1:19" x14ac:dyDescent="0.3">
      <c r="A940" t="s">
        <v>3668</v>
      </c>
      <c r="B940" s="4">
        <v>45761</v>
      </c>
      <c r="C940" s="4" t="str">
        <f>TEXT(ESales_DB[[#This Row],[Order_Date]],"mmm")</f>
        <v>Apr</v>
      </c>
      <c r="D940" t="s">
        <v>1092</v>
      </c>
      <c r="E940" t="s">
        <v>1618</v>
      </c>
      <c r="F940" t="s">
        <v>1797</v>
      </c>
      <c r="G940">
        <v>2</v>
      </c>
      <c r="H940" s="10">
        <f>IF(ISBLANK(ESales_DB[[#This Row],[Quantity]]),AVERAGEIF(ESales_DB[Product_ID],ESales_DB[[#This Row],[Product_ID]],ESales_DB[Quantity]),ESales_DB[[#This Row],[Quantity]])</f>
        <v>2</v>
      </c>
      <c r="I940" s="2">
        <v>873.94</v>
      </c>
      <c r="J940">
        <v>0.14000000000000001</v>
      </c>
      <c r="K940" t="s">
        <v>1829</v>
      </c>
      <c r="L940" s="2">
        <v>1503.1768</v>
      </c>
      <c r="M940" s="2" t="str">
        <f>IF(ESales_DB[[#This Row],[Total_Amount]]&gt;1000,"High","Low")</f>
        <v>High</v>
      </c>
      <c r="N940" s="2" t="str">
        <f>VLOOKUP(ESales_DB[[#This Row],[Customer_ID]],Ecustom_DB[],3,FALSE)</f>
        <v>Sherry Cabrera</v>
      </c>
      <c r="O940" s="2" t="str">
        <f>_xlfn.XLOOKUP(ESales_DB[[#This Row],[Product_ID]],Eproduct_DB[Product_ID],Eproduct_DB[Category])</f>
        <v>Home</v>
      </c>
      <c r="P940" s="2" t="str">
        <f>_xlfn.XLOOKUP(ESales_DB[[#This Row],[Product_ID]],Eproduct_DB[Product_ID],Eproduct_DB[Product_Name])</f>
        <v>Bedroom Table Lamp</v>
      </c>
      <c r="Q940" s="2" t="str">
        <f>_xlfn.XLOOKUP(ESales_DB[[#This Row],[Store_ID]],Estore_DB[Store_ID],Estore_DB[Region])</f>
        <v>East</v>
      </c>
      <c r="R940" t="str">
        <f>VLOOKUP(ESales_DB[[#This Row],[Customer_ID]],Ecustom_DB[],10,FALSE)</f>
        <v>Silver</v>
      </c>
      <c r="S940" t="str">
        <f>IF(ESales_DB[[#This Row],[Quantity1]]&gt;3,"Bulk order","Normal order")</f>
        <v>Normal order</v>
      </c>
    </row>
    <row r="941" spans="1:19" x14ac:dyDescent="0.3">
      <c r="A941" t="s">
        <v>3669</v>
      </c>
      <c r="B941" s="4">
        <v>45379</v>
      </c>
      <c r="C941" s="4" t="str">
        <f>TEXT(ESales_DB[[#This Row],[Order_Date]],"mmm")</f>
        <v>Mar</v>
      </c>
      <c r="D941" t="s">
        <v>502</v>
      </c>
      <c r="E941" t="s">
        <v>1543</v>
      </c>
      <c r="F941" t="s">
        <v>1766</v>
      </c>
      <c r="G941">
        <v>1</v>
      </c>
      <c r="H941" s="10">
        <f>IF(ISBLANK(ESales_DB[[#This Row],[Quantity]]),AVERAGEIF(ESales_DB[Product_ID],ESales_DB[[#This Row],[Product_ID]],ESales_DB[Quantity]),ESales_DB[[#This Row],[Quantity]])</f>
        <v>1</v>
      </c>
      <c r="I941" s="2">
        <v>140.24</v>
      </c>
      <c r="J941">
        <v>0.27</v>
      </c>
      <c r="K941" t="s">
        <v>1824</v>
      </c>
      <c r="L941" s="2">
        <v>102.37520000000001</v>
      </c>
      <c r="M941" s="2" t="str">
        <f>IF(ESales_DB[[#This Row],[Total_Amount]]&gt;1000,"High","Low")</f>
        <v>Low</v>
      </c>
      <c r="N941" s="2" t="str">
        <f>VLOOKUP(ESales_DB[[#This Row],[Customer_ID]],Ecustom_DB[],3,FALSE)</f>
        <v>Denise Griffin</v>
      </c>
      <c r="O941" s="2" t="str">
        <f>_xlfn.XLOOKUP(ESales_DB[[#This Row],[Product_ID]],Eproduct_DB[Product_ID],Eproduct_DB[Category])</f>
        <v>Electronics</v>
      </c>
      <c r="P941" s="2" t="str">
        <f>_xlfn.XLOOKUP(ESales_DB[[#This Row],[Product_ID]],Eproduct_DB[Product_ID],Eproduct_DB[Product_Name])</f>
        <v>Brother Laser Printer</v>
      </c>
      <c r="Q941" s="2" t="str">
        <f>_xlfn.XLOOKUP(ESales_DB[[#This Row],[Store_ID]],Estore_DB[Store_ID],Estore_DB[Region])</f>
        <v>North</v>
      </c>
      <c r="R941" t="str">
        <f>VLOOKUP(ESales_DB[[#This Row],[Customer_ID]],Ecustom_DB[],10,FALSE)</f>
        <v>Platinum</v>
      </c>
      <c r="S941" t="str">
        <f>IF(ESales_DB[[#This Row],[Quantity1]]&gt;3,"Bulk order","Normal order")</f>
        <v>Normal order</v>
      </c>
    </row>
    <row r="942" spans="1:19" x14ac:dyDescent="0.3">
      <c r="A942" t="s">
        <v>3670</v>
      </c>
      <c r="B942" s="4">
        <v>45716</v>
      </c>
      <c r="C942" s="4" t="str">
        <f>TEXT(ESales_DB[[#This Row],[Order_Date]],"mmm")</f>
        <v>Feb</v>
      </c>
      <c r="D942" t="s">
        <v>657</v>
      </c>
      <c r="E942" t="s">
        <v>1634</v>
      </c>
      <c r="F942" t="s">
        <v>1773</v>
      </c>
      <c r="G942">
        <v>2</v>
      </c>
      <c r="H942" s="10">
        <f>IF(ISBLANK(ESales_DB[[#This Row],[Quantity]]),AVERAGEIF(ESales_DB[Product_ID],ESales_DB[[#This Row],[Product_ID]],ESales_DB[Quantity]),ESales_DB[[#This Row],[Quantity]])</f>
        <v>2</v>
      </c>
      <c r="I942" s="2">
        <v>549.91999999999996</v>
      </c>
      <c r="J942">
        <v>0.28000000000000003</v>
      </c>
      <c r="K942" t="s">
        <v>1824</v>
      </c>
      <c r="L942" s="2">
        <v>791.88479999999993</v>
      </c>
      <c r="M942" s="2" t="str">
        <f>IF(ESales_DB[[#This Row],[Total_Amount]]&gt;1000,"High","Low")</f>
        <v>Low</v>
      </c>
      <c r="N942" s="2" t="str">
        <f>VLOOKUP(ESales_DB[[#This Row],[Customer_ID]],Ecustom_DB[],3,FALSE)</f>
        <v>Mary Boyd</v>
      </c>
      <c r="O942" s="2" t="str">
        <f>_xlfn.XLOOKUP(ESales_DB[[#This Row],[Product_ID]],Eproduct_DB[Product_ID],Eproduct_DB[Category])</f>
        <v>Electronics</v>
      </c>
      <c r="P942" s="2" t="str">
        <f>_xlfn.XLOOKUP(ESales_DB[[#This Row],[Product_ID]],Eproduct_DB[Product_ID],Eproduct_DB[Product_Name])</f>
        <v>USB External Hard Drive</v>
      </c>
      <c r="Q942" s="2" t="str">
        <f>_xlfn.XLOOKUP(ESales_DB[[#This Row],[Store_ID]],Estore_DB[Store_ID],Estore_DB[Region])</f>
        <v>North</v>
      </c>
      <c r="R942" t="str">
        <f>VLOOKUP(ESales_DB[[#This Row],[Customer_ID]],Ecustom_DB[],10,FALSE)</f>
        <v>Bronze</v>
      </c>
      <c r="S942" t="str">
        <f>IF(ESales_DB[[#This Row],[Quantity1]]&gt;3,"Bulk order","Normal order")</f>
        <v>Normal order</v>
      </c>
    </row>
    <row r="943" spans="1:19" x14ac:dyDescent="0.3">
      <c r="A943" t="s">
        <v>3671</v>
      </c>
      <c r="B943" s="4">
        <v>45364</v>
      </c>
      <c r="C943" s="4" t="str">
        <f>TEXT(ESales_DB[[#This Row],[Order_Date]],"mmm")</f>
        <v>Mar</v>
      </c>
      <c r="D943" t="s">
        <v>390</v>
      </c>
      <c r="E943" t="s">
        <v>1582</v>
      </c>
      <c r="F943" t="s">
        <v>1773</v>
      </c>
      <c r="G943">
        <v>4</v>
      </c>
      <c r="H943" s="10">
        <f>IF(ISBLANK(ESales_DB[[#This Row],[Quantity]]),AVERAGEIF(ESales_DB[Product_ID],ESales_DB[[#This Row],[Product_ID]],ESales_DB[Quantity]),ESales_DB[[#This Row],[Quantity]])</f>
        <v>4</v>
      </c>
      <c r="I943" s="2">
        <v>715.88</v>
      </c>
      <c r="J943">
        <v>0.19</v>
      </c>
      <c r="K943" t="s">
        <v>1826</v>
      </c>
      <c r="L943" s="2">
        <v>2319.4512</v>
      </c>
      <c r="M943" s="2" t="str">
        <f>IF(ESales_DB[[#This Row],[Total_Amount]]&gt;1000,"High","Low")</f>
        <v>High</v>
      </c>
      <c r="N943" s="2" t="str">
        <f>VLOOKUP(ESales_DB[[#This Row],[Customer_ID]],Ecustom_DB[],3,FALSE)</f>
        <v>Julie Farmer</v>
      </c>
      <c r="O943" s="2" t="str">
        <f>_xlfn.XLOOKUP(ESales_DB[[#This Row],[Product_ID]],Eproduct_DB[Product_ID],Eproduct_DB[Category])</f>
        <v>Sports</v>
      </c>
      <c r="P943" s="2" t="str">
        <f>_xlfn.XLOOKUP(ESales_DB[[#This Row],[Product_ID]],Eproduct_DB[Product_ID],Eproduct_DB[Product_Name])</f>
        <v>Soccer Training Cone Set</v>
      </c>
      <c r="Q943" s="2" t="str">
        <f>_xlfn.XLOOKUP(ESales_DB[[#This Row],[Store_ID]],Estore_DB[Store_ID],Estore_DB[Region])</f>
        <v>North</v>
      </c>
      <c r="R943" t="str">
        <f>VLOOKUP(ESales_DB[[#This Row],[Customer_ID]],Ecustom_DB[],10,FALSE)</f>
        <v>Platinum</v>
      </c>
      <c r="S943" t="str">
        <f>IF(ESales_DB[[#This Row],[Quantity1]]&gt;3,"Bulk order","Normal order")</f>
        <v>Bulk order</v>
      </c>
    </row>
    <row r="944" spans="1:19" x14ac:dyDescent="0.3">
      <c r="A944" t="s">
        <v>3672</v>
      </c>
      <c r="B944" s="4">
        <v>45752</v>
      </c>
      <c r="C944" s="4" t="str">
        <f>TEXT(ESales_DB[[#This Row],[Order_Date]],"mmm")</f>
        <v>Apr</v>
      </c>
      <c r="D944" t="s">
        <v>1160</v>
      </c>
      <c r="E944" t="s">
        <v>1549</v>
      </c>
      <c r="F944" t="s">
        <v>1782</v>
      </c>
      <c r="G944">
        <v>3</v>
      </c>
      <c r="H944" s="10">
        <f>IF(ISBLANK(ESales_DB[[#This Row],[Quantity]]),AVERAGEIF(ESales_DB[Product_ID],ESales_DB[[#This Row],[Product_ID]],ESales_DB[Quantity]),ESales_DB[[#This Row],[Quantity]])</f>
        <v>3</v>
      </c>
      <c r="I944" s="2">
        <v>591.9</v>
      </c>
      <c r="J944">
        <v>0.27</v>
      </c>
      <c r="K944" t="s">
        <v>1824</v>
      </c>
      <c r="L944" s="2">
        <v>1296.261</v>
      </c>
      <c r="M944" s="2" t="str">
        <f>IF(ESales_DB[[#This Row],[Total_Amount]]&gt;1000,"High","Low")</f>
        <v>High</v>
      </c>
      <c r="N944" s="2" t="str">
        <f>VLOOKUP(ESales_DB[[#This Row],[Customer_ID]],Ecustom_DB[],3,FALSE)</f>
        <v>Michael Garner</v>
      </c>
      <c r="O944" s="2" t="str">
        <f>_xlfn.XLOOKUP(ESales_DB[[#This Row],[Product_ID]],Eproduct_DB[Product_ID],Eproduct_DB[Category])</f>
        <v>Clothing</v>
      </c>
      <c r="P944" s="2" t="str">
        <f>_xlfn.XLOOKUP(ESales_DB[[#This Row],[Product_ID]],Eproduct_DB[Product_ID],Eproduct_DB[Product_Name])</f>
        <v>Women's Casual Hoodie</v>
      </c>
      <c r="Q944" s="2" t="str">
        <f>_xlfn.XLOOKUP(ESales_DB[[#This Row],[Store_ID]],Estore_DB[Store_ID],Estore_DB[Region])</f>
        <v>West</v>
      </c>
      <c r="R944" t="str">
        <f>VLOOKUP(ESales_DB[[#This Row],[Customer_ID]],Ecustom_DB[],10,FALSE)</f>
        <v>Platinum</v>
      </c>
      <c r="S944" t="str">
        <f>IF(ESales_DB[[#This Row],[Quantity1]]&gt;3,"Bulk order","Normal order")</f>
        <v>Normal order</v>
      </c>
    </row>
    <row r="945" spans="1:19" x14ac:dyDescent="0.3">
      <c r="A945" t="s">
        <v>3673</v>
      </c>
      <c r="B945" s="4">
        <v>45883</v>
      </c>
      <c r="C945" s="4" t="str">
        <f>TEXT(ESales_DB[[#This Row],[Order_Date]],"mmm")</f>
        <v>Aug</v>
      </c>
      <c r="D945" t="s">
        <v>1172</v>
      </c>
      <c r="E945" t="s">
        <v>1592</v>
      </c>
      <c r="F945" t="s">
        <v>1789</v>
      </c>
      <c r="G945">
        <v>2</v>
      </c>
      <c r="H945" s="10">
        <f>IF(ISBLANK(ESales_DB[[#This Row],[Quantity]]),AVERAGEIF(ESales_DB[Product_ID],ESales_DB[[#This Row],[Product_ID]],ESales_DB[Quantity]),ESales_DB[[#This Row],[Quantity]])</f>
        <v>2</v>
      </c>
      <c r="I945" s="2">
        <v>523.14</v>
      </c>
      <c r="J945">
        <v>0.13</v>
      </c>
      <c r="K945" t="s">
        <v>1826</v>
      </c>
      <c r="L945" s="2">
        <v>910.2636</v>
      </c>
      <c r="M945" s="2" t="str">
        <f>IF(ESales_DB[[#This Row],[Total_Amount]]&gt;1000,"High","Low")</f>
        <v>Low</v>
      </c>
      <c r="N945" s="2" t="str">
        <f>VLOOKUP(ESales_DB[[#This Row],[Customer_ID]],Ecustom_DB[],3,FALSE)</f>
        <v>Joshua Bell</v>
      </c>
      <c r="O945" s="2" t="str">
        <f>_xlfn.XLOOKUP(ESales_DB[[#This Row],[Product_ID]],Eproduct_DB[Product_ID],Eproduct_DB[Category])</f>
        <v>Sports</v>
      </c>
      <c r="P945" s="2" t="str">
        <f>_xlfn.XLOOKUP(ESales_DB[[#This Row],[Product_ID]],Eproduct_DB[Product_ID],Eproduct_DB[Product_Name])</f>
        <v>Carbon Fiber Tennis Racket</v>
      </c>
      <c r="Q945" s="2" t="str">
        <f>_xlfn.XLOOKUP(ESales_DB[[#This Row],[Store_ID]],Estore_DB[Store_ID],Estore_DB[Region])</f>
        <v>East</v>
      </c>
      <c r="R945" t="str">
        <f>VLOOKUP(ESales_DB[[#This Row],[Customer_ID]],Ecustom_DB[],10,FALSE)</f>
        <v>Platinum</v>
      </c>
      <c r="S945" t="str">
        <f>IF(ESales_DB[[#This Row],[Quantity1]]&gt;3,"Bulk order","Normal order")</f>
        <v>Normal order</v>
      </c>
    </row>
    <row r="946" spans="1:19" x14ac:dyDescent="0.3">
      <c r="A946" t="s">
        <v>3674</v>
      </c>
      <c r="B946" s="4">
        <v>45477</v>
      </c>
      <c r="C946" s="4" t="str">
        <f>TEXT(ESales_DB[[#This Row],[Order_Date]],"mmm")</f>
        <v>Jul</v>
      </c>
      <c r="D946" t="s">
        <v>730</v>
      </c>
      <c r="E946" t="s">
        <v>1686</v>
      </c>
      <c r="F946" t="s">
        <v>1799</v>
      </c>
      <c r="G946">
        <v>2</v>
      </c>
      <c r="H946" s="10">
        <f>IF(ISBLANK(ESales_DB[[#This Row],[Quantity]]),AVERAGEIF(ESales_DB[Product_ID],ESales_DB[[#This Row],[Product_ID]],ESales_DB[Quantity]),ESales_DB[[#This Row],[Quantity]])</f>
        <v>2</v>
      </c>
      <c r="I946" s="2">
        <v>478.62</v>
      </c>
      <c r="J946">
        <v>0.17</v>
      </c>
      <c r="K946" t="s">
        <v>1829</v>
      </c>
      <c r="L946" s="2">
        <v>794.50919999999996</v>
      </c>
      <c r="M946" s="2" t="str">
        <f>IF(ESales_DB[[#This Row],[Total_Amount]]&gt;1000,"High","Low")</f>
        <v>Low</v>
      </c>
      <c r="N946" s="2" t="str">
        <f>VLOOKUP(ESales_DB[[#This Row],[Customer_ID]],Ecustom_DB[],3,FALSE)</f>
        <v>Alexis Castaneda</v>
      </c>
      <c r="O946" s="2" t="str">
        <f>_xlfn.XLOOKUP(ESales_DB[[#This Row],[Product_ID]],Eproduct_DB[Product_ID],Eproduct_DB[Category])</f>
        <v>Clothing</v>
      </c>
      <c r="P946" s="2" t="str">
        <f>_xlfn.XLOOKUP(ESales_DB[[#This Row],[Product_ID]],Eproduct_DB[Product_ID],Eproduct_DB[Product_Name])</f>
        <v>Men's Sports Shorts</v>
      </c>
      <c r="Q946" s="2" t="str">
        <f>_xlfn.XLOOKUP(ESales_DB[[#This Row],[Store_ID]],Estore_DB[Store_ID],Estore_DB[Region])</f>
        <v>South</v>
      </c>
      <c r="R946" t="str">
        <f>VLOOKUP(ESales_DB[[#This Row],[Customer_ID]],Ecustom_DB[],10,FALSE)</f>
        <v>Gold</v>
      </c>
      <c r="S946" t="str">
        <f>IF(ESales_DB[[#This Row],[Quantity1]]&gt;3,"Bulk order","Normal order")</f>
        <v>Normal order</v>
      </c>
    </row>
    <row r="947" spans="1:19" x14ac:dyDescent="0.3">
      <c r="A947" t="s">
        <v>3675</v>
      </c>
      <c r="B947" s="4">
        <v>45556</v>
      </c>
      <c r="C947" s="4" t="str">
        <f>TEXT(ESales_DB[[#This Row],[Order_Date]],"mmm")</f>
        <v>Sep</v>
      </c>
      <c r="D947" t="s">
        <v>945</v>
      </c>
      <c r="E947" t="s">
        <v>1712</v>
      </c>
      <c r="F947" t="s">
        <v>1757</v>
      </c>
      <c r="G947">
        <v>4</v>
      </c>
      <c r="H947" s="10">
        <f>IF(ISBLANK(ESales_DB[[#This Row],[Quantity]]),AVERAGEIF(ESales_DB[Product_ID],ESales_DB[[#This Row],[Product_ID]],ESales_DB[Quantity]),ESales_DB[[#This Row],[Quantity]])</f>
        <v>4</v>
      </c>
      <c r="I947" s="2">
        <v>740.5</v>
      </c>
      <c r="J947">
        <v>0.17</v>
      </c>
      <c r="K947" t="s">
        <v>1826</v>
      </c>
      <c r="L947" s="2">
        <v>2458.46</v>
      </c>
      <c r="M947" s="2" t="str">
        <f>IF(ESales_DB[[#This Row],[Total_Amount]]&gt;1000,"High","Low")</f>
        <v>High</v>
      </c>
      <c r="N947" s="2" t="str">
        <f>VLOOKUP(ESales_DB[[#This Row],[Customer_ID]],Ecustom_DB[],3,FALSE)</f>
        <v>Stephanie Jacobs</v>
      </c>
      <c r="O947" s="2" t="str">
        <f>_xlfn.XLOOKUP(ESales_DB[[#This Row],[Product_ID]],Eproduct_DB[Product_ID],Eproduct_DB[Category])</f>
        <v>Sports</v>
      </c>
      <c r="P947" s="2" t="str">
        <f>_xlfn.XLOOKUP(ESales_DB[[#This Row],[Product_ID]],Eproduct_DB[Product_ID],Eproduct_DB[Product_Name])</f>
        <v>Fitness Resistance Bands</v>
      </c>
      <c r="Q947" s="2" t="str">
        <f>_xlfn.XLOOKUP(ESales_DB[[#This Row],[Store_ID]],Estore_DB[Store_ID],Estore_DB[Region])</f>
        <v>North</v>
      </c>
      <c r="R947" t="str">
        <f>VLOOKUP(ESales_DB[[#This Row],[Customer_ID]],Ecustom_DB[],10,FALSE)</f>
        <v>Platinum</v>
      </c>
      <c r="S947" t="str">
        <f>IF(ESales_DB[[#This Row],[Quantity1]]&gt;3,"Bulk order","Normal order")</f>
        <v>Bulk order</v>
      </c>
    </row>
    <row r="948" spans="1:19" x14ac:dyDescent="0.3">
      <c r="A948" t="s">
        <v>2011</v>
      </c>
      <c r="B948" s="4">
        <v>45354</v>
      </c>
      <c r="C948" s="4" t="str">
        <f>TEXT(ESales_DB[[#This Row],[Order_Date]],"mmm")</f>
        <v>Mar</v>
      </c>
      <c r="D948" t="s">
        <v>1328</v>
      </c>
      <c r="E948" t="s">
        <v>1674</v>
      </c>
      <c r="F948" t="s">
        <v>1766</v>
      </c>
      <c r="G948">
        <v>3</v>
      </c>
      <c r="H948" s="10">
        <f>IF(ISBLANK(ESales_DB[[#This Row],[Quantity]]),AVERAGEIF(ESales_DB[Product_ID],ESales_DB[[#This Row],[Product_ID]],ESales_DB[Quantity]),ESales_DB[[#This Row],[Quantity]])</f>
        <v>3</v>
      </c>
      <c r="I948" s="2">
        <v>476.78</v>
      </c>
      <c r="J948">
        <v>0.09</v>
      </c>
      <c r="K948" t="s">
        <v>1829</v>
      </c>
      <c r="L948" s="2">
        <v>1301.6094000000001</v>
      </c>
      <c r="M948" s="2" t="str">
        <f>IF(ESales_DB[[#This Row],[Total_Amount]]&gt;1000,"High","Low")</f>
        <v>High</v>
      </c>
      <c r="N948" s="2" t="str">
        <f>VLOOKUP(ESales_DB[[#This Row],[Customer_ID]],Ecustom_DB[],3,FALSE)</f>
        <v>Samuel Mullins</v>
      </c>
      <c r="O948" s="2" t="str">
        <f>_xlfn.XLOOKUP(ESales_DB[[#This Row],[Product_ID]],Eproduct_DB[Product_ID],Eproduct_DB[Category])</f>
        <v>Beauty</v>
      </c>
      <c r="P948" s="2" t="str">
        <f>_xlfn.XLOOKUP(ESales_DB[[#This Row],[Product_ID]],Eproduct_DB[Product_ID],Eproduct_DB[Product_Name])</f>
        <v>Organic Sunscreen Lotion</v>
      </c>
      <c r="Q948" s="2" t="str">
        <f>_xlfn.XLOOKUP(ESales_DB[[#This Row],[Store_ID]],Estore_DB[Store_ID],Estore_DB[Region])</f>
        <v>North</v>
      </c>
      <c r="R948" t="str">
        <f>VLOOKUP(ESales_DB[[#This Row],[Customer_ID]],Ecustom_DB[],10,FALSE)</f>
        <v>Bronze</v>
      </c>
      <c r="S948" t="str">
        <f>IF(ESales_DB[[#This Row],[Quantity1]]&gt;3,"Bulk order","Normal order")</f>
        <v>Normal order</v>
      </c>
    </row>
    <row r="949" spans="1:19" x14ac:dyDescent="0.3">
      <c r="A949" t="s">
        <v>3676</v>
      </c>
      <c r="B949" s="4">
        <v>45465</v>
      </c>
      <c r="C949" s="4" t="str">
        <f>TEXT(ESales_DB[[#This Row],[Order_Date]],"mmm")</f>
        <v>Jun</v>
      </c>
      <c r="D949" t="s">
        <v>393</v>
      </c>
      <c r="E949" t="s">
        <v>1640</v>
      </c>
      <c r="F949" t="s">
        <v>1761</v>
      </c>
      <c r="G949">
        <v>1</v>
      </c>
      <c r="H949" s="10">
        <f>IF(ISBLANK(ESales_DB[[#This Row],[Quantity]]),AVERAGEIF(ESales_DB[Product_ID],ESales_DB[[#This Row],[Product_ID]],ESales_DB[Quantity]),ESales_DB[[#This Row],[Quantity]])</f>
        <v>1</v>
      </c>
      <c r="I949" s="2">
        <v>780.24</v>
      </c>
      <c r="J949">
        <v>0.04</v>
      </c>
      <c r="K949" t="s">
        <v>1829</v>
      </c>
      <c r="L949" s="2">
        <v>749.03039999999999</v>
      </c>
      <c r="M949" s="2" t="str">
        <f>IF(ESales_DB[[#This Row],[Total_Amount]]&gt;1000,"High","Low")</f>
        <v>Low</v>
      </c>
      <c r="N949" s="2" t="str">
        <f>VLOOKUP(ESales_DB[[#This Row],[Customer_ID]],Ecustom_DB[],3,FALSE)</f>
        <v>David Cole</v>
      </c>
      <c r="O949" s="2" t="str">
        <f>_xlfn.XLOOKUP(ESales_DB[[#This Row],[Product_ID]],Eproduct_DB[Product_ID],Eproduct_DB[Category])</f>
        <v>Clothing</v>
      </c>
      <c r="P949" s="2" t="str">
        <f>_xlfn.XLOOKUP(ESales_DB[[#This Row],[Product_ID]],Eproduct_DB[Product_ID],Eproduct_DB[Product_Name])</f>
        <v>Men's Winter Jacket</v>
      </c>
      <c r="Q949" s="2" t="str">
        <f>_xlfn.XLOOKUP(ESales_DB[[#This Row],[Store_ID]],Estore_DB[Store_ID],Estore_DB[Region])</f>
        <v>South</v>
      </c>
      <c r="R949" t="str">
        <f>VLOOKUP(ESales_DB[[#This Row],[Customer_ID]],Ecustom_DB[],10,FALSE)</f>
        <v>Silver</v>
      </c>
      <c r="S949" t="str">
        <f>IF(ESales_DB[[#This Row],[Quantity1]]&gt;3,"Bulk order","Normal order")</f>
        <v>Normal order</v>
      </c>
    </row>
    <row r="950" spans="1:19" x14ac:dyDescent="0.3">
      <c r="A950" t="s">
        <v>3677</v>
      </c>
      <c r="B950" s="4">
        <v>45552</v>
      </c>
      <c r="C950" s="4" t="str">
        <f>TEXT(ESales_DB[[#This Row],[Order_Date]],"mmm")</f>
        <v>Sep</v>
      </c>
      <c r="D950" t="s">
        <v>378</v>
      </c>
      <c r="E950" t="s">
        <v>1688</v>
      </c>
      <c r="F950" t="s">
        <v>1804</v>
      </c>
      <c r="G950">
        <v>4</v>
      </c>
      <c r="H950" s="10">
        <f>IF(ISBLANK(ESales_DB[[#This Row],[Quantity]]),AVERAGEIF(ESales_DB[Product_ID],ESales_DB[[#This Row],[Product_ID]],ESales_DB[Quantity]),ESales_DB[[#This Row],[Quantity]])</f>
        <v>4</v>
      </c>
      <c r="I950" s="2">
        <v>579.24</v>
      </c>
      <c r="J950">
        <v>0.04</v>
      </c>
      <c r="K950" t="s">
        <v>1829</v>
      </c>
      <c r="L950" s="2">
        <v>2224.2815999999998</v>
      </c>
      <c r="M950" s="2" t="str">
        <f>IF(ESales_DB[[#This Row],[Total_Amount]]&gt;1000,"High","Low")</f>
        <v>High</v>
      </c>
      <c r="N950" s="2" t="str">
        <f>VLOOKUP(ESales_DB[[#This Row],[Customer_ID]],Ecustom_DB[],3,FALSE)</f>
        <v>Erica Carney</v>
      </c>
      <c r="O950" s="2" t="str">
        <f>_xlfn.XLOOKUP(ESales_DB[[#This Row],[Product_ID]],Eproduct_DB[Product_ID],Eproduct_DB[Category])</f>
        <v>Home</v>
      </c>
      <c r="P950" s="2" t="str">
        <f>_xlfn.XLOOKUP(ESales_DB[[#This Row],[Product_ID]],Eproduct_DB[Product_ID],Eproduct_DB[Product_Name])</f>
        <v>Kitchen Storage Rack</v>
      </c>
      <c r="Q950" s="2" t="str">
        <f>_xlfn.XLOOKUP(ESales_DB[[#This Row],[Store_ID]],Estore_DB[Store_ID],Estore_DB[Region])</f>
        <v>West</v>
      </c>
      <c r="R950" t="str">
        <f>VLOOKUP(ESales_DB[[#This Row],[Customer_ID]],Ecustom_DB[],10,FALSE)</f>
        <v>Platinum</v>
      </c>
      <c r="S950" t="str">
        <f>IF(ESales_DB[[#This Row],[Quantity1]]&gt;3,"Bulk order","Normal order")</f>
        <v>Bulk order</v>
      </c>
    </row>
    <row r="951" spans="1:19" x14ac:dyDescent="0.3">
      <c r="A951" t="s">
        <v>3678</v>
      </c>
      <c r="B951" s="4">
        <v>45635</v>
      </c>
      <c r="C951" s="4" t="str">
        <f>TEXT(ESales_DB[[#This Row],[Order_Date]],"mmm")</f>
        <v>Dec</v>
      </c>
      <c r="D951" t="s">
        <v>1160</v>
      </c>
      <c r="E951" t="s">
        <v>1546</v>
      </c>
      <c r="F951" t="s">
        <v>1761</v>
      </c>
      <c r="G951">
        <v>3</v>
      </c>
      <c r="H951" s="10">
        <f>IF(ISBLANK(ESales_DB[[#This Row],[Quantity]]),AVERAGEIF(ESales_DB[Product_ID],ESales_DB[[#This Row],[Product_ID]],ESales_DB[Quantity]),ESales_DB[[#This Row],[Quantity]])</f>
        <v>3</v>
      </c>
      <c r="I951" s="2">
        <v>268.95</v>
      </c>
      <c r="J951">
        <v>0.04</v>
      </c>
      <c r="K951" t="s">
        <v>1826</v>
      </c>
      <c r="L951" s="2">
        <v>774.57599999999991</v>
      </c>
      <c r="M951" s="2" t="str">
        <f>IF(ESales_DB[[#This Row],[Total_Amount]]&gt;1000,"High","Low")</f>
        <v>Low</v>
      </c>
      <c r="N951" s="2" t="str">
        <f>VLOOKUP(ESales_DB[[#This Row],[Customer_ID]],Ecustom_DB[],3,FALSE)</f>
        <v>Michael Garner</v>
      </c>
      <c r="O951" s="2" t="str">
        <f>_xlfn.XLOOKUP(ESales_DB[[#This Row],[Product_ID]],Eproduct_DB[Product_ID],Eproduct_DB[Category])</f>
        <v>Clothing</v>
      </c>
      <c r="P951" s="2" t="str">
        <f>_xlfn.XLOOKUP(ESales_DB[[#This Row],[Product_ID]],Eproduct_DB[Product_ID],Eproduct_DB[Product_Name])</f>
        <v>Men's Graphic T-Shirt</v>
      </c>
      <c r="Q951" s="2" t="str">
        <f>_xlfn.XLOOKUP(ESales_DB[[#This Row],[Store_ID]],Estore_DB[Store_ID],Estore_DB[Region])</f>
        <v>South</v>
      </c>
      <c r="R951" t="str">
        <f>VLOOKUP(ESales_DB[[#This Row],[Customer_ID]],Ecustom_DB[],10,FALSE)</f>
        <v>Platinum</v>
      </c>
      <c r="S951" t="str">
        <f>IF(ESales_DB[[#This Row],[Quantity1]]&gt;3,"Bulk order","Normal order")</f>
        <v>Normal order</v>
      </c>
    </row>
    <row r="952" spans="1:19" x14ac:dyDescent="0.3">
      <c r="A952" t="s">
        <v>3679</v>
      </c>
      <c r="B952" s="4">
        <v>45740</v>
      </c>
      <c r="C952" s="4" t="str">
        <f>TEXT(ESales_DB[[#This Row],[Order_Date]],"mmm")</f>
        <v>Mar</v>
      </c>
      <c r="D952" t="s">
        <v>963</v>
      </c>
      <c r="E952" t="s">
        <v>1555</v>
      </c>
      <c r="F952" t="s">
        <v>1769</v>
      </c>
      <c r="G952">
        <v>1</v>
      </c>
      <c r="H952" s="10">
        <f>IF(ISBLANK(ESales_DB[[#This Row],[Quantity]]),AVERAGEIF(ESales_DB[Product_ID],ESales_DB[[#This Row],[Product_ID]],ESales_DB[Quantity]),ESales_DB[[#This Row],[Quantity]])</f>
        <v>1</v>
      </c>
      <c r="I952" s="2">
        <v>47.47</v>
      </c>
      <c r="J952">
        <v>0.28000000000000003</v>
      </c>
      <c r="K952" t="s">
        <v>1824</v>
      </c>
      <c r="L952" s="2">
        <v>34.178400000000003</v>
      </c>
      <c r="M952" s="2" t="str">
        <f>IF(ESales_DB[[#This Row],[Total_Amount]]&gt;1000,"High","Low")</f>
        <v>Low</v>
      </c>
      <c r="N952" s="2" t="str">
        <f>VLOOKUP(ESales_DB[[#This Row],[Customer_ID]],Ecustom_DB[],3,FALSE)</f>
        <v>Roberta Green</v>
      </c>
      <c r="O952" s="2" t="str">
        <f>_xlfn.XLOOKUP(ESales_DB[[#This Row],[Product_ID]],Eproduct_DB[Product_ID],Eproduct_DB[Category])</f>
        <v>Clothing</v>
      </c>
      <c r="P952" s="2" t="str">
        <f>_xlfn.XLOOKUP(ESales_DB[[#This Row],[Product_ID]],Eproduct_DB[Product_ID],Eproduct_DB[Product_Name])</f>
        <v>Men's Leather Belt</v>
      </c>
      <c r="Q952" s="2" t="str">
        <f>_xlfn.XLOOKUP(ESales_DB[[#This Row],[Store_ID]],Estore_DB[Store_ID],Estore_DB[Region])</f>
        <v>South</v>
      </c>
      <c r="R952" t="str">
        <f>VLOOKUP(ESales_DB[[#This Row],[Customer_ID]],Ecustom_DB[],10,FALSE)</f>
        <v>Platinum</v>
      </c>
      <c r="S952" t="str">
        <f>IF(ESales_DB[[#This Row],[Quantity1]]&gt;3,"Bulk order","Normal order")</f>
        <v>Normal order</v>
      </c>
    </row>
    <row r="953" spans="1:19" x14ac:dyDescent="0.3">
      <c r="A953" t="s">
        <v>3680</v>
      </c>
      <c r="B953" s="4">
        <v>45796</v>
      </c>
      <c r="C953" s="4" t="str">
        <f>TEXT(ESales_DB[[#This Row],[Order_Date]],"mmm")</f>
        <v>May</v>
      </c>
      <c r="D953" t="s">
        <v>821</v>
      </c>
      <c r="E953" t="s">
        <v>1614</v>
      </c>
      <c r="F953" t="s">
        <v>1807</v>
      </c>
      <c r="G953">
        <v>3</v>
      </c>
      <c r="H953" s="10">
        <f>IF(ISBLANK(ESales_DB[[#This Row],[Quantity]]),AVERAGEIF(ESales_DB[Product_ID],ESales_DB[[#This Row],[Product_ID]],ESales_DB[Quantity]),ESales_DB[[#This Row],[Quantity]])</f>
        <v>3</v>
      </c>
      <c r="I953" s="2">
        <v>858.81</v>
      </c>
      <c r="J953">
        <v>7.0000000000000007E-2</v>
      </c>
      <c r="K953" t="s">
        <v>1824</v>
      </c>
      <c r="L953" s="2">
        <v>2396.0799000000002</v>
      </c>
      <c r="M953" s="2" t="str">
        <f>IF(ESales_DB[[#This Row],[Total_Amount]]&gt;1000,"High","Low")</f>
        <v>High</v>
      </c>
      <c r="N953" s="2" t="str">
        <f>VLOOKUP(ESales_DB[[#This Row],[Customer_ID]],Ecustom_DB[],3,FALSE)</f>
        <v>Christopher David</v>
      </c>
      <c r="O953" s="2" t="str">
        <f>_xlfn.XLOOKUP(ESales_DB[[#This Row],[Product_ID]],Eproduct_DB[Product_ID],Eproduct_DB[Category])</f>
        <v>Home</v>
      </c>
      <c r="P953" s="2" t="str">
        <f>_xlfn.XLOOKUP(ESales_DB[[#This Row],[Product_ID]],Eproduct_DB[Product_ID],Eproduct_DB[Product_Name])</f>
        <v>Modern Wall Clock</v>
      </c>
      <c r="Q953" s="2" t="str">
        <f>_xlfn.XLOOKUP(ESales_DB[[#This Row],[Store_ID]],Estore_DB[Store_ID],Estore_DB[Region])</f>
        <v>North</v>
      </c>
      <c r="R953" t="str">
        <f>VLOOKUP(ESales_DB[[#This Row],[Customer_ID]],Ecustom_DB[],10,FALSE)</f>
        <v>Silver</v>
      </c>
      <c r="S953" t="str">
        <f>IF(ESales_DB[[#This Row],[Quantity1]]&gt;3,"Bulk order","Normal order")</f>
        <v>Normal order</v>
      </c>
    </row>
    <row r="954" spans="1:19" x14ac:dyDescent="0.3">
      <c r="A954" t="s">
        <v>3681</v>
      </c>
      <c r="B954" s="4">
        <v>45710</v>
      </c>
      <c r="C954" s="4" t="str">
        <f>TEXT(ESales_DB[[#This Row],[Order_Date]],"mmm")</f>
        <v>Feb</v>
      </c>
      <c r="D954" t="s">
        <v>978</v>
      </c>
      <c r="E954" t="s">
        <v>1586</v>
      </c>
      <c r="F954" t="s">
        <v>1789</v>
      </c>
      <c r="G954">
        <v>3</v>
      </c>
      <c r="H954" s="10">
        <f>IF(ISBLANK(ESales_DB[[#This Row],[Quantity]]),AVERAGEIF(ESales_DB[Product_ID],ESales_DB[[#This Row],[Product_ID]],ESales_DB[Quantity]),ESales_DB[[#This Row],[Quantity]])</f>
        <v>3</v>
      </c>
      <c r="I954" s="2">
        <v>569.98</v>
      </c>
      <c r="J954">
        <v>0.05</v>
      </c>
      <c r="K954" t="s">
        <v>1824</v>
      </c>
      <c r="L954" s="2">
        <v>1624.443</v>
      </c>
      <c r="M954" s="2" t="str">
        <f>IF(ESales_DB[[#This Row],[Total_Amount]]&gt;1000,"High","Low")</f>
        <v>High</v>
      </c>
      <c r="N954" s="2" t="str">
        <f>VLOOKUP(ESales_DB[[#This Row],[Customer_ID]],Ecustom_DB[],3,FALSE)</f>
        <v>Kara Dodson</v>
      </c>
      <c r="O954" s="2" t="str">
        <f>_xlfn.XLOOKUP(ESales_DB[[#This Row],[Product_ID]],Eproduct_DB[Product_ID],Eproduct_DB[Category])</f>
        <v>Sports</v>
      </c>
      <c r="P954" s="2" t="str">
        <f>_xlfn.XLOOKUP(ESales_DB[[#This Row],[Product_ID]],Eproduct_DB[Product_ID],Eproduct_DB[Product_Name])</f>
        <v>Knee Support Brace</v>
      </c>
      <c r="Q954" s="2" t="str">
        <f>_xlfn.XLOOKUP(ESales_DB[[#This Row],[Store_ID]],Estore_DB[Store_ID],Estore_DB[Region])</f>
        <v>East</v>
      </c>
      <c r="R954" t="str">
        <f>VLOOKUP(ESales_DB[[#This Row],[Customer_ID]],Ecustom_DB[],10,FALSE)</f>
        <v>Silver</v>
      </c>
      <c r="S954" t="str">
        <f>IF(ESales_DB[[#This Row],[Quantity1]]&gt;3,"Bulk order","Normal order")</f>
        <v>Normal order</v>
      </c>
    </row>
    <row r="955" spans="1:19" x14ac:dyDescent="0.3">
      <c r="A955" t="s">
        <v>3682</v>
      </c>
      <c r="B955" s="4">
        <v>45596</v>
      </c>
      <c r="C955" s="4" t="str">
        <f>TEXT(ESales_DB[[#This Row],[Order_Date]],"mmm")</f>
        <v>Oct</v>
      </c>
      <c r="D955" t="s">
        <v>1029</v>
      </c>
      <c r="E955" t="s">
        <v>1696</v>
      </c>
      <c r="F955" t="s">
        <v>1794</v>
      </c>
      <c r="G955">
        <v>3</v>
      </c>
      <c r="H955" s="10">
        <f>IF(ISBLANK(ESales_DB[[#This Row],[Quantity]]),AVERAGEIF(ESales_DB[Product_ID],ESales_DB[[#This Row],[Product_ID]],ESales_DB[Quantity]),ESales_DB[[#This Row],[Quantity]])</f>
        <v>3</v>
      </c>
      <c r="I955" s="2">
        <v>306.52</v>
      </c>
      <c r="J955">
        <v>0.01</v>
      </c>
      <c r="K955" t="s">
        <v>1829</v>
      </c>
      <c r="L955" s="2">
        <v>910.36439999999993</v>
      </c>
      <c r="M955" s="2" t="str">
        <f>IF(ESales_DB[[#This Row],[Total_Amount]]&gt;1000,"High","Low")</f>
        <v>Low</v>
      </c>
      <c r="N955" s="2" t="str">
        <f>VLOOKUP(ESales_DB[[#This Row],[Customer_ID]],Ecustom_DB[],3,FALSE)</f>
        <v>Reginald Willis</v>
      </c>
      <c r="O955" s="2" t="str">
        <f>_xlfn.XLOOKUP(ESales_DB[[#This Row],[Product_ID]],Eproduct_DB[Product_ID],Eproduct_DB[Category])</f>
        <v>Electronics</v>
      </c>
      <c r="P955" s="2" t="str">
        <f>_xlfn.XLOOKUP(ESales_DB[[#This Row],[Product_ID]],Eproduct_DB[Product_ID],Eproduct_DB[Product_Name])</f>
        <v>Bluetooth Car Audio System</v>
      </c>
      <c r="Q955" s="2" t="str">
        <f>_xlfn.XLOOKUP(ESales_DB[[#This Row],[Store_ID]],Estore_DB[Store_ID],Estore_DB[Region])</f>
        <v>North</v>
      </c>
      <c r="R955" t="str">
        <f>VLOOKUP(ESales_DB[[#This Row],[Customer_ID]],Ecustom_DB[],10,FALSE)</f>
        <v>Bronze</v>
      </c>
      <c r="S955" t="str">
        <f>IF(ESales_DB[[#This Row],[Quantity1]]&gt;3,"Bulk order","Normal order")</f>
        <v>Normal order</v>
      </c>
    </row>
    <row r="956" spans="1:19" x14ac:dyDescent="0.3">
      <c r="A956" t="s">
        <v>3683</v>
      </c>
      <c r="B956" s="4">
        <v>45354</v>
      </c>
      <c r="C956" s="4" t="str">
        <f>TEXT(ESales_DB[[#This Row],[Order_Date]],"mmm")</f>
        <v>Mar</v>
      </c>
      <c r="D956" t="s">
        <v>238</v>
      </c>
      <c r="E956" t="s">
        <v>1660</v>
      </c>
      <c r="F956" t="s">
        <v>1797</v>
      </c>
      <c r="G956">
        <v>3</v>
      </c>
      <c r="H956" s="10">
        <f>IF(ISBLANK(ESales_DB[[#This Row],[Quantity]]),AVERAGEIF(ESales_DB[Product_ID],ESales_DB[[#This Row],[Product_ID]],ESales_DB[Quantity]),ESales_DB[[#This Row],[Quantity]])</f>
        <v>3</v>
      </c>
      <c r="I956" s="2">
        <v>184.67</v>
      </c>
      <c r="J956">
        <v>0.03</v>
      </c>
      <c r="K956" t="s">
        <v>1829</v>
      </c>
      <c r="L956" s="2">
        <v>537.38969999999995</v>
      </c>
      <c r="M956" s="2" t="str">
        <f>IF(ESales_DB[[#This Row],[Total_Amount]]&gt;1000,"High","Low")</f>
        <v>Low</v>
      </c>
      <c r="N956" s="2" t="str">
        <f>VLOOKUP(ESales_DB[[#This Row],[Customer_ID]],Ecustom_DB[],3,FALSE)</f>
        <v>Mr. Mason Butler</v>
      </c>
      <c r="O956" s="2" t="str">
        <f>_xlfn.XLOOKUP(ESales_DB[[#This Row],[Product_ID]],Eproduct_DB[Product_ID],Eproduct_DB[Category])</f>
        <v>Home</v>
      </c>
      <c r="P956" s="2" t="str">
        <f>_xlfn.XLOOKUP(ESales_DB[[#This Row],[Product_ID]],Eproduct_DB[Product_ID],Eproduct_DB[Product_Name])</f>
        <v>Premium Blanket Throw</v>
      </c>
      <c r="Q956" s="2" t="str">
        <f>_xlfn.XLOOKUP(ESales_DB[[#This Row],[Store_ID]],Estore_DB[Store_ID],Estore_DB[Region])</f>
        <v>East</v>
      </c>
      <c r="R956" t="str">
        <f>VLOOKUP(ESales_DB[[#This Row],[Customer_ID]],Ecustom_DB[],10,FALSE)</f>
        <v>Gold</v>
      </c>
      <c r="S956" t="str">
        <f>IF(ESales_DB[[#This Row],[Quantity1]]&gt;3,"Bulk order","Normal order")</f>
        <v>Normal order</v>
      </c>
    </row>
    <row r="957" spans="1:19" x14ac:dyDescent="0.3">
      <c r="A957" t="s">
        <v>3684</v>
      </c>
      <c r="B957" s="4">
        <v>45428</v>
      </c>
      <c r="C957" s="4" t="str">
        <f>TEXT(ESales_DB[[#This Row],[Order_Date]],"mmm")</f>
        <v>May</v>
      </c>
      <c r="D957" t="s">
        <v>1484</v>
      </c>
      <c r="E957" t="s">
        <v>1600</v>
      </c>
      <c r="F957" t="s">
        <v>1773</v>
      </c>
      <c r="G957">
        <v>4</v>
      </c>
      <c r="H957" s="10">
        <f>IF(ISBLANK(ESales_DB[[#This Row],[Quantity]]),AVERAGEIF(ESales_DB[Product_ID],ESales_DB[[#This Row],[Product_ID]],ESales_DB[Quantity]),ESales_DB[[#This Row],[Quantity]])</f>
        <v>4</v>
      </c>
      <c r="I957" s="2">
        <v>189.56</v>
      </c>
      <c r="J957">
        <v>0</v>
      </c>
      <c r="K957" t="s">
        <v>1829</v>
      </c>
      <c r="L957" s="2">
        <v>758.24</v>
      </c>
      <c r="M957" s="2" t="str">
        <f>IF(ESales_DB[[#This Row],[Total_Amount]]&gt;1000,"High","Low")</f>
        <v>Low</v>
      </c>
      <c r="N957" s="2" t="str">
        <f>VLOOKUP(ESales_DB[[#This Row],[Customer_ID]],Ecustom_DB[],3,FALSE)</f>
        <v>Sheri Joyce</v>
      </c>
      <c r="O957" s="2" t="str">
        <f>_xlfn.XLOOKUP(ESales_DB[[#This Row],[Product_ID]],Eproduct_DB[Product_ID],Eproduct_DB[Category])</f>
        <v>Electronics</v>
      </c>
      <c r="P957" s="2" t="str">
        <f>_xlfn.XLOOKUP(ESales_DB[[#This Row],[Product_ID]],Eproduct_DB[Product_ID],Eproduct_DB[Product_Name])</f>
        <v>Wireless Bluetooth Speaker</v>
      </c>
      <c r="Q957" s="2" t="str">
        <f>_xlfn.XLOOKUP(ESales_DB[[#This Row],[Store_ID]],Estore_DB[Store_ID],Estore_DB[Region])</f>
        <v>North</v>
      </c>
      <c r="R957" t="str">
        <f>VLOOKUP(ESales_DB[[#This Row],[Customer_ID]],Ecustom_DB[],10,FALSE)</f>
        <v>Platinum</v>
      </c>
      <c r="S957" t="str">
        <f>IF(ESales_DB[[#This Row],[Quantity1]]&gt;3,"Bulk order","Normal order")</f>
        <v>Bulk order</v>
      </c>
    </row>
    <row r="958" spans="1:19" x14ac:dyDescent="0.3">
      <c r="A958" t="s">
        <v>3685</v>
      </c>
      <c r="B958" s="4">
        <v>45511</v>
      </c>
      <c r="C958" s="4" t="str">
        <f>TEXT(ESales_DB[[#This Row],[Order_Date]],"mmm")</f>
        <v>Aug</v>
      </c>
      <c r="D958" t="s">
        <v>678</v>
      </c>
      <c r="E958" t="s">
        <v>1698</v>
      </c>
      <c r="F958" t="s">
        <v>1773</v>
      </c>
      <c r="G958">
        <v>1</v>
      </c>
      <c r="H958" s="10">
        <f>IF(ISBLANK(ESales_DB[[#This Row],[Quantity]]),AVERAGEIF(ESales_DB[Product_ID],ESales_DB[[#This Row],[Product_ID]],ESales_DB[Quantity]),ESales_DB[[#This Row],[Quantity]])</f>
        <v>1</v>
      </c>
      <c r="I958" s="2">
        <v>805.24</v>
      </c>
      <c r="J958">
        <v>0.04</v>
      </c>
      <c r="K958" t="s">
        <v>1826</v>
      </c>
      <c r="L958" s="2">
        <v>773.03039999999999</v>
      </c>
      <c r="M958" s="2" t="str">
        <f>IF(ESales_DB[[#This Row],[Total_Amount]]&gt;1000,"High","Low")</f>
        <v>Low</v>
      </c>
      <c r="N958" s="2" t="str">
        <f>VLOOKUP(ESales_DB[[#This Row],[Customer_ID]],Ecustom_DB[],3,FALSE)</f>
        <v>John Perez</v>
      </c>
      <c r="O958" s="2" t="str">
        <f>_xlfn.XLOOKUP(ESales_DB[[#This Row],[Product_ID]],Eproduct_DB[Product_ID],Eproduct_DB[Category])</f>
        <v>Clothing</v>
      </c>
      <c r="P958" s="2" t="str">
        <f>_xlfn.XLOOKUP(ESales_DB[[#This Row],[Product_ID]],Eproduct_DB[Product_ID],Eproduct_DB[Product_Name])</f>
        <v>Women's Ankle Boots</v>
      </c>
      <c r="Q958" s="2" t="str">
        <f>_xlfn.XLOOKUP(ESales_DB[[#This Row],[Store_ID]],Estore_DB[Store_ID],Estore_DB[Region])</f>
        <v>North</v>
      </c>
      <c r="R958" t="str">
        <f>VLOOKUP(ESales_DB[[#This Row],[Customer_ID]],Ecustom_DB[],10,FALSE)</f>
        <v>Platinum</v>
      </c>
      <c r="S958" t="str">
        <f>IF(ESales_DB[[#This Row],[Quantity1]]&gt;3,"Bulk order","Normal order")</f>
        <v>Normal order</v>
      </c>
    </row>
    <row r="959" spans="1:19" x14ac:dyDescent="0.3">
      <c r="A959" t="s">
        <v>2012</v>
      </c>
      <c r="B959" s="4">
        <v>45600</v>
      </c>
      <c r="C959" s="4" t="str">
        <f>TEXT(ESales_DB[[#This Row],[Order_Date]],"mmm")</f>
        <v>Nov</v>
      </c>
      <c r="D959" t="s">
        <v>1400</v>
      </c>
      <c r="E959" t="s">
        <v>1706</v>
      </c>
      <c r="F959" t="s">
        <v>1810</v>
      </c>
      <c r="G959">
        <v>2</v>
      </c>
      <c r="H959" s="10">
        <f>IF(ISBLANK(ESales_DB[[#This Row],[Quantity]]),AVERAGEIF(ESales_DB[Product_ID],ESales_DB[[#This Row],[Product_ID]],ESales_DB[Quantity]),ESales_DB[[#This Row],[Quantity]])</f>
        <v>2</v>
      </c>
      <c r="I959" s="2">
        <v>504.26</v>
      </c>
      <c r="J959">
        <v>0.04</v>
      </c>
      <c r="K959" t="s">
        <v>1826</v>
      </c>
      <c r="L959" s="2">
        <v>968.17919999999992</v>
      </c>
      <c r="M959" s="2" t="str">
        <f>IF(ESales_DB[[#This Row],[Total_Amount]]&gt;1000,"High","Low")</f>
        <v>Low</v>
      </c>
      <c r="N959" s="2" t="str">
        <f>VLOOKUP(ESales_DB[[#This Row],[Customer_ID]],Ecustom_DB[],3,FALSE)</f>
        <v>April Phillips</v>
      </c>
      <c r="O959" s="2" t="str">
        <f>_xlfn.XLOOKUP(ESales_DB[[#This Row],[Product_ID]],Eproduct_DB[Product_ID],Eproduct_DB[Category])</f>
        <v>Home</v>
      </c>
      <c r="P959" s="2" t="str">
        <f>_xlfn.XLOOKUP(ESales_DB[[#This Row],[Product_ID]],Eproduct_DB[Product_ID],Eproduct_DB[Product_Name])</f>
        <v>Decorative Lamp Shade</v>
      </c>
      <c r="Q959" s="2" t="str">
        <f>_xlfn.XLOOKUP(ESales_DB[[#This Row],[Store_ID]],Estore_DB[Store_ID],Estore_DB[Region])</f>
        <v>East</v>
      </c>
      <c r="R959" t="str">
        <f>VLOOKUP(ESales_DB[[#This Row],[Customer_ID]],Ecustom_DB[],10,FALSE)</f>
        <v>Platinum</v>
      </c>
      <c r="S959" t="str">
        <f>IF(ESales_DB[[#This Row],[Quantity1]]&gt;3,"Bulk order","Normal order")</f>
        <v>Normal order</v>
      </c>
    </row>
    <row r="960" spans="1:19" x14ac:dyDescent="0.3">
      <c r="A960" t="s">
        <v>3686</v>
      </c>
      <c r="B960" s="4">
        <v>45549</v>
      </c>
      <c r="C960" s="4" t="str">
        <f>TEXT(ESales_DB[[#This Row],[Order_Date]],"mmm")</f>
        <v>Sep</v>
      </c>
      <c r="D960" t="s">
        <v>619</v>
      </c>
      <c r="E960" t="s">
        <v>1656</v>
      </c>
      <c r="F960" t="s">
        <v>1807</v>
      </c>
      <c r="G960">
        <v>3</v>
      </c>
      <c r="H960" s="10">
        <f>IF(ISBLANK(ESales_DB[[#This Row],[Quantity]]),AVERAGEIF(ESales_DB[Product_ID],ESales_DB[[#This Row],[Product_ID]],ESales_DB[Quantity]),ESales_DB[[#This Row],[Quantity]])</f>
        <v>3</v>
      </c>
      <c r="I960" s="2">
        <v>683.74</v>
      </c>
      <c r="J960">
        <v>0.24</v>
      </c>
      <c r="K960" t="s">
        <v>1824</v>
      </c>
      <c r="L960" s="2">
        <v>1558.9272000000001</v>
      </c>
      <c r="M960" s="2" t="str">
        <f>IF(ESales_DB[[#This Row],[Total_Amount]]&gt;1000,"High","Low")</f>
        <v>High</v>
      </c>
      <c r="N960" s="2" t="str">
        <f>VLOOKUP(ESales_DB[[#This Row],[Customer_ID]],Ecustom_DB[],3,FALSE)</f>
        <v>Kimberly Brooks</v>
      </c>
      <c r="O960" s="2" t="str">
        <f>_xlfn.XLOOKUP(ESales_DB[[#This Row],[Product_ID]],Eproduct_DB[Product_ID],Eproduct_DB[Category])</f>
        <v>Sports</v>
      </c>
      <c r="P960" s="2" t="str">
        <f>_xlfn.XLOOKUP(ESales_DB[[#This Row],[Product_ID]],Eproduct_DB[Product_ID],Eproduct_DB[Product_Name])</f>
        <v>Sports Stopwatch Pro</v>
      </c>
      <c r="Q960" s="2" t="str">
        <f>_xlfn.XLOOKUP(ESales_DB[[#This Row],[Store_ID]],Estore_DB[Store_ID],Estore_DB[Region])</f>
        <v>North</v>
      </c>
      <c r="R960" t="str">
        <f>VLOOKUP(ESales_DB[[#This Row],[Customer_ID]],Ecustom_DB[],10,FALSE)</f>
        <v>Silver</v>
      </c>
      <c r="S960" t="str">
        <f>IF(ESales_DB[[#This Row],[Quantity1]]&gt;3,"Bulk order","Normal order")</f>
        <v>Normal order</v>
      </c>
    </row>
    <row r="961" spans="1:19" x14ac:dyDescent="0.3">
      <c r="A961" t="s">
        <v>3687</v>
      </c>
      <c r="B961" s="4">
        <v>45573</v>
      </c>
      <c r="C961" s="4" t="str">
        <f>TEXT(ESales_DB[[#This Row],[Order_Date]],"mmm")</f>
        <v>Oct</v>
      </c>
      <c r="D961" t="s">
        <v>684</v>
      </c>
      <c r="E961" t="s">
        <v>1660</v>
      </c>
      <c r="F961" t="s">
        <v>1810</v>
      </c>
      <c r="G961">
        <v>3</v>
      </c>
      <c r="H961" s="10">
        <f>IF(ISBLANK(ESales_DB[[#This Row],[Quantity]]),AVERAGEIF(ESales_DB[Product_ID],ESales_DB[[#This Row],[Product_ID]],ESales_DB[Quantity]),ESales_DB[[#This Row],[Quantity]])</f>
        <v>3</v>
      </c>
      <c r="I961" s="2">
        <v>439.21</v>
      </c>
      <c r="J961">
        <v>0.28000000000000003</v>
      </c>
      <c r="K961" t="s">
        <v>1829</v>
      </c>
      <c r="L961" s="2">
        <v>948.69359999999983</v>
      </c>
      <c r="M961" s="2" t="str">
        <f>IF(ESales_DB[[#This Row],[Total_Amount]]&gt;1000,"High","Low")</f>
        <v>Low</v>
      </c>
      <c r="N961" s="2" t="str">
        <f>VLOOKUP(ESales_DB[[#This Row],[Customer_ID]],Ecustom_DB[],3,FALSE)</f>
        <v>Antonio Jones</v>
      </c>
      <c r="O961" s="2" t="str">
        <f>_xlfn.XLOOKUP(ESales_DB[[#This Row],[Product_ID]],Eproduct_DB[Product_ID],Eproduct_DB[Category])</f>
        <v>Home</v>
      </c>
      <c r="P961" s="2" t="str">
        <f>_xlfn.XLOOKUP(ESales_DB[[#This Row],[Product_ID]],Eproduct_DB[Product_ID],Eproduct_DB[Product_Name])</f>
        <v>Premium Blanket Throw</v>
      </c>
      <c r="Q961" s="2" t="str">
        <f>_xlfn.XLOOKUP(ESales_DB[[#This Row],[Store_ID]],Estore_DB[Store_ID],Estore_DB[Region])</f>
        <v>East</v>
      </c>
      <c r="R961" t="str">
        <f>VLOOKUP(ESales_DB[[#This Row],[Customer_ID]],Ecustom_DB[],10,FALSE)</f>
        <v>Silver</v>
      </c>
      <c r="S961" t="str">
        <f>IF(ESales_DB[[#This Row],[Quantity1]]&gt;3,"Bulk order","Normal order")</f>
        <v>Normal order</v>
      </c>
    </row>
    <row r="962" spans="1:19" x14ac:dyDescent="0.3">
      <c r="A962" t="s">
        <v>3688</v>
      </c>
      <c r="B962" s="4">
        <v>45904</v>
      </c>
      <c r="C962" s="4" t="str">
        <f>TEXT(ESales_DB[[#This Row],[Order_Date]],"mmm")</f>
        <v>Sep</v>
      </c>
      <c r="D962" t="s">
        <v>414</v>
      </c>
      <c r="E962" t="s">
        <v>1680</v>
      </c>
      <c r="F962" t="s">
        <v>1776</v>
      </c>
      <c r="G962">
        <v>1</v>
      </c>
      <c r="H962" s="10">
        <f>IF(ISBLANK(ESales_DB[[#This Row],[Quantity]]),AVERAGEIF(ESales_DB[Product_ID],ESales_DB[[#This Row],[Product_ID]],ESales_DB[Quantity]),ESales_DB[[#This Row],[Quantity]])</f>
        <v>1</v>
      </c>
      <c r="I962" s="2">
        <v>126.92</v>
      </c>
      <c r="J962">
        <v>0.24</v>
      </c>
      <c r="K962" t="s">
        <v>1829</v>
      </c>
      <c r="L962" s="2">
        <v>96.459199999999996</v>
      </c>
      <c r="M962" s="2" t="str">
        <f>IF(ESales_DB[[#This Row],[Total_Amount]]&gt;1000,"High","Low")</f>
        <v>Low</v>
      </c>
      <c r="N962" s="2" t="str">
        <f>VLOOKUP(ESales_DB[[#This Row],[Customer_ID]],Ecustom_DB[],3,FALSE)</f>
        <v>Michael Jones</v>
      </c>
      <c r="O962" s="2" t="str">
        <f>_xlfn.XLOOKUP(ESales_DB[[#This Row],[Product_ID]],Eproduct_DB[Product_ID],Eproduct_DB[Category])</f>
        <v>Beauty</v>
      </c>
      <c r="P962" s="2" t="str">
        <f>_xlfn.XLOOKUP(ESales_DB[[#This Row],[Product_ID]],Eproduct_DB[Product_ID],Eproduct_DB[Product_Name])</f>
        <v>Women's Hair Dryer Brush</v>
      </c>
      <c r="Q962" s="2" t="str">
        <f>_xlfn.XLOOKUP(ESales_DB[[#This Row],[Store_ID]],Estore_DB[Store_ID],Estore_DB[Region])</f>
        <v>East</v>
      </c>
      <c r="R962" t="str">
        <f>VLOOKUP(ESales_DB[[#This Row],[Customer_ID]],Ecustom_DB[],10,FALSE)</f>
        <v>Bronze</v>
      </c>
      <c r="S962" t="str">
        <f>IF(ESales_DB[[#This Row],[Quantity1]]&gt;3,"Bulk order","Normal order")</f>
        <v>Normal order</v>
      </c>
    </row>
    <row r="963" spans="1:19" x14ac:dyDescent="0.3">
      <c r="A963" t="s">
        <v>3689</v>
      </c>
      <c r="B963" s="4">
        <v>45489</v>
      </c>
      <c r="C963" s="4" t="str">
        <f>TEXT(ESales_DB[[#This Row],[Order_Date]],"mmm")</f>
        <v>Jul</v>
      </c>
      <c r="D963" t="s">
        <v>27</v>
      </c>
      <c r="E963" t="s">
        <v>1694</v>
      </c>
      <c r="F963" t="s">
        <v>1769</v>
      </c>
      <c r="G963">
        <v>4</v>
      </c>
      <c r="H963" s="10">
        <f>IF(ISBLANK(ESales_DB[[#This Row],[Quantity]]),AVERAGEIF(ESales_DB[Product_ID],ESales_DB[[#This Row],[Product_ID]],ESales_DB[Quantity]),ESales_DB[[#This Row],[Quantity]])</f>
        <v>4</v>
      </c>
      <c r="I963" s="2">
        <v>834.7</v>
      </c>
      <c r="J963">
        <v>0.14000000000000001</v>
      </c>
      <c r="K963" t="s">
        <v>1824</v>
      </c>
      <c r="L963" s="2">
        <v>2871.3679999999999</v>
      </c>
      <c r="M963" s="2" t="str">
        <f>IF(ESales_DB[[#This Row],[Total_Amount]]&gt;1000,"High","Low")</f>
        <v>High</v>
      </c>
      <c r="N963" s="2" t="str">
        <f>VLOOKUP(ESales_DB[[#This Row],[Customer_ID]],Ecustom_DB[],3,FALSE)</f>
        <v>Caroline Collins</v>
      </c>
      <c r="O963" s="2" t="str">
        <f>_xlfn.XLOOKUP(ESales_DB[[#This Row],[Product_ID]],Eproduct_DB[Product_ID],Eproduct_DB[Category])</f>
        <v>Sports</v>
      </c>
      <c r="P963" s="2" t="str">
        <f>_xlfn.XLOOKUP(ESales_DB[[#This Row],[Product_ID]],Eproduct_DB[Product_ID],Eproduct_DB[Product_Name])</f>
        <v>Shin Guards – Adult</v>
      </c>
      <c r="Q963" s="2" t="str">
        <f>_xlfn.XLOOKUP(ESales_DB[[#This Row],[Store_ID]],Estore_DB[Store_ID],Estore_DB[Region])</f>
        <v>South</v>
      </c>
      <c r="R963" t="str">
        <f>VLOOKUP(ESales_DB[[#This Row],[Customer_ID]],Ecustom_DB[],10,FALSE)</f>
        <v>Silver</v>
      </c>
      <c r="S963" t="str">
        <f>IF(ESales_DB[[#This Row],[Quantity1]]&gt;3,"Bulk order","Normal order")</f>
        <v>Bulk order</v>
      </c>
    </row>
    <row r="964" spans="1:19" x14ac:dyDescent="0.3">
      <c r="A964" t="s">
        <v>3690</v>
      </c>
      <c r="B964" s="4">
        <v>45909</v>
      </c>
      <c r="C964" s="4" t="str">
        <f>TEXT(ESales_DB[[#This Row],[Order_Date]],"mmm")</f>
        <v>Sep</v>
      </c>
      <c r="D964" t="s">
        <v>1071</v>
      </c>
      <c r="E964" t="s">
        <v>1632</v>
      </c>
      <c r="F964" t="s">
        <v>1792</v>
      </c>
      <c r="G964">
        <v>2</v>
      </c>
      <c r="H964" s="10">
        <f>IF(ISBLANK(ESales_DB[[#This Row],[Quantity]]),AVERAGEIF(ESales_DB[Product_ID],ESales_DB[[#This Row],[Product_ID]],ESales_DB[Quantity]),ESales_DB[[#This Row],[Quantity]])</f>
        <v>2</v>
      </c>
      <c r="I964" s="2">
        <v>271.88</v>
      </c>
      <c r="J964">
        <v>0.11</v>
      </c>
      <c r="K964" t="s">
        <v>1829</v>
      </c>
      <c r="L964" s="2">
        <v>483.94639999999998</v>
      </c>
      <c r="M964" s="2" t="str">
        <f>IF(ESales_DB[[#This Row],[Total_Amount]]&gt;1000,"High","Low")</f>
        <v>Low</v>
      </c>
      <c r="N964" s="2" t="str">
        <f>VLOOKUP(ESales_DB[[#This Row],[Customer_ID]],Ecustom_DB[],3,FALSE)</f>
        <v>Angela Williams</v>
      </c>
      <c r="O964" s="2" t="str">
        <f>_xlfn.XLOOKUP(ESales_DB[[#This Row],[Product_ID]],Eproduct_DB[Product_ID],Eproduct_DB[Category])</f>
        <v>Electronics</v>
      </c>
      <c r="P964" s="2" t="str">
        <f>_xlfn.XLOOKUP(ESales_DB[[#This Row],[Product_ID]],Eproduct_DB[Product_ID],Eproduct_DB[Product_Name])</f>
        <v>Smart Home WiFi Camera</v>
      </c>
      <c r="Q964" s="2" t="str">
        <f>_xlfn.XLOOKUP(ESales_DB[[#This Row],[Store_ID]],Estore_DB[Store_ID],Estore_DB[Region])</f>
        <v>South</v>
      </c>
      <c r="R964" t="str">
        <f>VLOOKUP(ESales_DB[[#This Row],[Customer_ID]],Ecustom_DB[],10,FALSE)</f>
        <v>Bronze</v>
      </c>
      <c r="S964" t="str">
        <f>IF(ESales_DB[[#This Row],[Quantity1]]&gt;3,"Bulk order","Normal order")</f>
        <v>Normal order</v>
      </c>
    </row>
    <row r="965" spans="1:19" x14ac:dyDescent="0.3">
      <c r="A965" t="s">
        <v>3691</v>
      </c>
      <c r="B965" s="4">
        <v>45720</v>
      </c>
      <c r="C965" s="4" t="str">
        <f>TEXT(ESales_DB[[#This Row],[Order_Date]],"mmm")</f>
        <v>Mar</v>
      </c>
      <c r="D965" t="s">
        <v>1478</v>
      </c>
      <c r="E965" t="s">
        <v>1570</v>
      </c>
      <c r="F965" t="s">
        <v>1757</v>
      </c>
      <c r="G965">
        <v>4</v>
      </c>
      <c r="H965" s="10">
        <f>IF(ISBLANK(ESales_DB[[#This Row],[Quantity]]),AVERAGEIF(ESales_DB[Product_ID],ESales_DB[[#This Row],[Product_ID]],ESales_DB[Quantity]),ESales_DB[[#This Row],[Quantity]])</f>
        <v>4</v>
      </c>
      <c r="I965" s="2">
        <v>972.14</v>
      </c>
      <c r="J965">
        <v>0.25</v>
      </c>
      <c r="K965" t="s">
        <v>1824</v>
      </c>
      <c r="L965" s="2">
        <v>2916.42</v>
      </c>
      <c r="M965" s="2" t="str">
        <f>IF(ESales_DB[[#This Row],[Total_Amount]]&gt;1000,"High","Low")</f>
        <v>High</v>
      </c>
      <c r="N965" s="2" t="str">
        <f>VLOOKUP(ESales_DB[[#This Row],[Customer_ID]],Ecustom_DB[],3,FALSE)</f>
        <v>Jordan Medina</v>
      </c>
      <c r="O965" s="2" t="str">
        <f>_xlfn.XLOOKUP(ESales_DB[[#This Row],[Product_ID]],Eproduct_DB[Product_ID],Eproduct_DB[Category])</f>
        <v>Electronics</v>
      </c>
      <c r="P965" s="2" t="str">
        <f>_xlfn.XLOOKUP(ESales_DB[[#This Row],[Product_ID]],Eproduct_DB[Product_ID],Eproduct_DB[Product_Name])</f>
        <v>HD Smart TV Stick</v>
      </c>
      <c r="Q965" s="2" t="str">
        <f>_xlfn.XLOOKUP(ESales_DB[[#This Row],[Store_ID]],Estore_DB[Store_ID],Estore_DB[Region])</f>
        <v>North</v>
      </c>
      <c r="R965" t="str">
        <f>VLOOKUP(ESales_DB[[#This Row],[Customer_ID]],Ecustom_DB[],10,FALSE)</f>
        <v>Bronze</v>
      </c>
      <c r="S965" t="str">
        <f>IF(ESales_DB[[#This Row],[Quantity1]]&gt;3,"Bulk order","Normal order")</f>
        <v>Bulk order</v>
      </c>
    </row>
    <row r="966" spans="1:19" x14ac:dyDescent="0.3">
      <c r="A966" t="s">
        <v>3692</v>
      </c>
      <c r="B966" s="4">
        <v>45831</v>
      </c>
      <c r="C966" s="4" t="str">
        <f>TEXT(ESales_DB[[#This Row],[Order_Date]],"mmm")</f>
        <v>Jun</v>
      </c>
      <c r="D966" t="s">
        <v>335</v>
      </c>
      <c r="E966" t="s">
        <v>1634</v>
      </c>
      <c r="F966" t="s">
        <v>1769</v>
      </c>
      <c r="G966">
        <v>3</v>
      </c>
      <c r="H966" s="10">
        <f>IF(ISBLANK(ESales_DB[[#This Row],[Quantity]]),AVERAGEIF(ESales_DB[Product_ID],ESales_DB[[#This Row],[Product_ID]],ESales_DB[Quantity]),ESales_DB[[#This Row],[Quantity]])</f>
        <v>3</v>
      </c>
      <c r="I966" s="2">
        <v>523.66</v>
      </c>
      <c r="J966">
        <v>0.27</v>
      </c>
      <c r="K966" t="s">
        <v>1826</v>
      </c>
      <c r="L966" s="2">
        <v>1146.8154</v>
      </c>
      <c r="M966" s="2" t="str">
        <f>IF(ESales_DB[[#This Row],[Total_Amount]]&gt;1000,"High","Low")</f>
        <v>High</v>
      </c>
      <c r="N966" s="2" t="str">
        <f>VLOOKUP(ESales_DB[[#This Row],[Customer_ID]],Ecustom_DB[],3,FALSE)</f>
        <v>Christy Vasquez</v>
      </c>
      <c r="O966" s="2" t="str">
        <f>_xlfn.XLOOKUP(ESales_DB[[#This Row],[Product_ID]],Eproduct_DB[Product_ID],Eproduct_DB[Category])</f>
        <v>Electronics</v>
      </c>
      <c r="P966" s="2" t="str">
        <f>_xlfn.XLOOKUP(ESales_DB[[#This Row],[Product_ID]],Eproduct_DB[Product_ID],Eproduct_DB[Product_Name])</f>
        <v>USB External Hard Drive</v>
      </c>
      <c r="Q966" s="2" t="str">
        <f>_xlfn.XLOOKUP(ESales_DB[[#This Row],[Store_ID]],Estore_DB[Store_ID],Estore_DB[Region])</f>
        <v>South</v>
      </c>
      <c r="R966" t="str">
        <f>VLOOKUP(ESales_DB[[#This Row],[Customer_ID]],Ecustom_DB[],10,FALSE)</f>
        <v>Gold</v>
      </c>
      <c r="S966" t="str">
        <f>IF(ESales_DB[[#This Row],[Quantity1]]&gt;3,"Bulk order","Normal order")</f>
        <v>Normal order</v>
      </c>
    </row>
    <row r="967" spans="1:19" x14ac:dyDescent="0.3">
      <c r="A967" t="s">
        <v>3693</v>
      </c>
      <c r="B967" s="4">
        <v>45602</v>
      </c>
      <c r="C967" s="4" t="str">
        <f>TEXT(ESales_DB[[#This Row],[Order_Date]],"mmm")</f>
        <v>Nov</v>
      </c>
      <c r="D967" t="s">
        <v>499</v>
      </c>
      <c r="E967" t="s">
        <v>1676</v>
      </c>
      <c r="F967" t="s">
        <v>1761</v>
      </c>
      <c r="G967">
        <v>4</v>
      </c>
      <c r="H967" s="10">
        <f>IF(ISBLANK(ESales_DB[[#This Row],[Quantity]]),AVERAGEIF(ESales_DB[Product_ID],ESales_DB[[#This Row],[Product_ID]],ESales_DB[Quantity]),ESales_DB[[#This Row],[Quantity]])</f>
        <v>4</v>
      </c>
      <c r="I967" s="2">
        <v>838.99</v>
      </c>
      <c r="J967">
        <v>0.16</v>
      </c>
      <c r="K967" t="s">
        <v>1824</v>
      </c>
      <c r="L967" s="2">
        <v>2819.0064000000002</v>
      </c>
      <c r="M967" s="2" t="str">
        <f>IF(ESales_DB[[#This Row],[Total_Amount]]&gt;1000,"High","Low")</f>
        <v>High</v>
      </c>
      <c r="N967" s="2" t="str">
        <f>VLOOKUP(ESales_DB[[#This Row],[Customer_ID]],Ecustom_DB[],3,FALSE)</f>
        <v>Theresa Campbell</v>
      </c>
      <c r="O967" s="2" t="str">
        <f>_xlfn.XLOOKUP(ESales_DB[[#This Row],[Product_ID]],Eproduct_DB[Product_ID],Eproduct_DB[Category])</f>
        <v>Beauty</v>
      </c>
      <c r="P967" s="2" t="str">
        <f>_xlfn.XLOOKUP(ESales_DB[[#This Row],[Product_ID]],Eproduct_DB[Product_ID],Eproduct_DB[Product_Name])</f>
        <v>Matte Lipstick Set</v>
      </c>
      <c r="Q967" s="2" t="str">
        <f>_xlfn.XLOOKUP(ESales_DB[[#This Row],[Store_ID]],Estore_DB[Store_ID],Estore_DB[Region])</f>
        <v>South</v>
      </c>
      <c r="R967" t="str">
        <f>VLOOKUP(ESales_DB[[#This Row],[Customer_ID]],Ecustom_DB[],10,FALSE)</f>
        <v>Bronze</v>
      </c>
      <c r="S967" t="str">
        <f>IF(ESales_DB[[#This Row],[Quantity1]]&gt;3,"Bulk order","Normal order")</f>
        <v>Bulk order</v>
      </c>
    </row>
    <row r="968" spans="1:19" x14ac:dyDescent="0.3">
      <c r="A968" t="s">
        <v>3694</v>
      </c>
      <c r="B968" s="4">
        <v>45722</v>
      </c>
      <c r="C968" s="4" t="str">
        <f>TEXT(ESales_DB[[#This Row],[Order_Date]],"mmm")</f>
        <v>Mar</v>
      </c>
      <c r="D968" t="s">
        <v>461</v>
      </c>
      <c r="E968" t="s">
        <v>1570</v>
      </c>
      <c r="F968" t="s">
        <v>1807</v>
      </c>
      <c r="G968">
        <v>4</v>
      </c>
      <c r="H968" s="10">
        <f>IF(ISBLANK(ESales_DB[[#This Row],[Quantity]]),AVERAGEIF(ESales_DB[Product_ID],ESales_DB[[#This Row],[Product_ID]],ESales_DB[Quantity]),ESales_DB[[#This Row],[Quantity]])</f>
        <v>4</v>
      </c>
      <c r="I968" s="2">
        <v>838.7</v>
      </c>
      <c r="J968">
        <v>0.21</v>
      </c>
      <c r="K968" t="s">
        <v>1829</v>
      </c>
      <c r="L968" s="2">
        <v>2650.2919999999999</v>
      </c>
      <c r="M968" s="2" t="str">
        <f>IF(ESales_DB[[#This Row],[Total_Amount]]&gt;1000,"High","Low")</f>
        <v>High</v>
      </c>
      <c r="N968" s="2" t="str">
        <f>VLOOKUP(ESales_DB[[#This Row],[Customer_ID]],Ecustom_DB[],3,FALSE)</f>
        <v>Matthew Hanna</v>
      </c>
      <c r="O968" s="2" t="str">
        <f>_xlfn.XLOOKUP(ESales_DB[[#This Row],[Product_ID]],Eproduct_DB[Product_ID],Eproduct_DB[Category])</f>
        <v>Electronics</v>
      </c>
      <c r="P968" s="2" t="str">
        <f>_xlfn.XLOOKUP(ESales_DB[[#This Row],[Product_ID]],Eproduct_DB[Product_ID],Eproduct_DB[Product_Name])</f>
        <v>HD Smart TV Stick</v>
      </c>
      <c r="Q968" s="2" t="str">
        <f>_xlfn.XLOOKUP(ESales_DB[[#This Row],[Store_ID]],Estore_DB[Store_ID],Estore_DB[Region])</f>
        <v>North</v>
      </c>
      <c r="R968" t="str">
        <f>VLOOKUP(ESales_DB[[#This Row],[Customer_ID]],Ecustom_DB[],10,FALSE)</f>
        <v>Platinum</v>
      </c>
      <c r="S968" t="str">
        <f>IF(ESales_DB[[#This Row],[Quantity1]]&gt;3,"Bulk order","Normal order")</f>
        <v>Bulk order</v>
      </c>
    </row>
    <row r="969" spans="1:19" x14ac:dyDescent="0.3">
      <c r="A969" t="s">
        <v>3695</v>
      </c>
      <c r="B969" s="4">
        <v>45794</v>
      </c>
      <c r="C969" s="4" t="str">
        <f>TEXT(ESales_DB[[#This Row],[Order_Date]],"mmm")</f>
        <v>May</v>
      </c>
      <c r="D969" t="s">
        <v>1304</v>
      </c>
      <c r="E969" t="s">
        <v>1696</v>
      </c>
      <c r="F969" t="s">
        <v>1782</v>
      </c>
      <c r="G969">
        <v>3</v>
      </c>
      <c r="H969" s="10">
        <f>IF(ISBLANK(ESales_DB[[#This Row],[Quantity]]),AVERAGEIF(ESales_DB[Product_ID],ESales_DB[[#This Row],[Product_ID]],ESales_DB[Quantity]),ESales_DB[[#This Row],[Quantity]])</f>
        <v>3</v>
      </c>
      <c r="I969" s="2">
        <v>943.24</v>
      </c>
      <c r="J969">
        <v>0.21</v>
      </c>
      <c r="K969" t="s">
        <v>1824</v>
      </c>
      <c r="L969" s="2">
        <v>2235.4787999999999</v>
      </c>
      <c r="M969" s="2" t="str">
        <f>IF(ESales_DB[[#This Row],[Total_Amount]]&gt;1000,"High","Low")</f>
        <v>High</v>
      </c>
      <c r="N969" s="2" t="str">
        <f>VLOOKUP(ESales_DB[[#This Row],[Customer_ID]],Ecustom_DB[],3,FALSE)</f>
        <v>Dr. Tamara White Md</v>
      </c>
      <c r="O969" s="2" t="str">
        <f>_xlfn.XLOOKUP(ESales_DB[[#This Row],[Product_ID]],Eproduct_DB[Product_ID],Eproduct_DB[Category])</f>
        <v>Electronics</v>
      </c>
      <c r="P969" s="2" t="str">
        <f>_xlfn.XLOOKUP(ESales_DB[[#This Row],[Product_ID]],Eproduct_DB[Product_ID],Eproduct_DB[Product_Name])</f>
        <v>Bluetooth Car Audio System</v>
      </c>
      <c r="Q969" s="2" t="str">
        <f>_xlfn.XLOOKUP(ESales_DB[[#This Row],[Store_ID]],Estore_DB[Store_ID],Estore_DB[Region])</f>
        <v>West</v>
      </c>
      <c r="R969" t="str">
        <f>VLOOKUP(ESales_DB[[#This Row],[Customer_ID]],Ecustom_DB[],10,FALSE)</f>
        <v>Bronze</v>
      </c>
      <c r="S969" t="str">
        <f>IF(ESales_DB[[#This Row],[Quantity1]]&gt;3,"Bulk order","Normal order")</f>
        <v>Normal order</v>
      </c>
    </row>
    <row r="970" spans="1:19" x14ac:dyDescent="0.3">
      <c r="A970" t="s">
        <v>2013</v>
      </c>
      <c r="B970" s="4">
        <v>45538</v>
      </c>
      <c r="C970" s="4" t="str">
        <f>TEXT(ESales_DB[[#This Row],[Order_Date]],"mmm")</f>
        <v>Sep</v>
      </c>
      <c r="D970" t="s">
        <v>866</v>
      </c>
      <c r="E970" t="s">
        <v>1710</v>
      </c>
      <c r="F970" t="s">
        <v>1776</v>
      </c>
      <c r="G970">
        <v>2</v>
      </c>
      <c r="H970" s="10">
        <f>IF(ISBLANK(ESales_DB[[#This Row],[Quantity]]),AVERAGEIF(ESales_DB[Product_ID],ESales_DB[[#This Row],[Product_ID]],ESales_DB[Quantity]),ESales_DB[[#This Row],[Quantity]])</f>
        <v>2</v>
      </c>
      <c r="I970" s="2">
        <v>549.33000000000004</v>
      </c>
      <c r="J970">
        <v>0.01</v>
      </c>
      <c r="K970" t="s">
        <v>1829</v>
      </c>
      <c r="L970" s="2">
        <v>1087.6733999999999</v>
      </c>
      <c r="M970" s="2" t="str">
        <f>IF(ESales_DB[[#This Row],[Total_Amount]]&gt;1000,"High","Low")</f>
        <v>High</v>
      </c>
      <c r="N970" s="2" t="str">
        <f>VLOOKUP(ESales_DB[[#This Row],[Customer_ID]],Ecustom_DB[],3,FALSE)</f>
        <v>Adam Rowland</v>
      </c>
      <c r="O970" s="2" t="str">
        <f>_xlfn.XLOOKUP(ESales_DB[[#This Row],[Product_ID]],Eproduct_DB[Product_ID],Eproduct_DB[Category])</f>
        <v>Sports</v>
      </c>
      <c r="P970" s="2" t="str">
        <f>_xlfn.XLOOKUP(ESales_DB[[#This Row],[Product_ID]],Eproduct_DB[Product_ID],Eproduct_DB[Product_Name])</f>
        <v>Badminton Racket Set</v>
      </c>
      <c r="Q970" s="2" t="str">
        <f>_xlfn.XLOOKUP(ESales_DB[[#This Row],[Store_ID]],Estore_DB[Store_ID],Estore_DB[Region])</f>
        <v>East</v>
      </c>
      <c r="R970" t="str">
        <f>VLOOKUP(ESales_DB[[#This Row],[Customer_ID]],Ecustom_DB[],10,FALSE)</f>
        <v>Gold</v>
      </c>
      <c r="S970" t="str">
        <f>IF(ESales_DB[[#This Row],[Quantity1]]&gt;3,"Bulk order","Normal order")</f>
        <v>Normal order</v>
      </c>
    </row>
    <row r="971" spans="1:19" x14ac:dyDescent="0.3">
      <c r="A971" t="s">
        <v>3696</v>
      </c>
      <c r="B971" s="4">
        <v>45659</v>
      </c>
      <c r="C971" s="4" t="str">
        <f>TEXT(ESales_DB[[#This Row],[Order_Date]],"mmm")</f>
        <v>Jan</v>
      </c>
      <c r="D971" t="s">
        <v>945</v>
      </c>
      <c r="E971" t="s">
        <v>1543</v>
      </c>
      <c r="F971" t="s">
        <v>1807</v>
      </c>
      <c r="G971">
        <v>2</v>
      </c>
      <c r="H971" s="10">
        <f>IF(ISBLANK(ESales_DB[[#This Row],[Quantity]]),AVERAGEIF(ESales_DB[Product_ID],ESales_DB[[#This Row],[Product_ID]],ESales_DB[Quantity]),ESales_DB[[#This Row],[Quantity]])</f>
        <v>2</v>
      </c>
      <c r="I971" s="2">
        <v>310.33</v>
      </c>
      <c r="J971">
        <v>0.26</v>
      </c>
      <c r="K971" t="s">
        <v>1824</v>
      </c>
      <c r="L971" s="2">
        <v>459.28840000000002</v>
      </c>
      <c r="M971" s="2" t="str">
        <f>IF(ESales_DB[[#This Row],[Total_Amount]]&gt;1000,"High","Low")</f>
        <v>Low</v>
      </c>
      <c r="N971" s="2" t="str">
        <f>VLOOKUP(ESales_DB[[#This Row],[Customer_ID]],Ecustom_DB[],3,FALSE)</f>
        <v>Stephanie Jacobs</v>
      </c>
      <c r="O971" s="2" t="str">
        <f>_xlfn.XLOOKUP(ESales_DB[[#This Row],[Product_ID]],Eproduct_DB[Product_ID],Eproduct_DB[Category])</f>
        <v>Electronics</v>
      </c>
      <c r="P971" s="2" t="str">
        <f>_xlfn.XLOOKUP(ESales_DB[[#This Row],[Product_ID]],Eproduct_DB[Product_ID],Eproduct_DB[Product_Name])</f>
        <v>Brother Laser Printer</v>
      </c>
      <c r="Q971" s="2" t="str">
        <f>_xlfn.XLOOKUP(ESales_DB[[#This Row],[Store_ID]],Estore_DB[Store_ID],Estore_DB[Region])</f>
        <v>North</v>
      </c>
      <c r="R971" t="str">
        <f>VLOOKUP(ESales_DB[[#This Row],[Customer_ID]],Ecustom_DB[],10,FALSE)</f>
        <v>Platinum</v>
      </c>
      <c r="S971" t="str">
        <f>IF(ESales_DB[[#This Row],[Quantity1]]&gt;3,"Bulk order","Normal order")</f>
        <v>Normal order</v>
      </c>
    </row>
    <row r="972" spans="1:19" x14ac:dyDescent="0.3">
      <c r="A972" t="s">
        <v>3697</v>
      </c>
      <c r="B972" s="4">
        <v>45501</v>
      </c>
      <c r="C972" s="4" t="str">
        <f>TEXT(ESales_DB[[#This Row],[Order_Date]],"mmm")</f>
        <v>Jul</v>
      </c>
      <c r="D972" t="s">
        <v>1086</v>
      </c>
      <c r="E972" t="s">
        <v>1638</v>
      </c>
      <c r="F972" t="s">
        <v>1752</v>
      </c>
      <c r="G972">
        <v>3</v>
      </c>
      <c r="H972" s="10">
        <f>IF(ISBLANK(ESales_DB[[#This Row],[Quantity]]),AVERAGEIF(ESales_DB[Product_ID],ESales_DB[[#This Row],[Product_ID]],ESales_DB[Quantity]),ESales_DB[[#This Row],[Quantity]])</f>
        <v>3</v>
      </c>
      <c r="I972" s="2">
        <v>201.05</v>
      </c>
      <c r="J972">
        <v>0.23</v>
      </c>
      <c r="K972" t="s">
        <v>1826</v>
      </c>
      <c r="L972" s="2">
        <v>464.42550000000011</v>
      </c>
      <c r="M972" s="2" t="str">
        <f>IF(ESales_DB[[#This Row],[Total_Amount]]&gt;1000,"High","Low")</f>
        <v>Low</v>
      </c>
      <c r="N972" s="2" t="str">
        <f>VLOOKUP(ESales_DB[[#This Row],[Customer_ID]],Ecustom_DB[],3,FALSE)</f>
        <v>John Jordan</v>
      </c>
      <c r="O972" s="2" t="str">
        <f>_xlfn.XLOOKUP(ESales_DB[[#This Row],[Product_ID]],Eproduct_DB[Product_ID],Eproduct_DB[Category])</f>
        <v>Sports</v>
      </c>
      <c r="P972" s="2" t="str">
        <f>_xlfn.XLOOKUP(ESales_DB[[#This Row],[Product_ID]],Eproduct_DB[Product_ID],Eproduct_DB[Product_Name])</f>
        <v>High-Grip Football</v>
      </c>
      <c r="Q972" s="2" t="str">
        <f>_xlfn.XLOOKUP(ESales_DB[[#This Row],[Store_ID]],Estore_DB[Store_ID],Estore_DB[Region])</f>
        <v>East</v>
      </c>
      <c r="R972" t="str">
        <f>VLOOKUP(ESales_DB[[#This Row],[Customer_ID]],Ecustom_DB[],10,FALSE)</f>
        <v>Platinum</v>
      </c>
      <c r="S972" t="str">
        <f>IF(ESales_DB[[#This Row],[Quantity1]]&gt;3,"Bulk order","Normal order")</f>
        <v>Normal order</v>
      </c>
    </row>
    <row r="973" spans="1:19" x14ac:dyDescent="0.3">
      <c r="A973" t="s">
        <v>3698</v>
      </c>
      <c r="B973" s="4">
        <v>45408</v>
      </c>
      <c r="C973" s="4" t="str">
        <f>TEXT(ESales_DB[[#This Row],[Order_Date]],"mmm")</f>
        <v>Apr</v>
      </c>
      <c r="D973" t="s">
        <v>806</v>
      </c>
      <c r="E973" t="s">
        <v>1664</v>
      </c>
      <c r="F973" t="s">
        <v>1807</v>
      </c>
      <c r="G973">
        <v>1</v>
      </c>
      <c r="H973" s="10">
        <f>IF(ISBLANK(ESales_DB[[#This Row],[Quantity]]),AVERAGEIF(ESales_DB[Product_ID],ESales_DB[[#This Row],[Product_ID]],ESales_DB[Quantity]),ESales_DB[[#This Row],[Quantity]])</f>
        <v>1</v>
      </c>
      <c r="I973" s="2">
        <v>803.37</v>
      </c>
      <c r="J973">
        <v>0.3</v>
      </c>
      <c r="K973" t="s">
        <v>1826</v>
      </c>
      <c r="L973" s="2">
        <v>562.35899999999992</v>
      </c>
      <c r="M973" s="2" t="str">
        <f>IF(ESales_DB[[#This Row],[Total_Amount]]&gt;1000,"High","Low")</f>
        <v>Low</v>
      </c>
      <c r="N973" s="2" t="str">
        <f>VLOOKUP(ESales_DB[[#This Row],[Customer_ID]],Ecustom_DB[],3,FALSE)</f>
        <v>John Mccoy</v>
      </c>
      <c r="O973" s="2" t="str">
        <f>_xlfn.XLOOKUP(ESales_DB[[#This Row],[Product_ID]],Eproduct_DB[Product_ID],Eproduct_DB[Category])</f>
        <v>Clothing</v>
      </c>
      <c r="P973" s="2" t="str">
        <f>_xlfn.XLOOKUP(ESales_DB[[#This Row],[Product_ID]],Eproduct_DB[Product_ID],Eproduct_DB[Product_Name])</f>
        <v>Womens Cotton Scarf</v>
      </c>
      <c r="Q973" s="2" t="str">
        <f>_xlfn.XLOOKUP(ESales_DB[[#This Row],[Store_ID]],Estore_DB[Store_ID],Estore_DB[Region])</f>
        <v>North</v>
      </c>
      <c r="R973" t="str">
        <f>VLOOKUP(ESales_DB[[#This Row],[Customer_ID]],Ecustom_DB[],10,FALSE)</f>
        <v>Silver</v>
      </c>
      <c r="S973" t="str">
        <f>IF(ESales_DB[[#This Row],[Quantity1]]&gt;3,"Bulk order","Normal order")</f>
        <v>Normal order</v>
      </c>
    </row>
    <row r="974" spans="1:19" x14ac:dyDescent="0.3">
      <c r="A974" t="s">
        <v>3699</v>
      </c>
      <c r="B974" s="4">
        <v>45886</v>
      </c>
      <c r="C974" s="4" t="str">
        <f>TEXT(ESales_DB[[#This Row],[Order_Date]],"mmm")</f>
        <v>Aug</v>
      </c>
      <c r="D974" t="s">
        <v>144</v>
      </c>
      <c r="E974" t="s">
        <v>1670</v>
      </c>
      <c r="F974" t="s">
        <v>1801</v>
      </c>
      <c r="G974">
        <v>3</v>
      </c>
      <c r="H974" s="10">
        <f>IF(ISBLANK(ESales_DB[[#This Row],[Quantity]]),AVERAGEIF(ESales_DB[Product_ID],ESales_DB[[#This Row],[Product_ID]],ESales_DB[Quantity]),ESales_DB[[#This Row],[Quantity]])</f>
        <v>3</v>
      </c>
      <c r="I974" s="2">
        <v>259.98</v>
      </c>
      <c r="J974">
        <v>7.0000000000000007E-2</v>
      </c>
      <c r="K974" t="s">
        <v>1829</v>
      </c>
      <c r="L974" s="2">
        <v>725.3442</v>
      </c>
      <c r="M974" s="2" t="str">
        <f>IF(ESales_DB[[#This Row],[Total_Amount]]&gt;1000,"High","Low")</f>
        <v>Low</v>
      </c>
      <c r="N974" s="2" t="str">
        <f>VLOOKUP(ESales_DB[[#This Row],[Customer_ID]],Ecustom_DB[],3,FALSE)</f>
        <v>Thomas Phillips</v>
      </c>
      <c r="O974" s="2" t="str">
        <f>_xlfn.XLOOKUP(ESales_DB[[#This Row],[Product_ID]],Eproduct_DB[Product_ID],Eproduct_DB[Category])</f>
        <v>Sports</v>
      </c>
      <c r="P974" s="2" t="str">
        <f>_xlfn.XLOOKUP(ESales_DB[[#This Row],[Product_ID]],Eproduct_DB[Product_ID],Eproduct_DB[Product_Name])</f>
        <v>Tennis Ball 3-Pack</v>
      </c>
      <c r="Q974" s="2" t="str">
        <f>_xlfn.XLOOKUP(ESales_DB[[#This Row],[Store_ID]],Estore_DB[Store_ID],Estore_DB[Region])</f>
        <v>North</v>
      </c>
      <c r="R974" t="str">
        <f>VLOOKUP(ESales_DB[[#This Row],[Customer_ID]],Ecustom_DB[],10,FALSE)</f>
        <v>Gold</v>
      </c>
      <c r="S974" t="str">
        <f>IF(ESales_DB[[#This Row],[Quantity1]]&gt;3,"Bulk order","Normal order")</f>
        <v>Normal order</v>
      </c>
    </row>
    <row r="975" spans="1:19" x14ac:dyDescent="0.3">
      <c r="A975" t="s">
        <v>3700</v>
      </c>
      <c r="B975" s="4">
        <v>45426</v>
      </c>
      <c r="C975" s="4" t="str">
        <f>TEXT(ESales_DB[[#This Row],[Order_Date]],"mmm")</f>
        <v>May</v>
      </c>
      <c r="D975" t="s">
        <v>428</v>
      </c>
      <c r="E975" t="s">
        <v>1549</v>
      </c>
      <c r="F975" t="s">
        <v>1766</v>
      </c>
      <c r="G975">
        <v>4</v>
      </c>
      <c r="H975" s="10">
        <f>IF(ISBLANK(ESales_DB[[#This Row],[Quantity]]),AVERAGEIF(ESales_DB[Product_ID],ESales_DB[[#This Row],[Product_ID]],ESales_DB[Quantity]),ESales_DB[[#This Row],[Quantity]])</f>
        <v>4</v>
      </c>
      <c r="I975" s="2">
        <v>591.9</v>
      </c>
      <c r="J975">
        <v>0.2</v>
      </c>
      <c r="K975" t="s">
        <v>1826</v>
      </c>
      <c r="L975" s="2">
        <v>1894.08</v>
      </c>
      <c r="M975" s="2" t="str">
        <f>IF(ESales_DB[[#This Row],[Total_Amount]]&gt;1000,"High","Low")</f>
        <v>High</v>
      </c>
      <c r="N975" s="2" t="str">
        <f>VLOOKUP(ESales_DB[[#This Row],[Customer_ID]],Ecustom_DB[],3,FALSE)</f>
        <v>Donald Lee</v>
      </c>
      <c r="O975" s="2" t="str">
        <f>_xlfn.XLOOKUP(ESales_DB[[#This Row],[Product_ID]],Eproduct_DB[Product_ID],Eproduct_DB[Category])</f>
        <v>Clothing</v>
      </c>
      <c r="P975" s="2" t="str">
        <f>_xlfn.XLOOKUP(ESales_DB[[#This Row],[Product_ID]],Eproduct_DB[Product_ID],Eproduct_DB[Product_Name])</f>
        <v>Women's Casual Hoodie</v>
      </c>
      <c r="Q975" s="2" t="str">
        <f>_xlfn.XLOOKUP(ESales_DB[[#This Row],[Store_ID]],Estore_DB[Store_ID],Estore_DB[Region])</f>
        <v>North</v>
      </c>
      <c r="R975" t="str">
        <f>VLOOKUP(ESales_DB[[#This Row],[Customer_ID]],Ecustom_DB[],10,FALSE)</f>
        <v>Bronze</v>
      </c>
      <c r="S975" t="str">
        <f>IF(ESales_DB[[#This Row],[Quantity1]]&gt;3,"Bulk order","Normal order")</f>
        <v>Bulk order</v>
      </c>
    </row>
    <row r="976" spans="1:19" x14ac:dyDescent="0.3">
      <c r="A976" t="s">
        <v>3701</v>
      </c>
      <c r="B976" s="4">
        <v>45730</v>
      </c>
      <c r="C976" s="4" t="str">
        <f>TEXT(ESales_DB[[#This Row],[Order_Date]],"mmm")</f>
        <v>Mar</v>
      </c>
      <c r="D976" t="s">
        <v>127</v>
      </c>
      <c r="E976" t="s">
        <v>1668</v>
      </c>
      <c r="F976" t="s">
        <v>1794</v>
      </c>
      <c r="G976">
        <v>2</v>
      </c>
      <c r="H976" s="10">
        <f>IF(ISBLANK(ESales_DB[[#This Row],[Quantity]]),AVERAGEIF(ESales_DB[Product_ID],ESales_DB[[#This Row],[Product_ID]],ESales_DB[Quantity]),ESales_DB[[#This Row],[Quantity]])</f>
        <v>2</v>
      </c>
      <c r="I976" s="2">
        <v>396.9</v>
      </c>
      <c r="J976">
        <v>0.18</v>
      </c>
      <c r="K976" t="s">
        <v>1826</v>
      </c>
      <c r="L976" s="2">
        <v>650.91600000000005</v>
      </c>
      <c r="M976" s="2" t="str">
        <f>IF(ESales_DB[[#This Row],[Total_Amount]]&gt;1000,"High","Low")</f>
        <v>Low</v>
      </c>
      <c r="N976" s="2" t="str">
        <f>VLOOKUP(ESales_DB[[#This Row],[Customer_ID]],Ecustom_DB[],3,FALSE)</f>
        <v>Sarah Vance</v>
      </c>
      <c r="O976" s="2" t="str">
        <f>_xlfn.XLOOKUP(ESales_DB[[#This Row],[Product_ID]],Eproduct_DB[Product_ID],Eproduct_DB[Category])</f>
        <v>Beauty</v>
      </c>
      <c r="P976" s="2" t="str">
        <f>_xlfn.XLOOKUP(ESales_DB[[#This Row],[Product_ID]],Eproduct_DB[Product_ID],Eproduct_DB[Product_Name])</f>
        <v>Luxury Perfume Spray</v>
      </c>
      <c r="Q976" s="2" t="str">
        <f>_xlfn.XLOOKUP(ESales_DB[[#This Row],[Store_ID]],Estore_DB[Store_ID],Estore_DB[Region])</f>
        <v>North</v>
      </c>
      <c r="R976" t="str">
        <f>VLOOKUP(ESales_DB[[#This Row],[Customer_ID]],Ecustom_DB[],10,FALSE)</f>
        <v>Silver</v>
      </c>
      <c r="S976" t="str">
        <f>IF(ESales_DB[[#This Row],[Quantity1]]&gt;3,"Bulk order","Normal order")</f>
        <v>Normal order</v>
      </c>
    </row>
    <row r="977" spans="1:19" x14ac:dyDescent="0.3">
      <c r="A977" t="s">
        <v>3702</v>
      </c>
      <c r="B977" s="4">
        <v>45731</v>
      </c>
      <c r="C977" s="4" t="str">
        <f>TEXT(ESales_DB[[#This Row],[Order_Date]],"mmm")</f>
        <v>Mar</v>
      </c>
      <c r="D977" t="s">
        <v>1400</v>
      </c>
      <c r="E977" t="s">
        <v>1744</v>
      </c>
      <c r="F977" t="s">
        <v>1761</v>
      </c>
      <c r="G977">
        <v>1</v>
      </c>
      <c r="H977" s="10">
        <f>IF(ISBLANK(ESales_DB[[#This Row],[Quantity]]),AVERAGEIF(ESales_DB[Product_ID],ESales_DB[[#This Row],[Product_ID]],ESales_DB[Quantity]),ESales_DB[[#This Row],[Quantity]])</f>
        <v>1</v>
      </c>
      <c r="I977" s="2">
        <v>176.84</v>
      </c>
      <c r="J977">
        <v>0.19</v>
      </c>
      <c r="K977" t="s">
        <v>1824</v>
      </c>
      <c r="L977" s="2">
        <v>143.24039999999999</v>
      </c>
      <c r="M977" s="2" t="str">
        <f>IF(ESales_DB[[#This Row],[Total_Amount]]&gt;1000,"High","Low")</f>
        <v>Low</v>
      </c>
      <c r="N977" s="2" t="str">
        <f>VLOOKUP(ESales_DB[[#This Row],[Customer_ID]],Ecustom_DB[],3,FALSE)</f>
        <v>April Phillips</v>
      </c>
      <c r="O977" s="2" t="str">
        <f>_xlfn.XLOOKUP(ESales_DB[[#This Row],[Product_ID]],Eproduct_DB[Product_ID],Eproduct_DB[Category])</f>
        <v>Electronics</v>
      </c>
      <c r="P977" s="2" t="str">
        <f>_xlfn.XLOOKUP(ESales_DB[[#This Row],[Product_ID]],Eproduct_DB[Product_ID],Eproduct_DB[Product_Name])</f>
        <v>Portable Bluetooth Speaker</v>
      </c>
      <c r="Q977" s="2" t="str">
        <f>_xlfn.XLOOKUP(ESales_DB[[#This Row],[Store_ID]],Estore_DB[Store_ID],Estore_DB[Region])</f>
        <v>South</v>
      </c>
      <c r="R977" t="str">
        <f>VLOOKUP(ESales_DB[[#This Row],[Customer_ID]],Ecustom_DB[],10,FALSE)</f>
        <v>Platinum</v>
      </c>
      <c r="S977" t="str">
        <f>IF(ESales_DB[[#This Row],[Quantity1]]&gt;3,"Bulk order","Normal order")</f>
        <v>Normal order</v>
      </c>
    </row>
    <row r="978" spans="1:19" x14ac:dyDescent="0.3">
      <c r="A978" t="s">
        <v>3703</v>
      </c>
      <c r="B978" s="4">
        <v>45272</v>
      </c>
      <c r="C978" s="4" t="str">
        <f>TEXT(ESales_DB[[#This Row],[Order_Date]],"mmm")</f>
        <v>Dec</v>
      </c>
      <c r="D978" t="s">
        <v>812</v>
      </c>
      <c r="E978" t="s">
        <v>1600</v>
      </c>
      <c r="F978" t="s">
        <v>1752</v>
      </c>
      <c r="G978">
        <v>2</v>
      </c>
      <c r="H978" s="10">
        <f>IF(ISBLANK(ESales_DB[[#This Row],[Quantity]]),AVERAGEIF(ESales_DB[Product_ID],ESales_DB[[#This Row],[Product_ID]],ESales_DB[Quantity]),ESales_DB[[#This Row],[Quantity]])</f>
        <v>2</v>
      </c>
      <c r="I978" s="2">
        <v>614.21</v>
      </c>
      <c r="J978">
        <v>0.11</v>
      </c>
      <c r="K978" t="s">
        <v>1826</v>
      </c>
      <c r="L978" s="2">
        <v>1093.2937999999999</v>
      </c>
      <c r="M978" s="2" t="str">
        <f>IF(ESales_DB[[#This Row],[Total_Amount]]&gt;1000,"High","Low")</f>
        <v>High</v>
      </c>
      <c r="N978" s="2" t="str">
        <f>VLOOKUP(ESales_DB[[#This Row],[Customer_ID]],Ecustom_DB[],3,FALSE)</f>
        <v>Linda Kline</v>
      </c>
      <c r="O978" s="2" t="str">
        <f>_xlfn.XLOOKUP(ESales_DB[[#This Row],[Product_ID]],Eproduct_DB[Product_ID],Eproduct_DB[Category])</f>
        <v>Electronics</v>
      </c>
      <c r="P978" s="2" t="str">
        <f>_xlfn.XLOOKUP(ESales_DB[[#This Row],[Product_ID]],Eproduct_DB[Product_ID],Eproduct_DB[Product_Name])</f>
        <v>Wireless Bluetooth Speaker</v>
      </c>
      <c r="Q978" s="2" t="str">
        <f>_xlfn.XLOOKUP(ESales_DB[[#This Row],[Store_ID]],Estore_DB[Store_ID],Estore_DB[Region])</f>
        <v>East</v>
      </c>
      <c r="R978" t="str">
        <f>VLOOKUP(ESales_DB[[#This Row],[Customer_ID]],Ecustom_DB[],10,FALSE)</f>
        <v>Silver</v>
      </c>
      <c r="S978" t="str">
        <f>IF(ESales_DB[[#This Row],[Quantity1]]&gt;3,"Bulk order","Normal order")</f>
        <v>Normal order</v>
      </c>
    </row>
    <row r="979" spans="1:19" x14ac:dyDescent="0.3">
      <c r="A979" t="s">
        <v>3704</v>
      </c>
      <c r="B979" s="4">
        <v>45584</v>
      </c>
      <c r="C979" s="4" t="str">
        <f>TEXT(ESales_DB[[#This Row],[Order_Date]],"mmm")</f>
        <v>Oct</v>
      </c>
      <c r="D979" t="s">
        <v>381</v>
      </c>
      <c r="E979" t="s">
        <v>1551</v>
      </c>
      <c r="F979" t="s">
        <v>1779</v>
      </c>
      <c r="G979">
        <v>3</v>
      </c>
      <c r="H979" s="10">
        <f>IF(ISBLANK(ESales_DB[[#This Row],[Quantity]]),AVERAGEIF(ESales_DB[Product_ID],ESales_DB[[#This Row],[Product_ID]],ESales_DB[Quantity]),ESales_DB[[#This Row],[Quantity]])</f>
        <v>3</v>
      </c>
      <c r="I979" s="2">
        <v>604.66</v>
      </c>
      <c r="J979">
        <v>0.18</v>
      </c>
      <c r="K979" t="s">
        <v>1829</v>
      </c>
      <c r="L979" s="2">
        <v>1487.4636</v>
      </c>
      <c r="M979" s="2" t="str">
        <f>IF(ESales_DB[[#This Row],[Total_Amount]]&gt;1000,"High","Low")</f>
        <v>High</v>
      </c>
      <c r="N979" s="2" t="str">
        <f>VLOOKUP(ESales_DB[[#This Row],[Customer_ID]],Ecustom_DB[],3,FALSE)</f>
        <v>Travis Holland</v>
      </c>
      <c r="O979" s="2" t="str">
        <f>_xlfn.XLOOKUP(ESales_DB[[#This Row],[Product_ID]],Eproduct_DB[Product_ID],Eproduct_DB[Category])</f>
        <v>Clothing</v>
      </c>
      <c r="P979" s="2" t="str">
        <f>_xlfn.XLOOKUP(ESales_DB[[#This Row],[Product_ID]],Eproduct_DB[Product_ID],Eproduct_DB[Product_Name])</f>
        <v>Men's Running Jacket</v>
      </c>
      <c r="Q979" s="2" t="str">
        <f>_xlfn.XLOOKUP(ESales_DB[[#This Row],[Store_ID]],Estore_DB[Store_ID],Estore_DB[Region])</f>
        <v>South</v>
      </c>
      <c r="R979" t="str">
        <f>VLOOKUP(ESales_DB[[#This Row],[Customer_ID]],Ecustom_DB[],10,FALSE)</f>
        <v>Bronze</v>
      </c>
      <c r="S979" t="str">
        <f>IF(ESales_DB[[#This Row],[Quantity1]]&gt;3,"Bulk order","Normal order")</f>
        <v>Normal order</v>
      </c>
    </row>
    <row r="980" spans="1:19" x14ac:dyDescent="0.3">
      <c r="A980" t="s">
        <v>3705</v>
      </c>
      <c r="B980" s="4">
        <v>45534</v>
      </c>
      <c r="C980" s="4" t="str">
        <f>TEXT(ESales_DB[[#This Row],[Order_Date]],"mmm")</f>
        <v>Aug</v>
      </c>
      <c r="D980" t="s">
        <v>1530</v>
      </c>
      <c r="E980" t="s">
        <v>1549</v>
      </c>
      <c r="F980" t="s">
        <v>1794</v>
      </c>
      <c r="G980">
        <v>3</v>
      </c>
      <c r="H980" s="10">
        <f>IF(ISBLANK(ESales_DB[[#This Row],[Quantity]]),AVERAGEIF(ESales_DB[Product_ID],ESales_DB[[#This Row],[Product_ID]],ESales_DB[Quantity]),ESales_DB[[#This Row],[Quantity]])</f>
        <v>3</v>
      </c>
      <c r="I980" s="2">
        <v>24.29</v>
      </c>
      <c r="J980">
        <v>0.12</v>
      </c>
      <c r="K980" t="s">
        <v>1826</v>
      </c>
      <c r="L980" s="2">
        <v>64.125600000000006</v>
      </c>
      <c r="M980" s="2" t="str">
        <f>IF(ESales_DB[[#This Row],[Total_Amount]]&gt;1000,"High","Low")</f>
        <v>Low</v>
      </c>
      <c r="N980" s="2" t="str">
        <f>VLOOKUP(ESales_DB[[#This Row],[Customer_ID]],Ecustom_DB[],3,FALSE)</f>
        <v>Traci Gonzalez</v>
      </c>
      <c r="O980" s="2" t="str">
        <f>_xlfn.XLOOKUP(ESales_DB[[#This Row],[Product_ID]],Eproduct_DB[Product_ID],Eproduct_DB[Category])</f>
        <v>Clothing</v>
      </c>
      <c r="P980" s="2" t="str">
        <f>_xlfn.XLOOKUP(ESales_DB[[#This Row],[Product_ID]],Eproduct_DB[Product_ID],Eproduct_DB[Product_Name])</f>
        <v>Women's Casual Hoodie</v>
      </c>
      <c r="Q980" s="2" t="str">
        <f>_xlfn.XLOOKUP(ESales_DB[[#This Row],[Store_ID]],Estore_DB[Store_ID],Estore_DB[Region])</f>
        <v>North</v>
      </c>
      <c r="R980" t="str">
        <f>VLOOKUP(ESales_DB[[#This Row],[Customer_ID]],Ecustom_DB[],10,FALSE)</f>
        <v>Silver</v>
      </c>
      <c r="S980" t="str">
        <f>IF(ESales_DB[[#This Row],[Quantity1]]&gt;3,"Bulk order","Normal order")</f>
        <v>Normal order</v>
      </c>
    </row>
    <row r="981" spans="1:19" x14ac:dyDescent="0.3">
      <c r="A981" t="s">
        <v>2014</v>
      </c>
      <c r="B981" s="4">
        <v>45411</v>
      </c>
      <c r="C981" s="4" t="str">
        <f>TEXT(ESales_DB[[#This Row],[Order_Date]],"mmm")</f>
        <v>Apr</v>
      </c>
      <c r="D981" t="s">
        <v>1193</v>
      </c>
      <c r="E981" t="s">
        <v>1553</v>
      </c>
      <c r="F981" t="s">
        <v>1766</v>
      </c>
      <c r="G981">
        <v>3</v>
      </c>
      <c r="H981" s="10">
        <f>IF(ISBLANK(ESales_DB[[#This Row],[Quantity]]),AVERAGEIF(ESales_DB[Product_ID],ESales_DB[[#This Row],[Product_ID]],ESales_DB[Quantity]),ESales_DB[[#This Row],[Quantity]])</f>
        <v>3</v>
      </c>
      <c r="I981" s="2">
        <v>620.22</v>
      </c>
      <c r="J981">
        <v>0.04</v>
      </c>
      <c r="K981" t="s">
        <v>1824</v>
      </c>
      <c r="L981" s="2">
        <v>1786.2336</v>
      </c>
      <c r="M981" s="2" t="str">
        <f>IF(ESales_DB[[#This Row],[Total_Amount]]&gt;1000,"High","Low")</f>
        <v>High</v>
      </c>
      <c r="N981" s="2" t="str">
        <f>VLOOKUP(ESales_DB[[#This Row],[Customer_ID]],Ecustom_DB[],3,FALSE)</f>
        <v>Martha Brown</v>
      </c>
      <c r="O981" s="2" t="str">
        <f>_xlfn.XLOOKUP(ESales_DB[[#This Row],[Product_ID]],Eproduct_DB[Product_ID],Eproduct_DB[Category])</f>
        <v>Clothing</v>
      </c>
      <c r="P981" s="2" t="str">
        <f>_xlfn.XLOOKUP(ESales_DB[[#This Row],[Product_ID]],Eproduct_DB[Product_ID],Eproduct_DB[Product_Name])</f>
        <v>Women's Yoga Pants</v>
      </c>
      <c r="Q981" s="2" t="str">
        <f>_xlfn.XLOOKUP(ESales_DB[[#This Row],[Store_ID]],Estore_DB[Store_ID],Estore_DB[Region])</f>
        <v>North</v>
      </c>
      <c r="R981" t="str">
        <f>VLOOKUP(ESales_DB[[#This Row],[Customer_ID]],Ecustom_DB[],10,FALSE)</f>
        <v>Gold</v>
      </c>
      <c r="S981" t="str">
        <f>IF(ESales_DB[[#This Row],[Quantity1]]&gt;3,"Bulk order","Normal order")</f>
        <v>Normal order</v>
      </c>
    </row>
    <row r="982" spans="1:19" x14ac:dyDescent="0.3">
      <c r="A982" t="s">
        <v>3706</v>
      </c>
      <c r="B982" s="4">
        <v>45482</v>
      </c>
      <c r="C982" s="4" t="str">
        <f>TEXT(ESales_DB[[#This Row],[Order_Date]],"mmm")</f>
        <v>Jul</v>
      </c>
      <c r="D982" t="s">
        <v>419</v>
      </c>
      <c r="E982" t="s">
        <v>1674</v>
      </c>
      <c r="F982" t="s">
        <v>1792</v>
      </c>
      <c r="G982">
        <v>1</v>
      </c>
      <c r="H982" s="10">
        <f>IF(ISBLANK(ESales_DB[[#This Row],[Quantity]]),AVERAGEIF(ESales_DB[Product_ID],ESales_DB[[#This Row],[Product_ID]],ESales_DB[Quantity]),ESales_DB[[#This Row],[Quantity]])</f>
        <v>1</v>
      </c>
      <c r="I982" s="2">
        <v>503.95</v>
      </c>
      <c r="J982">
        <v>0.24</v>
      </c>
      <c r="K982" t="s">
        <v>1826</v>
      </c>
      <c r="L982" s="2">
        <v>383.00200000000001</v>
      </c>
      <c r="M982" s="2" t="str">
        <f>IF(ESales_DB[[#This Row],[Total_Amount]]&gt;1000,"High","Low")</f>
        <v>Low</v>
      </c>
      <c r="N982" s="2" t="str">
        <f>VLOOKUP(ESales_DB[[#This Row],[Customer_ID]],Ecustom_DB[],3,FALSE)</f>
        <v>Joel Robinson</v>
      </c>
      <c r="O982" s="2" t="str">
        <f>_xlfn.XLOOKUP(ESales_DB[[#This Row],[Product_ID]],Eproduct_DB[Product_ID],Eproduct_DB[Category])</f>
        <v>Beauty</v>
      </c>
      <c r="P982" s="2" t="str">
        <f>_xlfn.XLOOKUP(ESales_DB[[#This Row],[Product_ID]],Eproduct_DB[Product_ID],Eproduct_DB[Product_Name])</f>
        <v>Organic Sunscreen Lotion</v>
      </c>
      <c r="Q982" s="2" t="str">
        <f>_xlfn.XLOOKUP(ESales_DB[[#This Row],[Store_ID]],Estore_DB[Store_ID],Estore_DB[Region])</f>
        <v>South</v>
      </c>
      <c r="R982" t="str">
        <f>VLOOKUP(ESales_DB[[#This Row],[Customer_ID]],Ecustom_DB[],10,FALSE)</f>
        <v>Platinum</v>
      </c>
      <c r="S982" t="str">
        <f>IF(ESales_DB[[#This Row],[Quantity1]]&gt;3,"Bulk order","Normal order")</f>
        <v>Normal order</v>
      </c>
    </row>
    <row r="983" spans="1:19" x14ac:dyDescent="0.3">
      <c r="A983" t="s">
        <v>3707</v>
      </c>
      <c r="B983" s="4">
        <v>45475</v>
      </c>
      <c r="C983" s="4" t="str">
        <f>TEXT(ESales_DB[[#This Row],[Order_Date]],"mmm")</f>
        <v>Jul</v>
      </c>
      <c r="D983" t="s">
        <v>1005</v>
      </c>
      <c r="E983" t="s">
        <v>1650</v>
      </c>
      <c r="F983" t="s">
        <v>1799</v>
      </c>
      <c r="G983">
        <v>4</v>
      </c>
      <c r="H983" s="10">
        <f>IF(ISBLANK(ESales_DB[[#This Row],[Quantity]]),AVERAGEIF(ESales_DB[Product_ID],ESales_DB[[#This Row],[Product_ID]],ESales_DB[Quantity]),ESales_DB[[#This Row],[Quantity]])</f>
        <v>4</v>
      </c>
      <c r="I983" s="2">
        <v>860.78</v>
      </c>
      <c r="J983">
        <v>0.03</v>
      </c>
      <c r="K983" t="s">
        <v>1824</v>
      </c>
      <c r="L983" s="2">
        <v>3339.8263999999999</v>
      </c>
      <c r="M983" s="2" t="str">
        <f>IF(ESales_DB[[#This Row],[Total_Amount]]&gt;1000,"High","Low")</f>
        <v>High</v>
      </c>
      <c r="N983" s="2" t="str">
        <f>VLOOKUP(ESales_DB[[#This Row],[Customer_ID]],Ecustom_DB[],3,FALSE)</f>
        <v>Casey Simpson</v>
      </c>
      <c r="O983" s="2" t="str">
        <f>_xlfn.XLOOKUP(ESales_DB[[#This Row],[Product_ID]],Eproduct_DB[Product_ID],Eproduct_DB[Category])</f>
        <v>Electronics</v>
      </c>
      <c r="P983" s="2" t="str">
        <f>_xlfn.XLOOKUP(ESales_DB[[#This Row],[Product_ID]],Eproduct_DB[Product_ID],Eproduct_DB[Product_Name])</f>
        <v>HDMI Cable – 2m</v>
      </c>
      <c r="Q983" s="2" t="str">
        <f>_xlfn.XLOOKUP(ESales_DB[[#This Row],[Store_ID]],Estore_DB[Store_ID],Estore_DB[Region])</f>
        <v>South</v>
      </c>
      <c r="R983" t="str">
        <f>VLOOKUP(ESales_DB[[#This Row],[Customer_ID]],Ecustom_DB[],10,FALSE)</f>
        <v>Platinum</v>
      </c>
      <c r="S983" t="str">
        <f>IF(ESales_DB[[#This Row],[Quantity1]]&gt;3,"Bulk order","Normal order")</f>
        <v>Bulk order</v>
      </c>
    </row>
    <row r="984" spans="1:19" x14ac:dyDescent="0.3">
      <c r="A984" t="s">
        <v>3708</v>
      </c>
      <c r="B984" s="4">
        <v>45234</v>
      </c>
      <c r="C984" s="4" t="str">
        <f>TEXT(ESales_DB[[#This Row],[Order_Date]],"mmm")</f>
        <v>Nov</v>
      </c>
      <c r="D984" t="s">
        <v>646</v>
      </c>
      <c r="E984" t="s">
        <v>1632</v>
      </c>
      <c r="F984" t="s">
        <v>1766</v>
      </c>
      <c r="G984">
        <v>3</v>
      </c>
      <c r="H984" s="10">
        <f>IF(ISBLANK(ESales_DB[[#This Row],[Quantity]]),AVERAGEIF(ESales_DB[Product_ID],ESales_DB[[#This Row],[Product_ID]],ESales_DB[Quantity]),ESales_DB[[#This Row],[Quantity]])</f>
        <v>3</v>
      </c>
      <c r="I984" s="2">
        <v>41.97</v>
      </c>
      <c r="J984">
        <v>0.03</v>
      </c>
      <c r="K984" t="s">
        <v>1829</v>
      </c>
      <c r="L984" s="2">
        <v>122.1327</v>
      </c>
      <c r="M984" s="2" t="str">
        <f>IF(ESales_DB[[#This Row],[Total_Amount]]&gt;1000,"High","Low")</f>
        <v>Low</v>
      </c>
      <c r="N984" s="2" t="str">
        <f>VLOOKUP(ESales_DB[[#This Row],[Customer_ID]],Ecustom_DB[],3,FALSE)</f>
        <v>Andrea Jacobs</v>
      </c>
      <c r="O984" s="2" t="str">
        <f>_xlfn.XLOOKUP(ESales_DB[[#This Row],[Product_ID]],Eproduct_DB[Product_ID],Eproduct_DB[Category])</f>
        <v>Electronics</v>
      </c>
      <c r="P984" s="2" t="str">
        <f>_xlfn.XLOOKUP(ESales_DB[[#This Row],[Product_ID]],Eproduct_DB[Product_ID],Eproduct_DB[Product_Name])</f>
        <v>Smart Home WiFi Camera</v>
      </c>
      <c r="Q984" s="2" t="str">
        <f>_xlfn.XLOOKUP(ESales_DB[[#This Row],[Store_ID]],Estore_DB[Store_ID],Estore_DB[Region])</f>
        <v>North</v>
      </c>
      <c r="R984" t="str">
        <f>VLOOKUP(ESales_DB[[#This Row],[Customer_ID]],Ecustom_DB[],10,FALSE)</f>
        <v>Platinum</v>
      </c>
      <c r="S984" t="str">
        <f>IF(ESales_DB[[#This Row],[Quantity1]]&gt;3,"Bulk order","Normal order")</f>
        <v>Normal order</v>
      </c>
    </row>
    <row r="985" spans="1:19" x14ac:dyDescent="0.3">
      <c r="A985" t="s">
        <v>3709</v>
      </c>
      <c r="B985" s="4">
        <v>45397</v>
      </c>
      <c r="C985" s="4" t="str">
        <f>TEXT(ESales_DB[[#This Row],[Order_Date]],"mmm")</f>
        <v>Apr</v>
      </c>
      <c r="D985" t="s">
        <v>134</v>
      </c>
      <c r="E985" t="s">
        <v>1578</v>
      </c>
      <c r="F985" t="s">
        <v>1773</v>
      </c>
      <c r="G985">
        <v>1</v>
      </c>
      <c r="H985" s="10">
        <f>IF(ISBLANK(ESales_DB[[#This Row],[Quantity]]),AVERAGEIF(ESales_DB[Product_ID],ESales_DB[[#This Row],[Product_ID]],ESales_DB[Quantity]),ESales_DB[[#This Row],[Quantity]])</f>
        <v>1</v>
      </c>
      <c r="I985" s="2">
        <v>649.59</v>
      </c>
      <c r="J985">
        <v>0.12</v>
      </c>
      <c r="K985" t="s">
        <v>1829</v>
      </c>
      <c r="L985" s="2">
        <v>571.63920000000007</v>
      </c>
      <c r="M985" s="2" t="str">
        <f>IF(ESales_DB[[#This Row],[Total_Amount]]&gt;1000,"High","Low")</f>
        <v>Low</v>
      </c>
      <c r="N985" s="2" t="str">
        <f>VLOOKUP(ESales_DB[[#This Row],[Customer_ID]],Ecustom_DB[],3,FALSE)</f>
        <v>Robert Jones Dds</v>
      </c>
      <c r="O985" s="2" t="str">
        <f>_xlfn.XLOOKUP(ESales_DB[[#This Row],[Product_ID]],Eproduct_DB[Product_ID],Eproduct_DB[Category])</f>
        <v>Electronics</v>
      </c>
      <c r="P985" s="2" t="str">
        <f>_xlfn.XLOOKUP(ESales_DB[[#This Row],[Product_ID]],Eproduct_DB[Product_ID],Eproduct_DB[Product_Name])</f>
        <v>4K Home Projector</v>
      </c>
      <c r="Q985" s="2" t="str">
        <f>_xlfn.XLOOKUP(ESales_DB[[#This Row],[Store_ID]],Estore_DB[Store_ID],Estore_DB[Region])</f>
        <v>North</v>
      </c>
      <c r="R985" t="str">
        <f>VLOOKUP(ESales_DB[[#This Row],[Customer_ID]],Ecustom_DB[],10,FALSE)</f>
        <v>Platinum</v>
      </c>
      <c r="S985" t="str">
        <f>IF(ESales_DB[[#This Row],[Quantity1]]&gt;3,"Bulk order","Normal order")</f>
        <v>Normal order</v>
      </c>
    </row>
    <row r="986" spans="1:19" x14ac:dyDescent="0.3">
      <c r="A986" t="s">
        <v>3710</v>
      </c>
      <c r="B986" s="4">
        <v>45502</v>
      </c>
      <c r="C986" s="4" t="str">
        <f>TEXT(ESales_DB[[#This Row],[Order_Date]],"mmm")</f>
        <v>Jul</v>
      </c>
      <c r="D986" t="s">
        <v>202</v>
      </c>
      <c r="E986" t="s">
        <v>1674</v>
      </c>
      <c r="F986" t="s">
        <v>1786</v>
      </c>
      <c r="G986">
        <v>2</v>
      </c>
      <c r="H986" s="10">
        <f>IF(ISBLANK(ESales_DB[[#This Row],[Quantity]]),AVERAGEIF(ESales_DB[Product_ID],ESales_DB[[#This Row],[Product_ID]],ESales_DB[Quantity]),ESales_DB[[#This Row],[Quantity]])</f>
        <v>2</v>
      </c>
      <c r="I986" s="2">
        <v>386.09</v>
      </c>
      <c r="J986">
        <v>0.19</v>
      </c>
      <c r="K986" t="s">
        <v>1826</v>
      </c>
      <c r="L986" s="2">
        <v>625.46579999999994</v>
      </c>
      <c r="M986" s="2" t="str">
        <f>IF(ESales_DB[[#This Row],[Total_Amount]]&gt;1000,"High","Low")</f>
        <v>Low</v>
      </c>
      <c r="N986" s="2" t="str">
        <f>VLOOKUP(ESales_DB[[#This Row],[Customer_ID]],Ecustom_DB[],3,FALSE)</f>
        <v>Sharon Brown</v>
      </c>
      <c r="O986" s="2" t="str">
        <f>_xlfn.XLOOKUP(ESales_DB[[#This Row],[Product_ID]],Eproduct_DB[Product_ID],Eproduct_DB[Category])</f>
        <v>Beauty</v>
      </c>
      <c r="P986" s="2" t="str">
        <f>_xlfn.XLOOKUP(ESales_DB[[#This Row],[Product_ID]],Eproduct_DB[Product_ID],Eproduct_DB[Product_Name])</f>
        <v>Organic Sunscreen Lotion</v>
      </c>
      <c r="Q986" s="2" t="str">
        <f>_xlfn.XLOOKUP(ESales_DB[[#This Row],[Store_ID]],Estore_DB[Store_ID],Estore_DB[Region])</f>
        <v>South</v>
      </c>
      <c r="R986" t="str">
        <f>VLOOKUP(ESales_DB[[#This Row],[Customer_ID]],Ecustom_DB[],10,FALSE)</f>
        <v>Gold</v>
      </c>
      <c r="S986" t="str">
        <f>IF(ESales_DB[[#This Row],[Quantity1]]&gt;3,"Bulk order","Normal order")</f>
        <v>Normal order</v>
      </c>
    </row>
    <row r="987" spans="1:19" x14ac:dyDescent="0.3">
      <c r="A987" t="s">
        <v>3711</v>
      </c>
      <c r="B987" s="4">
        <v>45644</v>
      </c>
      <c r="C987" s="4" t="str">
        <f>TEXT(ESales_DB[[#This Row],[Order_Date]],"mmm")</f>
        <v>Dec</v>
      </c>
      <c r="D987" t="s">
        <v>353</v>
      </c>
      <c r="E987" t="s">
        <v>1650</v>
      </c>
      <c r="F987" t="s">
        <v>1794</v>
      </c>
      <c r="G987">
        <v>1</v>
      </c>
      <c r="H987" s="10">
        <f>IF(ISBLANK(ESales_DB[[#This Row],[Quantity]]),AVERAGEIF(ESales_DB[Product_ID],ESales_DB[[#This Row],[Product_ID]],ESales_DB[Quantity]),ESales_DB[[#This Row],[Quantity]])</f>
        <v>1</v>
      </c>
      <c r="I987" s="2">
        <v>891.62</v>
      </c>
      <c r="J987">
        <v>0.06</v>
      </c>
      <c r="K987" t="s">
        <v>1826</v>
      </c>
      <c r="L987" s="2">
        <v>838.12279999999998</v>
      </c>
      <c r="M987" s="2" t="str">
        <f>IF(ESales_DB[[#This Row],[Total_Amount]]&gt;1000,"High","Low")</f>
        <v>Low</v>
      </c>
      <c r="N987" s="2" t="str">
        <f>VLOOKUP(ESales_DB[[#This Row],[Customer_ID]],Ecustom_DB[],3,FALSE)</f>
        <v>Sheila Wilson</v>
      </c>
      <c r="O987" s="2" t="str">
        <f>_xlfn.XLOOKUP(ESales_DB[[#This Row],[Product_ID]],Eproduct_DB[Product_ID],Eproduct_DB[Category])</f>
        <v>Electronics</v>
      </c>
      <c r="P987" s="2" t="str">
        <f>_xlfn.XLOOKUP(ESales_DB[[#This Row],[Product_ID]],Eproduct_DB[Product_ID],Eproduct_DB[Product_Name])</f>
        <v>HDMI Cable – 2m</v>
      </c>
      <c r="Q987" s="2" t="str">
        <f>_xlfn.XLOOKUP(ESales_DB[[#This Row],[Store_ID]],Estore_DB[Store_ID],Estore_DB[Region])</f>
        <v>North</v>
      </c>
      <c r="R987" t="str">
        <f>VLOOKUP(ESales_DB[[#This Row],[Customer_ID]],Ecustom_DB[],10,FALSE)</f>
        <v>Silver</v>
      </c>
      <c r="S987" t="str">
        <f>IF(ESales_DB[[#This Row],[Quantity1]]&gt;3,"Bulk order","Normal order")</f>
        <v>Normal order</v>
      </c>
    </row>
    <row r="988" spans="1:19" x14ac:dyDescent="0.3">
      <c r="A988" t="s">
        <v>3712</v>
      </c>
      <c r="B988" s="4">
        <v>45617</v>
      </c>
      <c r="C988" s="4" t="str">
        <f>TEXT(ESales_DB[[#This Row],[Order_Date]],"mmm")</f>
        <v>Nov</v>
      </c>
      <c r="D988" t="s">
        <v>1190</v>
      </c>
      <c r="E988" t="s">
        <v>1676</v>
      </c>
      <c r="F988" t="s">
        <v>1801</v>
      </c>
      <c r="G988">
        <v>2</v>
      </c>
      <c r="H988" s="10">
        <f>IF(ISBLANK(ESales_DB[[#This Row],[Quantity]]),AVERAGEIF(ESales_DB[Product_ID],ESales_DB[[#This Row],[Product_ID]],ESales_DB[Quantity]),ESales_DB[[#This Row],[Quantity]])</f>
        <v>2</v>
      </c>
      <c r="I988" s="2">
        <v>558.9</v>
      </c>
      <c r="J988">
        <v>0.05</v>
      </c>
      <c r="K988" t="s">
        <v>1829</v>
      </c>
      <c r="L988" s="2">
        <v>1061.9100000000001</v>
      </c>
      <c r="M988" s="2" t="str">
        <f>IF(ESales_DB[[#This Row],[Total_Amount]]&gt;1000,"High","Low")</f>
        <v>High</v>
      </c>
      <c r="N988" s="2" t="str">
        <f>VLOOKUP(ESales_DB[[#This Row],[Customer_ID]],Ecustom_DB[],3,FALSE)</f>
        <v>Erika Padilla</v>
      </c>
      <c r="O988" s="2" t="str">
        <f>_xlfn.XLOOKUP(ESales_DB[[#This Row],[Product_ID]],Eproduct_DB[Product_ID],Eproduct_DB[Category])</f>
        <v>Beauty</v>
      </c>
      <c r="P988" s="2" t="str">
        <f>_xlfn.XLOOKUP(ESales_DB[[#This Row],[Product_ID]],Eproduct_DB[Product_ID],Eproduct_DB[Product_Name])</f>
        <v>Matte Lipstick Set</v>
      </c>
      <c r="Q988" s="2" t="str">
        <f>_xlfn.XLOOKUP(ESales_DB[[#This Row],[Store_ID]],Estore_DB[Store_ID],Estore_DB[Region])</f>
        <v>North</v>
      </c>
      <c r="R988" t="str">
        <f>VLOOKUP(ESales_DB[[#This Row],[Customer_ID]],Ecustom_DB[],10,FALSE)</f>
        <v>Silver</v>
      </c>
      <c r="S988" t="str">
        <f>IF(ESales_DB[[#This Row],[Quantity1]]&gt;3,"Bulk order","Normal order")</f>
        <v>Normal order</v>
      </c>
    </row>
    <row r="989" spans="1:19" x14ac:dyDescent="0.3">
      <c r="A989" t="s">
        <v>3713</v>
      </c>
      <c r="B989" s="4">
        <v>45797</v>
      </c>
      <c r="C989" s="4" t="str">
        <f>TEXT(ESales_DB[[#This Row],[Order_Date]],"mmm")</f>
        <v>May</v>
      </c>
      <c r="D989" t="s">
        <v>1104</v>
      </c>
      <c r="E989" t="s">
        <v>1546</v>
      </c>
      <c r="F989" t="s">
        <v>1766</v>
      </c>
      <c r="G989">
        <v>2</v>
      </c>
      <c r="H989" s="10">
        <f>IF(ISBLANK(ESales_DB[[#This Row],[Quantity]]),AVERAGEIF(ESales_DB[Product_ID],ESales_DB[[#This Row],[Product_ID]],ESales_DB[Quantity]),ESales_DB[[#This Row],[Quantity]])</f>
        <v>2</v>
      </c>
      <c r="I989" s="2">
        <v>99.04</v>
      </c>
      <c r="J989">
        <v>0.26</v>
      </c>
      <c r="K989" t="s">
        <v>1829</v>
      </c>
      <c r="L989" s="2">
        <v>146.57919999999999</v>
      </c>
      <c r="M989" s="2" t="str">
        <f>IF(ESales_DB[[#This Row],[Total_Amount]]&gt;1000,"High","Low")</f>
        <v>Low</v>
      </c>
      <c r="N989" s="2" t="str">
        <f>VLOOKUP(ESales_DB[[#This Row],[Customer_ID]],Ecustom_DB[],3,FALSE)</f>
        <v>Michael Greene</v>
      </c>
      <c r="O989" s="2" t="str">
        <f>_xlfn.XLOOKUP(ESales_DB[[#This Row],[Product_ID]],Eproduct_DB[Product_ID],Eproduct_DB[Category])</f>
        <v>Clothing</v>
      </c>
      <c r="P989" s="2" t="str">
        <f>_xlfn.XLOOKUP(ESales_DB[[#This Row],[Product_ID]],Eproduct_DB[Product_ID],Eproduct_DB[Product_Name])</f>
        <v>Men's Graphic T-Shirt</v>
      </c>
      <c r="Q989" s="2" t="str">
        <f>_xlfn.XLOOKUP(ESales_DB[[#This Row],[Store_ID]],Estore_DB[Store_ID],Estore_DB[Region])</f>
        <v>North</v>
      </c>
      <c r="R989" t="str">
        <f>VLOOKUP(ESales_DB[[#This Row],[Customer_ID]],Ecustom_DB[],10,FALSE)</f>
        <v>Silver</v>
      </c>
      <c r="S989" t="str">
        <f>IF(ESales_DB[[#This Row],[Quantity1]]&gt;3,"Bulk order","Normal order")</f>
        <v>Normal order</v>
      </c>
    </row>
    <row r="990" spans="1:19" x14ac:dyDescent="0.3">
      <c r="A990" t="s">
        <v>3714</v>
      </c>
      <c r="B990" s="4">
        <v>45740</v>
      </c>
      <c r="C990" s="4" t="str">
        <f>TEXT(ESales_DB[[#This Row],[Order_Date]],"mmm")</f>
        <v>Mar</v>
      </c>
      <c r="D990" t="s">
        <v>923</v>
      </c>
      <c r="E990" t="s">
        <v>1551</v>
      </c>
      <c r="F990" t="s">
        <v>1782</v>
      </c>
      <c r="G990">
        <v>4</v>
      </c>
      <c r="H990" s="10">
        <f>IF(ISBLANK(ESales_DB[[#This Row],[Quantity]]),AVERAGEIF(ESales_DB[Product_ID],ESales_DB[[#This Row],[Product_ID]],ESales_DB[Quantity]),ESales_DB[[#This Row],[Quantity]])</f>
        <v>4</v>
      </c>
      <c r="I990" s="2">
        <v>625.13</v>
      </c>
      <c r="J990">
        <v>0.06</v>
      </c>
      <c r="K990" t="s">
        <v>1824</v>
      </c>
      <c r="L990" s="2">
        <v>2350.4888000000001</v>
      </c>
      <c r="M990" s="2" t="str">
        <f>IF(ESales_DB[[#This Row],[Total_Amount]]&gt;1000,"High","Low")</f>
        <v>High</v>
      </c>
      <c r="N990" s="2" t="str">
        <f>VLOOKUP(ESales_DB[[#This Row],[Customer_ID]],Ecustom_DB[],3,FALSE)</f>
        <v>James Powell</v>
      </c>
      <c r="O990" s="2" t="str">
        <f>_xlfn.XLOOKUP(ESales_DB[[#This Row],[Product_ID]],Eproduct_DB[Product_ID],Eproduct_DB[Category])</f>
        <v>Clothing</v>
      </c>
      <c r="P990" s="2" t="str">
        <f>_xlfn.XLOOKUP(ESales_DB[[#This Row],[Product_ID]],Eproduct_DB[Product_ID],Eproduct_DB[Product_Name])</f>
        <v>Men's Running Jacket</v>
      </c>
      <c r="Q990" s="2" t="str">
        <f>_xlfn.XLOOKUP(ESales_DB[[#This Row],[Store_ID]],Estore_DB[Store_ID],Estore_DB[Region])</f>
        <v>West</v>
      </c>
      <c r="R990" t="str">
        <f>VLOOKUP(ESales_DB[[#This Row],[Customer_ID]],Ecustom_DB[],10,FALSE)</f>
        <v>Bronze</v>
      </c>
      <c r="S990" t="str">
        <f>IF(ESales_DB[[#This Row],[Quantity1]]&gt;3,"Bulk order","Normal order")</f>
        <v>Bulk order</v>
      </c>
    </row>
    <row r="991" spans="1:19" x14ac:dyDescent="0.3">
      <c r="A991" t="s">
        <v>3715</v>
      </c>
      <c r="B991" s="4">
        <v>45824</v>
      </c>
      <c r="C991" s="4" t="str">
        <f>TEXT(ESales_DB[[#This Row],[Order_Date]],"mmm")</f>
        <v>Jun</v>
      </c>
      <c r="D991" t="s">
        <v>144</v>
      </c>
      <c r="E991" t="s">
        <v>1628</v>
      </c>
      <c r="F991" t="s">
        <v>1810</v>
      </c>
      <c r="G991">
        <v>4</v>
      </c>
      <c r="H991" s="10">
        <f>IF(ISBLANK(ESales_DB[[#This Row],[Quantity]]),AVERAGEIF(ESales_DB[Product_ID],ESales_DB[[#This Row],[Product_ID]],ESales_DB[Quantity]),ESales_DB[[#This Row],[Quantity]])</f>
        <v>4</v>
      </c>
      <c r="I991" s="2">
        <v>38.380000000000003</v>
      </c>
      <c r="J991">
        <v>0.16</v>
      </c>
      <c r="K991" t="s">
        <v>1829</v>
      </c>
      <c r="L991" s="2">
        <v>128.95679999999999</v>
      </c>
      <c r="M991" s="2" t="str">
        <f>IF(ESales_DB[[#This Row],[Total_Amount]]&gt;1000,"High","Low")</f>
        <v>Low</v>
      </c>
      <c r="N991" s="2" t="str">
        <f>VLOOKUP(ESales_DB[[#This Row],[Customer_ID]],Ecustom_DB[],3,FALSE)</f>
        <v>Thomas Phillips</v>
      </c>
      <c r="O991" s="2" t="str">
        <f>_xlfn.XLOOKUP(ESales_DB[[#This Row],[Product_ID]],Eproduct_DB[Product_ID],Eproduct_DB[Category])</f>
        <v>Electronics</v>
      </c>
      <c r="P991" s="2" t="str">
        <f>_xlfn.XLOOKUP(ESales_DB[[#This Row],[Product_ID]],Eproduct_DB[Product_ID],Eproduct_DB[Product_Name])</f>
        <v>Noise-Canceling Headphones</v>
      </c>
      <c r="Q991" s="2" t="str">
        <f>_xlfn.XLOOKUP(ESales_DB[[#This Row],[Store_ID]],Estore_DB[Store_ID],Estore_DB[Region])</f>
        <v>East</v>
      </c>
      <c r="R991" t="str">
        <f>VLOOKUP(ESales_DB[[#This Row],[Customer_ID]],Ecustom_DB[],10,FALSE)</f>
        <v>Gold</v>
      </c>
      <c r="S991" t="str">
        <f>IF(ESales_DB[[#This Row],[Quantity1]]&gt;3,"Bulk order","Normal order")</f>
        <v>Bulk order</v>
      </c>
    </row>
    <row r="992" spans="1:19" x14ac:dyDescent="0.3">
      <c r="A992" t="s">
        <v>2015</v>
      </c>
      <c r="B992" s="4">
        <v>45411</v>
      </c>
      <c r="C992" s="4" t="str">
        <f>TEXT(ESales_DB[[#This Row],[Order_Date]],"mmm")</f>
        <v>Apr</v>
      </c>
      <c r="D992" t="s">
        <v>329</v>
      </c>
      <c r="E992" t="s">
        <v>1640</v>
      </c>
      <c r="F992" t="s">
        <v>1766</v>
      </c>
      <c r="G992">
        <v>1</v>
      </c>
      <c r="H992" s="10">
        <f>IF(ISBLANK(ESales_DB[[#This Row],[Quantity]]),AVERAGEIF(ESales_DB[Product_ID],ESales_DB[[#This Row],[Product_ID]],ESales_DB[Quantity]),ESales_DB[[#This Row],[Quantity]])</f>
        <v>1</v>
      </c>
      <c r="I992" s="2">
        <v>580.76</v>
      </c>
      <c r="J992">
        <v>0.1</v>
      </c>
      <c r="K992" t="s">
        <v>1829</v>
      </c>
      <c r="L992" s="2">
        <v>522.68399999999997</v>
      </c>
      <c r="M992" s="2" t="str">
        <f>IF(ESales_DB[[#This Row],[Total_Amount]]&gt;1000,"High","Low")</f>
        <v>Low</v>
      </c>
      <c r="N992" s="2" t="str">
        <f>VLOOKUP(ESales_DB[[#This Row],[Customer_ID]],Ecustom_DB[],3,FALSE)</f>
        <v>Donna Gregory</v>
      </c>
      <c r="O992" s="2" t="str">
        <f>_xlfn.XLOOKUP(ESales_DB[[#This Row],[Product_ID]],Eproduct_DB[Product_ID],Eproduct_DB[Category])</f>
        <v>Clothing</v>
      </c>
      <c r="P992" s="2" t="str">
        <f>_xlfn.XLOOKUP(ESales_DB[[#This Row],[Product_ID]],Eproduct_DB[Product_ID],Eproduct_DB[Product_Name])</f>
        <v>Men's Winter Jacket</v>
      </c>
      <c r="Q992" s="2" t="str">
        <f>_xlfn.XLOOKUP(ESales_DB[[#This Row],[Store_ID]],Estore_DB[Store_ID],Estore_DB[Region])</f>
        <v>North</v>
      </c>
      <c r="R992" t="str">
        <f>VLOOKUP(ESales_DB[[#This Row],[Customer_ID]],Ecustom_DB[],10,FALSE)</f>
        <v>Silver</v>
      </c>
      <c r="S992" t="str">
        <f>IF(ESales_DB[[#This Row],[Quantity1]]&gt;3,"Bulk order","Normal order")</f>
        <v>Normal order</v>
      </c>
    </row>
    <row r="993" spans="1:19" x14ac:dyDescent="0.3">
      <c r="A993" t="s">
        <v>3716</v>
      </c>
      <c r="B993" s="4">
        <v>45404</v>
      </c>
      <c r="C993" s="4" t="str">
        <f>TEXT(ESales_DB[[#This Row],[Order_Date]],"mmm")</f>
        <v>Apr</v>
      </c>
      <c r="D993" t="s">
        <v>1513</v>
      </c>
      <c r="E993" t="s">
        <v>1736</v>
      </c>
      <c r="F993" t="s">
        <v>1789</v>
      </c>
      <c r="G993">
        <v>4</v>
      </c>
      <c r="H993" s="10">
        <f>IF(ISBLANK(ESales_DB[[#This Row],[Quantity]]),AVERAGEIF(ESales_DB[Product_ID],ESales_DB[[#This Row],[Product_ID]],ESales_DB[Quantity]),ESales_DB[[#This Row],[Quantity]])</f>
        <v>4</v>
      </c>
      <c r="I993" s="2">
        <v>731.72</v>
      </c>
      <c r="J993">
        <v>0.22</v>
      </c>
      <c r="K993" t="s">
        <v>1829</v>
      </c>
      <c r="L993" s="2">
        <v>2282.9663999999998</v>
      </c>
      <c r="M993" s="2" t="str">
        <f>IF(ESales_DB[[#This Row],[Total_Amount]]&gt;1000,"High","Low")</f>
        <v>High</v>
      </c>
      <c r="N993" s="2" t="str">
        <f>VLOOKUP(ESales_DB[[#This Row],[Customer_ID]],Ecustom_DB[],3,FALSE)</f>
        <v>Darrell Miller</v>
      </c>
      <c r="O993" s="2" t="str">
        <f>_xlfn.XLOOKUP(ESales_DB[[#This Row],[Product_ID]],Eproduct_DB[Product_ID],Eproduct_DB[Category])</f>
        <v>Beauty</v>
      </c>
      <c r="P993" s="2" t="str">
        <f>_xlfn.XLOOKUP(ESales_DB[[#This Row],[Product_ID]],Eproduct_DB[Product_ID],Eproduct_DB[Product_Name])</f>
        <v>Vitamin E Body Lotion</v>
      </c>
      <c r="Q993" s="2" t="str">
        <f>_xlfn.XLOOKUP(ESales_DB[[#This Row],[Store_ID]],Estore_DB[Store_ID],Estore_DB[Region])</f>
        <v>East</v>
      </c>
      <c r="R993" t="str">
        <f>VLOOKUP(ESales_DB[[#This Row],[Customer_ID]],Ecustom_DB[],10,FALSE)</f>
        <v>Platinum</v>
      </c>
      <c r="S993" t="str">
        <f>IF(ESales_DB[[#This Row],[Quantity1]]&gt;3,"Bulk order","Normal order")</f>
        <v>Bulk order</v>
      </c>
    </row>
    <row r="994" spans="1:19" x14ac:dyDescent="0.3">
      <c r="A994" t="s">
        <v>3717</v>
      </c>
      <c r="B994" s="4">
        <v>45916</v>
      </c>
      <c r="C994" s="4" t="str">
        <f>TEXT(ESales_DB[[#This Row],[Order_Date]],"mmm")</f>
        <v>Sep</v>
      </c>
      <c r="D994" t="s">
        <v>1411</v>
      </c>
      <c r="E994" t="s">
        <v>1710</v>
      </c>
      <c r="F994" t="s">
        <v>1813</v>
      </c>
      <c r="G994">
        <v>3</v>
      </c>
      <c r="H994" s="10">
        <f>IF(ISBLANK(ESales_DB[[#This Row],[Quantity]]),AVERAGEIF(ESales_DB[Product_ID],ESales_DB[[#This Row],[Product_ID]],ESales_DB[Quantity]),ESales_DB[[#This Row],[Quantity]])</f>
        <v>3</v>
      </c>
      <c r="I994" s="2">
        <v>825.33</v>
      </c>
      <c r="J994">
        <v>0.21</v>
      </c>
      <c r="K994" t="s">
        <v>1824</v>
      </c>
      <c r="L994" s="2">
        <v>1956.0320999999999</v>
      </c>
      <c r="M994" s="2" t="str">
        <f>IF(ESales_DB[[#This Row],[Total_Amount]]&gt;1000,"High","Low")</f>
        <v>High</v>
      </c>
      <c r="N994" s="2" t="str">
        <f>VLOOKUP(ESales_DB[[#This Row],[Customer_ID]],Ecustom_DB[],3,FALSE)</f>
        <v>Christina Robertson</v>
      </c>
      <c r="O994" s="2" t="str">
        <f>_xlfn.XLOOKUP(ESales_DB[[#This Row],[Product_ID]],Eproduct_DB[Product_ID],Eproduct_DB[Category])</f>
        <v>Sports</v>
      </c>
      <c r="P994" s="2" t="str">
        <f>_xlfn.XLOOKUP(ESales_DB[[#This Row],[Product_ID]],Eproduct_DB[Product_ID],Eproduct_DB[Product_Name])</f>
        <v>Badminton Racket Set</v>
      </c>
      <c r="Q994" s="2" t="str">
        <f>_xlfn.XLOOKUP(ESales_DB[[#This Row],[Store_ID]],Estore_DB[Store_ID],Estore_DB[Region])</f>
        <v>East</v>
      </c>
      <c r="R994" t="str">
        <f>VLOOKUP(ESales_DB[[#This Row],[Customer_ID]],Ecustom_DB[],10,FALSE)</f>
        <v>Platinum</v>
      </c>
      <c r="S994" t="str">
        <f>IF(ESales_DB[[#This Row],[Quantity1]]&gt;3,"Bulk order","Normal order")</f>
        <v>Normal order</v>
      </c>
    </row>
    <row r="995" spans="1:19" x14ac:dyDescent="0.3">
      <c r="A995" t="s">
        <v>3718</v>
      </c>
      <c r="B995" s="4">
        <v>45269</v>
      </c>
      <c r="C995" s="4" t="str">
        <f>TEXT(ESales_DB[[#This Row],[Order_Date]],"mmm")</f>
        <v>Dec</v>
      </c>
      <c r="D995" t="s">
        <v>221</v>
      </c>
      <c r="E995" t="s">
        <v>1688</v>
      </c>
      <c r="F995" t="s">
        <v>1799</v>
      </c>
      <c r="G995">
        <v>2</v>
      </c>
      <c r="H995" s="10">
        <f>IF(ISBLANK(ESales_DB[[#This Row],[Quantity]]),AVERAGEIF(ESales_DB[Product_ID],ESales_DB[[#This Row],[Product_ID]],ESales_DB[Quantity]),ESales_DB[[#This Row],[Quantity]])</f>
        <v>2</v>
      </c>
      <c r="I995" s="2">
        <v>47.3</v>
      </c>
      <c r="J995">
        <v>0.01</v>
      </c>
      <c r="K995" t="s">
        <v>1826</v>
      </c>
      <c r="L995" s="2">
        <v>93.653999999999996</v>
      </c>
      <c r="M995" s="2" t="str">
        <f>IF(ESales_DB[[#This Row],[Total_Amount]]&gt;1000,"High","Low")</f>
        <v>Low</v>
      </c>
      <c r="N995" s="2" t="str">
        <f>VLOOKUP(ESales_DB[[#This Row],[Customer_ID]],Ecustom_DB[],3,FALSE)</f>
        <v>Alyssa Vargas</v>
      </c>
      <c r="O995" s="2" t="str">
        <f>_xlfn.XLOOKUP(ESales_DB[[#This Row],[Product_ID]],Eproduct_DB[Product_ID],Eproduct_DB[Category])</f>
        <v>Home</v>
      </c>
      <c r="P995" s="2" t="str">
        <f>_xlfn.XLOOKUP(ESales_DB[[#This Row],[Product_ID]],Eproduct_DB[Product_ID],Eproduct_DB[Product_Name])</f>
        <v>Kitchen Storage Rack</v>
      </c>
      <c r="Q995" s="2" t="str">
        <f>_xlfn.XLOOKUP(ESales_DB[[#This Row],[Store_ID]],Estore_DB[Store_ID],Estore_DB[Region])</f>
        <v>South</v>
      </c>
      <c r="R995" t="str">
        <f>VLOOKUP(ESales_DB[[#This Row],[Customer_ID]],Ecustom_DB[],10,FALSE)</f>
        <v>Platinum</v>
      </c>
      <c r="S995" t="str">
        <f>IF(ESales_DB[[#This Row],[Quantity1]]&gt;3,"Bulk order","Normal order")</f>
        <v>Normal order</v>
      </c>
    </row>
    <row r="996" spans="1:19" x14ac:dyDescent="0.3">
      <c r="A996" t="s">
        <v>3719</v>
      </c>
      <c r="B996" s="4">
        <v>45493</v>
      </c>
      <c r="C996" s="4" t="str">
        <f>TEXT(ESales_DB[[#This Row],[Order_Date]],"mmm")</f>
        <v>Jul</v>
      </c>
      <c r="D996" t="s">
        <v>568</v>
      </c>
      <c r="E996" t="s">
        <v>1692</v>
      </c>
      <c r="F996" t="s">
        <v>1807</v>
      </c>
      <c r="G996">
        <v>1</v>
      </c>
      <c r="H996" s="10">
        <f>IF(ISBLANK(ESales_DB[[#This Row],[Quantity]]),AVERAGEIF(ESales_DB[Product_ID],ESales_DB[[#This Row],[Product_ID]],ESales_DB[Quantity]),ESales_DB[[#This Row],[Quantity]])</f>
        <v>1</v>
      </c>
      <c r="I996" s="2">
        <v>389.12</v>
      </c>
      <c r="J996">
        <v>0.18</v>
      </c>
      <c r="K996" t="s">
        <v>1826</v>
      </c>
      <c r="L996" s="2">
        <v>319.07839999999999</v>
      </c>
      <c r="M996" s="2" t="str">
        <f>IF(ESales_DB[[#This Row],[Total_Amount]]&gt;1000,"High","Low")</f>
        <v>Low</v>
      </c>
      <c r="N996" s="2" t="str">
        <f>VLOOKUP(ESales_DB[[#This Row],[Customer_ID]],Ecustom_DB[],3,FALSE)</f>
        <v>Amy Wilson</v>
      </c>
      <c r="O996" s="2" t="str">
        <f>_xlfn.XLOOKUP(ESales_DB[[#This Row],[Product_ID]],Eproduct_DB[Product_ID],Eproduct_DB[Category])</f>
        <v>Sports</v>
      </c>
      <c r="P996" s="2" t="str">
        <f>_xlfn.XLOOKUP(ESales_DB[[#This Row],[Product_ID]],Eproduct_DB[Product_ID],Eproduct_DB[Product_Name])</f>
        <v>Professional Jump Rope</v>
      </c>
      <c r="Q996" s="2" t="str">
        <f>_xlfn.XLOOKUP(ESales_DB[[#This Row],[Store_ID]],Estore_DB[Store_ID],Estore_DB[Region])</f>
        <v>North</v>
      </c>
      <c r="R996" t="str">
        <f>VLOOKUP(ESales_DB[[#This Row],[Customer_ID]],Ecustom_DB[],10,FALSE)</f>
        <v>Platinum</v>
      </c>
      <c r="S996" t="str">
        <f>IF(ESales_DB[[#This Row],[Quantity1]]&gt;3,"Bulk order","Normal order")</f>
        <v>Normal order</v>
      </c>
    </row>
    <row r="997" spans="1:19" x14ac:dyDescent="0.3">
      <c r="A997" t="s">
        <v>3720</v>
      </c>
      <c r="B997" s="4">
        <v>45558</v>
      </c>
      <c r="C997" s="4" t="str">
        <f>TEXT(ESales_DB[[#This Row],[Order_Date]],"mmm")</f>
        <v>Sep</v>
      </c>
      <c r="D997" t="s">
        <v>1414</v>
      </c>
      <c r="E997" t="s">
        <v>1712</v>
      </c>
      <c r="F997" t="s">
        <v>1810</v>
      </c>
      <c r="G997">
        <v>3</v>
      </c>
      <c r="H997" s="10">
        <f>IF(ISBLANK(ESales_DB[[#This Row],[Quantity]]),AVERAGEIF(ESales_DB[Product_ID],ESales_DB[[#This Row],[Product_ID]],ESales_DB[Quantity]),ESales_DB[[#This Row],[Quantity]])</f>
        <v>3</v>
      </c>
      <c r="I997" s="2">
        <v>543.83000000000004</v>
      </c>
      <c r="J997">
        <v>0.05</v>
      </c>
      <c r="K997" t="s">
        <v>1824</v>
      </c>
      <c r="L997" s="2">
        <v>1549.9155000000001</v>
      </c>
      <c r="M997" s="2" t="str">
        <f>IF(ESales_DB[[#This Row],[Total_Amount]]&gt;1000,"High","Low")</f>
        <v>High</v>
      </c>
      <c r="N997" s="2" t="str">
        <f>VLOOKUP(ESales_DB[[#This Row],[Customer_ID]],Ecustom_DB[],3,FALSE)</f>
        <v>Kelly Garrett</v>
      </c>
      <c r="O997" s="2" t="str">
        <f>_xlfn.XLOOKUP(ESales_DB[[#This Row],[Product_ID]],Eproduct_DB[Product_ID],Eproduct_DB[Category])</f>
        <v>Sports</v>
      </c>
      <c r="P997" s="2" t="str">
        <f>_xlfn.XLOOKUP(ESales_DB[[#This Row],[Product_ID]],Eproduct_DB[Product_ID],Eproduct_DB[Product_Name])</f>
        <v>Fitness Resistance Bands</v>
      </c>
      <c r="Q997" s="2" t="str">
        <f>_xlfn.XLOOKUP(ESales_DB[[#This Row],[Store_ID]],Estore_DB[Store_ID],Estore_DB[Region])</f>
        <v>East</v>
      </c>
      <c r="R997" t="str">
        <f>VLOOKUP(ESales_DB[[#This Row],[Customer_ID]],Ecustom_DB[],10,FALSE)</f>
        <v>Silver</v>
      </c>
      <c r="S997" t="str">
        <f>IF(ESales_DB[[#This Row],[Quantity1]]&gt;3,"Bulk order","Normal order")</f>
        <v>Normal order</v>
      </c>
    </row>
    <row r="998" spans="1:19" x14ac:dyDescent="0.3">
      <c r="A998" t="s">
        <v>3721</v>
      </c>
      <c r="B998" s="4">
        <v>45423</v>
      </c>
      <c r="C998" s="4" t="str">
        <f>TEXT(ESales_DB[[#This Row],[Order_Date]],"mmm")</f>
        <v>May</v>
      </c>
      <c r="D998" t="s">
        <v>103</v>
      </c>
      <c r="E998" t="s">
        <v>1576</v>
      </c>
      <c r="F998" t="s">
        <v>1757</v>
      </c>
      <c r="G998">
        <v>2</v>
      </c>
      <c r="H998" s="10">
        <f>IF(ISBLANK(ESales_DB[[#This Row],[Quantity]]),AVERAGEIF(ESales_DB[Product_ID],ESales_DB[[#This Row],[Product_ID]],ESales_DB[Quantity]),ESales_DB[[#This Row],[Quantity]])</f>
        <v>2</v>
      </c>
      <c r="I998" s="2">
        <v>660.27</v>
      </c>
      <c r="J998">
        <v>0.01</v>
      </c>
      <c r="K998" t="s">
        <v>1826</v>
      </c>
      <c r="L998" s="2">
        <v>1307.3345999999999</v>
      </c>
      <c r="M998" s="2" t="str">
        <f>IF(ESales_DB[[#This Row],[Total_Amount]]&gt;1000,"High","Low")</f>
        <v>High</v>
      </c>
      <c r="N998" s="2" t="str">
        <f>VLOOKUP(ESales_DB[[#This Row],[Customer_ID]],Ecustom_DB[],3,FALSE)</f>
        <v>Heather Collins</v>
      </c>
      <c r="O998" s="2" t="str">
        <f>_xlfn.XLOOKUP(ESales_DB[[#This Row],[Product_ID]],Eproduct_DB[Product_ID],Eproduct_DB[Category])</f>
        <v>Home</v>
      </c>
      <c r="P998" s="2" t="str">
        <f>_xlfn.XLOOKUP(ESales_DB[[#This Row],[Product_ID]],Eproduct_DB[Product_ID],Eproduct_DB[Product_Name])</f>
        <v>Decorative Wall Mirror</v>
      </c>
      <c r="Q998" s="2" t="str">
        <f>_xlfn.XLOOKUP(ESales_DB[[#This Row],[Store_ID]],Estore_DB[Store_ID],Estore_DB[Region])</f>
        <v>North</v>
      </c>
      <c r="R998" t="str">
        <f>VLOOKUP(ESales_DB[[#This Row],[Customer_ID]],Ecustom_DB[],10,FALSE)</f>
        <v>Platinum</v>
      </c>
      <c r="S998" t="str">
        <f>IF(ESales_DB[[#This Row],[Quantity1]]&gt;3,"Bulk order","Normal order")</f>
        <v>Normal order</v>
      </c>
    </row>
    <row r="999" spans="1:19" x14ac:dyDescent="0.3">
      <c r="A999" t="s">
        <v>3722</v>
      </c>
      <c r="B999" s="4">
        <v>45780</v>
      </c>
      <c r="C999" s="4" t="str">
        <f>TEXT(ESales_DB[[#This Row],[Order_Date]],"mmm")</f>
        <v>May</v>
      </c>
      <c r="D999" t="s">
        <v>1346</v>
      </c>
      <c r="E999" t="s">
        <v>1574</v>
      </c>
      <c r="F999" t="s">
        <v>1782</v>
      </c>
      <c r="G999">
        <v>4</v>
      </c>
      <c r="H999" s="10">
        <f>IF(ISBLANK(ESales_DB[[#This Row],[Quantity]]),AVERAGEIF(ESales_DB[Product_ID],ESales_DB[[#This Row],[Product_ID]],ESales_DB[Quantity]),ESales_DB[[#This Row],[Quantity]])</f>
        <v>4</v>
      </c>
      <c r="I999" s="2">
        <v>729.31</v>
      </c>
      <c r="J999">
        <v>0.03</v>
      </c>
      <c r="K999" t="s">
        <v>1824</v>
      </c>
      <c r="L999" s="2">
        <v>2829.7228</v>
      </c>
      <c r="M999" s="2" t="str">
        <f>IF(ESales_DB[[#This Row],[Total_Amount]]&gt;1000,"High","Low")</f>
        <v>High</v>
      </c>
      <c r="N999" s="2" t="str">
        <f>VLOOKUP(ESales_DB[[#This Row],[Customer_ID]],Ecustom_DB[],3,FALSE)</f>
        <v>Monique Castro</v>
      </c>
      <c r="O999" s="2" t="str">
        <f>_xlfn.XLOOKUP(ESales_DB[[#This Row],[Product_ID]],Eproduct_DB[Product_ID],Eproduct_DB[Category])</f>
        <v>Electronics</v>
      </c>
      <c r="P999" s="2" t="str">
        <f>_xlfn.XLOOKUP(ESales_DB[[#This Row],[Product_ID]],Eproduct_DB[Product_ID],Eproduct_DB[Product_Name])</f>
        <v>USB-C Fast Charger</v>
      </c>
      <c r="Q999" s="2" t="str">
        <f>_xlfn.XLOOKUP(ESales_DB[[#This Row],[Store_ID]],Estore_DB[Store_ID],Estore_DB[Region])</f>
        <v>West</v>
      </c>
      <c r="R999" t="str">
        <f>VLOOKUP(ESales_DB[[#This Row],[Customer_ID]],Ecustom_DB[],10,FALSE)</f>
        <v>Gold</v>
      </c>
      <c r="S999" t="str">
        <f>IF(ESales_DB[[#This Row],[Quantity1]]&gt;3,"Bulk order","Normal order")</f>
        <v>Bulk order</v>
      </c>
    </row>
    <row r="1000" spans="1:19" x14ac:dyDescent="0.3">
      <c r="A1000" t="s">
        <v>3723</v>
      </c>
      <c r="B1000" s="4">
        <v>45345</v>
      </c>
      <c r="C1000" s="4" t="str">
        <f>TEXT(ESales_DB[[#This Row],[Order_Date]],"mmm")</f>
        <v>Feb</v>
      </c>
      <c r="D1000" t="s">
        <v>1307</v>
      </c>
      <c r="E1000" t="s">
        <v>1722</v>
      </c>
      <c r="F1000" t="s">
        <v>1776</v>
      </c>
      <c r="G1000">
        <v>2</v>
      </c>
      <c r="H1000" s="10">
        <f>IF(ISBLANK(ESales_DB[[#This Row],[Quantity]]),AVERAGEIF(ESales_DB[Product_ID],ESales_DB[[#This Row],[Product_ID]],ESales_DB[Quantity]),ESales_DB[[#This Row],[Quantity]])</f>
        <v>2</v>
      </c>
      <c r="I1000" s="2">
        <v>152.91</v>
      </c>
      <c r="J1000">
        <v>0.24</v>
      </c>
      <c r="K1000" t="s">
        <v>1826</v>
      </c>
      <c r="L1000" s="2">
        <v>232.42320000000001</v>
      </c>
      <c r="M1000" s="2" t="str">
        <f>IF(ESales_DB[[#This Row],[Total_Amount]]&gt;1000,"High","Low")</f>
        <v>Low</v>
      </c>
      <c r="N1000" s="2" t="str">
        <f>VLOOKUP(ESales_DB[[#This Row],[Customer_ID]],Ecustom_DB[],3,FALSE)</f>
        <v>Holly Robinson</v>
      </c>
      <c r="O1000" s="2" t="str">
        <f>_xlfn.XLOOKUP(ESales_DB[[#This Row],[Product_ID]],Eproduct_DB[Product_ID],Eproduct_DB[Category])</f>
        <v>Home</v>
      </c>
      <c r="P1000" s="2" t="str">
        <f>_xlfn.XLOOKUP(ESales_DB[[#This Row],[Product_ID]],Eproduct_DB[Product_ID],Eproduct_DB[Product_Name])</f>
        <v>LED Bedside Lamp</v>
      </c>
      <c r="Q1000" s="2" t="str">
        <f>_xlfn.XLOOKUP(ESales_DB[[#This Row],[Store_ID]],Estore_DB[Store_ID],Estore_DB[Region])</f>
        <v>East</v>
      </c>
      <c r="R1000" t="str">
        <f>VLOOKUP(ESales_DB[[#This Row],[Customer_ID]],Ecustom_DB[],10,FALSE)</f>
        <v>Platinum</v>
      </c>
      <c r="S1000" t="str">
        <f>IF(ESales_DB[[#This Row],[Quantity1]]&gt;3,"Bulk order","Normal order")</f>
        <v>Normal order</v>
      </c>
    </row>
    <row r="1001" spans="1:19" x14ac:dyDescent="0.3">
      <c r="A1001" t="s">
        <v>3724</v>
      </c>
      <c r="B1001" s="4">
        <v>45344</v>
      </c>
      <c r="C1001" s="4" t="str">
        <f>TEXT(ESales_DB[[#This Row],[Order_Date]],"mmm")</f>
        <v>Feb</v>
      </c>
      <c r="D1001" t="s">
        <v>1422</v>
      </c>
      <c r="E1001" t="s">
        <v>1696</v>
      </c>
      <c r="F1001" t="s">
        <v>1801</v>
      </c>
      <c r="G1001">
        <v>4</v>
      </c>
      <c r="H1001" s="10">
        <f>IF(ISBLANK(ESales_DB[[#This Row],[Quantity]]),AVERAGEIF(ESales_DB[Product_ID],ESales_DB[[#This Row],[Product_ID]],ESales_DB[Quantity]),ESales_DB[[#This Row],[Quantity]])</f>
        <v>4</v>
      </c>
      <c r="I1001" s="2">
        <v>592.14</v>
      </c>
      <c r="J1001">
        <v>0.12</v>
      </c>
      <c r="K1001" t="s">
        <v>1829</v>
      </c>
      <c r="L1001" s="2">
        <v>2084.3328000000001</v>
      </c>
      <c r="M1001" s="2" t="str">
        <f>IF(ESales_DB[[#This Row],[Total_Amount]]&gt;1000,"High","Low")</f>
        <v>High</v>
      </c>
      <c r="N1001" s="2" t="str">
        <f>VLOOKUP(ESales_DB[[#This Row],[Customer_ID]],Ecustom_DB[],3,FALSE)</f>
        <v>Paul Cox</v>
      </c>
      <c r="O1001" s="2" t="str">
        <f>_xlfn.XLOOKUP(ESales_DB[[#This Row],[Product_ID]],Eproduct_DB[Product_ID],Eproduct_DB[Category])</f>
        <v>Electronics</v>
      </c>
      <c r="P1001" s="2" t="str">
        <f>_xlfn.XLOOKUP(ESales_DB[[#This Row],[Product_ID]],Eproduct_DB[Product_ID],Eproduct_DB[Product_Name])</f>
        <v>Bluetooth Car Audio System</v>
      </c>
      <c r="Q1001" s="2" t="str">
        <f>_xlfn.XLOOKUP(ESales_DB[[#This Row],[Store_ID]],Estore_DB[Store_ID],Estore_DB[Region])</f>
        <v>North</v>
      </c>
      <c r="R1001" t="str">
        <f>VLOOKUP(ESales_DB[[#This Row],[Customer_ID]],Ecustom_DB[],10,FALSE)</f>
        <v>Silver</v>
      </c>
      <c r="S1001" t="str">
        <f>IF(ESales_DB[[#This Row],[Quantity1]]&gt;3,"Bulk order","Normal order")</f>
        <v>Bulk order</v>
      </c>
    </row>
    <row r="1002" spans="1:19" x14ac:dyDescent="0.3">
      <c r="A1002" t="s">
        <v>3725</v>
      </c>
      <c r="B1002" s="4">
        <v>45525</v>
      </c>
      <c r="C1002" s="4" t="str">
        <f>TEXT(ESales_DB[[#This Row],[Order_Date]],"mmm")</f>
        <v>Aug</v>
      </c>
      <c r="D1002" t="s">
        <v>230</v>
      </c>
      <c r="E1002" t="s">
        <v>1704</v>
      </c>
      <c r="F1002" t="s">
        <v>1794</v>
      </c>
      <c r="G1002">
        <v>1</v>
      </c>
      <c r="H1002" s="10">
        <f>IF(ISBLANK(ESales_DB[[#This Row],[Quantity]]),AVERAGEIF(ESales_DB[Product_ID],ESales_DB[[#This Row],[Product_ID]],ESales_DB[Quantity]),ESales_DB[[#This Row],[Quantity]])</f>
        <v>1</v>
      </c>
      <c r="I1002" s="2">
        <v>984.37</v>
      </c>
      <c r="J1002">
        <v>0</v>
      </c>
      <c r="K1002" t="s">
        <v>1826</v>
      </c>
      <c r="L1002" s="2">
        <v>984.37</v>
      </c>
      <c r="M1002" s="2" t="str">
        <f>IF(ESales_DB[[#This Row],[Total_Amount]]&gt;1000,"High","Low")</f>
        <v>Low</v>
      </c>
      <c r="N1002" s="2" t="str">
        <f>VLOOKUP(ESales_DB[[#This Row],[Customer_ID]],Ecustom_DB[],3,FALSE)</f>
        <v>James Bean</v>
      </c>
      <c r="O1002" s="2" t="str">
        <f>_xlfn.XLOOKUP(ESales_DB[[#This Row],[Product_ID]],Eproduct_DB[Product_ID],Eproduct_DB[Category])</f>
        <v>Home</v>
      </c>
      <c r="P1002" s="2" t="str">
        <f>_xlfn.XLOOKUP(ESales_DB[[#This Row],[Product_ID]],Eproduct_DB[Product_ID],Eproduct_DB[Product_Name])</f>
        <v>Essential Oil Diffuser</v>
      </c>
      <c r="Q1002" s="2" t="str">
        <f>_xlfn.XLOOKUP(ESales_DB[[#This Row],[Store_ID]],Estore_DB[Store_ID],Estore_DB[Region])</f>
        <v>North</v>
      </c>
      <c r="R1002" t="str">
        <f>VLOOKUP(ESales_DB[[#This Row],[Customer_ID]],Ecustom_DB[],10,FALSE)</f>
        <v>Bronze</v>
      </c>
      <c r="S1002" t="str">
        <f>IF(ESales_DB[[#This Row],[Quantity1]]&gt;3,"Bulk order","Normal order")</f>
        <v>Normal order</v>
      </c>
    </row>
    <row r="1003" spans="1:19" x14ac:dyDescent="0.3">
      <c r="A1003" t="s">
        <v>1845</v>
      </c>
      <c r="B1003" s="4">
        <v>45369</v>
      </c>
      <c r="C1003" s="4" t="str">
        <f>TEXT(ESales_DB[[#This Row],[Order_Date]],"mmm")</f>
        <v>Mar</v>
      </c>
      <c r="D1003" t="s">
        <v>767</v>
      </c>
      <c r="E1003" t="s">
        <v>1668</v>
      </c>
      <c r="F1003" t="s">
        <v>1797</v>
      </c>
      <c r="G1003">
        <v>4</v>
      </c>
      <c r="H1003" s="10">
        <f>IF(ISBLANK(ESales_DB[[#This Row],[Quantity]]),AVERAGEIF(ESales_DB[Product_ID],ESales_DB[[#This Row],[Product_ID]],ESales_DB[Quantity]),ESales_DB[[#This Row],[Quantity]])</f>
        <v>4</v>
      </c>
      <c r="J1003">
        <v>0.04</v>
      </c>
      <c r="K1003" t="s">
        <v>1829</v>
      </c>
      <c r="L1003" s="2">
        <v>1782.4512</v>
      </c>
      <c r="M1003" s="2" t="str">
        <f>IF(ESales_DB[[#This Row],[Total_Amount]]&gt;1000,"High","Low")</f>
        <v>High</v>
      </c>
      <c r="N1003" s="2" t="str">
        <f>VLOOKUP(ESales_DB[[#This Row],[Customer_ID]],Ecustom_DB[],3,FALSE)</f>
        <v>Maria Hill</v>
      </c>
      <c r="O1003" s="2" t="str">
        <f>_xlfn.XLOOKUP(ESales_DB[[#This Row],[Product_ID]],Eproduct_DB[Product_ID],Eproduct_DB[Category])</f>
        <v>Beauty</v>
      </c>
      <c r="P1003" s="2" t="str">
        <f>_xlfn.XLOOKUP(ESales_DB[[#This Row],[Product_ID]],Eproduct_DB[Product_ID],Eproduct_DB[Product_Name])</f>
        <v>Luxury Perfume Spray</v>
      </c>
      <c r="Q1003" s="2" t="str">
        <f>_xlfn.XLOOKUP(ESales_DB[[#This Row],[Store_ID]],Estore_DB[Store_ID],Estore_DB[Region])</f>
        <v>East</v>
      </c>
      <c r="R1003" t="str">
        <f>VLOOKUP(ESales_DB[[#This Row],[Customer_ID]],Ecustom_DB[],10,FALSE)</f>
        <v>Platinum</v>
      </c>
      <c r="S1003" t="str">
        <f>IF(ESales_DB[[#This Row],[Quantity1]]&gt;3,"Bulk order","Normal order")</f>
        <v>Bulk order</v>
      </c>
    </row>
    <row r="1004" spans="1:19" x14ac:dyDescent="0.3">
      <c r="A1004" t="s">
        <v>2016</v>
      </c>
      <c r="B1004" s="4">
        <v>45775</v>
      </c>
      <c r="C1004" s="4" t="str">
        <f>TEXT(ESales_DB[[#This Row],[Order_Date]],"mmm")</f>
        <v>Apr</v>
      </c>
      <c r="D1004" t="s">
        <v>1050</v>
      </c>
      <c r="E1004" t="s">
        <v>1690</v>
      </c>
      <c r="F1004" t="s">
        <v>1786</v>
      </c>
      <c r="G1004">
        <v>3</v>
      </c>
      <c r="H1004" s="10">
        <f>IF(ISBLANK(ESales_DB[[#This Row],[Quantity]]),AVERAGEIF(ESales_DB[Product_ID],ESales_DB[[#This Row],[Product_ID]],ESales_DB[Quantity]),ESales_DB[[#This Row],[Quantity]])</f>
        <v>3</v>
      </c>
      <c r="I1004" s="2">
        <v>444.55</v>
      </c>
      <c r="J1004">
        <v>0.14000000000000001</v>
      </c>
      <c r="K1004" t="s">
        <v>1826</v>
      </c>
      <c r="L1004" s="2">
        <v>1146.9390000000001</v>
      </c>
      <c r="M1004" s="2" t="str">
        <f>IF(ESales_DB[[#This Row],[Total_Amount]]&gt;1000,"High","Low")</f>
        <v>High</v>
      </c>
      <c r="N1004" s="2" t="str">
        <f>VLOOKUP(ESales_DB[[#This Row],[Customer_ID]],Ecustom_DB[],3,FALSE)</f>
        <v>Mr. Christopher Sims</v>
      </c>
      <c r="O1004" s="2" t="str">
        <f>_xlfn.XLOOKUP(ESales_DB[[#This Row],[Product_ID]],Eproduct_DB[Product_ID],Eproduct_DB[Category])</f>
        <v>Beauty</v>
      </c>
      <c r="P1004" s="2" t="str">
        <f>_xlfn.XLOOKUP(ESales_DB[[#This Row],[Product_ID]],Eproduct_DB[Product_ID],Eproduct_DB[Product_Name])</f>
        <v>Hair Repair Oil Treatment</v>
      </c>
      <c r="Q1004" s="2" t="str">
        <f>_xlfn.XLOOKUP(ESales_DB[[#This Row],[Store_ID]],Estore_DB[Store_ID],Estore_DB[Region])</f>
        <v>South</v>
      </c>
      <c r="R1004" t="str">
        <f>VLOOKUP(ESales_DB[[#This Row],[Customer_ID]],Ecustom_DB[],10,FALSE)</f>
        <v>Silver</v>
      </c>
      <c r="S1004" t="str">
        <f>IF(ESales_DB[[#This Row],[Quantity1]]&gt;3,"Bulk order","Normal order")</f>
        <v>Normal order</v>
      </c>
    </row>
    <row r="1005" spans="1:19" x14ac:dyDescent="0.3">
      <c r="A1005" t="s">
        <v>3726</v>
      </c>
      <c r="B1005" s="4">
        <v>45329</v>
      </c>
      <c r="C1005" s="4" t="str">
        <f>TEXT(ESales_DB[[#This Row],[Order_Date]],"mmm")</f>
        <v>Feb</v>
      </c>
      <c r="D1005" t="s">
        <v>926</v>
      </c>
      <c r="E1005" t="s">
        <v>1546</v>
      </c>
      <c r="F1005" t="s">
        <v>1794</v>
      </c>
      <c r="G1005">
        <v>2</v>
      </c>
      <c r="H1005" s="10">
        <f>IF(ISBLANK(ESales_DB[[#This Row],[Quantity]]),AVERAGEIF(ESales_DB[Product_ID],ESales_DB[[#This Row],[Product_ID]],ESales_DB[Quantity]),ESales_DB[[#This Row],[Quantity]])</f>
        <v>2</v>
      </c>
      <c r="I1005" s="2">
        <v>237.59</v>
      </c>
      <c r="J1005">
        <v>0.12</v>
      </c>
      <c r="K1005" t="s">
        <v>1824</v>
      </c>
      <c r="L1005" s="2">
        <v>418.15839999999997</v>
      </c>
      <c r="M1005" s="2" t="str">
        <f>IF(ESales_DB[[#This Row],[Total_Amount]]&gt;1000,"High","Low")</f>
        <v>Low</v>
      </c>
      <c r="N1005" s="2" t="str">
        <f>VLOOKUP(ESales_DB[[#This Row],[Customer_ID]],Ecustom_DB[],3,FALSE)</f>
        <v>Ricardo Jones</v>
      </c>
      <c r="O1005" s="2" t="str">
        <f>_xlfn.XLOOKUP(ESales_DB[[#This Row],[Product_ID]],Eproduct_DB[Product_ID],Eproduct_DB[Category])</f>
        <v>Clothing</v>
      </c>
      <c r="P1005" s="2" t="str">
        <f>_xlfn.XLOOKUP(ESales_DB[[#This Row],[Product_ID]],Eproduct_DB[Product_ID],Eproduct_DB[Product_Name])</f>
        <v>Men's Graphic T-Shirt</v>
      </c>
      <c r="Q1005" s="2" t="str">
        <f>_xlfn.XLOOKUP(ESales_DB[[#This Row],[Store_ID]],Estore_DB[Store_ID],Estore_DB[Region])</f>
        <v>North</v>
      </c>
      <c r="R1005" t="str">
        <f>VLOOKUP(ESales_DB[[#This Row],[Customer_ID]],Ecustom_DB[],10,FALSE)</f>
        <v>Silver</v>
      </c>
      <c r="S1005" t="str">
        <f>IF(ESales_DB[[#This Row],[Quantity1]]&gt;3,"Bulk order","Normal order")</f>
        <v>Normal order</v>
      </c>
    </row>
    <row r="1006" spans="1:19" x14ac:dyDescent="0.3">
      <c r="A1006" t="s">
        <v>3727</v>
      </c>
      <c r="B1006" s="4">
        <v>45250</v>
      </c>
      <c r="C1006" s="4" t="str">
        <f>TEXT(ESales_DB[[#This Row],[Order_Date]],"mmm")</f>
        <v>Nov</v>
      </c>
      <c r="D1006" t="s">
        <v>1337</v>
      </c>
      <c r="E1006" t="s">
        <v>1598</v>
      </c>
      <c r="F1006" t="s">
        <v>1782</v>
      </c>
      <c r="G1006">
        <v>1</v>
      </c>
      <c r="H1006" s="10">
        <f>IF(ISBLANK(ESales_DB[[#This Row],[Quantity]]),AVERAGEIF(ESales_DB[Product_ID],ESales_DB[[#This Row],[Product_ID]],ESales_DB[Quantity]),ESales_DB[[#This Row],[Quantity]])</f>
        <v>1</v>
      </c>
      <c r="I1006" s="2">
        <v>52.06</v>
      </c>
      <c r="J1006">
        <v>0.27</v>
      </c>
      <c r="K1006" t="s">
        <v>1829</v>
      </c>
      <c r="L1006" s="2">
        <v>38.003799999999998</v>
      </c>
      <c r="M1006" s="2" t="str">
        <f>IF(ESales_DB[[#This Row],[Total_Amount]]&gt;1000,"High","Low")</f>
        <v>Low</v>
      </c>
      <c r="N1006" s="2" t="str">
        <f>VLOOKUP(ESales_DB[[#This Row],[Customer_ID]],Ecustom_DB[],3,FALSE)</f>
        <v>John Smith</v>
      </c>
      <c r="O1006" s="2" t="str">
        <f>_xlfn.XLOOKUP(ESales_DB[[#This Row],[Product_ID]],Eproduct_DB[Product_ID],Eproduct_DB[Category])</f>
        <v>Clothing</v>
      </c>
      <c r="P1006" s="2" t="str">
        <f>_xlfn.XLOOKUP(ESales_DB[[#This Row],[Product_ID]],Eproduct_DB[Product_ID],Eproduct_DB[Product_Name])</f>
        <v>Women's Scarf Set</v>
      </c>
      <c r="Q1006" s="2" t="str">
        <f>_xlfn.XLOOKUP(ESales_DB[[#This Row],[Store_ID]],Estore_DB[Store_ID],Estore_DB[Region])</f>
        <v>West</v>
      </c>
      <c r="R1006" t="str">
        <f>VLOOKUP(ESales_DB[[#This Row],[Customer_ID]],Ecustom_DB[],10,FALSE)</f>
        <v>Platinum</v>
      </c>
      <c r="S1006" t="str">
        <f>IF(ESales_DB[[#This Row],[Quantity1]]&gt;3,"Bulk order","Normal order")</f>
        <v>Normal order</v>
      </c>
    </row>
    <row r="1007" spans="1:19" x14ac:dyDescent="0.3">
      <c r="A1007" t="s">
        <v>3728</v>
      </c>
      <c r="B1007" s="4">
        <v>45691</v>
      </c>
      <c r="C1007" s="4" t="str">
        <f>TEXT(ESales_DB[[#This Row],[Order_Date]],"mmm")</f>
        <v>Feb</v>
      </c>
      <c r="D1007" t="s">
        <v>1405</v>
      </c>
      <c r="E1007" t="s">
        <v>1551</v>
      </c>
      <c r="F1007" t="s">
        <v>1757</v>
      </c>
      <c r="G1007">
        <v>2</v>
      </c>
      <c r="H1007" s="10">
        <f>IF(ISBLANK(ESales_DB[[#This Row],[Quantity]]),AVERAGEIF(ESales_DB[Product_ID],ESales_DB[[#This Row],[Product_ID]],ESales_DB[Quantity]),ESales_DB[[#This Row],[Quantity]])</f>
        <v>2</v>
      </c>
      <c r="I1007" s="2">
        <v>594.63</v>
      </c>
      <c r="J1007">
        <v>0.12</v>
      </c>
      <c r="K1007" t="s">
        <v>1824</v>
      </c>
      <c r="L1007" s="2">
        <v>1046.5488</v>
      </c>
      <c r="M1007" s="2" t="str">
        <f>IF(ESales_DB[[#This Row],[Total_Amount]]&gt;1000,"High","Low")</f>
        <v>High</v>
      </c>
      <c r="N1007" s="2" t="str">
        <f>VLOOKUP(ESales_DB[[#This Row],[Customer_ID]],Ecustom_DB[],3,FALSE)</f>
        <v>Tyler Weber</v>
      </c>
      <c r="O1007" s="2" t="str">
        <f>_xlfn.XLOOKUP(ESales_DB[[#This Row],[Product_ID]],Eproduct_DB[Product_ID],Eproduct_DB[Category])</f>
        <v>Clothing</v>
      </c>
      <c r="P1007" s="2" t="str">
        <f>_xlfn.XLOOKUP(ESales_DB[[#This Row],[Product_ID]],Eproduct_DB[Product_ID],Eproduct_DB[Product_Name])</f>
        <v>Men's Running Jacket</v>
      </c>
      <c r="Q1007" s="2" t="str">
        <f>_xlfn.XLOOKUP(ESales_DB[[#This Row],[Store_ID]],Estore_DB[Store_ID],Estore_DB[Region])</f>
        <v>North</v>
      </c>
      <c r="R1007" t="str">
        <f>VLOOKUP(ESales_DB[[#This Row],[Customer_ID]],Ecustom_DB[],10,FALSE)</f>
        <v>Gold</v>
      </c>
      <c r="S1007" t="str">
        <f>IF(ESales_DB[[#This Row],[Quantity1]]&gt;3,"Bulk order","Normal order")</f>
        <v>Normal order</v>
      </c>
    </row>
    <row r="1008" spans="1:19" x14ac:dyDescent="0.3">
      <c r="A1008" t="s">
        <v>3729</v>
      </c>
      <c r="B1008" s="4">
        <v>45644</v>
      </c>
      <c r="C1008" s="4" t="str">
        <f>TEXT(ESales_DB[[#This Row],[Order_Date]],"mmm")</f>
        <v>Dec</v>
      </c>
      <c r="D1008" t="s">
        <v>556</v>
      </c>
      <c r="E1008" t="s">
        <v>1551</v>
      </c>
      <c r="F1008" t="s">
        <v>1752</v>
      </c>
      <c r="G1008">
        <v>3</v>
      </c>
      <c r="H1008" s="10">
        <f>IF(ISBLANK(ESales_DB[[#This Row],[Quantity]]),AVERAGEIF(ESales_DB[Product_ID],ESales_DB[[#This Row],[Product_ID]],ESales_DB[Quantity]),ESales_DB[[#This Row],[Quantity]])</f>
        <v>3</v>
      </c>
      <c r="I1008" s="2">
        <v>476.1</v>
      </c>
      <c r="J1008">
        <v>0.05</v>
      </c>
      <c r="K1008" t="s">
        <v>1829</v>
      </c>
      <c r="L1008" s="2">
        <v>1356.885</v>
      </c>
      <c r="M1008" s="2" t="str">
        <f>IF(ESales_DB[[#This Row],[Total_Amount]]&gt;1000,"High","Low")</f>
        <v>High</v>
      </c>
      <c r="N1008" s="2" t="str">
        <f>VLOOKUP(ESales_DB[[#This Row],[Customer_ID]],Ecustom_DB[],3,FALSE)</f>
        <v>Antonio Wade</v>
      </c>
      <c r="O1008" s="2" t="str">
        <f>_xlfn.XLOOKUP(ESales_DB[[#This Row],[Product_ID]],Eproduct_DB[Product_ID],Eproduct_DB[Category])</f>
        <v>Clothing</v>
      </c>
      <c r="P1008" s="2" t="str">
        <f>_xlfn.XLOOKUP(ESales_DB[[#This Row],[Product_ID]],Eproduct_DB[Product_ID],Eproduct_DB[Product_Name])</f>
        <v>Men's Running Jacket</v>
      </c>
      <c r="Q1008" s="2" t="str">
        <f>_xlfn.XLOOKUP(ESales_DB[[#This Row],[Store_ID]],Estore_DB[Store_ID],Estore_DB[Region])</f>
        <v>East</v>
      </c>
      <c r="R1008" t="str">
        <f>VLOOKUP(ESales_DB[[#This Row],[Customer_ID]],Ecustom_DB[],10,FALSE)</f>
        <v>Gold</v>
      </c>
      <c r="S1008" t="str">
        <f>IF(ESales_DB[[#This Row],[Quantity1]]&gt;3,"Bulk order","Normal order")</f>
        <v>Normal order</v>
      </c>
    </row>
    <row r="1009" spans="1:19" x14ac:dyDescent="0.3">
      <c r="A1009" t="s">
        <v>3730</v>
      </c>
      <c r="B1009" s="4">
        <v>45514</v>
      </c>
      <c r="C1009" s="4" t="str">
        <f>TEXT(ESales_DB[[#This Row],[Order_Date]],"mmm")</f>
        <v>Aug</v>
      </c>
      <c r="D1009" t="s">
        <v>227</v>
      </c>
      <c r="E1009" t="s">
        <v>1670</v>
      </c>
      <c r="F1009" t="s">
        <v>1776</v>
      </c>
      <c r="G1009">
        <v>1</v>
      </c>
      <c r="H1009" s="10">
        <f>IF(ISBLANK(ESales_DB[[#This Row],[Quantity]]),AVERAGEIF(ESales_DB[Product_ID],ESales_DB[[#This Row],[Product_ID]],ESales_DB[Quantity]),ESales_DB[[#This Row],[Quantity]])</f>
        <v>1</v>
      </c>
      <c r="I1009" s="2">
        <v>546.47</v>
      </c>
      <c r="J1009">
        <v>0.08</v>
      </c>
      <c r="K1009" t="s">
        <v>1829</v>
      </c>
      <c r="L1009" s="2">
        <v>502.75240000000002</v>
      </c>
      <c r="M1009" s="2" t="str">
        <f>IF(ESales_DB[[#This Row],[Total_Amount]]&gt;1000,"High","Low")</f>
        <v>Low</v>
      </c>
      <c r="N1009" s="2" t="str">
        <f>VLOOKUP(ESales_DB[[#This Row],[Customer_ID]],Ecustom_DB[],3,FALSE)</f>
        <v>Kristin Stein</v>
      </c>
      <c r="O1009" s="2" t="str">
        <f>_xlfn.XLOOKUP(ESales_DB[[#This Row],[Product_ID]],Eproduct_DB[Product_ID],Eproduct_DB[Category])</f>
        <v>Sports</v>
      </c>
      <c r="P1009" s="2" t="str">
        <f>_xlfn.XLOOKUP(ESales_DB[[#This Row],[Product_ID]],Eproduct_DB[Product_ID],Eproduct_DB[Product_Name])</f>
        <v>Tennis Ball 3-Pack</v>
      </c>
      <c r="Q1009" s="2" t="str">
        <f>_xlfn.XLOOKUP(ESales_DB[[#This Row],[Store_ID]],Estore_DB[Store_ID],Estore_DB[Region])</f>
        <v>East</v>
      </c>
      <c r="R1009" t="str">
        <f>VLOOKUP(ESales_DB[[#This Row],[Customer_ID]],Ecustom_DB[],10,FALSE)</f>
        <v>Silver</v>
      </c>
      <c r="S1009" t="str">
        <f>IF(ESales_DB[[#This Row],[Quantity1]]&gt;3,"Bulk order","Normal order")</f>
        <v>Normal order</v>
      </c>
    </row>
    <row r="1010" spans="1:19" x14ac:dyDescent="0.3">
      <c r="A1010" t="s">
        <v>3731</v>
      </c>
      <c r="B1010" s="4">
        <v>45760</v>
      </c>
      <c r="C1010" s="4" t="str">
        <f>TEXT(ESales_DB[[#This Row],[Order_Date]],"mmm")</f>
        <v>Apr</v>
      </c>
      <c r="D1010" t="s">
        <v>582</v>
      </c>
      <c r="E1010" t="s">
        <v>1698</v>
      </c>
      <c r="F1010" t="s">
        <v>1794</v>
      </c>
      <c r="G1010">
        <v>1</v>
      </c>
      <c r="H1010" s="10">
        <f>IF(ISBLANK(ESales_DB[[#This Row],[Quantity]]),AVERAGEIF(ESales_DB[Product_ID],ESales_DB[[#This Row],[Product_ID]],ESales_DB[Quantity]),ESales_DB[[#This Row],[Quantity]])</f>
        <v>1</v>
      </c>
      <c r="I1010" s="2">
        <v>979.49</v>
      </c>
      <c r="J1010">
        <v>0.19</v>
      </c>
      <c r="K1010" t="s">
        <v>1829</v>
      </c>
      <c r="L1010" s="2">
        <v>793.38690000000008</v>
      </c>
      <c r="M1010" s="2" t="str">
        <f>IF(ESales_DB[[#This Row],[Total_Amount]]&gt;1000,"High","Low")</f>
        <v>Low</v>
      </c>
      <c r="N1010" s="2" t="str">
        <f>VLOOKUP(ESales_DB[[#This Row],[Customer_ID]],Ecustom_DB[],3,FALSE)</f>
        <v>John Bradford</v>
      </c>
      <c r="O1010" s="2" t="str">
        <f>_xlfn.XLOOKUP(ESales_DB[[#This Row],[Product_ID]],Eproduct_DB[Product_ID],Eproduct_DB[Category])</f>
        <v>Clothing</v>
      </c>
      <c r="P1010" s="2" t="str">
        <f>_xlfn.XLOOKUP(ESales_DB[[#This Row],[Product_ID]],Eproduct_DB[Product_ID],Eproduct_DB[Product_Name])</f>
        <v>Women's Ankle Boots</v>
      </c>
      <c r="Q1010" s="2" t="str">
        <f>_xlfn.XLOOKUP(ESales_DB[[#This Row],[Store_ID]],Estore_DB[Store_ID],Estore_DB[Region])</f>
        <v>North</v>
      </c>
      <c r="R1010" t="str">
        <f>VLOOKUP(ESales_DB[[#This Row],[Customer_ID]],Ecustom_DB[],10,FALSE)</f>
        <v>Silver</v>
      </c>
      <c r="S1010" t="str">
        <f>IF(ESales_DB[[#This Row],[Quantity1]]&gt;3,"Bulk order","Normal order")</f>
        <v>Normal order</v>
      </c>
    </row>
    <row r="1011" spans="1:19" x14ac:dyDescent="0.3">
      <c r="A1011" t="s">
        <v>3732</v>
      </c>
      <c r="B1011" s="4">
        <v>45289</v>
      </c>
      <c r="C1011" s="4" t="str">
        <f>TEXT(ESales_DB[[#This Row],[Order_Date]],"mmm")</f>
        <v>Dec</v>
      </c>
      <c r="D1011" t="s">
        <v>634</v>
      </c>
      <c r="E1011" t="s">
        <v>1582</v>
      </c>
      <c r="F1011" t="s">
        <v>1761</v>
      </c>
      <c r="G1011">
        <v>3</v>
      </c>
      <c r="H1011" s="10">
        <f>IF(ISBLANK(ESales_DB[[#This Row],[Quantity]]),AVERAGEIF(ESales_DB[Product_ID],ESales_DB[[#This Row],[Product_ID]],ESales_DB[Quantity]),ESales_DB[[#This Row],[Quantity]])</f>
        <v>3</v>
      </c>
      <c r="I1011" s="2">
        <v>988.53</v>
      </c>
      <c r="J1011">
        <v>0.3</v>
      </c>
      <c r="K1011" t="s">
        <v>1829</v>
      </c>
      <c r="L1011" s="2">
        <v>2075.913</v>
      </c>
      <c r="M1011" s="2" t="str">
        <f>IF(ESales_DB[[#This Row],[Total_Amount]]&gt;1000,"High","Low")</f>
        <v>High</v>
      </c>
      <c r="N1011" s="2" t="str">
        <f>VLOOKUP(ESales_DB[[#This Row],[Customer_ID]],Ecustom_DB[],3,FALSE)</f>
        <v>David Roberts</v>
      </c>
      <c r="O1011" s="2" t="str">
        <f>_xlfn.XLOOKUP(ESales_DB[[#This Row],[Product_ID]],Eproduct_DB[Product_ID],Eproduct_DB[Category])</f>
        <v>Sports</v>
      </c>
      <c r="P1011" s="2" t="str">
        <f>_xlfn.XLOOKUP(ESales_DB[[#This Row],[Product_ID]],Eproduct_DB[Product_ID],Eproduct_DB[Product_Name])</f>
        <v>Soccer Training Cone Set</v>
      </c>
      <c r="Q1011" s="2" t="str">
        <f>_xlfn.XLOOKUP(ESales_DB[[#This Row],[Store_ID]],Estore_DB[Store_ID],Estore_DB[Region])</f>
        <v>South</v>
      </c>
      <c r="R1011" t="str">
        <f>VLOOKUP(ESales_DB[[#This Row],[Customer_ID]],Ecustom_DB[],10,FALSE)</f>
        <v>Gold</v>
      </c>
      <c r="S1011" t="str">
        <f>IF(ESales_DB[[#This Row],[Quantity1]]&gt;3,"Bulk order","Normal order")</f>
        <v>Normal order</v>
      </c>
    </row>
    <row r="1012" spans="1:19" x14ac:dyDescent="0.3">
      <c r="A1012" t="s">
        <v>3733</v>
      </c>
      <c r="B1012" s="4">
        <v>45704</v>
      </c>
      <c r="C1012" s="4" t="str">
        <f>TEXT(ESales_DB[[#This Row],[Order_Date]],"mmm")</f>
        <v>Feb</v>
      </c>
      <c r="D1012" t="s">
        <v>815</v>
      </c>
      <c r="E1012" t="s">
        <v>1700</v>
      </c>
      <c r="F1012" t="s">
        <v>1766</v>
      </c>
      <c r="G1012">
        <v>4</v>
      </c>
      <c r="H1012" s="10">
        <f>IF(ISBLANK(ESales_DB[[#This Row],[Quantity]]),AVERAGEIF(ESales_DB[Product_ID],ESales_DB[[#This Row],[Product_ID]],ESales_DB[Quantity]),ESales_DB[[#This Row],[Quantity]])</f>
        <v>4</v>
      </c>
      <c r="I1012" s="2">
        <v>849.29</v>
      </c>
      <c r="J1012">
        <v>0.26</v>
      </c>
      <c r="K1012" t="s">
        <v>1824</v>
      </c>
      <c r="L1012" s="2">
        <v>2513.8984</v>
      </c>
      <c r="M1012" s="2" t="str">
        <f>IF(ESales_DB[[#This Row],[Total_Amount]]&gt;1000,"High","Low")</f>
        <v>High</v>
      </c>
      <c r="N1012" s="2" t="str">
        <f>VLOOKUP(ESales_DB[[#This Row],[Customer_ID]],Ecustom_DB[],3,FALSE)</f>
        <v>Damon Perez</v>
      </c>
      <c r="O1012" s="2" t="str">
        <f>_xlfn.XLOOKUP(ESales_DB[[#This Row],[Product_ID]],Eproduct_DB[Product_ID],Eproduct_DB[Category])</f>
        <v>Electronics</v>
      </c>
      <c r="P1012" s="2" t="str">
        <f>_xlfn.XLOOKUP(ESales_DB[[#This Row],[Product_ID]],Eproduct_DB[Product_ID],Eproduct_DB[Product_Name])</f>
        <v>Wireless Mouse</v>
      </c>
      <c r="Q1012" s="2" t="str">
        <f>_xlfn.XLOOKUP(ESales_DB[[#This Row],[Store_ID]],Estore_DB[Store_ID],Estore_DB[Region])</f>
        <v>North</v>
      </c>
      <c r="R1012" t="str">
        <f>VLOOKUP(ESales_DB[[#This Row],[Customer_ID]],Ecustom_DB[],10,FALSE)</f>
        <v>Gold</v>
      </c>
      <c r="S1012" t="str">
        <f>IF(ESales_DB[[#This Row],[Quantity1]]&gt;3,"Bulk order","Normal order")</f>
        <v>Bulk order</v>
      </c>
    </row>
    <row r="1013" spans="1:19" x14ac:dyDescent="0.3">
      <c r="A1013" t="s">
        <v>3734</v>
      </c>
      <c r="B1013" s="4">
        <v>45318</v>
      </c>
      <c r="C1013" s="4" t="str">
        <f>TEXT(ESales_DB[[#This Row],[Order_Date]],"mmm")</f>
        <v>Jan</v>
      </c>
      <c r="D1013" t="s">
        <v>1077</v>
      </c>
      <c r="E1013" t="s">
        <v>1738</v>
      </c>
      <c r="F1013" t="s">
        <v>1799</v>
      </c>
      <c r="G1013">
        <v>2</v>
      </c>
      <c r="H1013" s="10">
        <f>IF(ISBLANK(ESales_DB[[#This Row],[Quantity]]),AVERAGEIF(ESales_DB[Product_ID],ESales_DB[[#This Row],[Product_ID]],ESales_DB[Quantity]),ESales_DB[[#This Row],[Quantity]])</f>
        <v>2</v>
      </c>
      <c r="I1013" s="2">
        <v>452.29</v>
      </c>
      <c r="J1013">
        <v>0.01</v>
      </c>
      <c r="K1013" t="s">
        <v>1829</v>
      </c>
      <c r="L1013" s="2">
        <v>895.53420000000006</v>
      </c>
      <c r="M1013" s="2" t="str">
        <f>IF(ESales_DB[[#This Row],[Total_Amount]]&gt;1000,"High","Low")</f>
        <v>Low</v>
      </c>
      <c r="N1013" s="2" t="str">
        <f>VLOOKUP(ESales_DB[[#This Row],[Customer_ID]],Ecustom_DB[],3,FALSE)</f>
        <v>Ryan Moore</v>
      </c>
      <c r="O1013" s="2" t="str">
        <f>_xlfn.XLOOKUP(ESales_DB[[#This Row],[Product_ID]],Eproduct_DB[Product_ID],Eproduct_DB[Category])</f>
        <v>Sports</v>
      </c>
      <c r="P1013" s="2" t="str">
        <f>_xlfn.XLOOKUP(ESales_DB[[#This Row],[Product_ID]],Eproduct_DB[Product_ID],Eproduct_DB[Product_Name])</f>
        <v>Sports Stopwatch Basic</v>
      </c>
      <c r="Q1013" s="2" t="str">
        <f>_xlfn.XLOOKUP(ESales_DB[[#This Row],[Store_ID]],Estore_DB[Store_ID],Estore_DB[Region])</f>
        <v>South</v>
      </c>
      <c r="R1013" t="str">
        <f>VLOOKUP(ESales_DB[[#This Row],[Customer_ID]],Ecustom_DB[],10,FALSE)</f>
        <v>Bronze</v>
      </c>
      <c r="S1013" t="str">
        <f>IF(ESales_DB[[#This Row],[Quantity1]]&gt;3,"Bulk order","Normal order")</f>
        <v>Normal order</v>
      </c>
    </row>
    <row r="1014" spans="1:19" x14ac:dyDescent="0.3">
      <c r="A1014" t="s">
        <v>3735</v>
      </c>
      <c r="B1014" s="4">
        <v>45495</v>
      </c>
      <c r="C1014" s="4" t="str">
        <f>TEXT(ESales_DB[[#This Row],[Order_Date]],"mmm")</f>
        <v>Jul</v>
      </c>
      <c r="D1014" t="s">
        <v>1377</v>
      </c>
      <c r="E1014" t="s">
        <v>1656</v>
      </c>
      <c r="F1014" t="s">
        <v>1810</v>
      </c>
      <c r="G1014">
        <v>2</v>
      </c>
      <c r="H1014" s="10">
        <f>IF(ISBLANK(ESales_DB[[#This Row],[Quantity]]),AVERAGEIF(ESales_DB[Product_ID],ESales_DB[[#This Row],[Product_ID]],ESales_DB[Quantity]),ESales_DB[[#This Row],[Quantity]])</f>
        <v>2</v>
      </c>
      <c r="I1014" s="2">
        <v>810.81</v>
      </c>
      <c r="J1014">
        <v>0.11</v>
      </c>
      <c r="K1014" t="s">
        <v>1829</v>
      </c>
      <c r="L1014" s="2">
        <v>1443.2418</v>
      </c>
      <c r="M1014" s="2" t="str">
        <f>IF(ESales_DB[[#This Row],[Total_Amount]]&gt;1000,"High","Low")</f>
        <v>High</v>
      </c>
      <c r="N1014" s="2" t="str">
        <f>VLOOKUP(ESales_DB[[#This Row],[Customer_ID]],Ecustom_DB[],3,FALSE)</f>
        <v>Gene Lee</v>
      </c>
      <c r="O1014" s="2" t="str">
        <f>_xlfn.XLOOKUP(ESales_DB[[#This Row],[Product_ID]],Eproduct_DB[Product_ID],Eproduct_DB[Category])</f>
        <v>Sports</v>
      </c>
      <c r="P1014" s="2" t="str">
        <f>_xlfn.XLOOKUP(ESales_DB[[#This Row],[Product_ID]],Eproduct_DB[Product_ID],Eproduct_DB[Product_Name])</f>
        <v>Sports Stopwatch Pro</v>
      </c>
      <c r="Q1014" s="2" t="str">
        <f>_xlfn.XLOOKUP(ESales_DB[[#This Row],[Store_ID]],Estore_DB[Store_ID],Estore_DB[Region])</f>
        <v>East</v>
      </c>
      <c r="R1014" t="str">
        <f>VLOOKUP(ESales_DB[[#This Row],[Customer_ID]],Ecustom_DB[],10,FALSE)</f>
        <v>Platinum</v>
      </c>
      <c r="S1014" t="str">
        <f>IF(ESales_DB[[#This Row],[Quantity1]]&gt;3,"Bulk order","Normal order")</f>
        <v>Normal order</v>
      </c>
    </row>
    <row r="1015" spans="1:19" x14ac:dyDescent="0.3">
      <c r="A1015" t="s">
        <v>2017</v>
      </c>
      <c r="B1015" s="4">
        <v>45459</v>
      </c>
      <c r="C1015" s="4" t="str">
        <f>TEXT(ESales_DB[[#This Row],[Order_Date]],"mmm")</f>
        <v>Jun</v>
      </c>
      <c r="D1015" t="s">
        <v>470</v>
      </c>
      <c r="E1015" t="s">
        <v>1640</v>
      </c>
      <c r="F1015" t="s">
        <v>1810</v>
      </c>
      <c r="G1015">
        <v>1</v>
      </c>
      <c r="H1015" s="10">
        <f>IF(ISBLANK(ESales_DB[[#This Row],[Quantity]]),AVERAGEIF(ESales_DB[Product_ID],ESales_DB[[#This Row],[Product_ID]],ESales_DB[Quantity]),ESales_DB[[#This Row],[Quantity]])</f>
        <v>1</v>
      </c>
      <c r="I1015" s="2">
        <v>804.9</v>
      </c>
      <c r="J1015">
        <v>0.03</v>
      </c>
      <c r="K1015" t="s">
        <v>1826</v>
      </c>
      <c r="L1015" s="2">
        <v>780.75299999999993</v>
      </c>
      <c r="M1015" s="2" t="str">
        <f>IF(ESales_DB[[#This Row],[Total_Amount]]&gt;1000,"High","Low")</f>
        <v>Low</v>
      </c>
      <c r="N1015" s="2" t="str">
        <f>VLOOKUP(ESales_DB[[#This Row],[Customer_ID]],Ecustom_DB[],3,FALSE)</f>
        <v>Sean Roth</v>
      </c>
      <c r="O1015" s="2" t="str">
        <f>_xlfn.XLOOKUP(ESales_DB[[#This Row],[Product_ID]],Eproduct_DB[Product_ID],Eproduct_DB[Category])</f>
        <v>Clothing</v>
      </c>
      <c r="P1015" s="2" t="str">
        <f>_xlfn.XLOOKUP(ESales_DB[[#This Row],[Product_ID]],Eproduct_DB[Product_ID],Eproduct_DB[Product_Name])</f>
        <v>Men's Winter Jacket</v>
      </c>
      <c r="Q1015" s="2" t="str">
        <f>_xlfn.XLOOKUP(ESales_DB[[#This Row],[Store_ID]],Estore_DB[Store_ID],Estore_DB[Region])</f>
        <v>East</v>
      </c>
      <c r="R1015" t="str">
        <f>VLOOKUP(ESales_DB[[#This Row],[Customer_ID]],Ecustom_DB[],10,FALSE)</f>
        <v>Gold</v>
      </c>
      <c r="S1015" t="str">
        <f>IF(ESales_DB[[#This Row],[Quantity1]]&gt;3,"Bulk order","Normal order")</f>
        <v>Normal order</v>
      </c>
    </row>
    <row r="1016" spans="1:19" x14ac:dyDescent="0.3">
      <c r="A1016" t="s">
        <v>3736</v>
      </c>
      <c r="B1016" s="4">
        <v>45560</v>
      </c>
      <c r="C1016" s="4" t="str">
        <f>TEXT(ESales_DB[[#This Row],[Order_Date]],"mmm")</f>
        <v>Sep</v>
      </c>
      <c r="D1016" t="s">
        <v>127</v>
      </c>
      <c r="E1016" t="s">
        <v>1670</v>
      </c>
      <c r="F1016" t="s">
        <v>1782</v>
      </c>
      <c r="G1016">
        <v>1</v>
      </c>
      <c r="H1016" s="10">
        <f>IF(ISBLANK(ESales_DB[[#This Row],[Quantity]]),AVERAGEIF(ESales_DB[Product_ID],ESales_DB[[#This Row],[Product_ID]],ESales_DB[Quantity]),ESales_DB[[#This Row],[Quantity]])</f>
        <v>1</v>
      </c>
      <c r="I1016" s="2">
        <v>846.67</v>
      </c>
      <c r="J1016">
        <v>0.1</v>
      </c>
      <c r="K1016" t="s">
        <v>1829</v>
      </c>
      <c r="L1016" s="2">
        <v>762.00299999999993</v>
      </c>
      <c r="M1016" s="2" t="str">
        <f>IF(ESales_DB[[#This Row],[Total_Amount]]&gt;1000,"High","Low")</f>
        <v>Low</v>
      </c>
      <c r="N1016" s="2" t="str">
        <f>VLOOKUP(ESales_DB[[#This Row],[Customer_ID]],Ecustom_DB[],3,FALSE)</f>
        <v>Sarah Vance</v>
      </c>
      <c r="O1016" s="2" t="str">
        <f>_xlfn.XLOOKUP(ESales_DB[[#This Row],[Product_ID]],Eproduct_DB[Product_ID],Eproduct_DB[Category])</f>
        <v>Sports</v>
      </c>
      <c r="P1016" s="2" t="str">
        <f>_xlfn.XLOOKUP(ESales_DB[[#This Row],[Product_ID]],Eproduct_DB[Product_ID],Eproduct_DB[Product_Name])</f>
        <v>Tennis Ball 3-Pack</v>
      </c>
      <c r="Q1016" s="2" t="str">
        <f>_xlfn.XLOOKUP(ESales_DB[[#This Row],[Store_ID]],Estore_DB[Store_ID],Estore_DB[Region])</f>
        <v>West</v>
      </c>
      <c r="R1016" t="str">
        <f>VLOOKUP(ESales_DB[[#This Row],[Customer_ID]],Ecustom_DB[],10,FALSE)</f>
        <v>Silver</v>
      </c>
      <c r="S1016" t="str">
        <f>IF(ESales_DB[[#This Row],[Quantity1]]&gt;3,"Bulk order","Normal order")</f>
        <v>Normal order</v>
      </c>
    </row>
    <row r="1017" spans="1:19" x14ac:dyDescent="0.3">
      <c r="A1017" t="s">
        <v>3737</v>
      </c>
      <c r="B1017" s="4">
        <v>45367</v>
      </c>
      <c r="C1017" s="4" t="str">
        <f>TEXT(ESales_DB[[#This Row],[Order_Date]],"mmm")</f>
        <v>Mar</v>
      </c>
      <c r="D1017" t="s">
        <v>78</v>
      </c>
      <c r="E1017" t="s">
        <v>1596</v>
      </c>
      <c r="F1017" t="s">
        <v>1776</v>
      </c>
      <c r="G1017">
        <v>4</v>
      </c>
      <c r="H1017" s="10">
        <f>IF(ISBLANK(ESales_DB[[#This Row],[Quantity]]),AVERAGEIF(ESales_DB[Product_ID],ESales_DB[[#This Row],[Product_ID]],ESales_DB[Quantity]),ESales_DB[[#This Row],[Quantity]])</f>
        <v>4</v>
      </c>
      <c r="I1017" s="2">
        <v>73.55</v>
      </c>
      <c r="J1017">
        <v>0.24</v>
      </c>
      <c r="K1017" t="s">
        <v>1829</v>
      </c>
      <c r="L1017" s="2">
        <v>223.59200000000001</v>
      </c>
      <c r="M1017" s="2" t="str">
        <f>IF(ESales_DB[[#This Row],[Total_Amount]]&gt;1000,"High","Low")</f>
        <v>Low</v>
      </c>
      <c r="N1017" s="2" t="str">
        <f>VLOOKUP(ESales_DB[[#This Row],[Customer_ID]],Ecustom_DB[],3,FALSE)</f>
        <v>Adam Cruz</v>
      </c>
      <c r="O1017" s="2" t="str">
        <f>_xlfn.XLOOKUP(ESales_DB[[#This Row],[Product_ID]],Eproduct_DB[Product_ID],Eproduct_DB[Category])</f>
        <v>Sports</v>
      </c>
      <c r="P1017" s="2" t="str">
        <f>_xlfn.XLOOKUP(ESales_DB[[#This Row],[Product_ID]],Eproduct_DB[Product_ID],Eproduct_DB[Product_Name])</f>
        <v>Foldable Camping Chair</v>
      </c>
      <c r="Q1017" s="2" t="str">
        <f>_xlfn.XLOOKUP(ESales_DB[[#This Row],[Store_ID]],Estore_DB[Store_ID],Estore_DB[Region])</f>
        <v>East</v>
      </c>
      <c r="R1017" t="str">
        <f>VLOOKUP(ESales_DB[[#This Row],[Customer_ID]],Ecustom_DB[],10,FALSE)</f>
        <v>Platinum</v>
      </c>
      <c r="S1017" t="str">
        <f>IF(ESales_DB[[#This Row],[Quantity1]]&gt;3,"Bulk order","Normal order")</f>
        <v>Bulk order</v>
      </c>
    </row>
    <row r="1018" spans="1:19" x14ac:dyDescent="0.3">
      <c r="A1018" t="s">
        <v>3738</v>
      </c>
      <c r="B1018" s="4">
        <v>45861</v>
      </c>
      <c r="C1018" s="4" t="str">
        <f>TEXT(ESales_DB[[#This Row],[Order_Date]],"mmm")</f>
        <v>Jul</v>
      </c>
      <c r="D1018" t="s">
        <v>884</v>
      </c>
      <c r="E1018" t="s">
        <v>1732</v>
      </c>
      <c r="F1018" t="s">
        <v>1776</v>
      </c>
      <c r="G1018">
        <v>1</v>
      </c>
      <c r="H1018" s="10">
        <f>IF(ISBLANK(ESales_DB[[#This Row],[Quantity]]),AVERAGEIF(ESales_DB[Product_ID],ESales_DB[[#This Row],[Product_ID]],ESales_DB[Quantity]),ESales_DB[[#This Row],[Quantity]])</f>
        <v>1</v>
      </c>
      <c r="I1018" s="2">
        <v>882.03</v>
      </c>
      <c r="J1018">
        <v>0.04</v>
      </c>
      <c r="K1018" t="s">
        <v>1829</v>
      </c>
      <c r="L1018" s="2">
        <v>846.74879999999996</v>
      </c>
      <c r="M1018" s="2" t="str">
        <f>IF(ESales_DB[[#This Row],[Total_Amount]]&gt;1000,"High","Low")</f>
        <v>Low</v>
      </c>
      <c r="N1018" s="2" t="str">
        <f>VLOOKUP(ESales_DB[[#This Row],[Customer_ID]],Ecustom_DB[],3,FALSE)</f>
        <v>Stephen Fowler</v>
      </c>
      <c r="O1018" s="2" t="str">
        <f>_xlfn.XLOOKUP(ESales_DB[[#This Row],[Product_ID]],Eproduct_DB[Product_ID],Eproduct_DB[Category])</f>
        <v>Home</v>
      </c>
      <c r="P1018" s="2" t="str">
        <f>_xlfn.XLOOKUP(ESales_DB[[#This Row],[Product_ID]],Eproduct_DB[Product_ID],Eproduct_DB[Product_Name])</f>
        <v>Microwave Oven</v>
      </c>
      <c r="Q1018" s="2" t="str">
        <f>_xlfn.XLOOKUP(ESales_DB[[#This Row],[Store_ID]],Estore_DB[Store_ID],Estore_DB[Region])</f>
        <v>East</v>
      </c>
      <c r="R1018" t="str">
        <f>VLOOKUP(ESales_DB[[#This Row],[Customer_ID]],Ecustom_DB[],10,FALSE)</f>
        <v>Platinum</v>
      </c>
      <c r="S1018" t="str">
        <f>IF(ESales_DB[[#This Row],[Quantity1]]&gt;3,"Bulk order","Normal order")</f>
        <v>Normal order</v>
      </c>
    </row>
    <row r="1019" spans="1:19" x14ac:dyDescent="0.3">
      <c r="A1019" t="s">
        <v>3739</v>
      </c>
      <c r="B1019" s="4">
        <v>45589</v>
      </c>
      <c r="C1019" s="4" t="str">
        <f>TEXT(ESales_DB[[#This Row],[Order_Date]],"mmm")</f>
        <v>Oct</v>
      </c>
      <c r="D1019" t="s">
        <v>44</v>
      </c>
      <c r="E1019" t="s">
        <v>1592</v>
      </c>
      <c r="F1019" t="s">
        <v>1799</v>
      </c>
      <c r="G1019">
        <v>1</v>
      </c>
      <c r="H1019" s="10">
        <f>IF(ISBLANK(ESales_DB[[#This Row],[Quantity]]),AVERAGEIF(ESales_DB[Product_ID],ESales_DB[[#This Row],[Product_ID]],ESales_DB[Quantity]),ESales_DB[[#This Row],[Quantity]])</f>
        <v>1</v>
      </c>
      <c r="I1019" s="2">
        <v>958.44</v>
      </c>
      <c r="J1019">
        <v>0.21</v>
      </c>
      <c r="K1019" t="s">
        <v>1824</v>
      </c>
      <c r="L1019" s="2">
        <v>757.16760000000011</v>
      </c>
      <c r="M1019" s="2" t="str">
        <f>IF(ESales_DB[[#This Row],[Total_Amount]]&gt;1000,"High","Low")</f>
        <v>Low</v>
      </c>
      <c r="N1019" s="2" t="str">
        <f>VLOOKUP(ESales_DB[[#This Row],[Customer_ID]],Ecustom_DB[],3,FALSE)</f>
        <v>Melissa Howard</v>
      </c>
      <c r="O1019" s="2" t="str">
        <f>_xlfn.XLOOKUP(ESales_DB[[#This Row],[Product_ID]],Eproduct_DB[Product_ID],Eproduct_DB[Category])</f>
        <v>Sports</v>
      </c>
      <c r="P1019" s="2" t="str">
        <f>_xlfn.XLOOKUP(ESales_DB[[#This Row],[Product_ID]],Eproduct_DB[Product_ID],Eproduct_DB[Product_Name])</f>
        <v>Carbon Fiber Tennis Racket</v>
      </c>
      <c r="Q1019" s="2" t="str">
        <f>_xlfn.XLOOKUP(ESales_DB[[#This Row],[Store_ID]],Estore_DB[Store_ID],Estore_DB[Region])</f>
        <v>South</v>
      </c>
      <c r="R1019" t="str">
        <f>VLOOKUP(ESales_DB[[#This Row],[Customer_ID]],Ecustom_DB[],10,FALSE)</f>
        <v>Gold</v>
      </c>
      <c r="S1019" t="str">
        <f>IF(ESales_DB[[#This Row],[Quantity1]]&gt;3,"Bulk order","Normal order")</f>
        <v>Normal order</v>
      </c>
    </row>
    <row r="1020" spans="1:19" x14ac:dyDescent="0.3">
      <c r="A1020" t="s">
        <v>3740</v>
      </c>
      <c r="B1020" s="4">
        <v>45560</v>
      </c>
      <c r="C1020" s="4" t="str">
        <f>TEXT(ESales_DB[[#This Row],[Order_Date]],"mmm")</f>
        <v>Sep</v>
      </c>
      <c r="D1020" t="s">
        <v>44</v>
      </c>
      <c r="E1020" t="s">
        <v>1746</v>
      </c>
      <c r="F1020" t="s">
        <v>1761</v>
      </c>
      <c r="G1020">
        <v>1</v>
      </c>
      <c r="H1020" s="10">
        <f>IF(ISBLANK(ESales_DB[[#This Row],[Quantity]]),AVERAGEIF(ESales_DB[Product_ID],ESales_DB[[#This Row],[Product_ID]],ESales_DB[Quantity]),ESales_DB[[#This Row],[Quantity]])</f>
        <v>1</v>
      </c>
      <c r="I1020" s="2">
        <v>716.29</v>
      </c>
      <c r="J1020">
        <v>0.01</v>
      </c>
      <c r="K1020" t="s">
        <v>1826</v>
      </c>
      <c r="L1020" s="2">
        <v>709.12709999999993</v>
      </c>
      <c r="M1020" s="2" t="str">
        <f>IF(ESales_DB[[#This Row],[Total_Amount]]&gt;1000,"High","Low")</f>
        <v>Low</v>
      </c>
      <c r="N1020" s="2" t="str">
        <f>VLOOKUP(ESales_DB[[#This Row],[Customer_ID]],Ecustom_DB[],3,FALSE)</f>
        <v>Melissa Howard</v>
      </c>
      <c r="O1020" s="2" t="str">
        <f>_xlfn.XLOOKUP(ESales_DB[[#This Row],[Product_ID]],Eproduct_DB[Product_ID],Eproduct_DB[Category])</f>
        <v>Home</v>
      </c>
      <c r="P1020" s="2" t="str">
        <f>_xlfn.XLOOKUP(ESales_DB[[#This Row],[Product_ID]],Eproduct_DB[Product_ID],Eproduct_DB[Product_Name])</f>
        <v>Stainless Steel Cookware Set</v>
      </c>
      <c r="Q1020" s="2" t="str">
        <f>_xlfn.XLOOKUP(ESales_DB[[#This Row],[Store_ID]],Estore_DB[Store_ID],Estore_DB[Region])</f>
        <v>South</v>
      </c>
      <c r="R1020" t="str">
        <f>VLOOKUP(ESales_DB[[#This Row],[Customer_ID]],Ecustom_DB[],10,FALSE)</f>
        <v>Gold</v>
      </c>
      <c r="S1020" t="str">
        <f>IF(ESales_DB[[#This Row],[Quantity1]]&gt;3,"Bulk order","Normal order")</f>
        <v>Normal order</v>
      </c>
    </row>
    <row r="1021" spans="1:19" x14ac:dyDescent="0.3">
      <c r="A1021" t="s">
        <v>3741</v>
      </c>
      <c r="B1021" s="4">
        <v>45408</v>
      </c>
      <c r="C1021" s="4" t="str">
        <f>TEXT(ESales_DB[[#This Row],[Order_Date]],"mmm")</f>
        <v>Apr</v>
      </c>
      <c r="D1021" t="s">
        <v>1017</v>
      </c>
      <c r="E1021" t="s">
        <v>1565</v>
      </c>
      <c r="F1021" t="s">
        <v>1804</v>
      </c>
      <c r="G1021">
        <v>2</v>
      </c>
      <c r="H1021" s="10">
        <f>IF(ISBLANK(ESales_DB[[#This Row],[Quantity]]),AVERAGEIF(ESales_DB[Product_ID],ESales_DB[[#This Row],[Product_ID]],ESales_DB[Quantity]),ESales_DB[[#This Row],[Quantity]])</f>
        <v>2</v>
      </c>
      <c r="I1021" s="2">
        <v>409.14</v>
      </c>
      <c r="J1021">
        <v>0.01</v>
      </c>
      <c r="K1021" t="s">
        <v>1826</v>
      </c>
      <c r="L1021" s="2">
        <v>810.09719999999993</v>
      </c>
      <c r="M1021" s="2" t="str">
        <f>IF(ESales_DB[[#This Row],[Total_Amount]]&gt;1000,"High","Low")</f>
        <v>Low</v>
      </c>
      <c r="N1021" s="2" t="str">
        <f>VLOOKUP(ESales_DB[[#This Row],[Customer_ID]],Ecustom_DB[],3,FALSE)</f>
        <v>Kristy Dunlap</v>
      </c>
      <c r="O1021" s="2" t="str">
        <f>_xlfn.XLOOKUP(ESales_DB[[#This Row],[Product_ID]],Eproduct_DB[Product_ID],Eproduct_DB[Category])</f>
        <v>Sports</v>
      </c>
      <c r="P1021" s="2" t="str">
        <f>_xlfn.XLOOKUP(ESales_DB[[#This Row],[Product_ID]],Eproduct_DB[Product_ID],Eproduct_DB[Product_Name])</f>
        <v>Adjustable Dumbbell Set</v>
      </c>
      <c r="Q1021" s="2" t="str">
        <f>_xlfn.XLOOKUP(ESales_DB[[#This Row],[Store_ID]],Estore_DB[Store_ID],Estore_DB[Region])</f>
        <v>West</v>
      </c>
      <c r="R1021" t="str">
        <f>VLOOKUP(ESales_DB[[#This Row],[Customer_ID]],Ecustom_DB[],10,FALSE)</f>
        <v>Platinum</v>
      </c>
      <c r="S1021" t="str">
        <f>IF(ESales_DB[[#This Row],[Quantity1]]&gt;3,"Bulk order","Normal order")</f>
        <v>Normal order</v>
      </c>
    </row>
    <row r="1022" spans="1:19" x14ac:dyDescent="0.3">
      <c r="A1022" t="s">
        <v>3742</v>
      </c>
      <c r="B1022" s="4">
        <v>45714</v>
      </c>
      <c r="C1022" s="4" t="str">
        <f>TEXT(ESales_DB[[#This Row],[Order_Date]],"mmm")</f>
        <v>Feb</v>
      </c>
      <c r="D1022" t="s">
        <v>304</v>
      </c>
      <c r="E1022" t="s">
        <v>1746</v>
      </c>
      <c r="F1022" t="s">
        <v>1786</v>
      </c>
      <c r="G1022">
        <v>4</v>
      </c>
      <c r="H1022" s="10">
        <f>IF(ISBLANK(ESales_DB[[#This Row],[Quantity]]),AVERAGEIF(ESales_DB[Product_ID],ESales_DB[[#This Row],[Product_ID]],ESales_DB[Quantity]),ESales_DB[[#This Row],[Quantity]])</f>
        <v>4</v>
      </c>
      <c r="I1022" s="2">
        <v>261.73</v>
      </c>
      <c r="J1022">
        <v>0.1</v>
      </c>
      <c r="K1022" t="s">
        <v>1826</v>
      </c>
      <c r="L1022" s="2">
        <v>942.22800000000007</v>
      </c>
      <c r="M1022" s="2" t="str">
        <f>IF(ESales_DB[[#This Row],[Total_Amount]]&gt;1000,"High","Low")</f>
        <v>Low</v>
      </c>
      <c r="N1022" s="2" t="str">
        <f>VLOOKUP(ESales_DB[[#This Row],[Customer_ID]],Ecustom_DB[],3,FALSE)</f>
        <v>Christy Hoffman</v>
      </c>
      <c r="O1022" s="2" t="str">
        <f>_xlfn.XLOOKUP(ESales_DB[[#This Row],[Product_ID]],Eproduct_DB[Product_ID],Eproduct_DB[Category])</f>
        <v>Home</v>
      </c>
      <c r="P1022" s="2" t="str">
        <f>_xlfn.XLOOKUP(ESales_DB[[#This Row],[Product_ID]],Eproduct_DB[Product_ID],Eproduct_DB[Product_Name])</f>
        <v>Stainless Steel Cookware Set</v>
      </c>
      <c r="Q1022" s="2" t="str">
        <f>_xlfn.XLOOKUP(ESales_DB[[#This Row],[Store_ID]],Estore_DB[Store_ID],Estore_DB[Region])</f>
        <v>South</v>
      </c>
      <c r="R1022" t="str">
        <f>VLOOKUP(ESales_DB[[#This Row],[Customer_ID]],Ecustom_DB[],10,FALSE)</f>
        <v>Platinum</v>
      </c>
      <c r="S1022" t="str">
        <f>IF(ESales_DB[[#This Row],[Quantity1]]&gt;3,"Bulk order","Normal order")</f>
        <v>Bulk order</v>
      </c>
    </row>
    <row r="1023" spans="1:19" x14ac:dyDescent="0.3">
      <c r="A1023" t="s">
        <v>3743</v>
      </c>
      <c r="B1023" s="4">
        <v>45661</v>
      </c>
      <c r="C1023" s="4" t="str">
        <f>TEXT(ESales_DB[[#This Row],[Order_Date]],"mmm")</f>
        <v>Jan</v>
      </c>
      <c r="D1023" t="s">
        <v>1437</v>
      </c>
      <c r="E1023" t="s">
        <v>1572</v>
      </c>
      <c r="F1023" t="s">
        <v>1752</v>
      </c>
      <c r="G1023">
        <v>2</v>
      </c>
      <c r="H1023" s="10">
        <f>IF(ISBLANK(ESales_DB[[#This Row],[Quantity]]),AVERAGEIF(ESales_DB[Product_ID],ESales_DB[[#This Row],[Product_ID]],ESales_DB[Quantity]),ESales_DB[[#This Row],[Quantity]])</f>
        <v>2</v>
      </c>
      <c r="I1023" s="2">
        <v>687.35</v>
      </c>
      <c r="J1023">
        <v>0.2</v>
      </c>
      <c r="K1023" t="s">
        <v>1829</v>
      </c>
      <c r="L1023" s="2">
        <v>1099.76</v>
      </c>
      <c r="M1023" s="2" t="str">
        <f>IF(ESales_DB[[#This Row],[Total_Amount]]&gt;1000,"High","Low")</f>
        <v>High</v>
      </c>
      <c r="N1023" s="2" t="str">
        <f>VLOOKUP(ESales_DB[[#This Row],[Customer_ID]],Ecustom_DB[],3,FALSE)</f>
        <v>Cynthia Parrish</v>
      </c>
      <c r="O1023" s="2" t="str">
        <f>_xlfn.XLOOKUP(ESales_DB[[#This Row],[Product_ID]],Eproduct_DB[Product_ID],Eproduct_DB[Category])</f>
        <v>Beauty</v>
      </c>
      <c r="P1023" s="2" t="str">
        <f>_xlfn.XLOOKUP(ESales_DB[[#This Row],[Product_ID]],Eproduct_DB[Product_ID],Eproduct_DB[Product_Name])</f>
        <v>Hair Strengthening Shampoo</v>
      </c>
      <c r="Q1023" s="2" t="str">
        <f>_xlfn.XLOOKUP(ESales_DB[[#This Row],[Store_ID]],Estore_DB[Store_ID],Estore_DB[Region])</f>
        <v>East</v>
      </c>
      <c r="R1023" t="str">
        <f>VLOOKUP(ESales_DB[[#This Row],[Customer_ID]],Ecustom_DB[],10,FALSE)</f>
        <v>Silver</v>
      </c>
      <c r="S1023" t="str">
        <f>IF(ESales_DB[[#This Row],[Quantity1]]&gt;3,"Bulk order","Normal order")</f>
        <v>Normal order</v>
      </c>
    </row>
    <row r="1024" spans="1:19" x14ac:dyDescent="0.3">
      <c r="A1024" t="s">
        <v>3744</v>
      </c>
      <c r="B1024" s="4">
        <v>45921</v>
      </c>
      <c r="C1024" s="4" t="str">
        <f>TEXT(ESales_DB[[#This Row],[Order_Date]],"mmm")</f>
        <v>Sep</v>
      </c>
      <c r="D1024" t="s">
        <v>675</v>
      </c>
      <c r="E1024" t="s">
        <v>1716</v>
      </c>
      <c r="F1024" t="s">
        <v>1782</v>
      </c>
      <c r="G1024">
        <v>2</v>
      </c>
      <c r="H1024" s="10">
        <f>IF(ISBLANK(ESales_DB[[#This Row],[Quantity]]),AVERAGEIF(ESales_DB[Product_ID],ESales_DB[[#This Row],[Product_ID]],ESales_DB[Quantity]),ESales_DB[[#This Row],[Quantity]])</f>
        <v>2</v>
      </c>
      <c r="I1024" s="2">
        <v>30.14</v>
      </c>
      <c r="J1024">
        <v>0.21</v>
      </c>
      <c r="K1024" t="s">
        <v>1824</v>
      </c>
      <c r="L1024" s="2">
        <v>47.621200000000002</v>
      </c>
      <c r="M1024" s="2" t="str">
        <f>IF(ESales_DB[[#This Row],[Total_Amount]]&gt;1000,"High","Low")</f>
        <v>Low</v>
      </c>
      <c r="N1024" s="2" t="str">
        <f>VLOOKUP(ESales_DB[[#This Row],[Customer_ID]],Ecustom_DB[],3,FALSE)</f>
        <v>Jacqueline Pacheco</v>
      </c>
      <c r="O1024" s="2" t="str">
        <f>_xlfn.XLOOKUP(ESales_DB[[#This Row],[Product_ID]],Eproduct_DB[Product_ID],Eproduct_DB[Category])</f>
        <v>Home</v>
      </c>
      <c r="P1024" s="2" t="str">
        <f>_xlfn.XLOOKUP(ESales_DB[[#This Row],[Product_ID]],Eproduct_DB[Product_ID],Eproduct_DB[Product_Name])</f>
        <v>Wooden Bookshelf</v>
      </c>
      <c r="Q1024" s="2" t="str">
        <f>_xlfn.XLOOKUP(ESales_DB[[#This Row],[Store_ID]],Estore_DB[Store_ID],Estore_DB[Region])</f>
        <v>West</v>
      </c>
      <c r="R1024" t="str">
        <f>VLOOKUP(ESales_DB[[#This Row],[Customer_ID]],Ecustom_DB[],10,FALSE)</f>
        <v>Bronze</v>
      </c>
      <c r="S1024" t="str">
        <f>IF(ESales_DB[[#This Row],[Quantity1]]&gt;3,"Bulk order","Normal order")</f>
        <v>Normal order</v>
      </c>
    </row>
    <row r="1025" spans="1:19" x14ac:dyDescent="0.3">
      <c r="A1025" t="s">
        <v>3745</v>
      </c>
      <c r="B1025" s="4">
        <v>45651</v>
      </c>
      <c r="C1025" s="4" t="str">
        <f>TEXT(ESales_DB[[#This Row],[Order_Date]],"mmm")</f>
        <v>Dec</v>
      </c>
      <c r="D1025" t="s">
        <v>353</v>
      </c>
      <c r="E1025" t="s">
        <v>1616</v>
      </c>
      <c r="F1025" t="s">
        <v>1782</v>
      </c>
      <c r="G1025">
        <v>3</v>
      </c>
      <c r="H1025" s="10">
        <f>IF(ISBLANK(ESales_DB[[#This Row],[Quantity]]),AVERAGEIF(ESales_DB[Product_ID],ESales_DB[[#This Row],[Product_ID]],ESales_DB[Quantity]),ESales_DB[[#This Row],[Quantity]])</f>
        <v>3</v>
      </c>
      <c r="I1025" s="2">
        <v>570.12</v>
      </c>
      <c r="J1025">
        <v>0.12</v>
      </c>
      <c r="K1025" t="s">
        <v>1826</v>
      </c>
      <c r="L1025" s="2">
        <v>1505.1168</v>
      </c>
      <c r="M1025" s="2" t="str">
        <f>IF(ESales_DB[[#This Row],[Total_Amount]]&gt;1000,"High","Low")</f>
        <v>High</v>
      </c>
      <c r="N1025" s="2" t="str">
        <f>VLOOKUP(ESales_DB[[#This Row],[Customer_ID]],Ecustom_DB[],3,FALSE)</f>
        <v>Sheila Wilson</v>
      </c>
      <c r="O1025" s="2" t="str">
        <f>_xlfn.XLOOKUP(ESales_DB[[#This Row],[Product_ID]],Eproduct_DB[Product_ID],Eproduct_DB[Category])</f>
        <v>Electronics</v>
      </c>
      <c r="P1025" s="2" t="str">
        <f>_xlfn.XLOOKUP(ESales_DB[[#This Row],[Product_ID]],Eproduct_DB[Product_ID],Eproduct_DB[Product_Name])</f>
        <v>Gaming Mechanical Keyboard</v>
      </c>
      <c r="Q1025" s="2" t="str">
        <f>_xlfn.XLOOKUP(ESales_DB[[#This Row],[Store_ID]],Estore_DB[Store_ID],Estore_DB[Region])</f>
        <v>West</v>
      </c>
      <c r="R1025" t="str">
        <f>VLOOKUP(ESales_DB[[#This Row],[Customer_ID]],Ecustom_DB[],10,FALSE)</f>
        <v>Silver</v>
      </c>
      <c r="S1025" t="str">
        <f>IF(ESales_DB[[#This Row],[Quantity1]]&gt;3,"Bulk order","Normal order")</f>
        <v>Normal order</v>
      </c>
    </row>
    <row r="1026" spans="1:19" x14ac:dyDescent="0.3">
      <c r="A1026" t="s">
        <v>2018</v>
      </c>
      <c r="B1026" s="4">
        <v>45617</v>
      </c>
      <c r="C1026" s="4" t="str">
        <f>TEXT(ESales_DB[[#This Row],[Order_Date]],"mmm")</f>
        <v>Nov</v>
      </c>
      <c r="D1026" t="s">
        <v>1316</v>
      </c>
      <c r="E1026" t="s">
        <v>1732</v>
      </c>
      <c r="F1026" t="s">
        <v>1799</v>
      </c>
      <c r="G1026">
        <v>3</v>
      </c>
      <c r="H1026" s="10">
        <f>IF(ISBLANK(ESales_DB[[#This Row],[Quantity]]),AVERAGEIF(ESales_DB[Product_ID],ESales_DB[[#This Row],[Product_ID]],ESales_DB[Quantity]),ESales_DB[[#This Row],[Quantity]])</f>
        <v>3</v>
      </c>
      <c r="I1026" s="2">
        <v>361.65</v>
      </c>
      <c r="J1026">
        <v>0.15</v>
      </c>
      <c r="K1026" t="s">
        <v>1829</v>
      </c>
      <c r="L1026" s="2">
        <v>922.20749999999987</v>
      </c>
      <c r="M1026" s="2" t="str">
        <f>IF(ESales_DB[[#This Row],[Total_Amount]]&gt;1000,"High","Low")</f>
        <v>Low</v>
      </c>
      <c r="N1026" s="2" t="str">
        <f>VLOOKUP(ESales_DB[[#This Row],[Customer_ID]],Ecustom_DB[],3,FALSE)</f>
        <v>Edwin Barnes</v>
      </c>
      <c r="O1026" s="2" t="str">
        <f>_xlfn.XLOOKUP(ESales_DB[[#This Row],[Product_ID]],Eproduct_DB[Product_ID],Eproduct_DB[Category])</f>
        <v>Home</v>
      </c>
      <c r="P1026" s="2" t="str">
        <f>_xlfn.XLOOKUP(ESales_DB[[#This Row],[Product_ID]],Eproduct_DB[Product_ID],Eproduct_DB[Product_Name])</f>
        <v>Microwave Oven</v>
      </c>
      <c r="Q1026" s="2" t="str">
        <f>_xlfn.XLOOKUP(ESales_DB[[#This Row],[Store_ID]],Estore_DB[Store_ID],Estore_DB[Region])</f>
        <v>South</v>
      </c>
      <c r="R1026" t="str">
        <f>VLOOKUP(ESales_DB[[#This Row],[Customer_ID]],Ecustom_DB[],10,FALSE)</f>
        <v>Bronze</v>
      </c>
      <c r="S1026" t="str">
        <f>IF(ESales_DB[[#This Row],[Quantity1]]&gt;3,"Bulk order","Normal order")</f>
        <v>Normal order</v>
      </c>
    </row>
    <row r="1027" spans="1:19" x14ac:dyDescent="0.3">
      <c r="A1027" t="s">
        <v>3746</v>
      </c>
      <c r="B1027" s="4">
        <v>45883</v>
      </c>
      <c r="C1027" s="4" t="str">
        <f>TEXT(ESales_DB[[#This Row],[Order_Date]],"mmm")</f>
        <v>Aug</v>
      </c>
      <c r="D1027" t="s">
        <v>893</v>
      </c>
      <c r="E1027" t="s">
        <v>1702</v>
      </c>
      <c r="F1027" t="s">
        <v>1813</v>
      </c>
      <c r="G1027">
        <v>3</v>
      </c>
      <c r="H1027" s="10">
        <f>IF(ISBLANK(ESales_DB[[#This Row],[Quantity]]),AVERAGEIF(ESales_DB[Product_ID],ESales_DB[[#This Row],[Product_ID]],ESales_DB[Quantity]),ESales_DB[[#This Row],[Quantity]])</f>
        <v>3</v>
      </c>
      <c r="I1027" s="2">
        <v>401.87</v>
      </c>
      <c r="J1027">
        <v>0.28999999999999998</v>
      </c>
      <c r="K1027" t="s">
        <v>1829</v>
      </c>
      <c r="L1027" s="2">
        <v>855.98310000000004</v>
      </c>
      <c r="M1027" s="2" t="str">
        <f>IF(ESales_DB[[#This Row],[Total_Amount]]&gt;1000,"High","Low")</f>
        <v>Low</v>
      </c>
      <c r="N1027" s="2" t="str">
        <f>VLOOKUP(ESales_DB[[#This Row],[Customer_ID]],Ecustom_DB[],3,FALSE)</f>
        <v>Brittany Watson</v>
      </c>
      <c r="O1027" s="2" t="str">
        <f>_xlfn.XLOOKUP(ESales_DB[[#This Row],[Product_ID]],Eproduct_DB[Product_ID],Eproduct_DB[Category])</f>
        <v>Electronics</v>
      </c>
      <c r="P1027" s="2" t="str">
        <f>_xlfn.XLOOKUP(ESales_DB[[#This Row],[Product_ID]],Eproduct_DB[Product_ID],Eproduct_DB[Product_Name])</f>
        <v>WiFi Mesh Router</v>
      </c>
      <c r="Q1027" s="2" t="str">
        <f>_xlfn.XLOOKUP(ESales_DB[[#This Row],[Store_ID]],Estore_DB[Store_ID],Estore_DB[Region])</f>
        <v>East</v>
      </c>
      <c r="R1027" t="str">
        <f>VLOOKUP(ESales_DB[[#This Row],[Customer_ID]],Ecustom_DB[],10,FALSE)</f>
        <v>Platinum</v>
      </c>
      <c r="S1027" t="str">
        <f>IF(ESales_DB[[#This Row],[Quantity1]]&gt;3,"Bulk order","Normal order")</f>
        <v>Normal order</v>
      </c>
    </row>
    <row r="1028" spans="1:19" x14ac:dyDescent="0.3">
      <c r="A1028" t="s">
        <v>3747</v>
      </c>
      <c r="B1028" s="4">
        <v>45624</v>
      </c>
      <c r="C1028" s="4" t="str">
        <f>TEXT(ESales_DB[[#This Row],[Order_Date]],"mmm")</f>
        <v>Nov</v>
      </c>
      <c r="D1028" t="s">
        <v>1524</v>
      </c>
      <c r="E1028" t="s">
        <v>1706</v>
      </c>
      <c r="F1028" t="s">
        <v>1794</v>
      </c>
      <c r="G1028">
        <v>4</v>
      </c>
      <c r="H1028" s="10">
        <f>IF(ISBLANK(ESales_DB[[#This Row],[Quantity]]),AVERAGEIF(ESales_DB[Product_ID],ESales_DB[[#This Row],[Product_ID]],ESales_DB[Quantity]),ESales_DB[[#This Row],[Quantity]])</f>
        <v>4</v>
      </c>
      <c r="I1028" s="2">
        <v>619.35</v>
      </c>
      <c r="J1028">
        <v>0.3</v>
      </c>
      <c r="K1028" t="s">
        <v>1824</v>
      </c>
      <c r="L1028" s="2">
        <v>1734.18</v>
      </c>
      <c r="M1028" s="2" t="str">
        <f>IF(ESales_DB[[#This Row],[Total_Amount]]&gt;1000,"High","Low")</f>
        <v>High</v>
      </c>
      <c r="N1028" s="2" t="str">
        <f>VLOOKUP(ESales_DB[[#This Row],[Customer_ID]],Ecustom_DB[],3,FALSE)</f>
        <v>Christopher Ford</v>
      </c>
      <c r="O1028" s="2" t="str">
        <f>_xlfn.XLOOKUP(ESales_DB[[#This Row],[Product_ID]],Eproduct_DB[Product_ID],Eproduct_DB[Category])</f>
        <v>Home</v>
      </c>
      <c r="P1028" s="2" t="str">
        <f>_xlfn.XLOOKUP(ESales_DB[[#This Row],[Product_ID]],Eproduct_DB[Product_ID],Eproduct_DB[Product_Name])</f>
        <v>Decorative Lamp Shade</v>
      </c>
      <c r="Q1028" s="2" t="str">
        <f>_xlfn.XLOOKUP(ESales_DB[[#This Row],[Store_ID]],Estore_DB[Store_ID],Estore_DB[Region])</f>
        <v>North</v>
      </c>
      <c r="R1028" t="str">
        <f>VLOOKUP(ESales_DB[[#This Row],[Customer_ID]],Ecustom_DB[],10,FALSE)</f>
        <v>Bronze</v>
      </c>
      <c r="S1028" t="str">
        <f>IF(ESales_DB[[#This Row],[Quantity1]]&gt;3,"Bulk order","Normal order")</f>
        <v>Bulk order</v>
      </c>
    </row>
    <row r="1029" spans="1:19" x14ac:dyDescent="0.3">
      <c r="A1029" t="s">
        <v>3748</v>
      </c>
      <c r="B1029" s="4">
        <v>45276</v>
      </c>
      <c r="C1029" s="4" t="str">
        <f>TEXT(ESales_DB[[#This Row],[Order_Date]],"mmm")</f>
        <v>Dec</v>
      </c>
      <c r="D1029" t="s">
        <v>791</v>
      </c>
      <c r="E1029" t="s">
        <v>1640</v>
      </c>
      <c r="F1029" t="s">
        <v>1807</v>
      </c>
      <c r="G1029">
        <v>4</v>
      </c>
      <c r="H1029" s="10">
        <f>IF(ISBLANK(ESales_DB[[#This Row],[Quantity]]),AVERAGEIF(ESales_DB[Product_ID],ESales_DB[[#This Row],[Product_ID]],ESales_DB[Quantity]),ESales_DB[[#This Row],[Quantity]])</f>
        <v>4</v>
      </c>
      <c r="I1029" s="2">
        <v>569.36</v>
      </c>
      <c r="J1029">
        <v>0.27</v>
      </c>
      <c r="K1029" t="s">
        <v>1826</v>
      </c>
      <c r="L1029" s="2">
        <v>1662.5311999999999</v>
      </c>
      <c r="M1029" s="2" t="str">
        <f>IF(ESales_DB[[#This Row],[Total_Amount]]&gt;1000,"High","Low")</f>
        <v>High</v>
      </c>
      <c r="N1029" s="2" t="str">
        <f>VLOOKUP(ESales_DB[[#This Row],[Customer_ID]],Ecustom_DB[],3,FALSE)</f>
        <v>Douglas Rhodes</v>
      </c>
      <c r="O1029" s="2" t="str">
        <f>_xlfn.XLOOKUP(ESales_DB[[#This Row],[Product_ID]],Eproduct_DB[Product_ID],Eproduct_DB[Category])</f>
        <v>Clothing</v>
      </c>
      <c r="P1029" s="2" t="str">
        <f>_xlfn.XLOOKUP(ESales_DB[[#This Row],[Product_ID]],Eproduct_DB[Product_ID],Eproduct_DB[Product_Name])</f>
        <v>Men's Winter Jacket</v>
      </c>
      <c r="Q1029" s="2" t="str">
        <f>_xlfn.XLOOKUP(ESales_DB[[#This Row],[Store_ID]],Estore_DB[Store_ID],Estore_DB[Region])</f>
        <v>North</v>
      </c>
      <c r="R1029" t="str">
        <f>VLOOKUP(ESales_DB[[#This Row],[Customer_ID]],Ecustom_DB[],10,FALSE)</f>
        <v>Platinum</v>
      </c>
      <c r="S1029" t="str">
        <f>IF(ESales_DB[[#This Row],[Quantity1]]&gt;3,"Bulk order","Normal order")</f>
        <v>Bulk order</v>
      </c>
    </row>
    <row r="1030" spans="1:19" x14ac:dyDescent="0.3">
      <c r="A1030" t="s">
        <v>3749</v>
      </c>
      <c r="B1030" s="4">
        <v>45344</v>
      </c>
      <c r="C1030" s="4" t="str">
        <f>TEXT(ESales_DB[[#This Row],[Order_Date]],"mmm")</f>
        <v>Feb</v>
      </c>
      <c r="D1030" t="s">
        <v>1466</v>
      </c>
      <c r="E1030" t="s">
        <v>1602</v>
      </c>
      <c r="F1030" t="s">
        <v>1769</v>
      </c>
      <c r="G1030">
        <v>2</v>
      </c>
      <c r="H1030" s="10">
        <f>IF(ISBLANK(ESales_DB[[#This Row],[Quantity]]),AVERAGEIF(ESales_DB[Product_ID],ESales_DB[[#This Row],[Product_ID]],ESales_DB[Quantity]),ESales_DB[[#This Row],[Quantity]])</f>
        <v>2</v>
      </c>
      <c r="I1030" s="2">
        <v>846.35</v>
      </c>
      <c r="J1030">
        <v>0.3</v>
      </c>
      <c r="K1030" t="s">
        <v>1829</v>
      </c>
      <c r="L1030" s="2">
        <v>1184.8900000000001</v>
      </c>
      <c r="M1030" s="2" t="str">
        <f>IF(ESales_DB[[#This Row],[Total_Amount]]&gt;1000,"High","Low")</f>
        <v>High</v>
      </c>
      <c r="N1030" s="2" t="str">
        <f>VLOOKUP(ESales_DB[[#This Row],[Customer_ID]],Ecustom_DB[],3,FALSE)</f>
        <v>Elizabeth Foster</v>
      </c>
      <c r="O1030" s="2" t="str">
        <f>_xlfn.XLOOKUP(ESales_DB[[#This Row],[Product_ID]],Eproduct_DB[Product_ID],Eproduct_DB[Category])</f>
        <v>Home</v>
      </c>
      <c r="P1030" s="2" t="str">
        <f>_xlfn.XLOOKUP(ESales_DB[[#This Row],[Product_ID]],Eproduct_DB[Product_ID],Eproduct_DB[Product_Name])</f>
        <v>Decorative Floor Vase</v>
      </c>
      <c r="Q1030" s="2" t="str">
        <f>_xlfn.XLOOKUP(ESales_DB[[#This Row],[Store_ID]],Estore_DB[Store_ID],Estore_DB[Region])</f>
        <v>South</v>
      </c>
      <c r="R1030" t="str">
        <f>VLOOKUP(ESales_DB[[#This Row],[Customer_ID]],Ecustom_DB[],10,FALSE)</f>
        <v>Gold</v>
      </c>
      <c r="S1030" t="str">
        <f>IF(ESales_DB[[#This Row],[Quantity1]]&gt;3,"Bulk order","Normal order")</f>
        <v>Normal order</v>
      </c>
    </row>
    <row r="1031" spans="1:19" x14ac:dyDescent="0.3">
      <c r="A1031" t="s">
        <v>3750</v>
      </c>
      <c r="B1031" s="4">
        <v>45849</v>
      </c>
      <c r="C1031" s="4" t="str">
        <f>TEXT(ESales_DB[[#This Row],[Order_Date]],"mmm")</f>
        <v>Jul</v>
      </c>
      <c r="D1031" t="s">
        <v>1346</v>
      </c>
      <c r="E1031" t="s">
        <v>1608</v>
      </c>
      <c r="F1031" t="s">
        <v>1761</v>
      </c>
      <c r="G1031">
        <v>1</v>
      </c>
      <c r="H1031" s="10">
        <f>IF(ISBLANK(ESales_DB[[#This Row],[Quantity]]),AVERAGEIF(ESales_DB[Product_ID],ESales_DB[[#This Row],[Product_ID]],ESales_DB[Quantity]),ESales_DB[[#This Row],[Quantity]])</f>
        <v>1</v>
      </c>
      <c r="I1031" s="2">
        <v>788.45</v>
      </c>
      <c r="J1031">
        <v>0.28999999999999998</v>
      </c>
      <c r="K1031" t="s">
        <v>1826</v>
      </c>
      <c r="L1031" s="2">
        <v>559.79949999999997</v>
      </c>
      <c r="M1031" s="2" t="str">
        <f>IF(ESales_DB[[#This Row],[Total_Amount]]&gt;1000,"High","Low")</f>
        <v>Low</v>
      </c>
      <c r="N1031" s="2" t="str">
        <f>VLOOKUP(ESales_DB[[#This Row],[Customer_ID]],Ecustom_DB[],3,FALSE)</f>
        <v>Monique Castro</v>
      </c>
      <c r="O1031" s="2" t="str">
        <f>_xlfn.XLOOKUP(ESales_DB[[#This Row],[Product_ID]],Eproduct_DB[Product_ID],Eproduct_DB[Category])</f>
        <v>Home</v>
      </c>
      <c r="P1031" s="2" t="str">
        <f>_xlfn.XLOOKUP(ESales_DB[[#This Row],[Product_ID]],Eproduct_DB[Product_ID],Eproduct_DB[Product_Name])</f>
        <v>Stainless Steel Cutlery Set</v>
      </c>
      <c r="Q1031" s="2" t="str">
        <f>_xlfn.XLOOKUP(ESales_DB[[#This Row],[Store_ID]],Estore_DB[Store_ID],Estore_DB[Region])</f>
        <v>South</v>
      </c>
      <c r="R1031" t="str">
        <f>VLOOKUP(ESales_DB[[#This Row],[Customer_ID]],Ecustom_DB[],10,FALSE)</f>
        <v>Gold</v>
      </c>
      <c r="S1031" t="str">
        <f>IF(ESales_DB[[#This Row],[Quantity1]]&gt;3,"Bulk order","Normal order")</f>
        <v>Normal order</v>
      </c>
    </row>
    <row r="1032" spans="1:19" x14ac:dyDescent="0.3">
      <c r="A1032" t="s">
        <v>3751</v>
      </c>
      <c r="B1032" s="4">
        <v>45880</v>
      </c>
      <c r="C1032" s="4" t="str">
        <f>TEXT(ESales_DB[[#This Row],[Order_Date]],"mmm")</f>
        <v>Aug</v>
      </c>
      <c r="D1032" t="s">
        <v>1127</v>
      </c>
      <c r="E1032" t="s">
        <v>1618</v>
      </c>
      <c r="F1032" t="s">
        <v>1794</v>
      </c>
      <c r="G1032">
        <v>2</v>
      </c>
      <c r="H1032" s="10">
        <f>IF(ISBLANK(ESales_DB[[#This Row],[Quantity]]),AVERAGEIF(ESales_DB[Product_ID],ESales_DB[[#This Row],[Product_ID]],ESales_DB[Quantity]),ESales_DB[[#This Row],[Quantity]])</f>
        <v>2</v>
      </c>
      <c r="I1032" s="2">
        <v>338.81</v>
      </c>
      <c r="J1032">
        <v>7.0000000000000007E-2</v>
      </c>
      <c r="K1032" t="s">
        <v>1829</v>
      </c>
      <c r="L1032" s="2">
        <v>630.1866</v>
      </c>
      <c r="M1032" s="2" t="str">
        <f>IF(ESales_DB[[#This Row],[Total_Amount]]&gt;1000,"High","Low")</f>
        <v>Low</v>
      </c>
      <c r="N1032" s="2" t="str">
        <f>VLOOKUP(ESales_DB[[#This Row],[Customer_ID]],Ecustom_DB[],3,FALSE)</f>
        <v>Denise Tate</v>
      </c>
      <c r="O1032" s="2" t="str">
        <f>_xlfn.XLOOKUP(ESales_DB[[#This Row],[Product_ID]],Eproduct_DB[Product_ID],Eproduct_DB[Category])</f>
        <v>Home</v>
      </c>
      <c r="P1032" s="2" t="str">
        <f>_xlfn.XLOOKUP(ESales_DB[[#This Row],[Product_ID]],Eproduct_DB[Product_ID],Eproduct_DB[Product_Name])</f>
        <v>Bedroom Table Lamp</v>
      </c>
      <c r="Q1032" s="2" t="str">
        <f>_xlfn.XLOOKUP(ESales_DB[[#This Row],[Store_ID]],Estore_DB[Store_ID],Estore_DB[Region])</f>
        <v>North</v>
      </c>
      <c r="R1032" t="str">
        <f>VLOOKUP(ESales_DB[[#This Row],[Customer_ID]],Ecustom_DB[],10,FALSE)</f>
        <v>Platinum</v>
      </c>
      <c r="S1032" t="str">
        <f>IF(ESales_DB[[#This Row],[Quantity1]]&gt;3,"Bulk order","Normal order")</f>
        <v>Normal order</v>
      </c>
    </row>
    <row r="1033" spans="1:19" x14ac:dyDescent="0.3">
      <c r="A1033" t="s">
        <v>3752</v>
      </c>
      <c r="B1033" s="4">
        <v>45907</v>
      </c>
      <c r="C1033" s="4" t="str">
        <f>TEXT(ESales_DB[[#This Row],[Order_Date]],"mmm")</f>
        <v>Sep</v>
      </c>
      <c r="D1033" t="s">
        <v>110</v>
      </c>
      <c r="E1033" t="s">
        <v>1576</v>
      </c>
      <c r="F1033" t="s">
        <v>1773</v>
      </c>
      <c r="G1033">
        <v>4</v>
      </c>
      <c r="H1033" s="10">
        <f>IF(ISBLANK(ESales_DB[[#This Row],[Quantity]]),AVERAGEIF(ESales_DB[Product_ID],ESales_DB[[#This Row],[Product_ID]],ESales_DB[Quantity]),ESales_DB[[#This Row],[Quantity]])</f>
        <v>4</v>
      </c>
      <c r="I1033" s="2">
        <v>94.48</v>
      </c>
      <c r="J1033">
        <v>0.06</v>
      </c>
      <c r="K1033" t="s">
        <v>1829</v>
      </c>
      <c r="L1033" s="2">
        <v>355.2448</v>
      </c>
      <c r="M1033" s="2" t="str">
        <f>IF(ESales_DB[[#This Row],[Total_Amount]]&gt;1000,"High","Low")</f>
        <v>Low</v>
      </c>
      <c r="N1033" s="2" t="str">
        <f>VLOOKUP(ESales_DB[[#This Row],[Customer_ID]],Ecustom_DB[],3,FALSE)</f>
        <v>Amber Carlson</v>
      </c>
      <c r="O1033" s="2" t="str">
        <f>_xlfn.XLOOKUP(ESales_DB[[#This Row],[Product_ID]],Eproduct_DB[Product_ID],Eproduct_DB[Category])</f>
        <v>Home</v>
      </c>
      <c r="P1033" s="2" t="str">
        <f>_xlfn.XLOOKUP(ESales_DB[[#This Row],[Product_ID]],Eproduct_DB[Product_ID],Eproduct_DB[Product_Name])</f>
        <v>Decorative Wall Mirror</v>
      </c>
      <c r="Q1033" s="2" t="str">
        <f>_xlfn.XLOOKUP(ESales_DB[[#This Row],[Store_ID]],Estore_DB[Store_ID],Estore_DB[Region])</f>
        <v>North</v>
      </c>
      <c r="R1033" t="str">
        <f>VLOOKUP(ESales_DB[[#This Row],[Customer_ID]],Ecustom_DB[],10,FALSE)</f>
        <v>Gold</v>
      </c>
      <c r="S1033" t="str">
        <f>IF(ESales_DB[[#This Row],[Quantity1]]&gt;3,"Bulk order","Normal order")</f>
        <v>Bulk order</v>
      </c>
    </row>
    <row r="1034" spans="1:19" x14ac:dyDescent="0.3">
      <c r="A1034" t="s">
        <v>3753</v>
      </c>
      <c r="B1034" s="4">
        <v>45545</v>
      </c>
      <c r="C1034" s="4" t="str">
        <f>TEXT(ESales_DB[[#This Row],[Order_Date]],"mmm")</f>
        <v>Sep</v>
      </c>
      <c r="D1034" t="s">
        <v>1469</v>
      </c>
      <c r="E1034" t="s">
        <v>1586</v>
      </c>
      <c r="F1034" t="s">
        <v>1797</v>
      </c>
      <c r="G1034">
        <v>3</v>
      </c>
      <c r="H1034" s="10">
        <f>IF(ISBLANK(ESales_DB[[#This Row],[Quantity]]),AVERAGEIF(ESales_DB[Product_ID],ESales_DB[[#This Row],[Product_ID]],ESales_DB[Quantity]),ESales_DB[[#This Row],[Quantity]])</f>
        <v>3</v>
      </c>
      <c r="I1034" s="2">
        <v>941.85</v>
      </c>
      <c r="J1034">
        <v>0.16</v>
      </c>
      <c r="K1034" t="s">
        <v>1826</v>
      </c>
      <c r="L1034" s="2">
        <v>2373.462</v>
      </c>
      <c r="M1034" s="2" t="str">
        <f>IF(ESales_DB[[#This Row],[Total_Amount]]&gt;1000,"High","Low")</f>
        <v>High</v>
      </c>
      <c r="N1034" s="2" t="str">
        <f>VLOOKUP(ESales_DB[[#This Row],[Customer_ID]],Ecustom_DB[],3,FALSE)</f>
        <v>Andrea Harris</v>
      </c>
      <c r="O1034" s="2" t="str">
        <f>_xlfn.XLOOKUP(ESales_DB[[#This Row],[Product_ID]],Eproduct_DB[Product_ID],Eproduct_DB[Category])</f>
        <v>Sports</v>
      </c>
      <c r="P1034" s="2" t="str">
        <f>_xlfn.XLOOKUP(ESales_DB[[#This Row],[Product_ID]],Eproduct_DB[Product_ID],Eproduct_DB[Product_Name])</f>
        <v>Knee Support Brace</v>
      </c>
      <c r="Q1034" s="2" t="str">
        <f>_xlfn.XLOOKUP(ESales_DB[[#This Row],[Store_ID]],Estore_DB[Store_ID],Estore_DB[Region])</f>
        <v>East</v>
      </c>
      <c r="R1034" t="str">
        <f>VLOOKUP(ESales_DB[[#This Row],[Customer_ID]],Ecustom_DB[],10,FALSE)</f>
        <v>Platinum</v>
      </c>
      <c r="S1034" t="str">
        <f>IF(ESales_DB[[#This Row],[Quantity1]]&gt;3,"Bulk order","Normal order")</f>
        <v>Normal order</v>
      </c>
    </row>
    <row r="1035" spans="1:19" x14ac:dyDescent="0.3">
      <c r="A1035" t="s">
        <v>3754</v>
      </c>
      <c r="B1035" s="4">
        <v>45257</v>
      </c>
      <c r="C1035" s="4" t="str">
        <f>TEXT(ESales_DB[[#This Row],[Order_Date]],"mmm")</f>
        <v>Nov</v>
      </c>
      <c r="D1035" t="s">
        <v>538</v>
      </c>
      <c r="E1035" t="s">
        <v>1638</v>
      </c>
      <c r="F1035" t="s">
        <v>1773</v>
      </c>
      <c r="G1035">
        <v>2</v>
      </c>
      <c r="H1035" s="10">
        <f>IF(ISBLANK(ESales_DB[[#This Row],[Quantity]]),AVERAGEIF(ESales_DB[Product_ID],ESales_DB[[#This Row],[Product_ID]],ESales_DB[Quantity]),ESales_DB[[#This Row],[Quantity]])</f>
        <v>2</v>
      </c>
      <c r="I1035" s="2">
        <v>336.97</v>
      </c>
      <c r="J1035">
        <v>0.14000000000000001</v>
      </c>
      <c r="K1035" t="s">
        <v>1826</v>
      </c>
      <c r="L1035" s="2">
        <v>579.58840000000009</v>
      </c>
      <c r="M1035" s="2" t="str">
        <f>IF(ESales_DB[[#This Row],[Total_Amount]]&gt;1000,"High","Low")</f>
        <v>Low</v>
      </c>
      <c r="N1035" s="2" t="str">
        <f>VLOOKUP(ESales_DB[[#This Row],[Customer_ID]],Ecustom_DB[],3,FALSE)</f>
        <v>Cynthia Morris</v>
      </c>
      <c r="O1035" s="2" t="str">
        <f>_xlfn.XLOOKUP(ESales_DB[[#This Row],[Product_ID]],Eproduct_DB[Product_ID],Eproduct_DB[Category])</f>
        <v>Sports</v>
      </c>
      <c r="P1035" s="2" t="str">
        <f>_xlfn.XLOOKUP(ESales_DB[[#This Row],[Product_ID]],Eproduct_DB[Product_ID],Eproduct_DB[Product_Name])</f>
        <v>High-Grip Football</v>
      </c>
      <c r="Q1035" s="2" t="str">
        <f>_xlfn.XLOOKUP(ESales_DB[[#This Row],[Store_ID]],Estore_DB[Store_ID],Estore_DB[Region])</f>
        <v>North</v>
      </c>
      <c r="R1035" t="str">
        <f>VLOOKUP(ESales_DB[[#This Row],[Customer_ID]],Ecustom_DB[],10,FALSE)</f>
        <v>Silver</v>
      </c>
      <c r="S1035" t="str">
        <f>IF(ESales_DB[[#This Row],[Quantity1]]&gt;3,"Bulk order","Normal order")</f>
        <v>Normal order</v>
      </c>
    </row>
    <row r="1036" spans="1:19" x14ac:dyDescent="0.3">
      <c r="A1036" t="s">
        <v>3755</v>
      </c>
      <c r="B1036" s="4">
        <v>45466</v>
      </c>
      <c r="C1036" s="4" t="str">
        <f>TEXT(ESales_DB[[#This Row],[Order_Date]],"mmm")</f>
        <v>Jun</v>
      </c>
      <c r="D1036" t="s">
        <v>978</v>
      </c>
      <c r="E1036" t="s">
        <v>1555</v>
      </c>
      <c r="F1036" t="s">
        <v>1773</v>
      </c>
      <c r="G1036">
        <v>2</v>
      </c>
      <c r="H1036" s="10">
        <f>IF(ISBLANK(ESales_DB[[#This Row],[Quantity]]),AVERAGEIF(ESales_DB[Product_ID],ESales_DB[[#This Row],[Product_ID]],ESales_DB[Quantity]),ESales_DB[[#This Row],[Quantity]])</f>
        <v>2</v>
      </c>
      <c r="I1036" s="2">
        <v>344.16</v>
      </c>
      <c r="J1036">
        <v>0.09</v>
      </c>
      <c r="K1036" t="s">
        <v>1826</v>
      </c>
      <c r="L1036" s="2">
        <v>626.37120000000004</v>
      </c>
      <c r="M1036" s="2" t="str">
        <f>IF(ESales_DB[[#This Row],[Total_Amount]]&gt;1000,"High","Low")</f>
        <v>Low</v>
      </c>
      <c r="N1036" s="2" t="str">
        <f>VLOOKUP(ESales_DB[[#This Row],[Customer_ID]],Ecustom_DB[],3,FALSE)</f>
        <v>Kara Dodson</v>
      </c>
      <c r="O1036" s="2" t="str">
        <f>_xlfn.XLOOKUP(ESales_DB[[#This Row],[Product_ID]],Eproduct_DB[Product_ID],Eproduct_DB[Category])</f>
        <v>Clothing</v>
      </c>
      <c r="P1036" s="2" t="str">
        <f>_xlfn.XLOOKUP(ESales_DB[[#This Row],[Product_ID]],Eproduct_DB[Product_ID],Eproduct_DB[Product_Name])</f>
        <v>Men's Leather Belt</v>
      </c>
      <c r="Q1036" s="2" t="str">
        <f>_xlfn.XLOOKUP(ESales_DB[[#This Row],[Store_ID]],Estore_DB[Store_ID],Estore_DB[Region])</f>
        <v>North</v>
      </c>
      <c r="R1036" t="str">
        <f>VLOOKUP(ESales_DB[[#This Row],[Customer_ID]],Ecustom_DB[],10,FALSE)</f>
        <v>Silver</v>
      </c>
      <c r="S1036" t="str">
        <f>IF(ESales_DB[[#This Row],[Quantity1]]&gt;3,"Bulk order","Normal order")</f>
        <v>Normal order</v>
      </c>
    </row>
    <row r="1037" spans="1:19" x14ac:dyDescent="0.3">
      <c r="A1037" t="s">
        <v>2019</v>
      </c>
      <c r="B1037" s="4">
        <v>45763</v>
      </c>
      <c r="C1037" s="4" t="str">
        <f>TEXT(ESales_DB[[#This Row],[Order_Date]],"mmm")</f>
        <v>Apr</v>
      </c>
      <c r="D1037" t="s">
        <v>541</v>
      </c>
      <c r="E1037" t="s">
        <v>1560</v>
      </c>
      <c r="F1037" t="s">
        <v>1769</v>
      </c>
      <c r="G1037">
        <v>1</v>
      </c>
      <c r="H1037" s="10">
        <f>IF(ISBLANK(ESales_DB[[#This Row],[Quantity]]),AVERAGEIF(ESales_DB[Product_ID],ESales_DB[[#This Row],[Product_ID]],ESales_DB[Quantity]),ESales_DB[[#This Row],[Quantity]])</f>
        <v>1</v>
      </c>
      <c r="I1037" s="2">
        <v>271.76</v>
      </c>
      <c r="J1037">
        <v>0.03</v>
      </c>
      <c r="K1037" t="s">
        <v>1824</v>
      </c>
      <c r="L1037" s="2">
        <v>263.60719999999998</v>
      </c>
      <c r="M1037" s="2" t="str">
        <f>IF(ESales_DB[[#This Row],[Total_Amount]]&gt;1000,"High","Low")</f>
        <v>Low</v>
      </c>
      <c r="N1037" s="2" t="str">
        <f>VLOOKUP(ESales_DB[[#This Row],[Customer_ID]],Ecustom_DB[],3,FALSE)</f>
        <v>Mariah Brown</v>
      </c>
      <c r="O1037" s="2" t="str">
        <f>_xlfn.XLOOKUP(ESales_DB[[#This Row],[Product_ID]],Eproduct_DB[Product_ID],Eproduct_DB[Category])</f>
        <v>Home</v>
      </c>
      <c r="P1037" s="2" t="str">
        <f>_xlfn.XLOOKUP(ESales_DB[[#This Row],[Product_ID]],Eproduct_DB[Product_ID],Eproduct_DB[Product_Name])</f>
        <v>LED Table Lamp</v>
      </c>
      <c r="Q1037" s="2" t="str">
        <f>_xlfn.XLOOKUP(ESales_DB[[#This Row],[Store_ID]],Estore_DB[Store_ID],Estore_DB[Region])</f>
        <v>South</v>
      </c>
      <c r="R1037" t="str">
        <f>VLOOKUP(ESales_DB[[#This Row],[Customer_ID]],Ecustom_DB[],10,FALSE)</f>
        <v>Silver</v>
      </c>
      <c r="S1037" t="str">
        <f>IF(ESales_DB[[#This Row],[Quantity1]]&gt;3,"Bulk order","Normal order")</f>
        <v>Normal order</v>
      </c>
    </row>
    <row r="1038" spans="1:19" x14ac:dyDescent="0.3">
      <c r="A1038" t="s">
        <v>3756</v>
      </c>
      <c r="B1038" s="4">
        <v>45847</v>
      </c>
      <c r="C1038" s="4" t="str">
        <f>TEXT(ESales_DB[[#This Row],[Order_Date]],"mmm")</f>
        <v>Jul</v>
      </c>
      <c r="D1038" t="s">
        <v>948</v>
      </c>
      <c r="E1038" t="s">
        <v>1644</v>
      </c>
      <c r="F1038" t="s">
        <v>1786</v>
      </c>
      <c r="G1038">
        <v>1</v>
      </c>
      <c r="H1038" s="10">
        <f>IF(ISBLANK(ESales_DB[[#This Row],[Quantity]]),AVERAGEIF(ESales_DB[Product_ID],ESales_DB[[#This Row],[Product_ID]],ESales_DB[Quantity]),ESales_DB[[#This Row],[Quantity]])</f>
        <v>1</v>
      </c>
      <c r="I1038" s="2">
        <v>841.53</v>
      </c>
      <c r="J1038">
        <v>0.15</v>
      </c>
      <c r="K1038" t="s">
        <v>1824</v>
      </c>
      <c r="L1038" s="2">
        <v>715.30049999999994</v>
      </c>
      <c r="M1038" s="2" t="str">
        <f>IF(ESales_DB[[#This Row],[Total_Amount]]&gt;1000,"High","Low")</f>
        <v>Low</v>
      </c>
      <c r="N1038" s="2" t="str">
        <f>VLOOKUP(ESales_DB[[#This Row],[Customer_ID]],Ecustom_DB[],3,FALSE)</f>
        <v>Matthew Avery</v>
      </c>
      <c r="O1038" s="2" t="str">
        <f>_xlfn.XLOOKUP(ESales_DB[[#This Row],[Product_ID]],Eproduct_DB[Product_ID],Eproduct_DB[Category])</f>
        <v>Electronics</v>
      </c>
      <c r="P1038" s="2" t="str">
        <f>_xlfn.XLOOKUP(ESales_DB[[#This Row],[Product_ID]],Eproduct_DB[Product_ID],Eproduct_DB[Product_Name])</f>
        <v>Car Dashboard Phone Holder</v>
      </c>
      <c r="Q1038" s="2" t="str">
        <f>_xlfn.XLOOKUP(ESales_DB[[#This Row],[Store_ID]],Estore_DB[Store_ID],Estore_DB[Region])</f>
        <v>South</v>
      </c>
      <c r="R1038" t="str">
        <f>VLOOKUP(ESales_DB[[#This Row],[Customer_ID]],Ecustom_DB[],10,FALSE)</f>
        <v>Silver</v>
      </c>
      <c r="S1038" t="str">
        <f>IF(ESales_DB[[#This Row],[Quantity1]]&gt;3,"Bulk order","Normal order")</f>
        <v>Normal order</v>
      </c>
    </row>
    <row r="1039" spans="1:19" x14ac:dyDescent="0.3">
      <c r="A1039" t="s">
        <v>3757</v>
      </c>
      <c r="B1039" s="4">
        <v>45825</v>
      </c>
      <c r="C1039" s="4" t="str">
        <f>TEXT(ESales_DB[[#This Row],[Order_Date]],"mmm")</f>
        <v>Jun</v>
      </c>
      <c r="D1039" t="s">
        <v>1316</v>
      </c>
      <c r="E1039" t="s">
        <v>1714</v>
      </c>
      <c r="F1039" t="s">
        <v>1807</v>
      </c>
      <c r="G1039">
        <v>3</v>
      </c>
      <c r="H1039" s="10">
        <f>IF(ISBLANK(ESales_DB[[#This Row],[Quantity]]),AVERAGEIF(ESales_DB[Product_ID],ESales_DB[[#This Row],[Product_ID]],ESales_DB[Quantity]),ESales_DB[[#This Row],[Quantity]])</f>
        <v>3</v>
      </c>
      <c r="I1039" s="2">
        <v>63.36</v>
      </c>
      <c r="J1039">
        <v>0.28999999999999998</v>
      </c>
      <c r="K1039" t="s">
        <v>1829</v>
      </c>
      <c r="L1039" s="2">
        <v>134.95679999999999</v>
      </c>
      <c r="M1039" s="2" t="str">
        <f>IF(ESales_DB[[#This Row],[Total_Amount]]&gt;1000,"High","Low")</f>
        <v>Low</v>
      </c>
      <c r="N1039" s="2" t="str">
        <f>VLOOKUP(ESales_DB[[#This Row],[Customer_ID]],Ecustom_DB[],3,FALSE)</f>
        <v>Edwin Barnes</v>
      </c>
      <c r="O1039" s="2" t="str">
        <f>_xlfn.XLOOKUP(ESales_DB[[#This Row],[Product_ID]],Eproduct_DB[Product_ID],Eproduct_DB[Category])</f>
        <v>Beauty</v>
      </c>
      <c r="P1039" s="2" t="str">
        <f>_xlfn.XLOOKUP(ESales_DB[[#This Row],[Product_ID]],Eproduct_DB[Product_ID],Eproduct_DB[Product_Name])</f>
        <v>Hydrating Face Cleanser</v>
      </c>
      <c r="Q1039" s="2" t="str">
        <f>_xlfn.XLOOKUP(ESales_DB[[#This Row],[Store_ID]],Estore_DB[Store_ID],Estore_DB[Region])</f>
        <v>North</v>
      </c>
      <c r="R1039" t="str">
        <f>VLOOKUP(ESales_DB[[#This Row],[Customer_ID]],Ecustom_DB[],10,FALSE)</f>
        <v>Bronze</v>
      </c>
      <c r="S1039" t="str">
        <f>IF(ESales_DB[[#This Row],[Quantity1]]&gt;3,"Bulk order","Normal order")</f>
        <v>Normal order</v>
      </c>
    </row>
    <row r="1040" spans="1:19" x14ac:dyDescent="0.3">
      <c r="A1040" t="s">
        <v>3758</v>
      </c>
      <c r="B1040" s="4">
        <v>45839</v>
      </c>
      <c r="C1040" s="4" t="str">
        <f>TEXT(ESales_DB[[#This Row],[Order_Date]],"mmm")</f>
        <v>Jul</v>
      </c>
      <c r="D1040" t="s">
        <v>1524</v>
      </c>
      <c r="E1040" t="s">
        <v>1704</v>
      </c>
      <c r="F1040" t="s">
        <v>1782</v>
      </c>
      <c r="G1040">
        <v>2</v>
      </c>
      <c r="H1040" s="10">
        <f>IF(ISBLANK(ESales_DB[[#This Row],[Quantity]]),AVERAGEIF(ESales_DB[Product_ID],ESales_DB[[#This Row],[Product_ID]],ESales_DB[Quantity]),ESales_DB[[#This Row],[Quantity]])</f>
        <v>2</v>
      </c>
      <c r="I1040" s="2">
        <v>552.49</v>
      </c>
      <c r="J1040">
        <v>0.1</v>
      </c>
      <c r="K1040" t="s">
        <v>1824</v>
      </c>
      <c r="L1040" s="2">
        <v>994.48200000000008</v>
      </c>
      <c r="M1040" s="2" t="str">
        <f>IF(ESales_DB[[#This Row],[Total_Amount]]&gt;1000,"High","Low")</f>
        <v>Low</v>
      </c>
      <c r="N1040" s="2" t="str">
        <f>VLOOKUP(ESales_DB[[#This Row],[Customer_ID]],Ecustom_DB[],3,FALSE)</f>
        <v>Christopher Ford</v>
      </c>
      <c r="O1040" s="2" t="str">
        <f>_xlfn.XLOOKUP(ESales_DB[[#This Row],[Product_ID]],Eproduct_DB[Product_ID],Eproduct_DB[Category])</f>
        <v>Home</v>
      </c>
      <c r="P1040" s="2" t="str">
        <f>_xlfn.XLOOKUP(ESales_DB[[#This Row],[Product_ID]],Eproduct_DB[Product_ID],Eproduct_DB[Product_Name])</f>
        <v>Essential Oil Diffuser</v>
      </c>
      <c r="Q1040" s="2" t="str">
        <f>_xlfn.XLOOKUP(ESales_DB[[#This Row],[Store_ID]],Estore_DB[Store_ID],Estore_DB[Region])</f>
        <v>West</v>
      </c>
      <c r="R1040" t="str">
        <f>VLOOKUP(ESales_DB[[#This Row],[Customer_ID]],Ecustom_DB[],10,FALSE)</f>
        <v>Bronze</v>
      </c>
      <c r="S1040" t="str">
        <f>IF(ESales_DB[[#This Row],[Quantity1]]&gt;3,"Bulk order","Normal order")</f>
        <v>Normal order</v>
      </c>
    </row>
    <row r="1041" spans="1:19" x14ac:dyDescent="0.3">
      <c r="A1041" t="s">
        <v>3759</v>
      </c>
      <c r="B1041" s="4">
        <v>45720</v>
      </c>
      <c r="C1041" s="4" t="str">
        <f>TEXT(ESales_DB[[#This Row],[Order_Date]],"mmm")</f>
        <v>Mar</v>
      </c>
      <c r="D1041" t="s">
        <v>758</v>
      </c>
      <c r="E1041" t="s">
        <v>1596</v>
      </c>
      <c r="F1041" t="s">
        <v>1776</v>
      </c>
      <c r="G1041">
        <v>3</v>
      </c>
      <c r="H1041" s="10">
        <f>IF(ISBLANK(ESales_DB[[#This Row],[Quantity]]),AVERAGEIF(ESales_DB[Product_ID],ESales_DB[[#This Row],[Product_ID]],ESales_DB[Quantity]),ESales_DB[[#This Row],[Quantity]])</f>
        <v>3</v>
      </c>
      <c r="I1041" s="2">
        <v>447.38</v>
      </c>
      <c r="J1041">
        <v>0.03</v>
      </c>
      <c r="K1041" t="s">
        <v>1824</v>
      </c>
      <c r="L1041" s="2">
        <v>1301.8758</v>
      </c>
      <c r="M1041" s="2" t="str">
        <f>IF(ESales_DB[[#This Row],[Total_Amount]]&gt;1000,"High","Low")</f>
        <v>High</v>
      </c>
      <c r="N1041" s="2" t="str">
        <f>VLOOKUP(ESales_DB[[#This Row],[Customer_ID]],Ecustom_DB[],3,FALSE)</f>
        <v>Joshua Wilson</v>
      </c>
      <c r="O1041" s="2" t="str">
        <f>_xlfn.XLOOKUP(ESales_DB[[#This Row],[Product_ID]],Eproduct_DB[Product_ID],Eproduct_DB[Category])</f>
        <v>Sports</v>
      </c>
      <c r="P1041" s="2" t="str">
        <f>_xlfn.XLOOKUP(ESales_DB[[#This Row],[Product_ID]],Eproduct_DB[Product_ID],Eproduct_DB[Product_Name])</f>
        <v>Foldable Camping Chair</v>
      </c>
      <c r="Q1041" s="2" t="str">
        <f>_xlfn.XLOOKUP(ESales_DB[[#This Row],[Store_ID]],Estore_DB[Store_ID],Estore_DB[Region])</f>
        <v>East</v>
      </c>
      <c r="R1041" t="str">
        <f>VLOOKUP(ESales_DB[[#This Row],[Customer_ID]],Ecustom_DB[],10,FALSE)</f>
        <v>Bronze</v>
      </c>
      <c r="S1041" t="str">
        <f>IF(ESales_DB[[#This Row],[Quantity1]]&gt;3,"Bulk order","Normal order")</f>
        <v>Normal order</v>
      </c>
    </row>
    <row r="1042" spans="1:19" x14ac:dyDescent="0.3">
      <c r="A1042" t="s">
        <v>3760</v>
      </c>
      <c r="B1042" s="4">
        <v>45250</v>
      </c>
      <c r="C1042" s="4" t="str">
        <f>TEXT(ESales_DB[[#This Row],[Order_Date]],"mmm")</f>
        <v>Nov</v>
      </c>
      <c r="D1042" t="s">
        <v>1392</v>
      </c>
      <c r="E1042" t="s">
        <v>1694</v>
      </c>
      <c r="F1042" t="s">
        <v>1813</v>
      </c>
      <c r="G1042">
        <v>1</v>
      </c>
      <c r="H1042" s="10">
        <f>IF(ISBLANK(ESales_DB[[#This Row],[Quantity]]),AVERAGEIF(ESales_DB[Product_ID],ESales_DB[[#This Row],[Product_ID]],ESales_DB[Quantity]),ESales_DB[[#This Row],[Quantity]])</f>
        <v>1</v>
      </c>
      <c r="I1042" s="2">
        <v>727.7</v>
      </c>
      <c r="J1042">
        <v>0.21</v>
      </c>
      <c r="K1042" t="s">
        <v>1829</v>
      </c>
      <c r="L1042" s="2">
        <v>574.88300000000004</v>
      </c>
      <c r="M1042" s="2" t="str">
        <f>IF(ESales_DB[[#This Row],[Total_Amount]]&gt;1000,"High","Low")</f>
        <v>Low</v>
      </c>
      <c r="N1042" s="2" t="str">
        <f>VLOOKUP(ESales_DB[[#This Row],[Customer_ID]],Ecustom_DB[],3,FALSE)</f>
        <v>Shane Mills</v>
      </c>
      <c r="O1042" s="2" t="str">
        <f>_xlfn.XLOOKUP(ESales_DB[[#This Row],[Product_ID]],Eproduct_DB[Product_ID],Eproduct_DB[Category])</f>
        <v>Sports</v>
      </c>
      <c r="P1042" s="2" t="str">
        <f>_xlfn.XLOOKUP(ESales_DB[[#This Row],[Product_ID]],Eproduct_DB[Product_ID],Eproduct_DB[Product_Name])</f>
        <v>Shin Guards – Adult</v>
      </c>
      <c r="Q1042" s="2" t="str">
        <f>_xlfn.XLOOKUP(ESales_DB[[#This Row],[Store_ID]],Estore_DB[Store_ID],Estore_DB[Region])</f>
        <v>East</v>
      </c>
      <c r="R1042" t="str">
        <f>VLOOKUP(ESales_DB[[#This Row],[Customer_ID]],Ecustom_DB[],10,FALSE)</f>
        <v>Bronze</v>
      </c>
      <c r="S1042" t="str">
        <f>IF(ESales_DB[[#This Row],[Quantity1]]&gt;3,"Bulk order","Normal order")</f>
        <v>Normal order</v>
      </c>
    </row>
    <row r="1043" spans="1:19" x14ac:dyDescent="0.3">
      <c r="A1043" t="s">
        <v>3761</v>
      </c>
      <c r="B1043" s="4">
        <v>45258</v>
      </c>
      <c r="C1043" s="4" t="str">
        <f>TEXT(ESales_DB[[#This Row],[Order_Date]],"mmm")</f>
        <v>Nov</v>
      </c>
      <c r="D1043" t="s">
        <v>1352</v>
      </c>
      <c r="E1043" t="s">
        <v>1650</v>
      </c>
      <c r="F1043" t="s">
        <v>1779</v>
      </c>
      <c r="G1043">
        <v>4</v>
      </c>
      <c r="H1043" s="10">
        <f>IF(ISBLANK(ESales_DB[[#This Row],[Quantity]]),AVERAGEIF(ESales_DB[Product_ID],ESales_DB[[#This Row],[Product_ID]],ESales_DB[Quantity]),ESales_DB[[#This Row],[Quantity]])</f>
        <v>4</v>
      </c>
      <c r="I1043" s="2">
        <v>581.34</v>
      </c>
      <c r="J1043">
        <v>0.08</v>
      </c>
      <c r="K1043" t="s">
        <v>1824</v>
      </c>
      <c r="L1043" s="2">
        <v>2139.3312000000001</v>
      </c>
      <c r="M1043" s="2" t="str">
        <f>IF(ESales_DB[[#This Row],[Total_Amount]]&gt;1000,"High","Low")</f>
        <v>High</v>
      </c>
      <c r="N1043" s="2" t="str">
        <f>VLOOKUP(ESales_DB[[#This Row],[Customer_ID]],Ecustom_DB[],3,FALSE)</f>
        <v>Sharon Simpson</v>
      </c>
      <c r="O1043" s="2" t="str">
        <f>_xlfn.XLOOKUP(ESales_DB[[#This Row],[Product_ID]],Eproduct_DB[Product_ID],Eproduct_DB[Category])</f>
        <v>Electronics</v>
      </c>
      <c r="P1043" s="2" t="str">
        <f>_xlfn.XLOOKUP(ESales_DB[[#This Row],[Product_ID]],Eproduct_DB[Product_ID],Eproduct_DB[Product_Name])</f>
        <v>HDMI Cable – 2m</v>
      </c>
      <c r="Q1043" s="2" t="str">
        <f>_xlfn.XLOOKUP(ESales_DB[[#This Row],[Store_ID]],Estore_DB[Store_ID],Estore_DB[Region])</f>
        <v>South</v>
      </c>
      <c r="R1043" t="str">
        <f>VLOOKUP(ESales_DB[[#This Row],[Customer_ID]],Ecustom_DB[],10,FALSE)</f>
        <v>Gold</v>
      </c>
      <c r="S1043" t="str">
        <f>IF(ESales_DB[[#This Row],[Quantity1]]&gt;3,"Bulk order","Normal order")</f>
        <v>Bulk order</v>
      </c>
    </row>
    <row r="1044" spans="1:19" x14ac:dyDescent="0.3">
      <c r="A1044" t="s">
        <v>3762</v>
      </c>
      <c r="B1044" s="4">
        <v>45793</v>
      </c>
      <c r="C1044" s="4" t="str">
        <f>TEXT(ESales_DB[[#This Row],[Order_Date]],"mmm")</f>
        <v>May</v>
      </c>
      <c r="D1044" t="s">
        <v>344</v>
      </c>
      <c r="E1044" t="s">
        <v>1680</v>
      </c>
      <c r="F1044" t="s">
        <v>1757</v>
      </c>
      <c r="G1044">
        <v>1</v>
      </c>
      <c r="H1044" s="10">
        <f>IF(ISBLANK(ESales_DB[[#This Row],[Quantity]]),AVERAGEIF(ESales_DB[Product_ID],ESales_DB[[#This Row],[Product_ID]],ESales_DB[Quantity]),ESales_DB[[#This Row],[Quantity]])</f>
        <v>1</v>
      </c>
      <c r="I1044" s="2">
        <v>338.83</v>
      </c>
      <c r="J1044">
        <v>0.19</v>
      </c>
      <c r="K1044" t="s">
        <v>1826</v>
      </c>
      <c r="L1044" s="2">
        <v>274.45229999999998</v>
      </c>
      <c r="M1044" s="2" t="str">
        <f>IF(ESales_DB[[#This Row],[Total_Amount]]&gt;1000,"High","Low")</f>
        <v>Low</v>
      </c>
      <c r="N1044" s="2" t="str">
        <f>VLOOKUP(ESales_DB[[#This Row],[Customer_ID]],Ecustom_DB[],3,FALSE)</f>
        <v>Samantha Walker</v>
      </c>
      <c r="O1044" s="2" t="str">
        <f>_xlfn.XLOOKUP(ESales_DB[[#This Row],[Product_ID]],Eproduct_DB[Product_ID],Eproduct_DB[Category])</f>
        <v>Beauty</v>
      </c>
      <c r="P1044" s="2" t="str">
        <f>_xlfn.XLOOKUP(ESales_DB[[#This Row],[Product_ID]],Eproduct_DB[Product_ID],Eproduct_DB[Product_Name])</f>
        <v>Women's Hair Dryer Brush</v>
      </c>
      <c r="Q1044" s="2" t="str">
        <f>_xlfn.XLOOKUP(ESales_DB[[#This Row],[Store_ID]],Estore_DB[Store_ID],Estore_DB[Region])</f>
        <v>North</v>
      </c>
      <c r="R1044" t="str">
        <f>VLOOKUP(ESales_DB[[#This Row],[Customer_ID]],Ecustom_DB[],10,FALSE)</f>
        <v>Platinum</v>
      </c>
      <c r="S1044" t="str">
        <f>IF(ESales_DB[[#This Row],[Quantity1]]&gt;3,"Bulk order","Normal order")</f>
        <v>Normal order</v>
      </c>
    </row>
    <row r="1045" spans="1:19" x14ac:dyDescent="0.3">
      <c r="A1045" t="s">
        <v>3763</v>
      </c>
      <c r="B1045" s="4">
        <v>45265</v>
      </c>
      <c r="C1045" s="4" t="str">
        <f>TEXT(ESales_DB[[#This Row],[Order_Date]],"mmm")</f>
        <v>Dec</v>
      </c>
      <c r="D1045" t="s">
        <v>905</v>
      </c>
      <c r="E1045" t="s">
        <v>1646</v>
      </c>
      <c r="F1045" t="s">
        <v>1797</v>
      </c>
      <c r="G1045">
        <v>4</v>
      </c>
      <c r="H1045" s="10">
        <f>IF(ISBLANK(ESales_DB[[#This Row],[Quantity]]),AVERAGEIF(ESales_DB[Product_ID],ESales_DB[[#This Row],[Product_ID]],ESales_DB[Quantity]),ESales_DB[[#This Row],[Quantity]])</f>
        <v>4</v>
      </c>
      <c r="I1045" s="2">
        <v>568.80999999999995</v>
      </c>
      <c r="J1045">
        <v>0.25</v>
      </c>
      <c r="K1045" t="s">
        <v>1824</v>
      </c>
      <c r="L1045" s="2">
        <v>1706.43</v>
      </c>
      <c r="M1045" s="2" t="str">
        <f>IF(ESales_DB[[#This Row],[Total_Amount]]&gt;1000,"High","Low")</f>
        <v>High</v>
      </c>
      <c r="N1045" s="2" t="str">
        <f>VLOOKUP(ESales_DB[[#This Row],[Customer_ID]],Ecustom_DB[],3,FALSE)</f>
        <v>Donna Guerra</v>
      </c>
      <c r="O1045" s="2" t="str">
        <f>_xlfn.XLOOKUP(ESales_DB[[#This Row],[Product_ID]],Eproduct_DB[Product_ID],Eproduct_DB[Category])</f>
        <v>Beauty</v>
      </c>
      <c r="P1045" s="2" t="str">
        <f>_xlfn.XLOOKUP(ESales_DB[[#This Row],[Product_ID]],Eproduct_DB[Product_ID],Eproduct_DB[Product_Name])</f>
        <v>Men's Roll-On Perfume</v>
      </c>
      <c r="Q1045" s="2" t="str">
        <f>_xlfn.XLOOKUP(ESales_DB[[#This Row],[Store_ID]],Estore_DB[Store_ID],Estore_DB[Region])</f>
        <v>East</v>
      </c>
      <c r="R1045" t="str">
        <f>VLOOKUP(ESales_DB[[#This Row],[Customer_ID]],Ecustom_DB[],10,FALSE)</f>
        <v>Silver</v>
      </c>
      <c r="S1045" t="str">
        <f>IF(ESales_DB[[#This Row],[Quantity1]]&gt;3,"Bulk order","Normal order")</f>
        <v>Bulk order</v>
      </c>
    </row>
    <row r="1046" spans="1:19" x14ac:dyDescent="0.3">
      <c r="A1046" t="s">
        <v>3764</v>
      </c>
      <c r="B1046" s="4">
        <v>45607</v>
      </c>
      <c r="C1046" s="4" t="str">
        <f>TEXT(ESales_DB[[#This Row],[Order_Date]],"mmm")</f>
        <v>Nov</v>
      </c>
      <c r="D1046" t="s">
        <v>1172</v>
      </c>
      <c r="E1046" t="s">
        <v>1670</v>
      </c>
      <c r="F1046" t="s">
        <v>1807</v>
      </c>
      <c r="G1046">
        <v>2</v>
      </c>
      <c r="H1046" s="10">
        <f>IF(ISBLANK(ESales_DB[[#This Row],[Quantity]]),AVERAGEIF(ESales_DB[Product_ID],ESales_DB[[#This Row],[Product_ID]],ESales_DB[Quantity]),ESales_DB[[#This Row],[Quantity]])</f>
        <v>2</v>
      </c>
      <c r="I1046" s="2">
        <v>352.63</v>
      </c>
      <c r="J1046">
        <v>0.15</v>
      </c>
      <c r="K1046" t="s">
        <v>1826</v>
      </c>
      <c r="L1046" s="2">
        <v>599.471</v>
      </c>
      <c r="M1046" s="2" t="str">
        <f>IF(ESales_DB[[#This Row],[Total_Amount]]&gt;1000,"High","Low")</f>
        <v>Low</v>
      </c>
      <c r="N1046" s="2" t="str">
        <f>VLOOKUP(ESales_DB[[#This Row],[Customer_ID]],Ecustom_DB[],3,FALSE)</f>
        <v>Joshua Bell</v>
      </c>
      <c r="O1046" s="2" t="str">
        <f>_xlfn.XLOOKUP(ESales_DB[[#This Row],[Product_ID]],Eproduct_DB[Product_ID],Eproduct_DB[Category])</f>
        <v>Sports</v>
      </c>
      <c r="P1046" s="2" t="str">
        <f>_xlfn.XLOOKUP(ESales_DB[[#This Row],[Product_ID]],Eproduct_DB[Product_ID],Eproduct_DB[Product_Name])</f>
        <v>Tennis Ball 3-Pack</v>
      </c>
      <c r="Q1046" s="2" t="str">
        <f>_xlfn.XLOOKUP(ESales_DB[[#This Row],[Store_ID]],Estore_DB[Store_ID],Estore_DB[Region])</f>
        <v>North</v>
      </c>
      <c r="R1046" t="str">
        <f>VLOOKUP(ESales_DB[[#This Row],[Customer_ID]],Ecustom_DB[],10,FALSE)</f>
        <v>Platinum</v>
      </c>
      <c r="S1046" t="str">
        <f>IF(ESales_DB[[#This Row],[Quantity1]]&gt;3,"Bulk order","Normal order")</f>
        <v>Normal order</v>
      </c>
    </row>
    <row r="1047" spans="1:19" x14ac:dyDescent="0.3">
      <c r="A1047" t="s">
        <v>3765</v>
      </c>
      <c r="B1047" s="4">
        <v>45382</v>
      </c>
      <c r="C1047" s="4" t="str">
        <f>TEXT(ESales_DB[[#This Row],[Order_Date]],"mmm")</f>
        <v>Mar</v>
      </c>
      <c r="D1047" t="s">
        <v>523</v>
      </c>
      <c r="E1047" t="s">
        <v>1740</v>
      </c>
      <c r="F1047" t="s">
        <v>1797</v>
      </c>
      <c r="G1047">
        <v>2</v>
      </c>
      <c r="H1047" s="10">
        <f>IF(ISBLANK(ESales_DB[[#This Row],[Quantity]]),AVERAGEIF(ESales_DB[Product_ID],ESales_DB[[#This Row],[Product_ID]],ESales_DB[Quantity]),ESales_DB[[#This Row],[Quantity]])</f>
        <v>2</v>
      </c>
      <c r="I1047" s="2">
        <v>629.86</v>
      </c>
      <c r="J1047">
        <v>0.15</v>
      </c>
      <c r="K1047" t="s">
        <v>1826</v>
      </c>
      <c r="L1047" s="2">
        <v>1070.7619999999999</v>
      </c>
      <c r="M1047" s="2" t="str">
        <f>IF(ESales_DB[[#This Row],[Total_Amount]]&gt;1000,"High","Low")</f>
        <v>High</v>
      </c>
      <c r="N1047" s="2" t="str">
        <f>VLOOKUP(ESales_DB[[#This Row],[Customer_ID]],Ecustom_DB[],3,FALSE)</f>
        <v>Maria Sanchez</v>
      </c>
      <c r="O1047" s="2" t="str">
        <f>_xlfn.XLOOKUP(ESales_DB[[#This Row],[Product_ID]],Eproduct_DB[Product_ID],Eproduct_DB[Category])</f>
        <v>Clothing</v>
      </c>
      <c r="P1047" s="2" t="str">
        <f>_xlfn.XLOOKUP(ESales_DB[[#This Row],[Product_ID]],Eproduct_DB[Product_ID],Eproduct_DB[Product_Name])</f>
        <v>Women's Formal Blazer</v>
      </c>
      <c r="Q1047" s="2" t="str">
        <f>_xlfn.XLOOKUP(ESales_DB[[#This Row],[Store_ID]],Estore_DB[Store_ID],Estore_DB[Region])</f>
        <v>East</v>
      </c>
      <c r="R1047" t="str">
        <f>VLOOKUP(ESales_DB[[#This Row],[Customer_ID]],Ecustom_DB[],10,FALSE)</f>
        <v>Bronze</v>
      </c>
      <c r="S1047" t="str">
        <f>IF(ESales_DB[[#This Row],[Quantity1]]&gt;3,"Bulk order","Normal order")</f>
        <v>Normal order</v>
      </c>
    </row>
    <row r="1048" spans="1:19" x14ac:dyDescent="0.3">
      <c r="A1048" t="s">
        <v>2020</v>
      </c>
      <c r="B1048" s="4">
        <v>45618</v>
      </c>
      <c r="C1048" s="4" t="str">
        <f>TEXT(ESales_DB[[#This Row],[Order_Date]],"mmm")</f>
        <v>Nov</v>
      </c>
      <c r="D1048" t="s">
        <v>1017</v>
      </c>
      <c r="E1048" t="s">
        <v>1646</v>
      </c>
      <c r="F1048" t="s">
        <v>1789</v>
      </c>
      <c r="G1048">
        <v>3</v>
      </c>
      <c r="H1048" s="10">
        <f>IF(ISBLANK(ESales_DB[[#This Row],[Quantity]]),AVERAGEIF(ESales_DB[Product_ID],ESales_DB[[#This Row],[Product_ID]],ESales_DB[Quantity]),ESales_DB[[#This Row],[Quantity]])</f>
        <v>3</v>
      </c>
      <c r="I1048" s="2">
        <v>958.15</v>
      </c>
      <c r="J1048">
        <v>0.24</v>
      </c>
      <c r="K1048" t="s">
        <v>1829</v>
      </c>
      <c r="L1048" s="2">
        <v>2184.5819999999999</v>
      </c>
      <c r="M1048" s="2" t="str">
        <f>IF(ESales_DB[[#This Row],[Total_Amount]]&gt;1000,"High","Low")</f>
        <v>High</v>
      </c>
      <c r="N1048" s="2" t="str">
        <f>VLOOKUP(ESales_DB[[#This Row],[Customer_ID]],Ecustom_DB[],3,FALSE)</f>
        <v>Kristy Dunlap</v>
      </c>
      <c r="O1048" s="2" t="str">
        <f>_xlfn.XLOOKUP(ESales_DB[[#This Row],[Product_ID]],Eproduct_DB[Product_ID],Eproduct_DB[Category])</f>
        <v>Beauty</v>
      </c>
      <c r="P1048" s="2" t="str">
        <f>_xlfn.XLOOKUP(ESales_DB[[#This Row],[Product_ID]],Eproduct_DB[Product_ID],Eproduct_DB[Product_Name])</f>
        <v>Men's Roll-On Perfume</v>
      </c>
      <c r="Q1048" s="2" t="str">
        <f>_xlfn.XLOOKUP(ESales_DB[[#This Row],[Store_ID]],Estore_DB[Store_ID],Estore_DB[Region])</f>
        <v>East</v>
      </c>
      <c r="R1048" t="str">
        <f>VLOOKUP(ESales_DB[[#This Row],[Customer_ID]],Ecustom_DB[],10,FALSE)</f>
        <v>Platinum</v>
      </c>
      <c r="S1048" t="str">
        <f>IF(ESales_DB[[#This Row],[Quantity1]]&gt;3,"Bulk order","Normal order")</f>
        <v>Normal order</v>
      </c>
    </row>
    <row r="1049" spans="1:19" x14ac:dyDescent="0.3">
      <c r="A1049" t="s">
        <v>3766</v>
      </c>
      <c r="B1049" s="4">
        <v>45793</v>
      </c>
      <c r="C1049" s="4" t="str">
        <f>TEXT(ESales_DB[[#This Row],[Order_Date]],"mmm")</f>
        <v>May</v>
      </c>
      <c r="D1049" t="s">
        <v>1516</v>
      </c>
      <c r="E1049" t="s">
        <v>1744</v>
      </c>
      <c r="F1049" t="s">
        <v>1766</v>
      </c>
      <c r="G1049">
        <v>3</v>
      </c>
      <c r="H1049" s="10">
        <f>IF(ISBLANK(ESales_DB[[#This Row],[Quantity]]),AVERAGEIF(ESales_DB[Product_ID],ESales_DB[[#This Row],[Product_ID]],ESales_DB[Quantity]),ESales_DB[[#This Row],[Quantity]])</f>
        <v>3</v>
      </c>
      <c r="I1049" s="2">
        <v>212.08</v>
      </c>
      <c r="J1049">
        <v>7.0000000000000007E-2</v>
      </c>
      <c r="K1049" t="s">
        <v>1824</v>
      </c>
      <c r="L1049" s="2">
        <v>591.70319999999992</v>
      </c>
      <c r="M1049" s="2" t="str">
        <f>IF(ESales_DB[[#This Row],[Total_Amount]]&gt;1000,"High","Low")</f>
        <v>Low</v>
      </c>
      <c r="N1049" s="2" t="str">
        <f>VLOOKUP(ESales_DB[[#This Row],[Customer_ID]],Ecustom_DB[],3,FALSE)</f>
        <v>Amanda Powell</v>
      </c>
      <c r="O1049" s="2" t="str">
        <f>_xlfn.XLOOKUP(ESales_DB[[#This Row],[Product_ID]],Eproduct_DB[Product_ID],Eproduct_DB[Category])</f>
        <v>Electronics</v>
      </c>
      <c r="P1049" s="2" t="str">
        <f>_xlfn.XLOOKUP(ESales_DB[[#This Row],[Product_ID]],Eproduct_DB[Product_ID],Eproduct_DB[Product_Name])</f>
        <v>Portable Bluetooth Speaker</v>
      </c>
      <c r="Q1049" s="2" t="str">
        <f>_xlfn.XLOOKUP(ESales_DB[[#This Row],[Store_ID]],Estore_DB[Store_ID],Estore_DB[Region])</f>
        <v>North</v>
      </c>
      <c r="R1049" t="str">
        <f>VLOOKUP(ESales_DB[[#This Row],[Customer_ID]],Ecustom_DB[],10,FALSE)</f>
        <v>Silver</v>
      </c>
      <c r="S1049" t="str">
        <f>IF(ESales_DB[[#This Row],[Quantity1]]&gt;3,"Bulk order","Normal order")</f>
        <v>Normal order</v>
      </c>
    </row>
    <row r="1050" spans="1:19" x14ac:dyDescent="0.3">
      <c r="A1050" t="s">
        <v>3767</v>
      </c>
      <c r="B1050" s="4">
        <v>45590</v>
      </c>
      <c r="C1050" s="4" t="str">
        <f>TEXT(ESales_DB[[#This Row],[Order_Date]],"mmm")</f>
        <v>Oct</v>
      </c>
      <c r="D1050" t="s">
        <v>538</v>
      </c>
      <c r="E1050" t="s">
        <v>1662</v>
      </c>
      <c r="F1050" t="s">
        <v>1761</v>
      </c>
      <c r="G1050">
        <v>3</v>
      </c>
      <c r="H1050" s="10">
        <f>IF(ISBLANK(ESales_DB[[#This Row],[Quantity]]),AVERAGEIF(ESales_DB[Product_ID],ESales_DB[[#This Row],[Product_ID]],ESales_DB[Quantity]),ESales_DB[[#This Row],[Quantity]])</f>
        <v>3</v>
      </c>
      <c r="I1050" s="2">
        <v>878.62</v>
      </c>
      <c r="J1050">
        <v>0.05</v>
      </c>
      <c r="K1050" t="s">
        <v>1826</v>
      </c>
      <c r="L1050" s="2">
        <v>2504.067</v>
      </c>
      <c r="M1050" s="2" t="str">
        <f>IF(ESales_DB[[#This Row],[Total_Amount]]&gt;1000,"High","Low")</f>
        <v>High</v>
      </c>
      <c r="N1050" s="2" t="str">
        <f>VLOOKUP(ESales_DB[[#This Row],[Customer_ID]],Ecustom_DB[],3,FALSE)</f>
        <v>Cynthia Morris</v>
      </c>
      <c r="O1050" s="2" t="str">
        <f>_xlfn.XLOOKUP(ESales_DB[[#This Row],[Product_ID]],Eproduct_DB[Product_ID],Eproduct_DB[Category])</f>
        <v>Sports</v>
      </c>
      <c r="P1050" s="2" t="str">
        <f>_xlfn.XLOOKUP(ESales_DB[[#This Row],[Product_ID]],Eproduct_DB[Product_ID],Eproduct_DB[Product_Name])</f>
        <v>Foam Roller</v>
      </c>
      <c r="Q1050" s="2" t="str">
        <f>_xlfn.XLOOKUP(ESales_DB[[#This Row],[Store_ID]],Estore_DB[Store_ID],Estore_DB[Region])</f>
        <v>South</v>
      </c>
      <c r="R1050" t="str">
        <f>VLOOKUP(ESales_DB[[#This Row],[Customer_ID]],Ecustom_DB[],10,FALSE)</f>
        <v>Silver</v>
      </c>
      <c r="S1050" t="str">
        <f>IF(ESales_DB[[#This Row],[Quantity1]]&gt;3,"Bulk order","Normal order")</f>
        <v>Normal order</v>
      </c>
    </row>
    <row r="1051" spans="1:19" x14ac:dyDescent="0.3">
      <c r="A1051" t="s">
        <v>3768</v>
      </c>
      <c r="B1051" s="4">
        <v>45679</v>
      </c>
      <c r="C1051" s="4" t="str">
        <f>TEXT(ESales_DB[[#This Row],[Order_Date]],"mmm")</f>
        <v>Jan</v>
      </c>
      <c r="D1051" t="s">
        <v>833</v>
      </c>
      <c r="E1051" t="s">
        <v>1708</v>
      </c>
      <c r="F1051" t="s">
        <v>1789</v>
      </c>
      <c r="G1051">
        <v>4</v>
      </c>
      <c r="H1051" s="10">
        <f>IF(ISBLANK(ESales_DB[[#This Row],[Quantity]]),AVERAGEIF(ESales_DB[Product_ID],ESales_DB[[#This Row],[Product_ID]],ESales_DB[Quantity]),ESales_DB[[#This Row],[Quantity]])</f>
        <v>4</v>
      </c>
      <c r="I1051" s="2">
        <v>87.83</v>
      </c>
      <c r="J1051">
        <v>0.23</v>
      </c>
      <c r="K1051" t="s">
        <v>1826</v>
      </c>
      <c r="L1051" s="2">
        <v>270.51639999999998</v>
      </c>
      <c r="M1051" s="2" t="str">
        <f>IF(ESales_DB[[#This Row],[Total_Amount]]&gt;1000,"High","Low")</f>
        <v>Low</v>
      </c>
      <c r="N1051" s="2" t="str">
        <f>VLOOKUP(ESales_DB[[#This Row],[Customer_ID]],Ecustom_DB[],3,FALSE)</f>
        <v>Carol Bishop</v>
      </c>
      <c r="O1051" s="2" t="str">
        <f>_xlfn.XLOOKUP(ESales_DB[[#This Row],[Product_ID]],Eproduct_DB[Product_ID],Eproduct_DB[Category])</f>
        <v>Home</v>
      </c>
      <c r="P1051" s="2" t="str">
        <f>_xlfn.XLOOKUP(ESales_DB[[#This Row],[Product_ID]],Eproduct_DB[Product_ID],Eproduct_DB[Product_Name])</f>
        <v>Wall-Mounted Spice Rack</v>
      </c>
      <c r="Q1051" s="2" t="str">
        <f>_xlfn.XLOOKUP(ESales_DB[[#This Row],[Store_ID]],Estore_DB[Store_ID],Estore_DB[Region])</f>
        <v>East</v>
      </c>
      <c r="R1051" t="str">
        <f>VLOOKUP(ESales_DB[[#This Row],[Customer_ID]],Ecustom_DB[],10,FALSE)</f>
        <v>Silver</v>
      </c>
      <c r="S1051" t="str">
        <f>IF(ESales_DB[[#This Row],[Quantity1]]&gt;3,"Bulk order","Normal order")</f>
        <v>Bulk order</v>
      </c>
    </row>
    <row r="1052" spans="1:19" x14ac:dyDescent="0.3">
      <c r="A1052" t="s">
        <v>3769</v>
      </c>
      <c r="B1052" s="4">
        <v>45814</v>
      </c>
      <c r="C1052" s="4" t="str">
        <f>TEXT(ESales_DB[[#This Row],[Order_Date]],"mmm")</f>
        <v>Jun</v>
      </c>
      <c r="D1052" t="s">
        <v>875</v>
      </c>
      <c r="E1052" t="s">
        <v>1660</v>
      </c>
      <c r="F1052" t="s">
        <v>1786</v>
      </c>
      <c r="G1052">
        <v>3</v>
      </c>
      <c r="H1052" s="10">
        <f>IF(ISBLANK(ESales_DB[[#This Row],[Quantity]]),AVERAGEIF(ESales_DB[Product_ID],ESales_DB[[#This Row],[Product_ID]],ESales_DB[Quantity]),ESales_DB[[#This Row],[Quantity]])</f>
        <v>3</v>
      </c>
      <c r="I1052" s="2">
        <v>442.64</v>
      </c>
      <c r="J1052">
        <v>0.15</v>
      </c>
      <c r="K1052" t="s">
        <v>1829</v>
      </c>
      <c r="L1052" s="2">
        <v>1128.732</v>
      </c>
      <c r="M1052" s="2" t="str">
        <f>IF(ESales_DB[[#This Row],[Total_Amount]]&gt;1000,"High","Low")</f>
        <v>High</v>
      </c>
      <c r="N1052" s="2" t="str">
        <f>VLOOKUP(ESales_DB[[#This Row],[Customer_ID]],Ecustom_DB[],3,FALSE)</f>
        <v>Shannon Miller</v>
      </c>
      <c r="O1052" s="2" t="str">
        <f>_xlfn.XLOOKUP(ESales_DB[[#This Row],[Product_ID]],Eproduct_DB[Product_ID],Eproduct_DB[Category])</f>
        <v>Home</v>
      </c>
      <c r="P1052" s="2" t="str">
        <f>_xlfn.XLOOKUP(ESales_DB[[#This Row],[Product_ID]],Eproduct_DB[Product_ID],Eproduct_DB[Product_Name])</f>
        <v>Premium Blanket Throw</v>
      </c>
      <c r="Q1052" s="2" t="str">
        <f>_xlfn.XLOOKUP(ESales_DB[[#This Row],[Store_ID]],Estore_DB[Store_ID],Estore_DB[Region])</f>
        <v>South</v>
      </c>
      <c r="R1052" t="str">
        <f>VLOOKUP(ESales_DB[[#This Row],[Customer_ID]],Ecustom_DB[],10,FALSE)</f>
        <v>Gold</v>
      </c>
      <c r="S1052" t="str">
        <f>IF(ESales_DB[[#This Row],[Quantity1]]&gt;3,"Bulk order","Normal order")</f>
        <v>Normal order</v>
      </c>
    </row>
    <row r="1053" spans="1:19" x14ac:dyDescent="0.3">
      <c r="A1053" t="s">
        <v>3770</v>
      </c>
      <c r="B1053" s="4">
        <v>45795</v>
      </c>
      <c r="C1053" s="4" t="str">
        <f>TEXT(ESales_DB[[#This Row],[Order_Date]],"mmm")</f>
        <v>May</v>
      </c>
      <c r="D1053" t="s">
        <v>335</v>
      </c>
      <c r="E1053" t="s">
        <v>1624</v>
      </c>
      <c r="F1053" t="s">
        <v>1761</v>
      </c>
      <c r="G1053">
        <v>3</v>
      </c>
      <c r="H1053" s="10">
        <f>IF(ISBLANK(ESales_DB[[#This Row],[Quantity]]),AVERAGEIF(ESales_DB[Product_ID],ESales_DB[[#This Row],[Product_ID]],ESales_DB[Quantity]),ESales_DB[[#This Row],[Quantity]])</f>
        <v>3</v>
      </c>
      <c r="I1053" s="2">
        <v>410.04</v>
      </c>
      <c r="J1053">
        <v>0.09</v>
      </c>
      <c r="K1053" t="s">
        <v>1829</v>
      </c>
      <c r="L1053" s="2">
        <v>1119.4092000000001</v>
      </c>
      <c r="M1053" s="2" t="str">
        <f>IF(ESales_DB[[#This Row],[Total_Amount]]&gt;1000,"High","Low")</f>
        <v>High</v>
      </c>
      <c r="N1053" s="2" t="str">
        <f>VLOOKUP(ESales_DB[[#This Row],[Customer_ID]],Ecustom_DB[],3,FALSE)</f>
        <v>Christy Vasquez</v>
      </c>
      <c r="O1053" s="2" t="str">
        <f>_xlfn.XLOOKUP(ESales_DB[[#This Row],[Product_ID]],Eproduct_DB[Product_ID],Eproduct_DB[Category])</f>
        <v>Sports</v>
      </c>
      <c r="P1053" s="2" t="str">
        <f>_xlfn.XLOOKUP(ESales_DB[[#This Row],[Product_ID]],Eproduct_DB[Product_ID],Eproduct_DB[Product_Name])</f>
        <v>Sports Water Hydration Pack</v>
      </c>
      <c r="Q1053" s="2" t="str">
        <f>_xlfn.XLOOKUP(ESales_DB[[#This Row],[Store_ID]],Estore_DB[Store_ID],Estore_DB[Region])</f>
        <v>South</v>
      </c>
      <c r="R1053" t="str">
        <f>VLOOKUP(ESales_DB[[#This Row],[Customer_ID]],Ecustom_DB[],10,FALSE)</f>
        <v>Gold</v>
      </c>
      <c r="S1053" t="str">
        <f>IF(ESales_DB[[#This Row],[Quantity1]]&gt;3,"Bulk order","Normal order")</f>
        <v>Normal order</v>
      </c>
    </row>
    <row r="1054" spans="1:19" x14ac:dyDescent="0.3">
      <c r="A1054" t="s">
        <v>3771</v>
      </c>
      <c r="B1054" s="4">
        <v>45797</v>
      </c>
      <c r="C1054" s="4" t="str">
        <f>TEXT(ESales_DB[[#This Row],[Order_Date]],"mmm")</f>
        <v>May</v>
      </c>
      <c r="D1054" t="s">
        <v>455</v>
      </c>
      <c r="E1054" t="s">
        <v>1736</v>
      </c>
      <c r="F1054" t="s">
        <v>1807</v>
      </c>
      <c r="G1054">
        <v>1</v>
      </c>
      <c r="H1054" s="10">
        <f>IF(ISBLANK(ESales_DB[[#This Row],[Quantity]]),AVERAGEIF(ESales_DB[Product_ID],ESales_DB[[#This Row],[Product_ID]],ESales_DB[Quantity]),ESales_DB[[#This Row],[Quantity]])</f>
        <v>1</v>
      </c>
      <c r="I1054" s="2">
        <v>355.31</v>
      </c>
      <c r="J1054">
        <v>0.27</v>
      </c>
      <c r="K1054" t="s">
        <v>1824</v>
      </c>
      <c r="L1054" s="2">
        <v>259.37630000000001</v>
      </c>
      <c r="M1054" s="2" t="str">
        <f>IF(ESales_DB[[#This Row],[Total_Amount]]&gt;1000,"High","Low")</f>
        <v>Low</v>
      </c>
      <c r="N1054" s="2" t="str">
        <f>VLOOKUP(ESales_DB[[#This Row],[Customer_ID]],Ecustom_DB[],3,FALSE)</f>
        <v>Hayley Pope</v>
      </c>
      <c r="O1054" s="2" t="str">
        <f>_xlfn.XLOOKUP(ESales_DB[[#This Row],[Product_ID]],Eproduct_DB[Product_ID],Eproduct_DB[Category])</f>
        <v>Beauty</v>
      </c>
      <c r="P1054" s="2" t="str">
        <f>_xlfn.XLOOKUP(ESales_DB[[#This Row],[Product_ID]],Eproduct_DB[Product_ID],Eproduct_DB[Product_Name])</f>
        <v>Vitamin E Body Lotion</v>
      </c>
      <c r="Q1054" s="2" t="str">
        <f>_xlfn.XLOOKUP(ESales_DB[[#This Row],[Store_ID]],Estore_DB[Store_ID],Estore_DB[Region])</f>
        <v>North</v>
      </c>
      <c r="R1054" t="str">
        <f>VLOOKUP(ESales_DB[[#This Row],[Customer_ID]],Ecustom_DB[],10,FALSE)</f>
        <v>Bronze</v>
      </c>
      <c r="S1054" t="str">
        <f>IF(ESales_DB[[#This Row],[Quantity1]]&gt;3,"Bulk order","Normal order")</f>
        <v>Normal order</v>
      </c>
    </row>
    <row r="1055" spans="1:19" x14ac:dyDescent="0.3">
      <c r="A1055" t="s">
        <v>3772</v>
      </c>
      <c r="B1055" s="4">
        <v>45607</v>
      </c>
      <c r="C1055" s="4" t="str">
        <f>TEXT(ESales_DB[[#This Row],[Order_Date]],"mmm")</f>
        <v>Nov</v>
      </c>
      <c r="D1055" t="s">
        <v>1175</v>
      </c>
      <c r="E1055" t="s">
        <v>1565</v>
      </c>
      <c r="F1055" t="s">
        <v>1797</v>
      </c>
      <c r="G1055">
        <v>4</v>
      </c>
      <c r="H1055" s="10">
        <f>IF(ISBLANK(ESales_DB[[#This Row],[Quantity]]),AVERAGEIF(ESales_DB[Product_ID],ESales_DB[[#This Row],[Product_ID]],ESales_DB[Quantity]),ESales_DB[[#This Row],[Quantity]])</f>
        <v>4</v>
      </c>
      <c r="I1055" s="2">
        <v>243.13</v>
      </c>
      <c r="J1055">
        <v>0.25</v>
      </c>
      <c r="K1055" t="s">
        <v>1829</v>
      </c>
      <c r="L1055" s="2">
        <v>729.39</v>
      </c>
      <c r="M1055" s="2" t="str">
        <f>IF(ESales_DB[[#This Row],[Total_Amount]]&gt;1000,"High","Low")</f>
        <v>Low</v>
      </c>
      <c r="N1055" s="2" t="str">
        <f>VLOOKUP(ESales_DB[[#This Row],[Customer_ID]],Ecustom_DB[],3,FALSE)</f>
        <v>Michele Burke</v>
      </c>
      <c r="O1055" s="2" t="str">
        <f>_xlfn.XLOOKUP(ESales_DB[[#This Row],[Product_ID]],Eproduct_DB[Product_ID],Eproduct_DB[Category])</f>
        <v>Sports</v>
      </c>
      <c r="P1055" s="2" t="str">
        <f>_xlfn.XLOOKUP(ESales_DB[[#This Row],[Product_ID]],Eproduct_DB[Product_ID],Eproduct_DB[Product_Name])</f>
        <v>Adjustable Dumbbell Set</v>
      </c>
      <c r="Q1055" s="2" t="str">
        <f>_xlfn.XLOOKUP(ESales_DB[[#This Row],[Store_ID]],Estore_DB[Store_ID],Estore_DB[Region])</f>
        <v>East</v>
      </c>
      <c r="R1055" t="str">
        <f>VLOOKUP(ESales_DB[[#This Row],[Customer_ID]],Ecustom_DB[],10,FALSE)</f>
        <v>Bronze</v>
      </c>
      <c r="S1055" t="str">
        <f>IF(ESales_DB[[#This Row],[Quantity1]]&gt;3,"Bulk order","Normal order")</f>
        <v>Bulk order</v>
      </c>
    </row>
    <row r="1056" spans="1:19" x14ac:dyDescent="0.3">
      <c r="A1056" t="s">
        <v>3773</v>
      </c>
      <c r="B1056" s="4">
        <v>45614</v>
      </c>
      <c r="C1056" s="4" t="str">
        <f>TEXT(ESales_DB[[#This Row],[Order_Date]],"mmm")</f>
        <v>Nov</v>
      </c>
      <c r="D1056" t="s">
        <v>737</v>
      </c>
      <c r="E1056" t="s">
        <v>1666</v>
      </c>
      <c r="F1056" t="s">
        <v>1792</v>
      </c>
      <c r="G1056">
        <v>2</v>
      </c>
      <c r="H1056" s="10">
        <f>IF(ISBLANK(ESales_DB[[#This Row],[Quantity]]),AVERAGEIF(ESales_DB[Product_ID],ESales_DB[[#This Row],[Product_ID]],ESales_DB[Quantity]),ESales_DB[[#This Row],[Quantity]])</f>
        <v>2</v>
      </c>
      <c r="I1056" s="2">
        <v>410.63</v>
      </c>
      <c r="J1056">
        <v>0.28000000000000003</v>
      </c>
      <c r="K1056" t="s">
        <v>1829</v>
      </c>
      <c r="L1056" s="2">
        <v>591.30719999999997</v>
      </c>
      <c r="M1056" s="2" t="str">
        <f>IF(ESales_DB[[#This Row],[Total_Amount]]&gt;1000,"High","Low")</f>
        <v>Low</v>
      </c>
      <c r="N1056" s="2" t="str">
        <f>VLOOKUP(ESales_DB[[#This Row],[Customer_ID]],Ecustom_DB[],3,FALSE)</f>
        <v>Tanner Thompson</v>
      </c>
      <c r="O1056" s="2" t="str">
        <f>_xlfn.XLOOKUP(ESales_DB[[#This Row],[Product_ID]],Eproduct_DB[Product_ID],Eproduct_DB[Category])</f>
        <v>Beauty</v>
      </c>
      <c r="P1056" s="2" t="str">
        <f>_xlfn.XLOOKUP(ESales_DB[[#This Row],[Product_ID]],Eproduct_DB[Product_ID],Eproduct_DB[Product_Name])</f>
        <v>Men's Hair Styling Gel</v>
      </c>
      <c r="Q1056" s="2" t="str">
        <f>_xlfn.XLOOKUP(ESales_DB[[#This Row],[Store_ID]],Estore_DB[Store_ID],Estore_DB[Region])</f>
        <v>South</v>
      </c>
      <c r="R1056" t="str">
        <f>VLOOKUP(ESales_DB[[#This Row],[Customer_ID]],Ecustom_DB[],10,FALSE)</f>
        <v>Bronze</v>
      </c>
      <c r="S1056" t="str">
        <f>IF(ESales_DB[[#This Row],[Quantity1]]&gt;3,"Bulk order","Normal order")</f>
        <v>Normal order</v>
      </c>
    </row>
    <row r="1057" spans="1:19" x14ac:dyDescent="0.3">
      <c r="A1057" t="s">
        <v>3774</v>
      </c>
      <c r="B1057" s="4">
        <v>45293</v>
      </c>
      <c r="C1057" s="4" t="str">
        <f>TEXT(ESales_DB[[#This Row],[Order_Date]],"mmm")</f>
        <v>Jan</v>
      </c>
      <c r="D1057" t="s">
        <v>1319</v>
      </c>
      <c r="E1057" t="s">
        <v>1736</v>
      </c>
      <c r="F1057" t="s">
        <v>1789</v>
      </c>
      <c r="G1057">
        <v>4</v>
      </c>
      <c r="H1057" s="10">
        <f>IF(ISBLANK(ESales_DB[[#This Row],[Quantity]]),AVERAGEIF(ESales_DB[Product_ID],ESales_DB[[#This Row],[Product_ID]],ESales_DB[Quantity]),ESales_DB[[#This Row],[Quantity]])</f>
        <v>4</v>
      </c>
      <c r="I1057" s="2">
        <v>101.25</v>
      </c>
      <c r="J1057">
        <v>0.16</v>
      </c>
      <c r="K1057" t="s">
        <v>1826</v>
      </c>
      <c r="L1057" s="2">
        <v>340.2</v>
      </c>
      <c r="M1057" s="2" t="str">
        <f>IF(ESales_DB[[#This Row],[Total_Amount]]&gt;1000,"High","Low")</f>
        <v>Low</v>
      </c>
      <c r="N1057" s="2" t="str">
        <f>VLOOKUP(ESales_DB[[#This Row],[Customer_ID]],Ecustom_DB[],3,FALSE)</f>
        <v>Bryce Hawkins</v>
      </c>
      <c r="O1057" s="2" t="str">
        <f>_xlfn.XLOOKUP(ESales_DB[[#This Row],[Product_ID]],Eproduct_DB[Product_ID],Eproduct_DB[Category])</f>
        <v>Beauty</v>
      </c>
      <c r="P1057" s="2" t="str">
        <f>_xlfn.XLOOKUP(ESales_DB[[#This Row],[Product_ID]],Eproduct_DB[Product_ID],Eproduct_DB[Product_Name])</f>
        <v>Vitamin E Body Lotion</v>
      </c>
      <c r="Q1057" s="2" t="str">
        <f>_xlfn.XLOOKUP(ESales_DB[[#This Row],[Store_ID]],Estore_DB[Store_ID],Estore_DB[Region])</f>
        <v>East</v>
      </c>
      <c r="R1057" t="str">
        <f>VLOOKUP(ESales_DB[[#This Row],[Customer_ID]],Ecustom_DB[],10,FALSE)</f>
        <v>Bronze</v>
      </c>
      <c r="S1057" t="str">
        <f>IF(ESales_DB[[#This Row],[Quantity1]]&gt;3,"Bulk order","Normal order")</f>
        <v>Bulk order</v>
      </c>
    </row>
    <row r="1058" spans="1:19" x14ac:dyDescent="0.3">
      <c r="A1058" t="s">
        <v>3775</v>
      </c>
      <c r="B1058" s="4">
        <v>45301</v>
      </c>
      <c r="C1058" s="4" t="str">
        <f>TEXT(ESales_DB[[#This Row],[Order_Date]],"mmm")</f>
        <v>Jan</v>
      </c>
      <c r="D1058" t="s">
        <v>730</v>
      </c>
      <c r="E1058" t="s">
        <v>1560</v>
      </c>
      <c r="F1058" t="s">
        <v>1807</v>
      </c>
      <c r="G1058">
        <v>4</v>
      </c>
      <c r="H1058" s="10">
        <f>IF(ISBLANK(ESales_DB[[#This Row],[Quantity]]),AVERAGEIF(ESales_DB[Product_ID],ESales_DB[[#This Row],[Product_ID]],ESales_DB[Quantity]),ESales_DB[[#This Row],[Quantity]])</f>
        <v>4</v>
      </c>
      <c r="I1058" s="2">
        <v>716.39</v>
      </c>
      <c r="J1058">
        <v>0.03</v>
      </c>
      <c r="K1058" t="s">
        <v>1826</v>
      </c>
      <c r="L1058" s="2">
        <v>2779.5931999999998</v>
      </c>
      <c r="M1058" s="2" t="str">
        <f>IF(ESales_DB[[#This Row],[Total_Amount]]&gt;1000,"High","Low")</f>
        <v>High</v>
      </c>
      <c r="N1058" s="2" t="str">
        <f>VLOOKUP(ESales_DB[[#This Row],[Customer_ID]],Ecustom_DB[],3,FALSE)</f>
        <v>Alexis Castaneda</v>
      </c>
      <c r="O1058" s="2" t="str">
        <f>_xlfn.XLOOKUP(ESales_DB[[#This Row],[Product_ID]],Eproduct_DB[Product_ID],Eproduct_DB[Category])</f>
        <v>Home</v>
      </c>
      <c r="P1058" s="2" t="str">
        <f>_xlfn.XLOOKUP(ESales_DB[[#This Row],[Product_ID]],Eproduct_DB[Product_ID],Eproduct_DB[Product_Name])</f>
        <v>LED Table Lamp</v>
      </c>
      <c r="Q1058" s="2" t="str">
        <f>_xlfn.XLOOKUP(ESales_DB[[#This Row],[Store_ID]],Estore_DB[Store_ID],Estore_DB[Region])</f>
        <v>North</v>
      </c>
      <c r="R1058" t="str">
        <f>VLOOKUP(ESales_DB[[#This Row],[Customer_ID]],Ecustom_DB[],10,FALSE)</f>
        <v>Gold</v>
      </c>
      <c r="S1058" t="str">
        <f>IF(ESales_DB[[#This Row],[Quantity1]]&gt;3,"Bulk order","Normal order")</f>
        <v>Bulk order</v>
      </c>
    </row>
    <row r="1059" spans="1:19" x14ac:dyDescent="0.3">
      <c r="A1059" t="s">
        <v>2021</v>
      </c>
      <c r="B1059" s="4">
        <v>45290</v>
      </c>
      <c r="C1059" s="4" t="str">
        <f>TEXT(ESales_DB[[#This Row],[Order_Date]],"mmm")</f>
        <v>Dec</v>
      </c>
      <c r="D1059" t="s">
        <v>1325</v>
      </c>
      <c r="E1059" t="s">
        <v>1668</v>
      </c>
      <c r="F1059" t="s">
        <v>1807</v>
      </c>
      <c r="G1059">
        <v>1</v>
      </c>
      <c r="H1059" s="10">
        <f>IF(ISBLANK(ESales_DB[[#This Row],[Quantity]]),AVERAGEIF(ESales_DB[Product_ID],ESales_DB[[#This Row],[Product_ID]],ESales_DB[Quantity]),ESales_DB[[#This Row],[Quantity]])</f>
        <v>1</v>
      </c>
      <c r="I1059" s="2">
        <v>889.19</v>
      </c>
      <c r="J1059">
        <v>0.03</v>
      </c>
      <c r="K1059" t="s">
        <v>1824</v>
      </c>
      <c r="L1059" s="2">
        <v>862.51430000000005</v>
      </c>
      <c r="M1059" s="2" t="str">
        <f>IF(ESales_DB[[#This Row],[Total_Amount]]&gt;1000,"High","Low")</f>
        <v>Low</v>
      </c>
      <c r="N1059" s="2" t="str">
        <f>VLOOKUP(ESales_DB[[#This Row],[Customer_ID]],Ecustom_DB[],3,FALSE)</f>
        <v>Jose Stewart</v>
      </c>
      <c r="O1059" s="2" t="str">
        <f>_xlfn.XLOOKUP(ESales_DB[[#This Row],[Product_ID]],Eproduct_DB[Product_ID],Eproduct_DB[Category])</f>
        <v>Beauty</v>
      </c>
      <c r="P1059" s="2" t="str">
        <f>_xlfn.XLOOKUP(ESales_DB[[#This Row],[Product_ID]],Eproduct_DB[Product_ID],Eproduct_DB[Product_Name])</f>
        <v>Luxury Perfume Spray</v>
      </c>
      <c r="Q1059" s="2" t="str">
        <f>_xlfn.XLOOKUP(ESales_DB[[#This Row],[Store_ID]],Estore_DB[Store_ID],Estore_DB[Region])</f>
        <v>North</v>
      </c>
      <c r="R1059" t="str">
        <f>VLOOKUP(ESales_DB[[#This Row],[Customer_ID]],Ecustom_DB[],10,FALSE)</f>
        <v>Gold</v>
      </c>
      <c r="S1059" t="str">
        <f>IF(ESales_DB[[#This Row],[Quantity1]]&gt;3,"Bulk order","Normal order")</f>
        <v>Normal order</v>
      </c>
    </row>
    <row r="1060" spans="1:19" x14ac:dyDescent="0.3">
      <c r="A1060" t="s">
        <v>3776</v>
      </c>
      <c r="B1060" s="4">
        <v>45311</v>
      </c>
      <c r="C1060" s="4" t="str">
        <f>TEXT(ESales_DB[[#This Row],[Order_Date]],"mmm")</f>
        <v>Jan</v>
      </c>
      <c r="D1060" t="s">
        <v>338</v>
      </c>
      <c r="E1060" t="s">
        <v>1694</v>
      </c>
      <c r="F1060" t="s">
        <v>1757</v>
      </c>
      <c r="G1060">
        <v>1</v>
      </c>
      <c r="H1060" s="10">
        <f>IF(ISBLANK(ESales_DB[[#This Row],[Quantity]]),AVERAGEIF(ESales_DB[Product_ID],ESales_DB[[#This Row],[Product_ID]],ESales_DB[Quantity]),ESales_DB[[#This Row],[Quantity]])</f>
        <v>1</v>
      </c>
      <c r="I1060" s="2">
        <v>721.74</v>
      </c>
      <c r="J1060">
        <v>0.24</v>
      </c>
      <c r="K1060" t="s">
        <v>1826</v>
      </c>
      <c r="L1060" s="2">
        <v>548.52240000000006</v>
      </c>
      <c r="M1060" s="2" t="str">
        <f>IF(ESales_DB[[#This Row],[Total_Amount]]&gt;1000,"High","Low")</f>
        <v>Low</v>
      </c>
      <c r="N1060" s="2" t="str">
        <f>VLOOKUP(ESales_DB[[#This Row],[Customer_ID]],Ecustom_DB[],3,FALSE)</f>
        <v>David Patterson</v>
      </c>
      <c r="O1060" s="2" t="str">
        <f>_xlfn.XLOOKUP(ESales_DB[[#This Row],[Product_ID]],Eproduct_DB[Product_ID],Eproduct_DB[Category])</f>
        <v>Sports</v>
      </c>
      <c r="P1060" s="2" t="str">
        <f>_xlfn.XLOOKUP(ESales_DB[[#This Row],[Product_ID]],Eproduct_DB[Product_ID],Eproduct_DB[Product_Name])</f>
        <v>Shin Guards – Adult</v>
      </c>
      <c r="Q1060" s="2" t="str">
        <f>_xlfn.XLOOKUP(ESales_DB[[#This Row],[Store_ID]],Estore_DB[Store_ID],Estore_DB[Region])</f>
        <v>North</v>
      </c>
      <c r="R1060" t="str">
        <f>VLOOKUP(ESales_DB[[#This Row],[Customer_ID]],Ecustom_DB[],10,FALSE)</f>
        <v>Gold</v>
      </c>
      <c r="S1060" t="str">
        <f>IF(ESales_DB[[#This Row],[Quantity1]]&gt;3,"Bulk order","Normal order")</f>
        <v>Normal order</v>
      </c>
    </row>
    <row r="1061" spans="1:19" x14ac:dyDescent="0.3">
      <c r="A1061" t="s">
        <v>3777</v>
      </c>
      <c r="B1061" s="4">
        <v>45702</v>
      </c>
      <c r="C1061" s="4" t="str">
        <f>TEXT(ESales_DB[[#This Row],[Order_Date]],"mmm")</f>
        <v>Feb</v>
      </c>
      <c r="D1061" t="s">
        <v>205</v>
      </c>
      <c r="E1061" t="s">
        <v>1672</v>
      </c>
      <c r="F1061" t="s">
        <v>1792</v>
      </c>
      <c r="G1061">
        <v>2</v>
      </c>
      <c r="H1061" s="10">
        <f>IF(ISBLANK(ESales_DB[[#This Row],[Quantity]]),AVERAGEIF(ESales_DB[Product_ID],ESales_DB[[#This Row],[Product_ID]],ESales_DB[Quantity]),ESales_DB[[#This Row],[Quantity]])</f>
        <v>2</v>
      </c>
      <c r="I1061" s="2">
        <v>527.91</v>
      </c>
      <c r="J1061">
        <v>0.02</v>
      </c>
      <c r="K1061" t="s">
        <v>1824</v>
      </c>
      <c r="L1061" s="2">
        <v>1034.7036000000001</v>
      </c>
      <c r="M1061" s="2" t="str">
        <f>IF(ESales_DB[[#This Row],[Total_Amount]]&gt;1000,"High","Low")</f>
        <v>High</v>
      </c>
      <c r="N1061" s="2" t="str">
        <f>VLOOKUP(ESales_DB[[#This Row],[Customer_ID]],Ecustom_DB[],3,FALSE)</f>
        <v>Katherine Dorsey</v>
      </c>
      <c r="O1061" s="2" t="str">
        <f>_xlfn.XLOOKUP(ESales_DB[[#This Row],[Product_ID]],Eproduct_DB[Product_ID],Eproduct_DB[Category])</f>
        <v>Electronics</v>
      </c>
      <c r="P1061" s="2" t="str">
        <f>_xlfn.XLOOKUP(ESales_DB[[#This Row],[Product_ID]],Eproduct_DB[Product_ID],Eproduct_DB[Product_Name])</f>
        <v>Laptop Cooling Pad</v>
      </c>
      <c r="Q1061" s="2" t="str">
        <f>_xlfn.XLOOKUP(ESales_DB[[#This Row],[Store_ID]],Estore_DB[Store_ID],Estore_DB[Region])</f>
        <v>South</v>
      </c>
      <c r="R1061" t="str">
        <f>VLOOKUP(ESales_DB[[#This Row],[Customer_ID]],Ecustom_DB[],10,FALSE)</f>
        <v>Platinum</v>
      </c>
      <c r="S1061" t="str">
        <f>IF(ESales_DB[[#This Row],[Quantity1]]&gt;3,"Bulk order","Normal order")</f>
        <v>Normal order</v>
      </c>
    </row>
    <row r="1062" spans="1:19" x14ac:dyDescent="0.3">
      <c r="A1062" t="s">
        <v>3778</v>
      </c>
      <c r="B1062" s="4">
        <v>45525</v>
      </c>
      <c r="C1062" s="4" t="str">
        <f>TEXT(ESales_DB[[#This Row],[Order_Date]],"mmm")</f>
        <v>Aug</v>
      </c>
      <c r="D1062" t="s">
        <v>1005</v>
      </c>
      <c r="E1062" t="s">
        <v>1652</v>
      </c>
      <c r="F1062" t="s">
        <v>1797</v>
      </c>
      <c r="G1062">
        <v>2</v>
      </c>
      <c r="H1062" s="10">
        <f>IF(ISBLANK(ESales_DB[[#This Row],[Quantity]]),AVERAGEIF(ESales_DB[Product_ID],ESales_DB[[#This Row],[Product_ID]],ESales_DB[Quantity]),ESales_DB[[#This Row],[Quantity]])</f>
        <v>2</v>
      </c>
      <c r="I1062" s="2">
        <v>945.92</v>
      </c>
      <c r="J1062">
        <v>0.19</v>
      </c>
      <c r="K1062" t="s">
        <v>1829</v>
      </c>
      <c r="L1062" s="2">
        <v>1532.3904</v>
      </c>
      <c r="M1062" s="2" t="str">
        <f>IF(ESales_DB[[#This Row],[Total_Amount]]&gt;1000,"High","Low")</f>
        <v>High</v>
      </c>
      <c r="N1062" s="2" t="str">
        <f>VLOOKUP(ESales_DB[[#This Row],[Customer_ID]],Ecustom_DB[],3,FALSE)</f>
        <v>Casey Simpson</v>
      </c>
      <c r="O1062" s="2" t="str">
        <f>_xlfn.XLOOKUP(ESales_DB[[#This Row],[Product_ID]],Eproduct_DB[Product_ID],Eproduct_DB[Category])</f>
        <v>Sports</v>
      </c>
      <c r="P1062" s="2" t="str">
        <f>_xlfn.XLOOKUP(ESales_DB[[#This Row],[Product_ID]],Eproduct_DB[Product_ID],Eproduct_DB[Product_Name])</f>
        <v>Rugby Ball</v>
      </c>
      <c r="Q1062" s="2" t="str">
        <f>_xlfn.XLOOKUP(ESales_DB[[#This Row],[Store_ID]],Estore_DB[Store_ID],Estore_DB[Region])</f>
        <v>East</v>
      </c>
      <c r="R1062" t="str">
        <f>VLOOKUP(ESales_DB[[#This Row],[Customer_ID]],Ecustom_DB[],10,FALSE)</f>
        <v>Platinum</v>
      </c>
      <c r="S1062" t="str">
        <f>IF(ESales_DB[[#This Row],[Quantity1]]&gt;3,"Bulk order","Normal order")</f>
        <v>Normal order</v>
      </c>
    </row>
    <row r="1063" spans="1:19" x14ac:dyDescent="0.3">
      <c r="A1063" t="s">
        <v>3779</v>
      </c>
      <c r="B1063" s="4">
        <v>45780</v>
      </c>
      <c r="C1063" s="4" t="str">
        <f>TEXT(ESales_DB[[#This Row],[Order_Date]],"mmm")</f>
        <v>May</v>
      </c>
      <c r="D1063" t="s">
        <v>295</v>
      </c>
      <c r="E1063" t="s">
        <v>1660</v>
      </c>
      <c r="F1063" t="s">
        <v>1807</v>
      </c>
      <c r="G1063">
        <v>2</v>
      </c>
      <c r="H1063" s="10">
        <f>IF(ISBLANK(ESales_DB[[#This Row],[Quantity]]),AVERAGEIF(ESales_DB[Product_ID],ESales_DB[[#This Row],[Product_ID]],ESales_DB[Quantity]),ESales_DB[[#This Row],[Quantity]])</f>
        <v>2</v>
      </c>
      <c r="I1063" s="2">
        <v>981.35</v>
      </c>
      <c r="J1063">
        <v>0.16</v>
      </c>
      <c r="K1063" t="s">
        <v>1826</v>
      </c>
      <c r="L1063" s="2">
        <v>1648.6679999999999</v>
      </c>
      <c r="M1063" s="2" t="str">
        <f>IF(ESales_DB[[#This Row],[Total_Amount]]&gt;1000,"High","Low")</f>
        <v>High</v>
      </c>
      <c r="N1063" s="2" t="str">
        <f>VLOOKUP(ESales_DB[[#This Row],[Customer_ID]],Ecustom_DB[],3,FALSE)</f>
        <v>Krystal Ford</v>
      </c>
      <c r="O1063" s="2" t="str">
        <f>_xlfn.XLOOKUP(ESales_DB[[#This Row],[Product_ID]],Eproduct_DB[Product_ID],Eproduct_DB[Category])</f>
        <v>Home</v>
      </c>
      <c r="P1063" s="2" t="str">
        <f>_xlfn.XLOOKUP(ESales_DB[[#This Row],[Product_ID]],Eproduct_DB[Product_ID],Eproduct_DB[Product_Name])</f>
        <v>Premium Blanket Throw</v>
      </c>
      <c r="Q1063" s="2" t="str">
        <f>_xlfn.XLOOKUP(ESales_DB[[#This Row],[Store_ID]],Estore_DB[Store_ID],Estore_DB[Region])</f>
        <v>North</v>
      </c>
      <c r="R1063" t="str">
        <f>VLOOKUP(ESales_DB[[#This Row],[Customer_ID]],Ecustom_DB[],10,FALSE)</f>
        <v>Platinum</v>
      </c>
      <c r="S1063" t="str">
        <f>IF(ESales_DB[[#This Row],[Quantity1]]&gt;3,"Bulk order","Normal order")</f>
        <v>Normal order</v>
      </c>
    </row>
    <row r="1064" spans="1:19" x14ac:dyDescent="0.3">
      <c r="A1064" t="s">
        <v>3780</v>
      </c>
      <c r="B1064" s="4">
        <v>45819</v>
      </c>
      <c r="C1064" s="4" t="str">
        <f>TEXT(ESales_DB[[#This Row],[Order_Date]],"mmm")</f>
        <v>Jun</v>
      </c>
      <c r="D1064" t="s">
        <v>722</v>
      </c>
      <c r="E1064" t="s">
        <v>1666</v>
      </c>
      <c r="F1064" t="s">
        <v>1766</v>
      </c>
      <c r="G1064">
        <v>1</v>
      </c>
      <c r="H1064" s="10">
        <f>IF(ISBLANK(ESales_DB[[#This Row],[Quantity]]),AVERAGEIF(ESales_DB[Product_ID],ESales_DB[[#This Row],[Product_ID]],ESales_DB[Quantity]),ESales_DB[[#This Row],[Quantity]])</f>
        <v>1</v>
      </c>
      <c r="I1064" s="2">
        <v>913.99</v>
      </c>
      <c r="J1064">
        <v>0.14000000000000001</v>
      </c>
      <c r="K1064" t="s">
        <v>1824</v>
      </c>
      <c r="L1064" s="2">
        <v>786.03139999999996</v>
      </c>
      <c r="M1064" s="2" t="str">
        <f>IF(ESales_DB[[#This Row],[Total_Amount]]&gt;1000,"High","Low")</f>
        <v>Low</v>
      </c>
      <c r="N1064" s="2" t="str">
        <f>VLOOKUP(ESales_DB[[#This Row],[Customer_ID]],Ecustom_DB[],3,FALSE)</f>
        <v>Robert Harris</v>
      </c>
      <c r="O1064" s="2" t="str">
        <f>_xlfn.XLOOKUP(ESales_DB[[#This Row],[Product_ID]],Eproduct_DB[Product_ID],Eproduct_DB[Category])</f>
        <v>Beauty</v>
      </c>
      <c r="P1064" s="2" t="str">
        <f>_xlfn.XLOOKUP(ESales_DB[[#This Row],[Product_ID]],Eproduct_DB[Product_ID],Eproduct_DB[Product_Name])</f>
        <v>Men's Hair Styling Gel</v>
      </c>
      <c r="Q1064" s="2" t="str">
        <f>_xlfn.XLOOKUP(ESales_DB[[#This Row],[Store_ID]],Estore_DB[Store_ID],Estore_DB[Region])</f>
        <v>North</v>
      </c>
      <c r="R1064" t="str">
        <f>VLOOKUP(ESales_DB[[#This Row],[Customer_ID]],Ecustom_DB[],10,FALSE)</f>
        <v>Platinum</v>
      </c>
      <c r="S1064" t="str">
        <f>IF(ESales_DB[[#This Row],[Quantity1]]&gt;3,"Bulk order","Normal order")</f>
        <v>Normal order</v>
      </c>
    </row>
    <row r="1065" spans="1:19" x14ac:dyDescent="0.3">
      <c r="A1065" t="s">
        <v>3781</v>
      </c>
      <c r="B1065" s="4">
        <v>45863</v>
      </c>
      <c r="C1065" s="4" t="str">
        <f>TEXT(ESales_DB[[#This Row],[Order_Date]],"mmm")</f>
        <v>Jul</v>
      </c>
      <c r="D1065" t="s">
        <v>55</v>
      </c>
      <c r="E1065" t="s">
        <v>1680</v>
      </c>
      <c r="F1065" t="s">
        <v>1782</v>
      </c>
      <c r="G1065">
        <v>4</v>
      </c>
      <c r="H1065" s="10">
        <f>IF(ISBLANK(ESales_DB[[#This Row],[Quantity]]),AVERAGEIF(ESales_DB[Product_ID],ESales_DB[[#This Row],[Product_ID]],ESales_DB[Quantity]),ESales_DB[[#This Row],[Quantity]])</f>
        <v>4</v>
      </c>
      <c r="I1065" s="2">
        <v>270.69</v>
      </c>
      <c r="J1065">
        <v>0.18</v>
      </c>
      <c r="K1065" t="s">
        <v>1826</v>
      </c>
      <c r="L1065" s="2">
        <v>887.86320000000001</v>
      </c>
      <c r="M1065" s="2" t="str">
        <f>IF(ESales_DB[[#This Row],[Total_Amount]]&gt;1000,"High","Low")</f>
        <v>Low</v>
      </c>
      <c r="N1065" s="2" t="str">
        <f>VLOOKUP(ESales_DB[[#This Row],[Customer_ID]],Ecustom_DB[],3,FALSE)</f>
        <v>Brian Lopez</v>
      </c>
      <c r="O1065" s="2" t="str">
        <f>_xlfn.XLOOKUP(ESales_DB[[#This Row],[Product_ID]],Eproduct_DB[Product_ID],Eproduct_DB[Category])</f>
        <v>Beauty</v>
      </c>
      <c r="P1065" s="2" t="str">
        <f>_xlfn.XLOOKUP(ESales_DB[[#This Row],[Product_ID]],Eproduct_DB[Product_ID],Eproduct_DB[Product_Name])</f>
        <v>Women's Hair Dryer Brush</v>
      </c>
      <c r="Q1065" s="2" t="str">
        <f>_xlfn.XLOOKUP(ESales_DB[[#This Row],[Store_ID]],Estore_DB[Store_ID],Estore_DB[Region])</f>
        <v>West</v>
      </c>
      <c r="R1065" t="str">
        <f>VLOOKUP(ESales_DB[[#This Row],[Customer_ID]],Ecustom_DB[],10,FALSE)</f>
        <v>Gold</v>
      </c>
      <c r="S1065" t="str">
        <f>IF(ESales_DB[[#This Row],[Quantity1]]&gt;3,"Bulk order","Normal order")</f>
        <v>Bulk order</v>
      </c>
    </row>
    <row r="1066" spans="1:19" x14ac:dyDescent="0.3">
      <c r="A1066" t="s">
        <v>3782</v>
      </c>
      <c r="B1066" s="4">
        <v>45687</v>
      </c>
      <c r="C1066" s="4" t="str">
        <f>TEXT(ESales_DB[[#This Row],[Order_Date]],"mmm")</f>
        <v>Jan</v>
      </c>
      <c r="D1066" t="s">
        <v>538</v>
      </c>
      <c r="E1066" t="s">
        <v>1702</v>
      </c>
      <c r="F1066" t="s">
        <v>1776</v>
      </c>
      <c r="G1066">
        <v>3</v>
      </c>
      <c r="H1066" s="10">
        <f>IF(ISBLANK(ESales_DB[[#This Row],[Quantity]]),AVERAGEIF(ESales_DB[Product_ID],ESales_DB[[#This Row],[Product_ID]],ESales_DB[Quantity]),ESales_DB[[#This Row],[Quantity]])</f>
        <v>3</v>
      </c>
      <c r="I1066" s="2">
        <v>998.58</v>
      </c>
      <c r="J1066">
        <v>0.02</v>
      </c>
      <c r="K1066" t="s">
        <v>1824</v>
      </c>
      <c r="L1066" s="2">
        <v>2935.8252000000002</v>
      </c>
      <c r="M1066" s="2" t="str">
        <f>IF(ESales_DB[[#This Row],[Total_Amount]]&gt;1000,"High","Low")</f>
        <v>High</v>
      </c>
      <c r="N1066" s="2" t="str">
        <f>VLOOKUP(ESales_DB[[#This Row],[Customer_ID]],Ecustom_DB[],3,FALSE)</f>
        <v>Cynthia Morris</v>
      </c>
      <c r="O1066" s="2" t="str">
        <f>_xlfn.XLOOKUP(ESales_DB[[#This Row],[Product_ID]],Eproduct_DB[Product_ID],Eproduct_DB[Category])</f>
        <v>Electronics</v>
      </c>
      <c r="P1066" s="2" t="str">
        <f>_xlfn.XLOOKUP(ESales_DB[[#This Row],[Product_ID]],Eproduct_DB[Product_ID],Eproduct_DB[Product_Name])</f>
        <v>WiFi Mesh Router</v>
      </c>
      <c r="Q1066" s="2" t="str">
        <f>_xlfn.XLOOKUP(ESales_DB[[#This Row],[Store_ID]],Estore_DB[Store_ID],Estore_DB[Region])</f>
        <v>East</v>
      </c>
      <c r="R1066" t="str">
        <f>VLOOKUP(ESales_DB[[#This Row],[Customer_ID]],Ecustom_DB[],10,FALSE)</f>
        <v>Silver</v>
      </c>
      <c r="S1066" t="str">
        <f>IF(ESales_DB[[#This Row],[Quantity1]]&gt;3,"Bulk order","Normal order")</f>
        <v>Normal order</v>
      </c>
    </row>
    <row r="1067" spans="1:19" x14ac:dyDescent="0.3">
      <c r="A1067" t="s">
        <v>3783</v>
      </c>
      <c r="B1067" s="4">
        <v>45806</v>
      </c>
      <c r="C1067" s="4" t="str">
        <f>TEXT(ESales_DB[[#This Row],[Order_Date]],"mmm")</f>
        <v>May</v>
      </c>
      <c r="D1067" t="s">
        <v>1408</v>
      </c>
      <c r="E1067" t="s">
        <v>1622</v>
      </c>
      <c r="F1067" t="s">
        <v>1786</v>
      </c>
      <c r="G1067">
        <v>3</v>
      </c>
      <c r="H1067" s="10">
        <f>IF(ISBLANK(ESales_DB[[#This Row],[Quantity]]),AVERAGEIF(ESales_DB[Product_ID],ESales_DB[[#This Row],[Product_ID]],ESales_DB[Quantity]),ESales_DB[[#This Row],[Quantity]])</f>
        <v>3</v>
      </c>
      <c r="I1067" s="2">
        <v>765.12</v>
      </c>
      <c r="J1067">
        <v>0.18</v>
      </c>
      <c r="K1067" t="s">
        <v>1824</v>
      </c>
      <c r="L1067" s="2">
        <v>1882.1952000000001</v>
      </c>
      <c r="M1067" s="2" t="str">
        <f>IF(ESales_DB[[#This Row],[Total_Amount]]&gt;1000,"High","Low")</f>
        <v>High</v>
      </c>
      <c r="N1067" s="2" t="str">
        <f>VLOOKUP(ESales_DB[[#This Row],[Customer_ID]],Ecustom_DB[],3,FALSE)</f>
        <v>Julie Powell</v>
      </c>
      <c r="O1067" s="2" t="str">
        <f>_xlfn.XLOOKUP(ESales_DB[[#This Row],[Product_ID]],Eproduct_DB[Product_ID],Eproduct_DB[Category])</f>
        <v>Clothing</v>
      </c>
      <c r="P1067" s="2" t="str">
        <f>_xlfn.XLOOKUP(ESales_DB[[#This Row],[Product_ID]],Eproduct_DB[Product_ID],Eproduct_DB[Product_Name])</f>
        <v>Men's Casual Sneakers</v>
      </c>
      <c r="Q1067" s="2" t="str">
        <f>_xlfn.XLOOKUP(ESales_DB[[#This Row],[Store_ID]],Estore_DB[Store_ID],Estore_DB[Region])</f>
        <v>South</v>
      </c>
      <c r="R1067" t="str">
        <f>VLOOKUP(ESales_DB[[#This Row],[Customer_ID]],Ecustom_DB[],10,FALSE)</f>
        <v>Gold</v>
      </c>
      <c r="S1067" t="str">
        <f>IF(ESales_DB[[#This Row],[Quantity1]]&gt;3,"Bulk order","Normal order")</f>
        <v>Normal order</v>
      </c>
    </row>
    <row r="1068" spans="1:19" x14ac:dyDescent="0.3">
      <c r="A1068" t="s">
        <v>3784</v>
      </c>
      <c r="B1068" s="4">
        <v>45216</v>
      </c>
      <c r="C1068" s="4" t="str">
        <f>TEXT(ESales_DB[[#This Row],[Order_Date]],"mmm")</f>
        <v>Oct</v>
      </c>
      <c r="D1068" t="s">
        <v>264</v>
      </c>
      <c r="E1068" t="s">
        <v>1676</v>
      </c>
      <c r="F1068" t="s">
        <v>1813</v>
      </c>
      <c r="G1068">
        <v>3</v>
      </c>
      <c r="H1068" s="10">
        <f>IF(ISBLANK(ESales_DB[[#This Row],[Quantity]]),AVERAGEIF(ESales_DB[Product_ID],ESales_DB[[#This Row],[Product_ID]],ESales_DB[Quantity]),ESales_DB[[#This Row],[Quantity]])</f>
        <v>3</v>
      </c>
      <c r="I1068" s="2">
        <v>449.99</v>
      </c>
      <c r="J1068">
        <v>0.17</v>
      </c>
      <c r="K1068" t="s">
        <v>1829</v>
      </c>
      <c r="L1068" s="2">
        <v>1120.4751000000001</v>
      </c>
      <c r="M1068" s="2" t="str">
        <f>IF(ESales_DB[[#This Row],[Total_Amount]]&gt;1000,"High","Low")</f>
        <v>High</v>
      </c>
      <c r="N1068" s="2" t="str">
        <f>VLOOKUP(ESales_DB[[#This Row],[Customer_ID]],Ecustom_DB[],3,FALSE)</f>
        <v>Tonya Burch</v>
      </c>
      <c r="O1068" s="2" t="str">
        <f>_xlfn.XLOOKUP(ESales_DB[[#This Row],[Product_ID]],Eproduct_DB[Product_ID],Eproduct_DB[Category])</f>
        <v>Beauty</v>
      </c>
      <c r="P1068" s="2" t="str">
        <f>_xlfn.XLOOKUP(ESales_DB[[#This Row],[Product_ID]],Eproduct_DB[Product_ID],Eproduct_DB[Product_Name])</f>
        <v>Matte Lipstick Set</v>
      </c>
      <c r="Q1068" s="2" t="str">
        <f>_xlfn.XLOOKUP(ESales_DB[[#This Row],[Store_ID]],Estore_DB[Store_ID],Estore_DB[Region])</f>
        <v>East</v>
      </c>
      <c r="R1068" t="str">
        <f>VLOOKUP(ESales_DB[[#This Row],[Customer_ID]],Ecustom_DB[],10,FALSE)</f>
        <v>Gold</v>
      </c>
      <c r="S1068" t="str">
        <f>IF(ESales_DB[[#This Row],[Quantity1]]&gt;3,"Bulk order","Normal order")</f>
        <v>Normal order</v>
      </c>
    </row>
    <row r="1069" spans="1:19" x14ac:dyDescent="0.3">
      <c r="A1069" t="s">
        <v>3785</v>
      </c>
      <c r="B1069" s="4">
        <v>45639</v>
      </c>
      <c r="C1069" s="4" t="str">
        <f>TEXT(ESales_DB[[#This Row],[Order_Date]],"mmm")</f>
        <v>Dec</v>
      </c>
      <c r="D1069" t="s">
        <v>806</v>
      </c>
      <c r="E1069" t="s">
        <v>1634</v>
      </c>
      <c r="F1069" t="s">
        <v>1792</v>
      </c>
      <c r="G1069">
        <v>2</v>
      </c>
      <c r="H1069" s="10">
        <f>IF(ISBLANK(ESales_DB[[#This Row],[Quantity]]),AVERAGEIF(ESales_DB[Product_ID],ESales_DB[[#This Row],[Product_ID]],ESales_DB[Quantity]),ESales_DB[[#This Row],[Quantity]])</f>
        <v>2</v>
      </c>
      <c r="I1069" s="2">
        <v>249.02</v>
      </c>
      <c r="J1069">
        <v>0.01</v>
      </c>
      <c r="K1069" t="s">
        <v>1829</v>
      </c>
      <c r="L1069" s="2">
        <v>493.05959999999999</v>
      </c>
      <c r="M1069" s="2" t="str">
        <f>IF(ESales_DB[[#This Row],[Total_Amount]]&gt;1000,"High","Low")</f>
        <v>Low</v>
      </c>
      <c r="N1069" s="2" t="str">
        <f>VLOOKUP(ESales_DB[[#This Row],[Customer_ID]],Ecustom_DB[],3,FALSE)</f>
        <v>John Mccoy</v>
      </c>
      <c r="O1069" s="2" t="str">
        <f>_xlfn.XLOOKUP(ESales_DB[[#This Row],[Product_ID]],Eproduct_DB[Product_ID],Eproduct_DB[Category])</f>
        <v>Electronics</v>
      </c>
      <c r="P1069" s="2" t="str">
        <f>_xlfn.XLOOKUP(ESales_DB[[#This Row],[Product_ID]],Eproduct_DB[Product_ID],Eproduct_DB[Product_Name])</f>
        <v>USB External Hard Drive</v>
      </c>
      <c r="Q1069" s="2" t="str">
        <f>_xlfn.XLOOKUP(ESales_DB[[#This Row],[Store_ID]],Estore_DB[Store_ID],Estore_DB[Region])</f>
        <v>South</v>
      </c>
      <c r="R1069" t="str">
        <f>VLOOKUP(ESales_DB[[#This Row],[Customer_ID]],Ecustom_DB[],10,FALSE)</f>
        <v>Silver</v>
      </c>
      <c r="S1069" t="str">
        <f>IF(ESales_DB[[#This Row],[Quantity1]]&gt;3,"Bulk order","Normal order")</f>
        <v>Normal order</v>
      </c>
    </row>
    <row r="1070" spans="1:19" x14ac:dyDescent="0.3">
      <c r="A1070" t="s">
        <v>2022</v>
      </c>
      <c r="B1070" s="4">
        <v>45904</v>
      </c>
      <c r="C1070" s="4" t="str">
        <f>TEXT(ESales_DB[[#This Row],[Order_Date]],"mmm")</f>
        <v>Sep</v>
      </c>
      <c r="D1070" t="s">
        <v>1431</v>
      </c>
      <c r="E1070" t="s">
        <v>1662</v>
      </c>
      <c r="F1070" t="s">
        <v>1804</v>
      </c>
      <c r="G1070">
        <v>4</v>
      </c>
      <c r="H1070" s="10">
        <f>IF(ISBLANK(ESales_DB[[#This Row],[Quantity]]),AVERAGEIF(ESales_DB[Product_ID],ESales_DB[[#This Row],[Product_ID]],ESales_DB[Quantity]),ESales_DB[[#This Row],[Quantity]])</f>
        <v>4</v>
      </c>
      <c r="I1070" s="2">
        <v>689.67</v>
      </c>
      <c r="J1070">
        <v>0.05</v>
      </c>
      <c r="K1070" t="s">
        <v>1829</v>
      </c>
      <c r="L1070" s="2">
        <v>2620.7460000000001</v>
      </c>
      <c r="M1070" s="2" t="str">
        <f>IF(ESales_DB[[#This Row],[Total_Amount]]&gt;1000,"High","Low")</f>
        <v>High</v>
      </c>
      <c r="N1070" s="2" t="str">
        <f>VLOOKUP(ESales_DB[[#This Row],[Customer_ID]],Ecustom_DB[],3,FALSE)</f>
        <v>David Pierce</v>
      </c>
      <c r="O1070" s="2" t="str">
        <f>_xlfn.XLOOKUP(ESales_DB[[#This Row],[Product_ID]],Eproduct_DB[Product_ID],Eproduct_DB[Category])</f>
        <v>Sports</v>
      </c>
      <c r="P1070" s="2" t="str">
        <f>_xlfn.XLOOKUP(ESales_DB[[#This Row],[Product_ID]],Eproduct_DB[Product_ID],Eproduct_DB[Product_Name])</f>
        <v>Foam Roller</v>
      </c>
      <c r="Q1070" s="2" t="str">
        <f>_xlfn.XLOOKUP(ESales_DB[[#This Row],[Store_ID]],Estore_DB[Store_ID],Estore_DB[Region])</f>
        <v>West</v>
      </c>
      <c r="R1070" t="str">
        <f>VLOOKUP(ESales_DB[[#This Row],[Customer_ID]],Ecustom_DB[],10,FALSE)</f>
        <v>Platinum</v>
      </c>
      <c r="S1070" t="str">
        <f>IF(ESales_DB[[#This Row],[Quantity1]]&gt;3,"Bulk order","Normal order")</f>
        <v>Bulk order</v>
      </c>
    </row>
    <row r="1071" spans="1:19" x14ac:dyDescent="0.3">
      <c r="A1071" t="s">
        <v>3786</v>
      </c>
      <c r="B1071" s="4">
        <v>45454</v>
      </c>
      <c r="C1071" s="4" t="str">
        <f>TEXT(ESales_DB[[#This Row],[Order_Date]],"mmm")</f>
        <v>Jun</v>
      </c>
      <c r="D1071" t="s">
        <v>467</v>
      </c>
      <c r="E1071" t="s">
        <v>1662</v>
      </c>
      <c r="F1071" t="s">
        <v>1813</v>
      </c>
      <c r="G1071">
        <v>3</v>
      </c>
      <c r="H1071" s="10">
        <f>IF(ISBLANK(ESales_DB[[#This Row],[Quantity]]),AVERAGEIF(ESales_DB[Product_ID],ESales_DB[[#This Row],[Product_ID]],ESales_DB[Quantity]),ESales_DB[[#This Row],[Quantity]])</f>
        <v>3</v>
      </c>
      <c r="I1071" s="2">
        <v>223.64</v>
      </c>
      <c r="J1071">
        <v>0.05</v>
      </c>
      <c r="K1071" t="s">
        <v>1824</v>
      </c>
      <c r="L1071" s="2">
        <v>637.37399999999991</v>
      </c>
      <c r="M1071" s="2" t="str">
        <f>IF(ESales_DB[[#This Row],[Total_Amount]]&gt;1000,"High","Low")</f>
        <v>Low</v>
      </c>
      <c r="N1071" s="2" t="str">
        <f>VLOOKUP(ESales_DB[[#This Row],[Customer_ID]],Ecustom_DB[],3,FALSE)</f>
        <v>Rick Dominguez</v>
      </c>
      <c r="O1071" s="2" t="str">
        <f>_xlfn.XLOOKUP(ESales_DB[[#This Row],[Product_ID]],Eproduct_DB[Product_ID],Eproduct_DB[Category])</f>
        <v>Sports</v>
      </c>
      <c r="P1071" s="2" t="str">
        <f>_xlfn.XLOOKUP(ESales_DB[[#This Row],[Product_ID]],Eproduct_DB[Product_ID],Eproduct_DB[Product_Name])</f>
        <v>Foam Roller</v>
      </c>
      <c r="Q1071" s="2" t="str">
        <f>_xlfn.XLOOKUP(ESales_DB[[#This Row],[Store_ID]],Estore_DB[Store_ID],Estore_DB[Region])</f>
        <v>East</v>
      </c>
      <c r="R1071" t="str">
        <f>VLOOKUP(ESales_DB[[#This Row],[Customer_ID]],Ecustom_DB[],10,FALSE)</f>
        <v>Platinum</v>
      </c>
      <c r="S1071" t="str">
        <f>IF(ESales_DB[[#This Row],[Quantity1]]&gt;3,"Bulk order","Normal order")</f>
        <v>Normal order</v>
      </c>
    </row>
    <row r="1072" spans="1:19" x14ac:dyDescent="0.3">
      <c r="A1072" t="s">
        <v>3787</v>
      </c>
      <c r="B1072" s="4">
        <v>45934</v>
      </c>
      <c r="C1072" s="4" t="str">
        <f>TEXT(ESales_DB[[#This Row],[Order_Date]],"mmm")</f>
        <v>Oct</v>
      </c>
      <c r="D1072" t="s">
        <v>375</v>
      </c>
      <c r="E1072" t="s">
        <v>1596</v>
      </c>
      <c r="F1072" t="s">
        <v>1769</v>
      </c>
      <c r="G1072">
        <v>2</v>
      </c>
      <c r="H1072" s="10">
        <f>IF(ISBLANK(ESales_DB[[#This Row],[Quantity]]),AVERAGEIF(ESales_DB[Product_ID],ESales_DB[[#This Row],[Product_ID]],ESales_DB[Quantity]),ESales_DB[[#This Row],[Quantity]])</f>
        <v>2</v>
      </c>
      <c r="I1072" s="2">
        <v>92.94</v>
      </c>
      <c r="J1072">
        <v>0.12</v>
      </c>
      <c r="K1072" t="s">
        <v>1824</v>
      </c>
      <c r="L1072" s="2">
        <v>163.5744</v>
      </c>
      <c r="M1072" s="2" t="str">
        <f>IF(ESales_DB[[#This Row],[Total_Amount]]&gt;1000,"High","Low")</f>
        <v>Low</v>
      </c>
      <c r="N1072" s="2" t="str">
        <f>VLOOKUP(ESales_DB[[#This Row],[Customer_ID]],Ecustom_DB[],3,FALSE)</f>
        <v>Howard Summers</v>
      </c>
      <c r="O1072" s="2" t="str">
        <f>_xlfn.XLOOKUP(ESales_DB[[#This Row],[Product_ID]],Eproduct_DB[Product_ID],Eproduct_DB[Category])</f>
        <v>Sports</v>
      </c>
      <c r="P1072" s="2" t="str">
        <f>_xlfn.XLOOKUP(ESales_DB[[#This Row],[Product_ID]],Eproduct_DB[Product_ID],Eproduct_DB[Product_Name])</f>
        <v>Foldable Camping Chair</v>
      </c>
      <c r="Q1072" s="2" t="str">
        <f>_xlfn.XLOOKUP(ESales_DB[[#This Row],[Store_ID]],Estore_DB[Store_ID],Estore_DB[Region])</f>
        <v>South</v>
      </c>
      <c r="R1072" t="str">
        <f>VLOOKUP(ESales_DB[[#This Row],[Customer_ID]],Ecustom_DB[],10,FALSE)</f>
        <v>Bronze</v>
      </c>
      <c r="S1072" t="str">
        <f>IF(ESales_DB[[#This Row],[Quantity1]]&gt;3,"Bulk order","Normal order")</f>
        <v>Normal order</v>
      </c>
    </row>
    <row r="1073" spans="1:19" x14ac:dyDescent="0.3">
      <c r="A1073" t="s">
        <v>3788</v>
      </c>
      <c r="B1073" s="4">
        <v>45401</v>
      </c>
      <c r="C1073" s="4" t="str">
        <f>TEXT(ESales_DB[[#This Row],[Order_Date]],"mmm")</f>
        <v>Apr</v>
      </c>
      <c r="D1073" t="s">
        <v>1130</v>
      </c>
      <c r="E1073" t="s">
        <v>1580</v>
      </c>
      <c r="F1073" t="s">
        <v>1761</v>
      </c>
      <c r="G1073">
        <v>4</v>
      </c>
      <c r="H1073" s="10">
        <f>IF(ISBLANK(ESales_DB[[#This Row],[Quantity]]),AVERAGEIF(ESales_DB[Product_ID],ESales_DB[[#This Row],[Product_ID]],ESales_DB[Quantity]),ESales_DB[[#This Row],[Quantity]])</f>
        <v>4</v>
      </c>
      <c r="I1073" s="2">
        <v>268.3</v>
      </c>
      <c r="J1073">
        <v>0.02</v>
      </c>
      <c r="K1073" t="s">
        <v>1829</v>
      </c>
      <c r="L1073" s="2">
        <v>1051.7360000000001</v>
      </c>
      <c r="M1073" s="2" t="str">
        <f>IF(ESales_DB[[#This Row],[Total_Amount]]&gt;1000,"High","Low")</f>
        <v>High</v>
      </c>
      <c r="N1073" s="2" t="str">
        <f>VLOOKUP(ESales_DB[[#This Row],[Customer_ID]],Ecustom_DB[],3,FALSE)</f>
        <v>Natalie Johnson</v>
      </c>
      <c r="O1073" s="2" t="str">
        <f>_xlfn.XLOOKUP(ESales_DB[[#This Row],[Product_ID]],Eproduct_DB[Product_ID],Eproduct_DB[Category])</f>
        <v>Beauty</v>
      </c>
      <c r="P1073" s="2" t="str">
        <f>_xlfn.XLOOKUP(ESales_DB[[#This Row],[Product_ID]],Eproduct_DB[Product_ID],Eproduct_DB[Product_Name])</f>
        <v>Beard Grooming Kit</v>
      </c>
      <c r="Q1073" s="2" t="str">
        <f>_xlfn.XLOOKUP(ESales_DB[[#This Row],[Store_ID]],Estore_DB[Store_ID],Estore_DB[Region])</f>
        <v>South</v>
      </c>
      <c r="R1073" t="str">
        <f>VLOOKUP(ESales_DB[[#This Row],[Customer_ID]],Ecustom_DB[],10,FALSE)</f>
        <v>Platinum</v>
      </c>
      <c r="S1073" t="str">
        <f>IF(ESales_DB[[#This Row],[Quantity1]]&gt;3,"Bulk order","Normal order")</f>
        <v>Bulk order</v>
      </c>
    </row>
    <row r="1074" spans="1:19" x14ac:dyDescent="0.3">
      <c r="A1074" t="s">
        <v>3789</v>
      </c>
      <c r="B1074" s="4">
        <v>45770</v>
      </c>
      <c r="C1074" s="4" t="str">
        <f>TEXT(ESales_DB[[#This Row],[Order_Date]],"mmm")</f>
        <v>Apr</v>
      </c>
      <c r="D1074" t="s">
        <v>1368</v>
      </c>
      <c r="E1074" t="s">
        <v>1666</v>
      </c>
      <c r="F1074" t="s">
        <v>1813</v>
      </c>
      <c r="G1074">
        <v>4</v>
      </c>
      <c r="H1074" s="10">
        <f>IF(ISBLANK(ESales_DB[[#This Row],[Quantity]]),AVERAGEIF(ESales_DB[Product_ID],ESales_DB[[#This Row],[Product_ID]],ESales_DB[Quantity]),ESales_DB[[#This Row],[Quantity]])</f>
        <v>4</v>
      </c>
      <c r="I1074" s="2">
        <v>835.61</v>
      </c>
      <c r="J1074">
        <v>0.03</v>
      </c>
      <c r="K1074" t="s">
        <v>1824</v>
      </c>
      <c r="L1074" s="2">
        <v>3242.1668</v>
      </c>
      <c r="M1074" s="2" t="str">
        <f>IF(ESales_DB[[#This Row],[Total_Amount]]&gt;1000,"High","Low")</f>
        <v>High</v>
      </c>
      <c r="N1074" s="2" t="str">
        <f>VLOOKUP(ESales_DB[[#This Row],[Customer_ID]],Ecustom_DB[],3,FALSE)</f>
        <v>Kelli Smith</v>
      </c>
      <c r="O1074" s="2" t="str">
        <f>_xlfn.XLOOKUP(ESales_DB[[#This Row],[Product_ID]],Eproduct_DB[Product_ID],Eproduct_DB[Category])</f>
        <v>Beauty</v>
      </c>
      <c r="P1074" s="2" t="str">
        <f>_xlfn.XLOOKUP(ESales_DB[[#This Row],[Product_ID]],Eproduct_DB[Product_ID],Eproduct_DB[Product_Name])</f>
        <v>Men's Hair Styling Gel</v>
      </c>
      <c r="Q1074" s="2" t="str">
        <f>_xlfn.XLOOKUP(ESales_DB[[#This Row],[Store_ID]],Estore_DB[Store_ID],Estore_DB[Region])</f>
        <v>East</v>
      </c>
      <c r="R1074" t="str">
        <f>VLOOKUP(ESales_DB[[#This Row],[Customer_ID]],Ecustom_DB[],10,FALSE)</f>
        <v>Bronze</v>
      </c>
      <c r="S1074" t="str">
        <f>IF(ESales_DB[[#This Row],[Quantity1]]&gt;3,"Bulk order","Normal order")</f>
        <v>Bulk order</v>
      </c>
    </row>
    <row r="1075" spans="1:19" x14ac:dyDescent="0.3">
      <c r="A1075" t="s">
        <v>3790</v>
      </c>
      <c r="B1075" s="4">
        <v>45405</v>
      </c>
      <c r="C1075" s="4" t="str">
        <f>TEXT(ESales_DB[[#This Row],[Order_Date]],"mmm")</f>
        <v>Apr</v>
      </c>
      <c r="D1075" t="s">
        <v>1193</v>
      </c>
      <c r="E1075" t="s">
        <v>1684</v>
      </c>
      <c r="F1075" t="s">
        <v>1773</v>
      </c>
      <c r="G1075">
        <v>3</v>
      </c>
      <c r="H1075" s="10">
        <f>IF(ISBLANK(ESales_DB[[#This Row],[Quantity]]),AVERAGEIF(ESales_DB[Product_ID],ESales_DB[[#This Row],[Product_ID]],ESales_DB[Quantity]),ESales_DB[[#This Row],[Quantity]])</f>
        <v>3</v>
      </c>
      <c r="I1075" s="2">
        <v>120.97</v>
      </c>
      <c r="J1075">
        <v>0.11</v>
      </c>
      <c r="K1075" t="s">
        <v>1824</v>
      </c>
      <c r="L1075" s="2">
        <v>322.98989999999998</v>
      </c>
      <c r="M1075" s="2" t="str">
        <f>IF(ESales_DB[[#This Row],[Total_Amount]]&gt;1000,"High","Low")</f>
        <v>Low</v>
      </c>
      <c r="N1075" s="2" t="str">
        <f>VLOOKUP(ESales_DB[[#This Row],[Customer_ID]],Ecustom_DB[],3,FALSE)</f>
        <v>Martha Brown</v>
      </c>
      <c r="O1075" s="2" t="str">
        <f>_xlfn.XLOOKUP(ESales_DB[[#This Row],[Product_ID]],Eproduct_DB[Product_ID],Eproduct_DB[Category])</f>
        <v>Home</v>
      </c>
      <c r="P1075" s="2" t="str">
        <f>_xlfn.XLOOKUP(ESales_DB[[#This Row],[Product_ID]],Eproduct_DB[Product_ID],Eproduct_DB[Product_Name])</f>
        <v>Wooden Nightstand</v>
      </c>
      <c r="Q1075" s="2" t="str">
        <f>_xlfn.XLOOKUP(ESales_DB[[#This Row],[Store_ID]],Estore_DB[Store_ID],Estore_DB[Region])</f>
        <v>North</v>
      </c>
      <c r="R1075" t="str">
        <f>VLOOKUP(ESales_DB[[#This Row],[Customer_ID]],Ecustom_DB[],10,FALSE)</f>
        <v>Gold</v>
      </c>
      <c r="S1075" t="str">
        <f>IF(ESales_DB[[#This Row],[Quantity1]]&gt;3,"Bulk order","Normal order")</f>
        <v>Normal order</v>
      </c>
    </row>
    <row r="1076" spans="1:19" x14ac:dyDescent="0.3">
      <c r="A1076" t="s">
        <v>3791</v>
      </c>
      <c r="B1076" s="4">
        <v>45424</v>
      </c>
      <c r="C1076" s="4" t="str">
        <f>TEXT(ESales_DB[[#This Row],[Order_Date]],"mmm")</f>
        <v>May</v>
      </c>
      <c r="D1076" t="s">
        <v>124</v>
      </c>
      <c r="E1076" t="s">
        <v>1628</v>
      </c>
      <c r="F1076" t="s">
        <v>1786</v>
      </c>
      <c r="G1076">
        <v>2</v>
      </c>
      <c r="H1076" s="10">
        <f>IF(ISBLANK(ESales_DB[[#This Row],[Quantity]]),AVERAGEIF(ESales_DB[Product_ID],ESales_DB[[#This Row],[Product_ID]],ESales_DB[Quantity]),ESales_DB[[#This Row],[Quantity]])</f>
        <v>2</v>
      </c>
      <c r="I1076" s="2">
        <v>26.36</v>
      </c>
      <c r="J1076">
        <v>0.03</v>
      </c>
      <c r="K1076" t="s">
        <v>1829</v>
      </c>
      <c r="L1076" s="2">
        <v>51.138399999999997</v>
      </c>
      <c r="M1076" s="2" t="str">
        <f>IF(ESales_DB[[#This Row],[Total_Amount]]&gt;1000,"High","Low")</f>
        <v>Low</v>
      </c>
      <c r="N1076" s="2" t="str">
        <f>VLOOKUP(ESales_DB[[#This Row],[Customer_ID]],Ecustom_DB[],3,FALSE)</f>
        <v>Jessica Acevedo</v>
      </c>
      <c r="O1076" s="2" t="str">
        <f>_xlfn.XLOOKUP(ESales_DB[[#This Row],[Product_ID]],Eproduct_DB[Product_ID],Eproduct_DB[Category])</f>
        <v>Electronics</v>
      </c>
      <c r="P1076" s="2" t="str">
        <f>_xlfn.XLOOKUP(ESales_DB[[#This Row],[Product_ID]],Eproduct_DB[Product_ID],Eproduct_DB[Product_Name])</f>
        <v>Noise-Canceling Headphones</v>
      </c>
      <c r="Q1076" s="2" t="str">
        <f>_xlfn.XLOOKUP(ESales_DB[[#This Row],[Store_ID]],Estore_DB[Store_ID],Estore_DB[Region])</f>
        <v>South</v>
      </c>
      <c r="R1076" t="str">
        <f>VLOOKUP(ESales_DB[[#This Row],[Customer_ID]],Ecustom_DB[],10,FALSE)</f>
        <v>Bronze</v>
      </c>
      <c r="S1076" t="str">
        <f>IF(ESales_DB[[#This Row],[Quantity1]]&gt;3,"Bulk order","Normal order")</f>
        <v>Normal order</v>
      </c>
    </row>
    <row r="1077" spans="1:19" x14ac:dyDescent="0.3">
      <c r="A1077" t="s">
        <v>3792</v>
      </c>
      <c r="B1077" s="4">
        <v>45881</v>
      </c>
      <c r="C1077" s="4" t="str">
        <f>TEXT(ESales_DB[[#This Row],[Order_Date]],"mmm")</f>
        <v>Aug</v>
      </c>
      <c r="D1077" t="s">
        <v>134</v>
      </c>
      <c r="E1077" t="s">
        <v>1702</v>
      </c>
      <c r="F1077" t="s">
        <v>1776</v>
      </c>
      <c r="G1077">
        <v>1</v>
      </c>
      <c r="H1077" s="10">
        <f>IF(ISBLANK(ESales_DB[[#This Row],[Quantity]]),AVERAGEIF(ESales_DB[Product_ID],ESales_DB[[#This Row],[Product_ID]],ESales_DB[Quantity]),ESales_DB[[#This Row],[Quantity]])</f>
        <v>1</v>
      </c>
      <c r="I1077" s="2">
        <v>918.87</v>
      </c>
      <c r="J1077">
        <v>0.11</v>
      </c>
      <c r="K1077" t="s">
        <v>1826</v>
      </c>
      <c r="L1077" s="2">
        <v>817.79430000000002</v>
      </c>
      <c r="M1077" s="2" t="str">
        <f>IF(ESales_DB[[#This Row],[Total_Amount]]&gt;1000,"High","Low")</f>
        <v>Low</v>
      </c>
      <c r="N1077" s="2" t="str">
        <f>VLOOKUP(ESales_DB[[#This Row],[Customer_ID]],Ecustom_DB[],3,FALSE)</f>
        <v>Robert Jones Dds</v>
      </c>
      <c r="O1077" s="2" t="str">
        <f>_xlfn.XLOOKUP(ESales_DB[[#This Row],[Product_ID]],Eproduct_DB[Product_ID],Eproduct_DB[Category])</f>
        <v>Electronics</v>
      </c>
      <c r="P1077" s="2" t="str">
        <f>_xlfn.XLOOKUP(ESales_DB[[#This Row],[Product_ID]],Eproduct_DB[Product_ID],Eproduct_DB[Product_Name])</f>
        <v>WiFi Mesh Router</v>
      </c>
      <c r="Q1077" s="2" t="str">
        <f>_xlfn.XLOOKUP(ESales_DB[[#This Row],[Store_ID]],Estore_DB[Store_ID],Estore_DB[Region])</f>
        <v>East</v>
      </c>
      <c r="R1077" t="str">
        <f>VLOOKUP(ESales_DB[[#This Row],[Customer_ID]],Ecustom_DB[],10,FALSE)</f>
        <v>Platinum</v>
      </c>
      <c r="S1077" t="str">
        <f>IF(ESales_DB[[#This Row],[Quantity1]]&gt;3,"Bulk order","Normal order")</f>
        <v>Normal order</v>
      </c>
    </row>
    <row r="1078" spans="1:19" x14ac:dyDescent="0.3">
      <c r="A1078" t="s">
        <v>3793</v>
      </c>
      <c r="B1078" s="4">
        <v>45794</v>
      </c>
      <c r="C1078" s="4" t="str">
        <f>TEXT(ESales_DB[[#This Row],[Order_Date]],"mmm")</f>
        <v>May</v>
      </c>
      <c r="D1078" t="s">
        <v>127</v>
      </c>
      <c r="E1078" t="s">
        <v>1682</v>
      </c>
      <c r="F1078" t="s">
        <v>1792</v>
      </c>
      <c r="G1078">
        <v>2</v>
      </c>
      <c r="H1078" s="10">
        <f>IF(ISBLANK(ESales_DB[[#This Row],[Quantity]]),AVERAGEIF(ESales_DB[Product_ID],ESales_DB[[#This Row],[Product_ID]],ESales_DB[Quantity]),ESales_DB[[#This Row],[Quantity]])</f>
        <v>2</v>
      </c>
      <c r="I1078" s="2">
        <v>924.73</v>
      </c>
      <c r="J1078">
        <v>0.28999999999999998</v>
      </c>
      <c r="K1078" t="s">
        <v>1826</v>
      </c>
      <c r="L1078" s="2">
        <v>1313.1166000000001</v>
      </c>
      <c r="M1078" s="2" t="str">
        <f>IF(ESales_DB[[#This Row],[Total_Amount]]&gt;1000,"High","Low")</f>
        <v>High</v>
      </c>
      <c r="N1078" s="2" t="str">
        <f>VLOOKUP(ESales_DB[[#This Row],[Customer_ID]],Ecustom_DB[],3,FALSE)</f>
        <v>Sarah Vance</v>
      </c>
      <c r="O1078" s="2" t="str">
        <f>_xlfn.XLOOKUP(ESales_DB[[#This Row],[Product_ID]],Eproduct_DB[Product_ID],Eproduct_DB[Category])</f>
        <v>Electronics</v>
      </c>
      <c r="P1078" s="2" t="str">
        <f>_xlfn.XLOOKUP(ESales_DB[[#This Row],[Product_ID]],Eproduct_DB[Product_ID],Eproduct_DB[Product_Name])</f>
        <v>Smart LED Light Strip</v>
      </c>
      <c r="Q1078" s="2" t="str">
        <f>_xlfn.XLOOKUP(ESales_DB[[#This Row],[Store_ID]],Estore_DB[Store_ID],Estore_DB[Region])</f>
        <v>South</v>
      </c>
      <c r="R1078" t="str">
        <f>VLOOKUP(ESales_DB[[#This Row],[Customer_ID]],Ecustom_DB[],10,FALSE)</f>
        <v>Silver</v>
      </c>
      <c r="S1078" t="str">
        <f>IF(ESales_DB[[#This Row],[Quantity1]]&gt;3,"Bulk order","Normal order")</f>
        <v>Normal order</v>
      </c>
    </row>
    <row r="1079" spans="1:19" x14ac:dyDescent="0.3">
      <c r="A1079" t="s">
        <v>3794</v>
      </c>
      <c r="B1079" s="4">
        <v>45665</v>
      </c>
      <c r="C1079" s="4" t="str">
        <f>TEXT(ESales_DB[[#This Row],[Order_Date]],"mmm")</f>
        <v>Jan</v>
      </c>
      <c r="D1079" t="s">
        <v>93</v>
      </c>
      <c r="E1079" t="s">
        <v>1572</v>
      </c>
      <c r="F1079" t="s">
        <v>1789</v>
      </c>
      <c r="G1079">
        <v>3</v>
      </c>
      <c r="H1079" s="10">
        <f>IF(ISBLANK(ESales_DB[[#This Row],[Quantity]]),AVERAGEIF(ESales_DB[Product_ID],ESales_DB[[#This Row],[Product_ID]],ESales_DB[Quantity]),ESales_DB[[#This Row],[Quantity]])</f>
        <v>3</v>
      </c>
      <c r="I1079" s="2">
        <v>195.31</v>
      </c>
      <c r="J1079">
        <v>0.13</v>
      </c>
      <c r="K1079" t="s">
        <v>1829</v>
      </c>
      <c r="L1079" s="2">
        <v>509.75909999999999</v>
      </c>
      <c r="M1079" s="2" t="str">
        <f>IF(ESales_DB[[#This Row],[Total_Amount]]&gt;1000,"High","Low")</f>
        <v>Low</v>
      </c>
      <c r="N1079" s="2" t="str">
        <f>VLOOKUP(ESales_DB[[#This Row],[Customer_ID]],Ecustom_DB[],3,FALSE)</f>
        <v>Jeff Martinez</v>
      </c>
      <c r="O1079" s="2" t="str">
        <f>_xlfn.XLOOKUP(ESales_DB[[#This Row],[Product_ID]],Eproduct_DB[Product_ID],Eproduct_DB[Category])</f>
        <v>Beauty</v>
      </c>
      <c r="P1079" s="2" t="str">
        <f>_xlfn.XLOOKUP(ESales_DB[[#This Row],[Product_ID]],Eproduct_DB[Product_ID],Eproduct_DB[Product_Name])</f>
        <v>Hair Strengthening Shampoo</v>
      </c>
      <c r="Q1079" s="2" t="str">
        <f>_xlfn.XLOOKUP(ESales_DB[[#This Row],[Store_ID]],Estore_DB[Store_ID],Estore_DB[Region])</f>
        <v>East</v>
      </c>
      <c r="R1079" t="str">
        <f>VLOOKUP(ESales_DB[[#This Row],[Customer_ID]],Ecustom_DB[],10,FALSE)</f>
        <v>Gold</v>
      </c>
      <c r="S1079" t="str">
        <f>IF(ESales_DB[[#This Row],[Quantity1]]&gt;3,"Bulk order","Normal order")</f>
        <v>Normal order</v>
      </c>
    </row>
    <row r="1080" spans="1:19" x14ac:dyDescent="0.3">
      <c r="A1080" t="s">
        <v>3795</v>
      </c>
      <c r="B1080" s="4">
        <v>45793</v>
      </c>
      <c r="C1080" s="4" t="str">
        <f>TEXT(ESales_DB[[#This Row],[Order_Date]],"mmm")</f>
        <v>May</v>
      </c>
      <c r="D1080" t="s">
        <v>481</v>
      </c>
      <c r="E1080" t="s">
        <v>1624</v>
      </c>
      <c r="F1080" t="s">
        <v>1782</v>
      </c>
      <c r="G1080">
        <v>1</v>
      </c>
      <c r="H1080" s="10">
        <f>IF(ISBLANK(ESales_DB[[#This Row],[Quantity]]),AVERAGEIF(ESales_DB[Product_ID],ESales_DB[[#This Row],[Product_ID]],ESales_DB[Quantity]),ESales_DB[[#This Row],[Quantity]])</f>
        <v>1</v>
      </c>
      <c r="I1080" s="2">
        <v>91.38</v>
      </c>
      <c r="J1080">
        <v>0.14000000000000001</v>
      </c>
      <c r="K1080" t="s">
        <v>1824</v>
      </c>
      <c r="L1080" s="2">
        <v>78.586799999999997</v>
      </c>
      <c r="M1080" s="2" t="str">
        <f>IF(ESales_DB[[#This Row],[Total_Amount]]&gt;1000,"High","Low")</f>
        <v>Low</v>
      </c>
      <c r="N1080" s="2" t="str">
        <f>VLOOKUP(ESales_DB[[#This Row],[Customer_ID]],Ecustom_DB[],3,FALSE)</f>
        <v>Maria Ramirez</v>
      </c>
      <c r="O1080" s="2" t="str">
        <f>_xlfn.XLOOKUP(ESales_DB[[#This Row],[Product_ID]],Eproduct_DB[Product_ID],Eproduct_DB[Category])</f>
        <v>Sports</v>
      </c>
      <c r="P1080" s="2" t="str">
        <f>_xlfn.XLOOKUP(ESales_DB[[#This Row],[Product_ID]],Eproduct_DB[Product_ID],Eproduct_DB[Product_Name])</f>
        <v>Sports Water Hydration Pack</v>
      </c>
      <c r="Q1080" s="2" t="str">
        <f>_xlfn.XLOOKUP(ESales_DB[[#This Row],[Store_ID]],Estore_DB[Store_ID],Estore_DB[Region])</f>
        <v>West</v>
      </c>
      <c r="R1080" t="str">
        <f>VLOOKUP(ESales_DB[[#This Row],[Customer_ID]],Ecustom_DB[],10,FALSE)</f>
        <v>Bronze</v>
      </c>
      <c r="S1080" t="str">
        <f>IF(ESales_DB[[#This Row],[Quantity1]]&gt;3,"Bulk order","Normal order")</f>
        <v>Normal order</v>
      </c>
    </row>
    <row r="1081" spans="1:19" x14ac:dyDescent="0.3">
      <c r="A1081" t="s">
        <v>2023</v>
      </c>
      <c r="B1081" s="4">
        <v>45227</v>
      </c>
      <c r="C1081" s="4" t="str">
        <f>TEXT(ESales_DB[[#This Row],[Order_Date]],"mmm")</f>
        <v>Oct</v>
      </c>
      <c r="D1081" t="s">
        <v>461</v>
      </c>
      <c r="E1081" t="s">
        <v>1636</v>
      </c>
      <c r="F1081" t="s">
        <v>1792</v>
      </c>
      <c r="G1081">
        <v>1</v>
      </c>
      <c r="H1081" s="10">
        <f>IF(ISBLANK(ESales_DB[[#This Row],[Quantity]]),AVERAGEIF(ESales_DB[Product_ID],ESales_DB[[#This Row],[Product_ID]],ESales_DB[Quantity]),ESales_DB[[#This Row],[Quantity]])</f>
        <v>1</v>
      </c>
      <c r="I1081" s="2">
        <v>541.24</v>
      </c>
      <c r="J1081">
        <v>0.03</v>
      </c>
      <c r="K1081" t="s">
        <v>1826</v>
      </c>
      <c r="L1081" s="2">
        <v>525.00279999999998</v>
      </c>
      <c r="M1081" s="2" t="str">
        <f>IF(ESales_DB[[#This Row],[Total_Amount]]&gt;1000,"High","Low")</f>
        <v>Low</v>
      </c>
      <c r="N1081" s="2" t="str">
        <f>VLOOKUP(ESales_DB[[#This Row],[Customer_ID]],Ecustom_DB[],3,FALSE)</f>
        <v>Matthew Hanna</v>
      </c>
      <c r="O1081" s="2" t="str">
        <f>_xlfn.XLOOKUP(ESales_DB[[#This Row],[Product_ID]],Eproduct_DB[Product_ID],Eproduct_DB[Category])</f>
        <v>Sports</v>
      </c>
      <c r="P1081" s="2" t="str">
        <f>_xlfn.XLOOKUP(ESales_DB[[#This Row],[Product_ID]],Eproduct_DB[Product_ID],Eproduct_DB[Product_Name])</f>
        <v>Adjustable Jump Rope</v>
      </c>
      <c r="Q1081" s="2" t="str">
        <f>_xlfn.XLOOKUP(ESales_DB[[#This Row],[Store_ID]],Estore_DB[Store_ID],Estore_DB[Region])</f>
        <v>South</v>
      </c>
      <c r="R1081" t="str">
        <f>VLOOKUP(ESales_DB[[#This Row],[Customer_ID]],Ecustom_DB[],10,FALSE)</f>
        <v>Platinum</v>
      </c>
      <c r="S1081" t="str">
        <f>IF(ESales_DB[[#This Row],[Quantity1]]&gt;3,"Bulk order","Normal order")</f>
        <v>Normal order</v>
      </c>
    </row>
    <row r="1082" spans="1:19" x14ac:dyDescent="0.3">
      <c r="A1082" t="s">
        <v>3796</v>
      </c>
      <c r="B1082" s="4">
        <v>45563</v>
      </c>
      <c r="C1082" s="4" t="str">
        <f>TEXT(ESales_DB[[#This Row],[Order_Date]],"mmm")</f>
        <v>Sep</v>
      </c>
      <c r="D1082" t="s">
        <v>1487</v>
      </c>
      <c r="E1082" t="s">
        <v>1720</v>
      </c>
      <c r="F1082" t="s">
        <v>1792</v>
      </c>
      <c r="G1082">
        <v>2</v>
      </c>
      <c r="H1082" s="10">
        <f>IF(ISBLANK(ESales_DB[[#This Row],[Quantity]]),AVERAGEIF(ESales_DB[Product_ID],ESales_DB[[#This Row],[Product_ID]],ESales_DB[Quantity]),ESales_DB[[#This Row],[Quantity]])</f>
        <v>2</v>
      </c>
      <c r="I1082" s="2">
        <v>494.35</v>
      </c>
      <c r="J1082">
        <v>0.1</v>
      </c>
      <c r="K1082" t="s">
        <v>1824</v>
      </c>
      <c r="L1082" s="2">
        <v>889.83</v>
      </c>
      <c r="M1082" s="2" t="str">
        <f>IF(ESales_DB[[#This Row],[Total_Amount]]&gt;1000,"High","Low")</f>
        <v>Low</v>
      </c>
      <c r="N1082" s="2" t="str">
        <f>VLOOKUP(ESales_DB[[#This Row],[Customer_ID]],Ecustom_DB[],3,FALSE)</f>
        <v>Sarah Smith</v>
      </c>
      <c r="O1082" s="2" t="str">
        <f>_xlfn.XLOOKUP(ESales_DB[[#This Row],[Product_ID]],Eproduct_DB[Product_ID],Eproduct_DB[Category])</f>
        <v>Home</v>
      </c>
      <c r="P1082" s="2" t="str">
        <f>_xlfn.XLOOKUP(ESales_DB[[#This Row],[Product_ID]],Eproduct_DB[Product_ID],Eproduct_DB[Product_Name])</f>
        <v>Kitchen Cutting Board</v>
      </c>
      <c r="Q1082" s="2" t="str">
        <f>_xlfn.XLOOKUP(ESales_DB[[#This Row],[Store_ID]],Estore_DB[Store_ID],Estore_DB[Region])</f>
        <v>South</v>
      </c>
      <c r="R1082" t="str">
        <f>VLOOKUP(ESales_DB[[#This Row],[Customer_ID]],Ecustom_DB[],10,FALSE)</f>
        <v>Gold</v>
      </c>
      <c r="S1082" t="str">
        <f>IF(ESales_DB[[#This Row],[Quantity1]]&gt;3,"Bulk order","Normal order")</f>
        <v>Normal order</v>
      </c>
    </row>
    <row r="1083" spans="1:19" x14ac:dyDescent="0.3">
      <c r="A1083" t="s">
        <v>3797</v>
      </c>
      <c r="B1083" s="4">
        <v>45577</v>
      </c>
      <c r="C1083" s="4" t="str">
        <f>TEXT(ESales_DB[[#This Row],[Order_Date]],"mmm")</f>
        <v>Oct</v>
      </c>
      <c r="D1083" t="s">
        <v>815</v>
      </c>
      <c r="E1083" t="s">
        <v>1596</v>
      </c>
      <c r="F1083" t="s">
        <v>1789</v>
      </c>
      <c r="G1083">
        <v>1</v>
      </c>
      <c r="H1083" s="10">
        <f>IF(ISBLANK(ESales_DB[[#This Row],[Quantity]]),AVERAGEIF(ESales_DB[Product_ID],ESales_DB[[#This Row],[Product_ID]],ESales_DB[Quantity]),ESales_DB[[#This Row],[Quantity]])</f>
        <v>1</v>
      </c>
      <c r="I1083" s="2">
        <v>412.2</v>
      </c>
      <c r="J1083">
        <v>0.11</v>
      </c>
      <c r="K1083" t="s">
        <v>1824</v>
      </c>
      <c r="L1083" s="2">
        <v>366.858</v>
      </c>
      <c r="M1083" s="2" t="str">
        <f>IF(ESales_DB[[#This Row],[Total_Amount]]&gt;1000,"High","Low")</f>
        <v>Low</v>
      </c>
      <c r="N1083" s="2" t="str">
        <f>VLOOKUP(ESales_DB[[#This Row],[Customer_ID]],Ecustom_DB[],3,FALSE)</f>
        <v>Damon Perez</v>
      </c>
      <c r="O1083" s="2" t="str">
        <f>_xlfn.XLOOKUP(ESales_DB[[#This Row],[Product_ID]],Eproduct_DB[Product_ID],Eproduct_DB[Category])</f>
        <v>Sports</v>
      </c>
      <c r="P1083" s="2" t="str">
        <f>_xlfn.XLOOKUP(ESales_DB[[#This Row],[Product_ID]],Eproduct_DB[Product_ID],Eproduct_DB[Product_Name])</f>
        <v>Foldable Camping Chair</v>
      </c>
      <c r="Q1083" s="2" t="str">
        <f>_xlfn.XLOOKUP(ESales_DB[[#This Row],[Store_ID]],Estore_DB[Store_ID],Estore_DB[Region])</f>
        <v>East</v>
      </c>
      <c r="R1083" t="str">
        <f>VLOOKUP(ESales_DB[[#This Row],[Customer_ID]],Ecustom_DB[],10,FALSE)</f>
        <v>Gold</v>
      </c>
      <c r="S1083" t="str">
        <f>IF(ESales_DB[[#This Row],[Quantity1]]&gt;3,"Bulk order","Normal order")</f>
        <v>Normal order</v>
      </c>
    </row>
    <row r="1084" spans="1:19" x14ac:dyDescent="0.3">
      <c r="A1084" t="s">
        <v>3798</v>
      </c>
      <c r="B1084" s="4">
        <v>45466</v>
      </c>
      <c r="C1084" s="4" t="str">
        <f>TEXT(ESales_DB[[#This Row],[Order_Date]],"mmm")</f>
        <v>Jun</v>
      </c>
      <c r="D1084" t="s">
        <v>1229</v>
      </c>
      <c r="E1084" t="s">
        <v>1706</v>
      </c>
      <c r="F1084" t="s">
        <v>1804</v>
      </c>
      <c r="G1084">
        <v>1</v>
      </c>
      <c r="H1084" s="10">
        <f>IF(ISBLANK(ESales_DB[[#This Row],[Quantity]]),AVERAGEIF(ESales_DB[Product_ID],ESales_DB[[#This Row],[Product_ID]],ESales_DB[Quantity]),ESales_DB[[#This Row],[Quantity]])</f>
        <v>1</v>
      </c>
      <c r="I1084" s="2">
        <v>650.47</v>
      </c>
      <c r="J1084">
        <v>0.13</v>
      </c>
      <c r="K1084" t="s">
        <v>1826</v>
      </c>
      <c r="L1084" s="2">
        <v>565.90890000000002</v>
      </c>
      <c r="M1084" s="2" t="str">
        <f>IF(ESales_DB[[#This Row],[Total_Amount]]&gt;1000,"High","Low")</f>
        <v>Low</v>
      </c>
      <c r="N1084" s="2" t="str">
        <f>VLOOKUP(ESales_DB[[#This Row],[Customer_ID]],Ecustom_DB[],3,FALSE)</f>
        <v>Alejandro Evans</v>
      </c>
      <c r="O1084" s="2" t="str">
        <f>_xlfn.XLOOKUP(ESales_DB[[#This Row],[Product_ID]],Eproduct_DB[Product_ID],Eproduct_DB[Category])</f>
        <v>Home</v>
      </c>
      <c r="P1084" s="2" t="str">
        <f>_xlfn.XLOOKUP(ESales_DB[[#This Row],[Product_ID]],Eproduct_DB[Product_ID],Eproduct_DB[Product_Name])</f>
        <v>Decorative Lamp Shade</v>
      </c>
      <c r="Q1084" s="2" t="str">
        <f>_xlfn.XLOOKUP(ESales_DB[[#This Row],[Store_ID]],Estore_DB[Store_ID],Estore_DB[Region])</f>
        <v>West</v>
      </c>
      <c r="R1084" t="str">
        <f>VLOOKUP(ESales_DB[[#This Row],[Customer_ID]],Ecustom_DB[],10,FALSE)</f>
        <v>Bronze</v>
      </c>
      <c r="S1084" t="str">
        <f>IF(ESales_DB[[#This Row],[Quantity1]]&gt;3,"Bulk order","Normal order")</f>
        <v>Normal order</v>
      </c>
    </row>
    <row r="1085" spans="1:19" x14ac:dyDescent="0.3">
      <c r="A1085" t="s">
        <v>3799</v>
      </c>
      <c r="B1085" s="4">
        <v>45256</v>
      </c>
      <c r="C1085" s="4" t="str">
        <f>TEXT(ESales_DB[[#This Row],[Order_Date]],"mmm")</f>
        <v>Nov</v>
      </c>
      <c r="D1085" t="s">
        <v>520</v>
      </c>
      <c r="E1085" t="s">
        <v>1576</v>
      </c>
      <c r="F1085" t="s">
        <v>1794</v>
      </c>
      <c r="G1085">
        <v>1</v>
      </c>
      <c r="H1085" s="10">
        <f>IF(ISBLANK(ESales_DB[[#This Row],[Quantity]]),AVERAGEIF(ESales_DB[Product_ID],ESales_DB[[#This Row],[Product_ID]],ESales_DB[Quantity]),ESales_DB[[#This Row],[Quantity]])</f>
        <v>1</v>
      </c>
      <c r="I1085" s="2">
        <v>68.209999999999994</v>
      </c>
      <c r="J1085">
        <v>0.05</v>
      </c>
      <c r="K1085" t="s">
        <v>1826</v>
      </c>
      <c r="L1085" s="2">
        <v>64.799499999999995</v>
      </c>
      <c r="M1085" s="2" t="str">
        <f>IF(ESales_DB[[#This Row],[Total_Amount]]&gt;1000,"High","Low")</f>
        <v>Low</v>
      </c>
      <c r="N1085" s="2" t="str">
        <f>VLOOKUP(ESales_DB[[#This Row],[Customer_ID]],Ecustom_DB[],3,FALSE)</f>
        <v>Curtis Haynes</v>
      </c>
      <c r="O1085" s="2" t="str">
        <f>_xlfn.XLOOKUP(ESales_DB[[#This Row],[Product_ID]],Eproduct_DB[Product_ID],Eproduct_DB[Category])</f>
        <v>Home</v>
      </c>
      <c r="P1085" s="2" t="str">
        <f>_xlfn.XLOOKUP(ESales_DB[[#This Row],[Product_ID]],Eproduct_DB[Product_ID],Eproduct_DB[Product_Name])</f>
        <v>Decorative Wall Mirror</v>
      </c>
      <c r="Q1085" s="2" t="str">
        <f>_xlfn.XLOOKUP(ESales_DB[[#This Row],[Store_ID]],Estore_DB[Store_ID],Estore_DB[Region])</f>
        <v>North</v>
      </c>
      <c r="R1085" t="str">
        <f>VLOOKUP(ESales_DB[[#This Row],[Customer_ID]],Ecustom_DB[],10,FALSE)</f>
        <v>Gold</v>
      </c>
      <c r="S1085" t="str">
        <f>IF(ESales_DB[[#This Row],[Quantity1]]&gt;3,"Bulk order","Normal order")</f>
        <v>Normal order</v>
      </c>
    </row>
    <row r="1086" spans="1:19" x14ac:dyDescent="0.3">
      <c r="A1086" t="s">
        <v>3800</v>
      </c>
      <c r="B1086" s="4">
        <v>45886</v>
      </c>
      <c r="C1086" s="4" t="str">
        <f>TEXT(ESales_DB[[#This Row],[Order_Date]],"mmm")</f>
        <v>Aug</v>
      </c>
      <c r="D1086" t="s">
        <v>461</v>
      </c>
      <c r="E1086" t="s">
        <v>1654</v>
      </c>
      <c r="F1086" t="s">
        <v>1779</v>
      </c>
      <c r="G1086">
        <v>2</v>
      </c>
      <c r="H1086" s="10">
        <f>IF(ISBLANK(ESales_DB[[#This Row],[Quantity]]),AVERAGEIF(ESales_DB[Product_ID],ESales_DB[[#This Row],[Product_ID]],ESales_DB[Quantity]),ESales_DB[[#This Row],[Quantity]])</f>
        <v>2</v>
      </c>
      <c r="I1086" s="2">
        <v>842.89</v>
      </c>
      <c r="J1086">
        <v>0.25</v>
      </c>
      <c r="K1086" t="s">
        <v>1829</v>
      </c>
      <c r="L1086" s="2">
        <v>1264.335</v>
      </c>
      <c r="M1086" s="2" t="str">
        <f>IF(ESales_DB[[#This Row],[Total_Amount]]&gt;1000,"High","Low")</f>
        <v>High</v>
      </c>
      <c r="N1086" s="2" t="str">
        <f>VLOOKUP(ESales_DB[[#This Row],[Customer_ID]],Ecustom_DB[],3,FALSE)</f>
        <v>Matthew Hanna</v>
      </c>
      <c r="O1086" s="2" t="str">
        <f>_xlfn.XLOOKUP(ESales_DB[[#This Row],[Product_ID]],Eproduct_DB[Product_ID],Eproduct_DB[Category])</f>
        <v>Clothing</v>
      </c>
      <c r="P1086" s="2" t="str">
        <f>_xlfn.XLOOKUP(ESales_DB[[#This Row],[Product_ID]],Eproduct_DB[Product_ID],Eproduct_DB[Product_Name])</f>
        <v>Men's Track Pants</v>
      </c>
      <c r="Q1086" s="2" t="str">
        <f>_xlfn.XLOOKUP(ESales_DB[[#This Row],[Store_ID]],Estore_DB[Store_ID],Estore_DB[Region])</f>
        <v>South</v>
      </c>
      <c r="R1086" t="str">
        <f>VLOOKUP(ESales_DB[[#This Row],[Customer_ID]],Ecustom_DB[],10,FALSE)</f>
        <v>Platinum</v>
      </c>
      <c r="S1086" t="str">
        <f>IF(ESales_DB[[#This Row],[Quantity1]]&gt;3,"Bulk order","Normal order")</f>
        <v>Normal order</v>
      </c>
    </row>
    <row r="1087" spans="1:19" x14ac:dyDescent="0.3">
      <c r="A1087" t="s">
        <v>3801</v>
      </c>
      <c r="B1087" s="4">
        <v>45390</v>
      </c>
      <c r="C1087" s="4" t="str">
        <f>TEXT(ESales_DB[[#This Row],[Order_Date]],"mmm")</f>
        <v>Apr</v>
      </c>
      <c r="D1087" t="s">
        <v>948</v>
      </c>
      <c r="E1087" t="s">
        <v>1555</v>
      </c>
      <c r="F1087" t="s">
        <v>1769</v>
      </c>
      <c r="G1087">
        <v>2</v>
      </c>
      <c r="H1087" s="10">
        <f>IF(ISBLANK(ESales_DB[[#This Row],[Quantity]]),AVERAGEIF(ESales_DB[Product_ID],ESales_DB[[#This Row],[Product_ID]],ESales_DB[Quantity]),ESales_DB[[#This Row],[Quantity]])</f>
        <v>2</v>
      </c>
      <c r="I1087" s="2">
        <v>227.95</v>
      </c>
      <c r="J1087">
        <v>0.24</v>
      </c>
      <c r="K1087" t="s">
        <v>1829</v>
      </c>
      <c r="L1087" s="2">
        <v>346.48399999999998</v>
      </c>
      <c r="M1087" s="2" t="str">
        <f>IF(ESales_DB[[#This Row],[Total_Amount]]&gt;1000,"High","Low")</f>
        <v>Low</v>
      </c>
      <c r="N1087" s="2" t="str">
        <f>VLOOKUP(ESales_DB[[#This Row],[Customer_ID]],Ecustom_DB[],3,FALSE)</f>
        <v>Matthew Avery</v>
      </c>
      <c r="O1087" s="2" t="str">
        <f>_xlfn.XLOOKUP(ESales_DB[[#This Row],[Product_ID]],Eproduct_DB[Product_ID],Eproduct_DB[Category])</f>
        <v>Clothing</v>
      </c>
      <c r="P1087" s="2" t="str">
        <f>_xlfn.XLOOKUP(ESales_DB[[#This Row],[Product_ID]],Eproduct_DB[Product_ID],Eproduct_DB[Product_Name])</f>
        <v>Men's Leather Belt</v>
      </c>
      <c r="Q1087" s="2" t="str">
        <f>_xlfn.XLOOKUP(ESales_DB[[#This Row],[Store_ID]],Estore_DB[Store_ID],Estore_DB[Region])</f>
        <v>South</v>
      </c>
      <c r="R1087" t="str">
        <f>VLOOKUP(ESales_DB[[#This Row],[Customer_ID]],Ecustom_DB[],10,FALSE)</f>
        <v>Silver</v>
      </c>
      <c r="S1087" t="str">
        <f>IF(ESales_DB[[#This Row],[Quantity1]]&gt;3,"Bulk order","Normal order")</f>
        <v>Normal order</v>
      </c>
    </row>
    <row r="1088" spans="1:19" x14ac:dyDescent="0.3">
      <c r="A1088" t="s">
        <v>3802</v>
      </c>
      <c r="B1088" s="4">
        <v>45388</v>
      </c>
      <c r="C1088" s="4" t="str">
        <f>TEXT(ESales_DB[[#This Row],[Order_Date]],"mmm")</f>
        <v>Apr</v>
      </c>
      <c r="D1088" t="s">
        <v>631</v>
      </c>
      <c r="E1088" t="s">
        <v>1680</v>
      </c>
      <c r="F1088" t="s">
        <v>1794</v>
      </c>
      <c r="G1088">
        <v>3</v>
      </c>
      <c r="H1088" s="10">
        <f>IF(ISBLANK(ESales_DB[[#This Row],[Quantity]]),AVERAGEIF(ESales_DB[Product_ID],ESales_DB[[#This Row],[Product_ID]],ESales_DB[Quantity]),ESales_DB[[#This Row],[Quantity]])</f>
        <v>3</v>
      </c>
      <c r="I1088" s="2">
        <v>685.97</v>
      </c>
      <c r="J1088">
        <v>0.24</v>
      </c>
      <c r="K1088" t="s">
        <v>1826</v>
      </c>
      <c r="L1088" s="2">
        <v>1564.0116</v>
      </c>
      <c r="M1088" s="2" t="str">
        <f>IF(ESales_DB[[#This Row],[Total_Amount]]&gt;1000,"High","Low")</f>
        <v>High</v>
      </c>
      <c r="N1088" s="2" t="str">
        <f>VLOOKUP(ESales_DB[[#This Row],[Customer_ID]],Ecustom_DB[],3,FALSE)</f>
        <v>Jacob Wood</v>
      </c>
      <c r="O1088" s="2" t="str">
        <f>_xlfn.XLOOKUP(ESales_DB[[#This Row],[Product_ID]],Eproduct_DB[Product_ID],Eproduct_DB[Category])</f>
        <v>Beauty</v>
      </c>
      <c r="P1088" s="2" t="str">
        <f>_xlfn.XLOOKUP(ESales_DB[[#This Row],[Product_ID]],Eproduct_DB[Product_ID],Eproduct_DB[Product_Name])</f>
        <v>Women's Hair Dryer Brush</v>
      </c>
      <c r="Q1088" s="2" t="str">
        <f>_xlfn.XLOOKUP(ESales_DB[[#This Row],[Store_ID]],Estore_DB[Store_ID],Estore_DB[Region])</f>
        <v>North</v>
      </c>
      <c r="R1088" t="str">
        <f>VLOOKUP(ESales_DB[[#This Row],[Customer_ID]],Ecustom_DB[],10,FALSE)</f>
        <v>Gold</v>
      </c>
      <c r="S1088" t="str">
        <f>IF(ESales_DB[[#This Row],[Quantity1]]&gt;3,"Bulk order","Normal order")</f>
        <v>Normal order</v>
      </c>
    </row>
    <row r="1089" spans="1:19" x14ac:dyDescent="0.3">
      <c r="A1089" t="s">
        <v>3803</v>
      </c>
      <c r="B1089" s="4">
        <v>45793</v>
      </c>
      <c r="C1089" s="4" t="str">
        <f>TEXT(ESales_DB[[#This Row],[Order_Date]],"mmm")</f>
        <v>May</v>
      </c>
      <c r="D1089" t="s">
        <v>1142</v>
      </c>
      <c r="E1089" t="s">
        <v>1606</v>
      </c>
      <c r="F1089" t="s">
        <v>1761</v>
      </c>
      <c r="G1089">
        <v>1</v>
      </c>
      <c r="H1089" s="10">
        <f>IF(ISBLANK(ESales_DB[[#This Row],[Quantity]]),AVERAGEIF(ESales_DB[Product_ID],ESales_DB[[#This Row],[Product_ID]],ESales_DB[Quantity]),ESales_DB[[#This Row],[Quantity]])</f>
        <v>1</v>
      </c>
      <c r="I1089" s="2">
        <v>722.57</v>
      </c>
      <c r="J1089">
        <v>0.18</v>
      </c>
      <c r="K1089" t="s">
        <v>1824</v>
      </c>
      <c r="L1089" s="2">
        <v>592.50740000000008</v>
      </c>
      <c r="M1089" s="2" t="str">
        <f>IF(ESales_DB[[#This Row],[Total_Amount]]&gt;1000,"High","Low")</f>
        <v>Low</v>
      </c>
      <c r="N1089" s="2" t="str">
        <f>VLOOKUP(ESales_DB[[#This Row],[Customer_ID]],Ecustom_DB[],3,FALSE)</f>
        <v>Brandon Mcbride</v>
      </c>
      <c r="O1089" s="2" t="str">
        <f>_xlfn.XLOOKUP(ESales_DB[[#This Row],[Product_ID]],Eproduct_DB[Product_ID],Eproduct_DB[Category])</f>
        <v>Home</v>
      </c>
      <c r="P1089" s="2" t="str">
        <f>_xlfn.XLOOKUP(ESales_DB[[#This Row],[Product_ID]],Eproduct_DB[Product_ID],Eproduct_DB[Product_Name])</f>
        <v>Fabric Sofa Throw Blanket</v>
      </c>
      <c r="Q1089" s="2" t="str">
        <f>_xlfn.XLOOKUP(ESales_DB[[#This Row],[Store_ID]],Estore_DB[Store_ID],Estore_DB[Region])</f>
        <v>South</v>
      </c>
      <c r="R1089" t="str">
        <f>VLOOKUP(ESales_DB[[#This Row],[Customer_ID]],Ecustom_DB[],10,FALSE)</f>
        <v>Platinum</v>
      </c>
      <c r="S1089" t="str">
        <f>IF(ESales_DB[[#This Row],[Quantity1]]&gt;3,"Bulk order","Normal order")</f>
        <v>Normal order</v>
      </c>
    </row>
    <row r="1090" spans="1:19" x14ac:dyDescent="0.3">
      <c r="A1090" t="s">
        <v>3804</v>
      </c>
      <c r="B1090" s="4">
        <v>45615</v>
      </c>
      <c r="C1090" s="4" t="str">
        <f>TEXT(ESales_DB[[#This Row],[Order_Date]],"mmm")</f>
        <v>Nov</v>
      </c>
      <c r="D1090" t="s">
        <v>475</v>
      </c>
      <c r="E1090" t="s">
        <v>1618</v>
      </c>
      <c r="F1090" t="s">
        <v>1773</v>
      </c>
      <c r="G1090">
        <v>3</v>
      </c>
      <c r="H1090" s="10">
        <f>IF(ISBLANK(ESales_DB[[#This Row],[Quantity]]),AVERAGEIF(ESales_DB[Product_ID],ESales_DB[[#This Row],[Product_ID]],ESales_DB[Quantity]),ESales_DB[[#This Row],[Quantity]])</f>
        <v>3</v>
      </c>
      <c r="I1090" s="2">
        <v>585.54999999999995</v>
      </c>
      <c r="J1090">
        <v>0.14000000000000001</v>
      </c>
      <c r="K1090" t="s">
        <v>1829</v>
      </c>
      <c r="L1090" s="2">
        <v>1510.7190000000001</v>
      </c>
      <c r="M1090" s="2" t="str">
        <f>IF(ESales_DB[[#This Row],[Total_Amount]]&gt;1000,"High","Low")</f>
        <v>High</v>
      </c>
      <c r="N1090" s="2" t="str">
        <f>VLOOKUP(ESales_DB[[#This Row],[Customer_ID]],Ecustom_DB[],3,FALSE)</f>
        <v>Patty Francis</v>
      </c>
      <c r="O1090" s="2" t="str">
        <f>_xlfn.XLOOKUP(ESales_DB[[#This Row],[Product_ID]],Eproduct_DB[Product_ID],Eproduct_DB[Category])</f>
        <v>Home</v>
      </c>
      <c r="P1090" s="2" t="str">
        <f>_xlfn.XLOOKUP(ESales_DB[[#This Row],[Product_ID]],Eproduct_DB[Product_ID],Eproduct_DB[Product_Name])</f>
        <v>Bedroom Table Lamp</v>
      </c>
      <c r="Q1090" s="2" t="str">
        <f>_xlfn.XLOOKUP(ESales_DB[[#This Row],[Store_ID]],Estore_DB[Store_ID],Estore_DB[Region])</f>
        <v>North</v>
      </c>
      <c r="R1090" t="str">
        <f>VLOOKUP(ESales_DB[[#This Row],[Customer_ID]],Ecustom_DB[],10,FALSE)</f>
        <v>Gold</v>
      </c>
      <c r="S1090" t="str">
        <f>IF(ESales_DB[[#This Row],[Quantity1]]&gt;3,"Bulk order","Normal order")</f>
        <v>Normal order</v>
      </c>
    </row>
    <row r="1091" spans="1:19" x14ac:dyDescent="0.3">
      <c r="A1091" t="s">
        <v>3805</v>
      </c>
      <c r="B1091" s="4">
        <v>45666</v>
      </c>
      <c r="C1091" s="4" t="str">
        <f>TEXT(ESales_DB[[#This Row],[Order_Date]],"mmm")</f>
        <v>Jan</v>
      </c>
      <c r="D1091" t="s">
        <v>975</v>
      </c>
      <c r="E1091" t="s">
        <v>1640</v>
      </c>
      <c r="F1091" t="s">
        <v>1797</v>
      </c>
      <c r="G1091">
        <v>2</v>
      </c>
      <c r="H1091" s="10">
        <f>IF(ISBLANK(ESales_DB[[#This Row],[Quantity]]),AVERAGEIF(ESales_DB[Product_ID],ESales_DB[[#This Row],[Product_ID]],ESales_DB[Quantity]),ESales_DB[[#This Row],[Quantity]])</f>
        <v>2</v>
      </c>
      <c r="I1091" s="2">
        <v>635.80999999999995</v>
      </c>
      <c r="J1091">
        <v>0.13</v>
      </c>
      <c r="K1091" t="s">
        <v>1826</v>
      </c>
      <c r="L1091" s="2">
        <v>1106.3094000000001</v>
      </c>
      <c r="M1091" s="2" t="str">
        <f>IF(ESales_DB[[#This Row],[Total_Amount]]&gt;1000,"High","Low")</f>
        <v>High</v>
      </c>
      <c r="N1091" s="2" t="str">
        <f>VLOOKUP(ESales_DB[[#This Row],[Customer_ID]],Ecustom_DB[],3,FALSE)</f>
        <v>Stacy Collins</v>
      </c>
      <c r="O1091" s="2" t="str">
        <f>_xlfn.XLOOKUP(ESales_DB[[#This Row],[Product_ID]],Eproduct_DB[Product_ID],Eproduct_DB[Category])</f>
        <v>Clothing</v>
      </c>
      <c r="P1091" s="2" t="str">
        <f>_xlfn.XLOOKUP(ESales_DB[[#This Row],[Product_ID]],Eproduct_DB[Product_ID],Eproduct_DB[Product_Name])</f>
        <v>Men's Winter Jacket</v>
      </c>
      <c r="Q1091" s="2" t="str">
        <f>_xlfn.XLOOKUP(ESales_DB[[#This Row],[Store_ID]],Estore_DB[Store_ID],Estore_DB[Region])</f>
        <v>East</v>
      </c>
      <c r="R1091" t="str">
        <f>VLOOKUP(ESales_DB[[#This Row],[Customer_ID]],Ecustom_DB[],10,FALSE)</f>
        <v>Bronze</v>
      </c>
      <c r="S1091" t="str">
        <f>IF(ESales_DB[[#This Row],[Quantity1]]&gt;3,"Bulk order","Normal order")</f>
        <v>Normal order</v>
      </c>
    </row>
    <row r="1092" spans="1:19" x14ac:dyDescent="0.3">
      <c r="A1092" t="s">
        <v>2024</v>
      </c>
      <c r="B1092" s="4">
        <v>45600</v>
      </c>
      <c r="C1092" s="4" t="str">
        <f>TEXT(ESales_DB[[#This Row],[Order_Date]],"mmm")</f>
        <v>Nov</v>
      </c>
      <c r="D1092" t="s">
        <v>1386</v>
      </c>
      <c r="E1092" t="s">
        <v>1710</v>
      </c>
      <c r="F1092" t="s">
        <v>1776</v>
      </c>
      <c r="G1092">
        <v>1</v>
      </c>
      <c r="H1092" s="10">
        <f>IF(ISBLANK(ESales_DB[[#This Row],[Quantity]]),AVERAGEIF(ESales_DB[Product_ID],ESales_DB[[#This Row],[Product_ID]],ESales_DB[Quantity]),ESales_DB[[#This Row],[Quantity]])</f>
        <v>1</v>
      </c>
      <c r="I1092" s="2">
        <v>454.71</v>
      </c>
      <c r="J1092">
        <v>0.16</v>
      </c>
      <c r="K1092" t="s">
        <v>1826</v>
      </c>
      <c r="L1092" s="2">
        <v>381.95639999999997</v>
      </c>
      <c r="M1092" s="2" t="str">
        <f>IF(ESales_DB[[#This Row],[Total_Amount]]&gt;1000,"High","Low")</f>
        <v>Low</v>
      </c>
      <c r="N1092" s="2" t="str">
        <f>VLOOKUP(ESales_DB[[#This Row],[Customer_ID]],Ecustom_DB[],3,FALSE)</f>
        <v>Eric Holmes</v>
      </c>
      <c r="O1092" s="2" t="str">
        <f>_xlfn.XLOOKUP(ESales_DB[[#This Row],[Product_ID]],Eproduct_DB[Product_ID],Eproduct_DB[Category])</f>
        <v>Sports</v>
      </c>
      <c r="P1092" s="2" t="str">
        <f>_xlfn.XLOOKUP(ESales_DB[[#This Row],[Product_ID]],Eproduct_DB[Product_ID],Eproduct_DB[Product_Name])</f>
        <v>Badminton Racket Set</v>
      </c>
      <c r="Q1092" s="2" t="str">
        <f>_xlfn.XLOOKUP(ESales_DB[[#This Row],[Store_ID]],Estore_DB[Store_ID],Estore_DB[Region])</f>
        <v>East</v>
      </c>
      <c r="R1092" t="str">
        <f>VLOOKUP(ESales_DB[[#This Row],[Customer_ID]],Ecustom_DB[],10,FALSE)</f>
        <v>Bronze</v>
      </c>
      <c r="S1092" t="str">
        <f>IF(ESales_DB[[#This Row],[Quantity1]]&gt;3,"Bulk order","Normal order")</f>
        <v>Normal order</v>
      </c>
    </row>
    <row r="1093" spans="1:19" x14ac:dyDescent="0.3">
      <c r="A1093" t="s">
        <v>3806</v>
      </c>
      <c r="B1093" s="4">
        <v>45644</v>
      </c>
      <c r="C1093" s="4" t="str">
        <f>TEXT(ESales_DB[[#This Row],[Order_Date]],"mmm")</f>
        <v>Dec</v>
      </c>
      <c r="D1093" t="s">
        <v>881</v>
      </c>
      <c r="E1093" t="s">
        <v>1576</v>
      </c>
      <c r="F1093" t="s">
        <v>1769</v>
      </c>
      <c r="G1093">
        <v>2</v>
      </c>
      <c r="H1093" s="10">
        <f>IF(ISBLANK(ESales_DB[[#This Row],[Quantity]]),AVERAGEIF(ESales_DB[Product_ID],ESales_DB[[#This Row],[Product_ID]],ESales_DB[Quantity]),ESales_DB[[#This Row],[Quantity]])</f>
        <v>2</v>
      </c>
      <c r="I1093" s="2">
        <v>353.74</v>
      </c>
      <c r="J1093">
        <v>0.01</v>
      </c>
      <c r="K1093" t="s">
        <v>1824</v>
      </c>
      <c r="L1093" s="2">
        <v>700.40520000000004</v>
      </c>
      <c r="M1093" s="2" t="str">
        <f>IF(ESales_DB[[#This Row],[Total_Amount]]&gt;1000,"High","Low")</f>
        <v>Low</v>
      </c>
      <c r="N1093" s="2" t="str">
        <f>VLOOKUP(ESales_DB[[#This Row],[Customer_ID]],Ecustom_DB[],3,FALSE)</f>
        <v>Jeffrey Gomez</v>
      </c>
      <c r="O1093" s="2" t="str">
        <f>_xlfn.XLOOKUP(ESales_DB[[#This Row],[Product_ID]],Eproduct_DB[Product_ID],Eproduct_DB[Category])</f>
        <v>Home</v>
      </c>
      <c r="P1093" s="2" t="str">
        <f>_xlfn.XLOOKUP(ESales_DB[[#This Row],[Product_ID]],Eproduct_DB[Product_ID],Eproduct_DB[Product_Name])</f>
        <v>Decorative Wall Mirror</v>
      </c>
      <c r="Q1093" s="2" t="str">
        <f>_xlfn.XLOOKUP(ESales_DB[[#This Row],[Store_ID]],Estore_DB[Store_ID],Estore_DB[Region])</f>
        <v>South</v>
      </c>
      <c r="R1093" t="str">
        <f>VLOOKUP(ESales_DB[[#This Row],[Customer_ID]],Ecustom_DB[],10,FALSE)</f>
        <v>Platinum</v>
      </c>
      <c r="S1093" t="str">
        <f>IF(ESales_DB[[#This Row],[Quantity1]]&gt;3,"Bulk order","Normal order")</f>
        <v>Normal order</v>
      </c>
    </row>
    <row r="1094" spans="1:19" x14ac:dyDescent="0.3">
      <c r="A1094" t="s">
        <v>3807</v>
      </c>
      <c r="B1094" s="4">
        <v>45648</v>
      </c>
      <c r="C1094" s="4" t="str">
        <f>TEXT(ESales_DB[[#This Row],[Order_Date]],"mmm")</f>
        <v>Dec</v>
      </c>
      <c r="D1094" t="s">
        <v>842</v>
      </c>
      <c r="E1094" t="s">
        <v>1620</v>
      </c>
      <c r="F1094" t="s">
        <v>1779</v>
      </c>
      <c r="G1094">
        <v>1</v>
      </c>
      <c r="H1094" s="10">
        <f>IF(ISBLANK(ESales_DB[[#This Row],[Quantity]]),AVERAGEIF(ESales_DB[Product_ID],ESales_DB[[#This Row],[Product_ID]],ESales_DB[Quantity]),ESales_DB[[#This Row],[Quantity]])</f>
        <v>1</v>
      </c>
      <c r="I1094" s="2">
        <v>377.52</v>
      </c>
      <c r="J1094">
        <v>0.15</v>
      </c>
      <c r="K1094" t="s">
        <v>1824</v>
      </c>
      <c r="L1094" s="2">
        <v>320.892</v>
      </c>
      <c r="M1094" s="2" t="str">
        <f>IF(ESales_DB[[#This Row],[Total_Amount]]&gt;1000,"High","Low")</f>
        <v>Low</v>
      </c>
      <c r="N1094" s="2" t="str">
        <f>VLOOKUP(ESales_DB[[#This Row],[Customer_ID]],Ecustom_DB[],3,FALSE)</f>
        <v>Matthew Payne</v>
      </c>
      <c r="O1094" s="2" t="str">
        <f>_xlfn.XLOOKUP(ESales_DB[[#This Row],[Product_ID]],Eproduct_DB[Product_ID],Eproduct_DB[Category])</f>
        <v>Clothing</v>
      </c>
      <c r="P1094" s="2" t="str">
        <f>_xlfn.XLOOKUP(ESales_DB[[#This Row],[Product_ID]],Eproduct_DB[Product_ID],Eproduct_DB[Product_Name])</f>
        <v>Women's Summer Dress</v>
      </c>
      <c r="Q1094" s="2" t="str">
        <f>_xlfn.XLOOKUP(ESales_DB[[#This Row],[Store_ID]],Estore_DB[Store_ID],Estore_DB[Region])</f>
        <v>South</v>
      </c>
      <c r="R1094" t="str">
        <f>VLOOKUP(ESales_DB[[#This Row],[Customer_ID]],Ecustom_DB[],10,FALSE)</f>
        <v>Gold</v>
      </c>
      <c r="S1094" t="str">
        <f>IF(ESales_DB[[#This Row],[Quantity1]]&gt;3,"Bulk order","Normal order")</f>
        <v>Normal order</v>
      </c>
    </row>
    <row r="1095" spans="1:19" x14ac:dyDescent="0.3">
      <c r="A1095" t="s">
        <v>3808</v>
      </c>
      <c r="B1095" s="4">
        <v>45500</v>
      </c>
      <c r="C1095" s="4" t="str">
        <f>TEXT(ESales_DB[[#This Row],[Order_Date]],"mmm")</f>
        <v>Jul</v>
      </c>
      <c r="D1095" t="s">
        <v>669</v>
      </c>
      <c r="E1095" t="s">
        <v>1684</v>
      </c>
      <c r="F1095" t="s">
        <v>1761</v>
      </c>
      <c r="G1095">
        <v>3</v>
      </c>
      <c r="H1095" s="10">
        <f>IF(ISBLANK(ESales_DB[[#This Row],[Quantity]]),AVERAGEIF(ESales_DB[Product_ID],ESales_DB[[#This Row],[Product_ID]],ESales_DB[Quantity]),ESales_DB[[#This Row],[Quantity]])</f>
        <v>3</v>
      </c>
      <c r="I1095" s="2">
        <v>901.49</v>
      </c>
      <c r="J1095">
        <v>0</v>
      </c>
      <c r="K1095" t="s">
        <v>1824</v>
      </c>
      <c r="L1095" s="2">
        <v>2704.47</v>
      </c>
      <c r="M1095" s="2" t="str">
        <f>IF(ESales_DB[[#This Row],[Total_Amount]]&gt;1000,"High","Low")</f>
        <v>High</v>
      </c>
      <c r="N1095" s="2" t="str">
        <f>VLOOKUP(ESales_DB[[#This Row],[Customer_ID]],Ecustom_DB[],3,FALSE)</f>
        <v>Michelle Carpenter</v>
      </c>
      <c r="O1095" s="2" t="str">
        <f>_xlfn.XLOOKUP(ESales_DB[[#This Row],[Product_ID]],Eproduct_DB[Product_ID],Eproduct_DB[Category])</f>
        <v>Home</v>
      </c>
      <c r="P1095" s="2" t="str">
        <f>_xlfn.XLOOKUP(ESales_DB[[#This Row],[Product_ID]],Eproduct_DB[Product_ID],Eproduct_DB[Product_Name])</f>
        <v>Wooden Nightstand</v>
      </c>
      <c r="Q1095" s="2" t="str">
        <f>_xlfn.XLOOKUP(ESales_DB[[#This Row],[Store_ID]],Estore_DB[Store_ID],Estore_DB[Region])</f>
        <v>South</v>
      </c>
      <c r="R1095" t="str">
        <f>VLOOKUP(ESales_DB[[#This Row],[Customer_ID]],Ecustom_DB[],10,FALSE)</f>
        <v>Gold</v>
      </c>
      <c r="S1095" t="str">
        <f>IF(ESales_DB[[#This Row],[Quantity1]]&gt;3,"Bulk order","Normal order")</f>
        <v>Normal order</v>
      </c>
    </row>
    <row r="1096" spans="1:19" x14ac:dyDescent="0.3">
      <c r="A1096" t="s">
        <v>3809</v>
      </c>
      <c r="B1096" s="4">
        <v>45806</v>
      </c>
      <c r="C1096" s="4" t="str">
        <f>TEXT(ESales_DB[[#This Row],[Order_Date]],"mmm")</f>
        <v>May</v>
      </c>
      <c r="D1096" t="s">
        <v>654</v>
      </c>
      <c r="E1096" t="s">
        <v>1608</v>
      </c>
      <c r="F1096" t="s">
        <v>1773</v>
      </c>
      <c r="G1096">
        <v>1</v>
      </c>
      <c r="H1096" s="10">
        <f>IF(ISBLANK(ESales_DB[[#This Row],[Quantity]]),AVERAGEIF(ESales_DB[Product_ID],ESales_DB[[#This Row],[Product_ID]],ESales_DB[Quantity]),ESales_DB[[#This Row],[Quantity]])</f>
        <v>1</v>
      </c>
      <c r="I1096" s="2">
        <v>563.01</v>
      </c>
      <c r="J1096">
        <v>0.1</v>
      </c>
      <c r="K1096" t="s">
        <v>1824</v>
      </c>
      <c r="L1096" s="2">
        <v>506.709</v>
      </c>
      <c r="M1096" s="2" t="str">
        <f>IF(ESales_DB[[#This Row],[Total_Amount]]&gt;1000,"High","Low")</f>
        <v>Low</v>
      </c>
      <c r="N1096" s="2" t="str">
        <f>VLOOKUP(ESales_DB[[#This Row],[Customer_ID]],Ecustom_DB[],3,FALSE)</f>
        <v>Anna Perez</v>
      </c>
      <c r="O1096" s="2" t="str">
        <f>_xlfn.XLOOKUP(ESales_DB[[#This Row],[Product_ID]],Eproduct_DB[Product_ID],Eproduct_DB[Category])</f>
        <v>Home</v>
      </c>
      <c r="P1096" s="2" t="str">
        <f>_xlfn.XLOOKUP(ESales_DB[[#This Row],[Product_ID]],Eproduct_DB[Product_ID],Eproduct_DB[Product_Name])</f>
        <v>Stainless Steel Cutlery Set</v>
      </c>
      <c r="Q1096" s="2" t="str">
        <f>_xlfn.XLOOKUP(ESales_DB[[#This Row],[Store_ID]],Estore_DB[Store_ID],Estore_DB[Region])</f>
        <v>North</v>
      </c>
      <c r="R1096" t="str">
        <f>VLOOKUP(ESales_DB[[#This Row],[Customer_ID]],Ecustom_DB[],10,FALSE)</f>
        <v>Platinum</v>
      </c>
      <c r="S1096" t="str">
        <f>IF(ESales_DB[[#This Row],[Quantity1]]&gt;3,"Bulk order","Normal order")</f>
        <v>Normal order</v>
      </c>
    </row>
    <row r="1097" spans="1:19" x14ac:dyDescent="0.3">
      <c r="A1097" t="s">
        <v>3810</v>
      </c>
      <c r="B1097" s="4">
        <v>45365</v>
      </c>
      <c r="C1097" s="4" t="str">
        <f>TEXT(ESales_DB[[#This Row],[Order_Date]],"mmm")</f>
        <v>Mar</v>
      </c>
      <c r="D1097" t="s">
        <v>198</v>
      </c>
      <c r="E1097" t="s">
        <v>1688</v>
      </c>
      <c r="F1097" t="s">
        <v>1776</v>
      </c>
      <c r="G1097">
        <v>4</v>
      </c>
      <c r="H1097" s="10">
        <f>IF(ISBLANK(ESales_DB[[#This Row],[Quantity]]),AVERAGEIF(ESales_DB[Product_ID],ESales_DB[[#This Row],[Product_ID]],ESales_DB[Quantity]),ESales_DB[[#This Row],[Quantity]])</f>
        <v>4</v>
      </c>
      <c r="I1097" s="2">
        <v>167.25</v>
      </c>
      <c r="J1097">
        <v>0.11</v>
      </c>
      <c r="K1097" t="s">
        <v>1824</v>
      </c>
      <c r="L1097" s="2">
        <v>595.41</v>
      </c>
      <c r="M1097" s="2" t="str">
        <f>IF(ESales_DB[[#This Row],[Total_Amount]]&gt;1000,"High","Low")</f>
        <v>Low</v>
      </c>
      <c r="N1097" s="2" t="str">
        <f>VLOOKUP(ESales_DB[[#This Row],[Customer_ID]],Ecustom_DB[],3,FALSE)</f>
        <v>Debra Liu</v>
      </c>
      <c r="O1097" s="2" t="str">
        <f>_xlfn.XLOOKUP(ESales_DB[[#This Row],[Product_ID]],Eproduct_DB[Product_ID],Eproduct_DB[Category])</f>
        <v>Home</v>
      </c>
      <c r="P1097" s="2" t="str">
        <f>_xlfn.XLOOKUP(ESales_DB[[#This Row],[Product_ID]],Eproduct_DB[Product_ID],Eproduct_DB[Product_Name])</f>
        <v>Kitchen Storage Rack</v>
      </c>
      <c r="Q1097" s="2" t="str">
        <f>_xlfn.XLOOKUP(ESales_DB[[#This Row],[Store_ID]],Estore_DB[Store_ID],Estore_DB[Region])</f>
        <v>East</v>
      </c>
      <c r="R1097" t="str">
        <f>VLOOKUP(ESales_DB[[#This Row],[Customer_ID]],Ecustom_DB[],10,FALSE)</f>
        <v>Bronze</v>
      </c>
      <c r="S1097" t="str">
        <f>IF(ESales_DB[[#This Row],[Quantity1]]&gt;3,"Bulk order","Normal order")</f>
        <v>Bulk order</v>
      </c>
    </row>
    <row r="1098" spans="1:19" x14ac:dyDescent="0.3">
      <c r="A1098" t="s">
        <v>3811</v>
      </c>
      <c r="B1098" s="4">
        <v>45229</v>
      </c>
      <c r="C1098" s="4" t="str">
        <f>TEXT(ESales_DB[[#This Row],[Order_Date]],"mmm")</f>
        <v>Oct</v>
      </c>
      <c r="D1098" t="s">
        <v>1403</v>
      </c>
      <c r="E1098" t="s">
        <v>1668</v>
      </c>
      <c r="F1098" t="s">
        <v>1810</v>
      </c>
      <c r="G1098">
        <v>3</v>
      </c>
      <c r="H1098" s="10">
        <f>IF(ISBLANK(ESales_DB[[#This Row],[Quantity]]),AVERAGEIF(ESales_DB[Product_ID],ESales_DB[[#This Row],[Product_ID]],ESales_DB[Quantity]),ESales_DB[[#This Row],[Quantity]])</f>
        <v>3</v>
      </c>
      <c r="I1098" s="2">
        <v>345.43</v>
      </c>
      <c r="J1098">
        <v>0.08</v>
      </c>
      <c r="K1098" t="s">
        <v>1829</v>
      </c>
      <c r="L1098" s="2">
        <v>953.38679999999999</v>
      </c>
      <c r="M1098" s="2" t="str">
        <f>IF(ESales_DB[[#This Row],[Total_Amount]]&gt;1000,"High","Low")</f>
        <v>Low</v>
      </c>
      <c r="N1098" s="2" t="str">
        <f>VLOOKUP(ESales_DB[[#This Row],[Customer_ID]],Ecustom_DB[],3,FALSE)</f>
        <v>John Berg</v>
      </c>
      <c r="O1098" s="2" t="str">
        <f>_xlfn.XLOOKUP(ESales_DB[[#This Row],[Product_ID]],Eproduct_DB[Product_ID],Eproduct_DB[Category])</f>
        <v>Beauty</v>
      </c>
      <c r="P1098" s="2" t="str">
        <f>_xlfn.XLOOKUP(ESales_DB[[#This Row],[Product_ID]],Eproduct_DB[Product_ID],Eproduct_DB[Product_Name])</f>
        <v>Luxury Perfume Spray</v>
      </c>
      <c r="Q1098" s="2" t="str">
        <f>_xlfn.XLOOKUP(ESales_DB[[#This Row],[Store_ID]],Estore_DB[Store_ID],Estore_DB[Region])</f>
        <v>East</v>
      </c>
      <c r="R1098" t="str">
        <f>VLOOKUP(ESales_DB[[#This Row],[Customer_ID]],Ecustom_DB[],10,FALSE)</f>
        <v>Gold</v>
      </c>
      <c r="S1098" t="str">
        <f>IF(ESales_DB[[#This Row],[Quantity1]]&gt;3,"Bulk order","Normal order")</f>
        <v>Normal order</v>
      </c>
    </row>
    <row r="1099" spans="1:19" x14ac:dyDescent="0.3">
      <c r="A1099" t="s">
        <v>3812</v>
      </c>
      <c r="B1099" s="4">
        <v>45349</v>
      </c>
      <c r="C1099" s="4" t="str">
        <f>TEXT(ESales_DB[[#This Row],[Order_Date]],"mmm")</f>
        <v>Feb</v>
      </c>
      <c r="D1099" t="s">
        <v>972</v>
      </c>
      <c r="E1099" t="s">
        <v>1712</v>
      </c>
      <c r="F1099" t="s">
        <v>1786</v>
      </c>
      <c r="G1099">
        <v>4</v>
      </c>
      <c r="H1099" s="10">
        <f>IF(ISBLANK(ESales_DB[[#This Row],[Quantity]]),AVERAGEIF(ESales_DB[Product_ID],ESales_DB[[#This Row],[Product_ID]],ESales_DB[Quantity]),ESales_DB[[#This Row],[Quantity]])</f>
        <v>4</v>
      </c>
      <c r="I1099" s="2">
        <v>752.48</v>
      </c>
      <c r="J1099">
        <v>0.23</v>
      </c>
      <c r="K1099" t="s">
        <v>1824</v>
      </c>
      <c r="L1099" s="2">
        <v>2317.6383999999998</v>
      </c>
      <c r="M1099" s="2" t="str">
        <f>IF(ESales_DB[[#This Row],[Total_Amount]]&gt;1000,"High","Low")</f>
        <v>High</v>
      </c>
      <c r="N1099" s="2" t="str">
        <f>VLOOKUP(ESales_DB[[#This Row],[Customer_ID]],Ecustom_DB[],3,FALSE)</f>
        <v>Jennifer Zamora</v>
      </c>
      <c r="O1099" s="2" t="str">
        <f>_xlfn.XLOOKUP(ESales_DB[[#This Row],[Product_ID]],Eproduct_DB[Product_ID],Eproduct_DB[Category])</f>
        <v>Sports</v>
      </c>
      <c r="P1099" s="2" t="str">
        <f>_xlfn.XLOOKUP(ESales_DB[[#This Row],[Product_ID]],Eproduct_DB[Product_ID],Eproduct_DB[Product_Name])</f>
        <v>Fitness Resistance Bands</v>
      </c>
      <c r="Q1099" s="2" t="str">
        <f>_xlfn.XLOOKUP(ESales_DB[[#This Row],[Store_ID]],Estore_DB[Store_ID],Estore_DB[Region])</f>
        <v>South</v>
      </c>
      <c r="R1099" t="str">
        <f>VLOOKUP(ESales_DB[[#This Row],[Customer_ID]],Ecustom_DB[],10,FALSE)</f>
        <v>Gold</v>
      </c>
      <c r="S1099" t="str">
        <f>IF(ESales_DB[[#This Row],[Quantity1]]&gt;3,"Bulk order","Normal order")</f>
        <v>Bulk order</v>
      </c>
    </row>
    <row r="1100" spans="1:19" x14ac:dyDescent="0.3">
      <c r="A1100" t="s">
        <v>3813</v>
      </c>
      <c r="B1100" s="4">
        <v>45886</v>
      </c>
      <c r="C1100" s="4" t="str">
        <f>TEXT(ESales_DB[[#This Row],[Order_Date]],"mmm")</f>
        <v>Aug</v>
      </c>
      <c r="D1100" t="s">
        <v>1389</v>
      </c>
      <c r="E1100" t="s">
        <v>1662</v>
      </c>
      <c r="F1100" t="s">
        <v>1813</v>
      </c>
      <c r="G1100">
        <v>1</v>
      </c>
      <c r="H1100" s="10">
        <f>IF(ISBLANK(ESales_DB[[#This Row],[Quantity]]),AVERAGEIF(ESales_DB[Product_ID],ESales_DB[[#This Row],[Product_ID]],ESales_DB[Quantity]),ESales_DB[[#This Row],[Quantity]])</f>
        <v>1</v>
      </c>
      <c r="I1100" s="2">
        <v>120.02</v>
      </c>
      <c r="J1100">
        <v>0.26</v>
      </c>
      <c r="K1100" t="s">
        <v>1824</v>
      </c>
      <c r="L1100" s="2">
        <v>88.814799999999991</v>
      </c>
      <c r="M1100" s="2" t="str">
        <f>IF(ESales_DB[[#This Row],[Total_Amount]]&gt;1000,"High","Low")</f>
        <v>Low</v>
      </c>
      <c r="N1100" s="2" t="str">
        <f>VLOOKUP(ESales_DB[[#This Row],[Customer_ID]],Ecustom_DB[],3,FALSE)</f>
        <v>William Cortez</v>
      </c>
      <c r="O1100" s="2" t="str">
        <f>_xlfn.XLOOKUP(ESales_DB[[#This Row],[Product_ID]],Eproduct_DB[Product_ID],Eproduct_DB[Category])</f>
        <v>Sports</v>
      </c>
      <c r="P1100" s="2" t="str">
        <f>_xlfn.XLOOKUP(ESales_DB[[#This Row],[Product_ID]],Eproduct_DB[Product_ID],Eproduct_DB[Product_Name])</f>
        <v>Foam Roller</v>
      </c>
      <c r="Q1100" s="2" t="str">
        <f>_xlfn.XLOOKUP(ESales_DB[[#This Row],[Store_ID]],Estore_DB[Store_ID],Estore_DB[Region])</f>
        <v>East</v>
      </c>
      <c r="R1100" t="str">
        <f>VLOOKUP(ESales_DB[[#This Row],[Customer_ID]],Ecustom_DB[],10,FALSE)</f>
        <v>Bronze</v>
      </c>
      <c r="S1100" t="str">
        <f>IF(ESales_DB[[#This Row],[Quantity1]]&gt;3,"Bulk order","Normal order")</f>
        <v>Normal order</v>
      </c>
    </row>
    <row r="1101" spans="1:19" x14ac:dyDescent="0.3">
      <c r="A1101" t="s">
        <v>3814</v>
      </c>
      <c r="B1101" s="4">
        <v>45359</v>
      </c>
      <c r="C1101" s="4" t="str">
        <f>TEXT(ESales_DB[[#This Row],[Order_Date]],"mmm")</f>
        <v>Mar</v>
      </c>
      <c r="D1101" t="s">
        <v>1017</v>
      </c>
      <c r="E1101" t="s">
        <v>1630</v>
      </c>
      <c r="F1101" t="s">
        <v>1782</v>
      </c>
      <c r="G1101">
        <v>3</v>
      </c>
      <c r="H1101" s="10">
        <f>IF(ISBLANK(ESales_DB[[#This Row],[Quantity]]),AVERAGEIF(ESales_DB[Product_ID],ESales_DB[[#This Row],[Product_ID]],ESales_DB[Quantity]),ESales_DB[[#This Row],[Quantity]])</f>
        <v>3</v>
      </c>
      <c r="I1101" s="2">
        <v>146.71</v>
      </c>
      <c r="J1101">
        <v>0.28000000000000003</v>
      </c>
      <c r="K1101" t="s">
        <v>1824</v>
      </c>
      <c r="L1101" s="2">
        <v>316.89359999999999</v>
      </c>
      <c r="M1101" s="2" t="str">
        <f>IF(ESales_DB[[#This Row],[Total_Amount]]&gt;1000,"High","Low")</f>
        <v>Low</v>
      </c>
      <c r="N1101" s="2" t="str">
        <f>VLOOKUP(ESales_DB[[#This Row],[Customer_ID]],Ecustom_DB[],3,FALSE)</f>
        <v>Kristy Dunlap</v>
      </c>
      <c r="O1101" s="2" t="str">
        <f>_xlfn.XLOOKUP(ESales_DB[[#This Row],[Product_ID]],Eproduct_DB[Product_ID],Eproduct_DB[Category])</f>
        <v>Sports</v>
      </c>
      <c r="P1101" s="2" t="str">
        <f>_xlfn.XLOOKUP(ESales_DB[[#This Row],[Product_ID]],Eproduct_DB[Product_ID],Eproduct_DB[Product_Name])</f>
        <v>Yoga Exercise Mat</v>
      </c>
      <c r="Q1101" s="2" t="str">
        <f>_xlfn.XLOOKUP(ESales_DB[[#This Row],[Store_ID]],Estore_DB[Store_ID],Estore_DB[Region])</f>
        <v>West</v>
      </c>
      <c r="R1101" t="str">
        <f>VLOOKUP(ESales_DB[[#This Row],[Customer_ID]],Ecustom_DB[],10,FALSE)</f>
        <v>Platinum</v>
      </c>
      <c r="S1101" t="str">
        <f>IF(ESales_DB[[#This Row],[Quantity1]]&gt;3,"Bulk order","Normal order")</f>
        <v>Normal order</v>
      </c>
    </row>
    <row r="1102" spans="1:19" x14ac:dyDescent="0.3">
      <c r="A1102" t="s">
        <v>3815</v>
      </c>
      <c r="B1102" s="4">
        <v>45730</v>
      </c>
      <c r="C1102" s="4" t="str">
        <f>TEXT(ESales_DB[[#This Row],[Order_Date]],"mmm")</f>
        <v>Mar</v>
      </c>
      <c r="D1102" t="s">
        <v>298</v>
      </c>
      <c r="E1102" t="s">
        <v>1676</v>
      </c>
      <c r="F1102" t="s">
        <v>1752</v>
      </c>
      <c r="G1102">
        <v>2</v>
      </c>
      <c r="H1102" s="10">
        <f>IF(ISBLANK(ESales_DB[[#This Row],[Quantity]]),AVERAGEIF(ESales_DB[Product_ID],ESales_DB[[#This Row],[Product_ID]],ESales_DB[Quantity]),ESales_DB[[#This Row],[Quantity]])</f>
        <v>2</v>
      </c>
      <c r="I1102" s="2">
        <v>358.87</v>
      </c>
      <c r="J1102">
        <v>0.24</v>
      </c>
      <c r="K1102" t="s">
        <v>1824</v>
      </c>
      <c r="L1102" s="2">
        <v>545.48239999999998</v>
      </c>
      <c r="M1102" s="2" t="str">
        <f>IF(ESales_DB[[#This Row],[Total_Amount]]&gt;1000,"High","Low")</f>
        <v>Low</v>
      </c>
      <c r="N1102" s="2" t="str">
        <f>VLOOKUP(ESales_DB[[#This Row],[Customer_ID]],Ecustom_DB[],3,FALSE)</f>
        <v>George Rosario</v>
      </c>
      <c r="O1102" s="2" t="str">
        <f>_xlfn.XLOOKUP(ESales_DB[[#This Row],[Product_ID]],Eproduct_DB[Product_ID],Eproduct_DB[Category])</f>
        <v>Beauty</v>
      </c>
      <c r="P1102" s="2" t="str">
        <f>_xlfn.XLOOKUP(ESales_DB[[#This Row],[Product_ID]],Eproduct_DB[Product_ID],Eproduct_DB[Product_Name])</f>
        <v>Matte Lipstick Set</v>
      </c>
      <c r="Q1102" s="2" t="str">
        <f>_xlfn.XLOOKUP(ESales_DB[[#This Row],[Store_ID]],Estore_DB[Store_ID],Estore_DB[Region])</f>
        <v>East</v>
      </c>
      <c r="R1102" t="str">
        <f>VLOOKUP(ESales_DB[[#This Row],[Customer_ID]],Ecustom_DB[],10,FALSE)</f>
        <v>Bronze</v>
      </c>
      <c r="S1102" t="str">
        <f>IF(ESales_DB[[#This Row],[Quantity1]]&gt;3,"Bulk order","Normal order")</f>
        <v>Normal order</v>
      </c>
    </row>
    <row r="1103" spans="1:19" x14ac:dyDescent="0.3">
      <c r="A1103" t="s">
        <v>2025</v>
      </c>
      <c r="B1103" s="4">
        <v>45646</v>
      </c>
      <c r="C1103" s="4" t="str">
        <f>TEXT(ESales_DB[[#This Row],[Order_Date]],"mmm")</f>
        <v>Dec</v>
      </c>
      <c r="D1103" t="s">
        <v>150</v>
      </c>
      <c r="E1103" t="s">
        <v>1680</v>
      </c>
      <c r="F1103" t="s">
        <v>1773</v>
      </c>
      <c r="G1103">
        <v>2</v>
      </c>
      <c r="H1103" s="10">
        <f>IF(ISBLANK(ESales_DB[[#This Row],[Quantity]]),AVERAGEIF(ESales_DB[Product_ID],ESales_DB[[#This Row],[Product_ID]],ESales_DB[Quantity]),ESales_DB[[#This Row],[Quantity]])</f>
        <v>2</v>
      </c>
      <c r="I1103" s="2">
        <v>397.63</v>
      </c>
      <c r="J1103">
        <v>0.26</v>
      </c>
      <c r="K1103" t="s">
        <v>1824</v>
      </c>
      <c r="L1103" s="2">
        <v>588.49239999999998</v>
      </c>
      <c r="M1103" s="2" t="str">
        <f>IF(ESales_DB[[#This Row],[Total_Amount]]&gt;1000,"High","Low")</f>
        <v>Low</v>
      </c>
      <c r="N1103" s="2" t="str">
        <f>VLOOKUP(ESales_DB[[#This Row],[Customer_ID]],Ecustom_DB[],3,FALSE)</f>
        <v>Deanna Simpson</v>
      </c>
      <c r="O1103" s="2" t="str">
        <f>_xlfn.XLOOKUP(ESales_DB[[#This Row],[Product_ID]],Eproduct_DB[Product_ID],Eproduct_DB[Category])</f>
        <v>Beauty</v>
      </c>
      <c r="P1103" s="2" t="str">
        <f>_xlfn.XLOOKUP(ESales_DB[[#This Row],[Product_ID]],Eproduct_DB[Product_ID],Eproduct_DB[Product_Name])</f>
        <v>Women's Hair Dryer Brush</v>
      </c>
      <c r="Q1103" s="2" t="str">
        <f>_xlfn.XLOOKUP(ESales_DB[[#This Row],[Store_ID]],Estore_DB[Store_ID],Estore_DB[Region])</f>
        <v>North</v>
      </c>
      <c r="R1103" t="str">
        <f>VLOOKUP(ESales_DB[[#This Row],[Customer_ID]],Ecustom_DB[],10,FALSE)</f>
        <v>Bronze</v>
      </c>
      <c r="S1103" t="str">
        <f>IF(ESales_DB[[#This Row],[Quantity1]]&gt;3,"Bulk order","Normal order")</f>
        <v>Normal order</v>
      </c>
    </row>
    <row r="1104" spans="1:19" x14ac:dyDescent="0.3">
      <c r="A1104" t="s">
        <v>3816</v>
      </c>
      <c r="B1104" s="4">
        <v>45456</v>
      </c>
      <c r="C1104" s="4" t="str">
        <f>TEXT(ESales_DB[[#This Row],[Order_Date]],"mmm")</f>
        <v>Jun</v>
      </c>
      <c r="D1104" t="s">
        <v>773</v>
      </c>
      <c r="E1104" t="s">
        <v>1652</v>
      </c>
      <c r="F1104" t="s">
        <v>1766</v>
      </c>
      <c r="G1104">
        <v>4</v>
      </c>
      <c r="H1104" s="10">
        <f>IF(ISBLANK(ESales_DB[[#This Row],[Quantity]]),AVERAGEIF(ESales_DB[Product_ID],ESales_DB[[#This Row],[Product_ID]],ESales_DB[Quantity]),ESales_DB[[#This Row],[Quantity]])</f>
        <v>4</v>
      </c>
      <c r="I1104" s="2">
        <v>212.75</v>
      </c>
      <c r="J1104">
        <v>0.11</v>
      </c>
      <c r="K1104" t="s">
        <v>1829</v>
      </c>
      <c r="L1104" s="2">
        <v>757.39</v>
      </c>
      <c r="M1104" s="2" t="str">
        <f>IF(ESales_DB[[#This Row],[Total_Amount]]&gt;1000,"High","Low")</f>
        <v>Low</v>
      </c>
      <c r="N1104" s="2" t="str">
        <f>VLOOKUP(ESales_DB[[#This Row],[Customer_ID]],Ecustom_DB[],3,FALSE)</f>
        <v>Mr. William Horton</v>
      </c>
      <c r="O1104" s="2" t="str">
        <f>_xlfn.XLOOKUP(ESales_DB[[#This Row],[Product_ID]],Eproduct_DB[Product_ID],Eproduct_DB[Category])</f>
        <v>Sports</v>
      </c>
      <c r="P1104" s="2" t="str">
        <f>_xlfn.XLOOKUP(ESales_DB[[#This Row],[Product_ID]],Eproduct_DB[Product_ID],Eproduct_DB[Product_Name])</f>
        <v>Rugby Ball</v>
      </c>
      <c r="Q1104" s="2" t="str">
        <f>_xlfn.XLOOKUP(ESales_DB[[#This Row],[Store_ID]],Estore_DB[Store_ID],Estore_DB[Region])</f>
        <v>North</v>
      </c>
      <c r="R1104" t="str">
        <f>VLOOKUP(ESales_DB[[#This Row],[Customer_ID]],Ecustom_DB[],10,FALSE)</f>
        <v>Platinum</v>
      </c>
      <c r="S1104" t="str">
        <f>IF(ESales_DB[[#This Row],[Quantity1]]&gt;3,"Bulk order","Normal order")</f>
        <v>Bulk order</v>
      </c>
    </row>
    <row r="1105" spans="1:19" x14ac:dyDescent="0.3">
      <c r="A1105" t="s">
        <v>3817</v>
      </c>
      <c r="B1105" s="4">
        <v>45450</v>
      </c>
      <c r="C1105" s="4" t="str">
        <f>TEXT(ESales_DB[[#This Row],[Order_Date]],"mmm")</f>
        <v>Jun</v>
      </c>
      <c r="D1105" t="s">
        <v>1029</v>
      </c>
      <c r="E1105" t="s">
        <v>1638</v>
      </c>
      <c r="F1105" t="s">
        <v>1792</v>
      </c>
      <c r="G1105">
        <v>1</v>
      </c>
      <c r="H1105" s="10">
        <f>IF(ISBLANK(ESales_DB[[#This Row],[Quantity]]),AVERAGEIF(ESales_DB[Product_ID],ESales_DB[[#This Row],[Product_ID]],ESales_DB[Quantity]),ESales_DB[[#This Row],[Quantity]])</f>
        <v>1</v>
      </c>
      <c r="I1105" s="2">
        <v>183.47</v>
      </c>
      <c r="J1105">
        <v>0.17</v>
      </c>
      <c r="K1105" t="s">
        <v>1826</v>
      </c>
      <c r="L1105" s="2">
        <v>152.2801</v>
      </c>
      <c r="M1105" s="2" t="str">
        <f>IF(ESales_DB[[#This Row],[Total_Amount]]&gt;1000,"High","Low")</f>
        <v>Low</v>
      </c>
      <c r="N1105" s="2" t="str">
        <f>VLOOKUP(ESales_DB[[#This Row],[Customer_ID]],Ecustom_DB[],3,FALSE)</f>
        <v>Reginald Willis</v>
      </c>
      <c r="O1105" s="2" t="str">
        <f>_xlfn.XLOOKUP(ESales_DB[[#This Row],[Product_ID]],Eproduct_DB[Product_ID],Eproduct_DB[Category])</f>
        <v>Sports</v>
      </c>
      <c r="P1105" s="2" t="str">
        <f>_xlfn.XLOOKUP(ESales_DB[[#This Row],[Product_ID]],Eproduct_DB[Product_ID],Eproduct_DB[Product_Name])</f>
        <v>High-Grip Football</v>
      </c>
      <c r="Q1105" s="2" t="str">
        <f>_xlfn.XLOOKUP(ESales_DB[[#This Row],[Store_ID]],Estore_DB[Store_ID],Estore_DB[Region])</f>
        <v>South</v>
      </c>
      <c r="R1105" t="str">
        <f>VLOOKUP(ESales_DB[[#This Row],[Customer_ID]],Ecustom_DB[],10,FALSE)</f>
        <v>Bronze</v>
      </c>
      <c r="S1105" t="str">
        <f>IF(ESales_DB[[#This Row],[Quantity1]]&gt;3,"Bulk order","Normal order")</f>
        <v>Normal order</v>
      </c>
    </row>
    <row r="1106" spans="1:19" x14ac:dyDescent="0.3">
      <c r="A1106" t="s">
        <v>3818</v>
      </c>
      <c r="B1106" s="4">
        <v>45493</v>
      </c>
      <c r="C1106" s="4" t="str">
        <f>TEXT(ESales_DB[[#This Row],[Order_Date]],"mmm")</f>
        <v>Jul</v>
      </c>
      <c r="D1106" t="s">
        <v>251</v>
      </c>
      <c r="E1106" t="s">
        <v>1726</v>
      </c>
      <c r="F1106" t="s">
        <v>1801</v>
      </c>
      <c r="G1106">
        <v>4</v>
      </c>
      <c r="H1106" s="10">
        <f>IF(ISBLANK(ESales_DB[[#This Row],[Quantity]]),AVERAGEIF(ESales_DB[Product_ID],ESales_DB[[#This Row],[Product_ID]],ESales_DB[Quantity]),ESales_DB[[#This Row],[Quantity]])</f>
        <v>4</v>
      </c>
      <c r="I1106" s="2">
        <v>569.98</v>
      </c>
      <c r="J1106">
        <v>0.23</v>
      </c>
      <c r="K1106" t="s">
        <v>1824</v>
      </c>
      <c r="L1106" s="2">
        <v>1755.5383999999999</v>
      </c>
      <c r="M1106" s="2" t="str">
        <f>IF(ESales_DB[[#This Row],[Total_Amount]]&gt;1000,"High","Low")</f>
        <v>High</v>
      </c>
      <c r="N1106" s="2" t="str">
        <f>VLOOKUP(ESales_DB[[#This Row],[Customer_ID]],Ecustom_DB[],3,FALSE)</f>
        <v>Mr. Mark Beasley</v>
      </c>
      <c r="O1106" s="2" t="str">
        <f>_xlfn.XLOOKUP(ESales_DB[[#This Row],[Product_ID]],Eproduct_DB[Product_ID],Eproduct_DB[Category])</f>
        <v>Beauty</v>
      </c>
      <c r="P1106" s="2" t="str">
        <f>_xlfn.XLOOKUP(ESales_DB[[#This Row],[Product_ID]],Eproduct_DB[Product_ID],Eproduct_DB[Product_Name])</f>
        <v>Face Foundation Kit</v>
      </c>
      <c r="Q1106" s="2" t="str">
        <f>_xlfn.XLOOKUP(ESales_DB[[#This Row],[Store_ID]],Estore_DB[Store_ID],Estore_DB[Region])</f>
        <v>North</v>
      </c>
      <c r="R1106" t="str">
        <f>VLOOKUP(ESales_DB[[#This Row],[Customer_ID]],Ecustom_DB[],10,FALSE)</f>
        <v>Silver</v>
      </c>
      <c r="S1106" t="str">
        <f>IF(ESales_DB[[#This Row],[Quantity1]]&gt;3,"Bulk order","Normal order")</f>
        <v>Bulk order</v>
      </c>
    </row>
    <row r="1107" spans="1:19" x14ac:dyDescent="0.3">
      <c r="A1107" t="s">
        <v>3819</v>
      </c>
      <c r="B1107" s="4">
        <v>45274</v>
      </c>
      <c r="C1107" s="4" t="str">
        <f>TEXT(ESales_DB[[#This Row],[Order_Date]],"mmm")</f>
        <v>Dec</v>
      </c>
      <c r="D1107" t="s">
        <v>1455</v>
      </c>
      <c r="E1107" t="s">
        <v>1590</v>
      </c>
      <c r="F1107" t="s">
        <v>1794</v>
      </c>
      <c r="G1107">
        <v>3</v>
      </c>
      <c r="H1107" s="10">
        <f>IF(ISBLANK(ESales_DB[[#This Row],[Quantity]]),AVERAGEIF(ESales_DB[Product_ID],ESales_DB[[#This Row],[Product_ID]],ESales_DB[Quantity]),ESales_DB[[#This Row],[Quantity]])</f>
        <v>3</v>
      </c>
      <c r="I1107" s="2">
        <v>984.12</v>
      </c>
      <c r="J1107">
        <v>0.27</v>
      </c>
      <c r="K1107" t="s">
        <v>1824</v>
      </c>
      <c r="L1107" s="2">
        <v>2155.2228</v>
      </c>
      <c r="M1107" s="2" t="str">
        <f>IF(ESales_DB[[#This Row],[Total_Amount]]&gt;1000,"High","Low")</f>
        <v>High</v>
      </c>
      <c r="N1107" s="2" t="str">
        <f>VLOOKUP(ESales_DB[[#This Row],[Customer_ID]],Ecustom_DB[],3,FALSE)</f>
        <v>Philip Mendoza</v>
      </c>
      <c r="O1107" s="2" t="str">
        <f>_xlfn.XLOOKUP(ESales_DB[[#This Row],[Product_ID]],Eproduct_DB[Product_ID],Eproduct_DB[Category])</f>
        <v>Home</v>
      </c>
      <c r="P1107" s="2" t="str">
        <f>_xlfn.XLOOKUP(ESales_DB[[#This Row],[Product_ID]],Eproduct_DB[Product_ID],Eproduct_DB[Product_Name])</f>
        <v>Multi-Purpose Storage Box</v>
      </c>
      <c r="Q1107" s="2" t="str">
        <f>_xlfn.XLOOKUP(ESales_DB[[#This Row],[Store_ID]],Estore_DB[Store_ID],Estore_DB[Region])</f>
        <v>North</v>
      </c>
      <c r="R1107" t="str">
        <f>VLOOKUP(ESales_DB[[#This Row],[Customer_ID]],Ecustom_DB[],10,FALSE)</f>
        <v>Silver</v>
      </c>
      <c r="S1107" t="str">
        <f>IF(ESales_DB[[#This Row],[Quantity1]]&gt;3,"Bulk order","Normal order")</f>
        <v>Normal order</v>
      </c>
    </row>
    <row r="1108" spans="1:19" x14ac:dyDescent="0.3">
      <c r="A1108" t="s">
        <v>3820</v>
      </c>
      <c r="B1108" s="4">
        <v>45844</v>
      </c>
      <c r="C1108" s="4" t="str">
        <f>TEXT(ESales_DB[[#This Row],[Order_Date]],"mmm")</f>
        <v>Jul</v>
      </c>
      <c r="D1108" t="s">
        <v>1458</v>
      </c>
      <c r="E1108" t="s">
        <v>1716</v>
      </c>
      <c r="F1108" t="s">
        <v>1782</v>
      </c>
      <c r="G1108">
        <v>1</v>
      </c>
      <c r="H1108" s="10">
        <f>IF(ISBLANK(ESales_DB[[#This Row],[Quantity]]),AVERAGEIF(ESales_DB[Product_ID],ESales_DB[[#This Row],[Product_ID]],ESales_DB[Quantity]),ESales_DB[[#This Row],[Quantity]])</f>
        <v>1</v>
      </c>
      <c r="I1108" s="2">
        <v>905.23</v>
      </c>
      <c r="J1108">
        <v>0</v>
      </c>
      <c r="K1108" t="s">
        <v>1824</v>
      </c>
      <c r="L1108" s="2">
        <v>905.23</v>
      </c>
      <c r="M1108" s="2" t="str">
        <f>IF(ESales_DB[[#This Row],[Total_Amount]]&gt;1000,"High","Low")</f>
        <v>Low</v>
      </c>
      <c r="N1108" s="2" t="str">
        <f>VLOOKUP(ESales_DB[[#This Row],[Customer_ID]],Ecustom_DB[],3,FALSE)</f>
        <v>Laura Mathews</v>
      </c>
      <c r="O1108" s="2" t="str">
        <f>_xlfn.XLOOKUP(ESales_DB[[#This Row],[Product_ID]],Eproduct_DB[Product_ID],Eproduct_DB[Category])</f>
        <v>Home</v>
      </c>
      <c r="P1108" s="2" t="str">
        <f>_xlfn.XLOOKUP(ESales_DB[[#This Row],[Product_ID]],Eproduct_DB[Product_ID],Eproduct_DB[Product_Name])</f>
        <v>Wooden Bookshelf</v>
      </c>
      <c r="Q1108" s="2" t="str">
        <f>_xlfn.XLOOKUP(ESales_DB[[#This Row],[Store_ID]],Estore_DB[Store_ID],Estore_DB[Region])</f>
        <v>West</v>
      </c>
      <c r="R1108" t="str">
        <f>VLOOKUP(ESales_DB[[#This Row],[Customer_ID]],Ecustom_DB[],10,FALSE)</f>
        <v>Bronze</v>
      </c>
      <c r="S1108" t="str">
        <f>IF(ESales_DB[[#This Row],[Quantity1]]&gt;3,"Bulk order","Normal order")</f>
        <v>Normal order</v>
      </c>
    </row>
    <row r="1109" spans="1:19" x14ac:dyDescent="0.3">
      <c r="A1109" t="s">
        <v>3821</v>
      </c>
      <c r="B1109" s="4">
        <v>45264</v>
      </c>
      <c r="C1109" s="4" t="str">
        <f>TEXT(ESales_DB[[#This Row],[Order_Date]],"mmm")</f>
        <v>Dec</v>
      </c>
      <c r="D1109" t="s">
        <v>613</v>
      </c>
      <c r="E1109" t="s">
        <v>1746</v>
      </c>
      <c r="F1109" t="s">
        <v>1813</v>
      </c>
      <c r="G1109">
        <v>3</v>
      </c>
      <c r="H1109" s="10">
        <f>IF(ISBLANK(ESales_DB[[#This Row],[Quantity]]),AVERAGEIF(ESales_DB[Product_ID],ESales_DB[[#This Row],[Product_ID]],ESales_DB[Quantity]),ESales_DB[[#This Row],[Quantity]])</f>
        <v>3</v>
      </c>
      <c r="I1109" s="2">
        <v>112.77</v>
      </c>
      <c r="J1109">
        <v>0.19</v>
      </c>
      <c r="K1109" t="s">
        <v>1824</v>
      </c>
      <c r="L1109" s="2">
        <v>274.03109999999998</v>
      </c>
      <c r="M1109" s="2" t="str">
        <f>IF(ESales_DB[[#This Row],[Total_Amount]]&gt;1000,"High","Low")</f>
        <v>Low</v>
      </c>
      <c r="N1109" s="2" t="str">
        <f>VLOOKUP(ESales_DB[[#This Row],[Customer_ID]],Ecustom_DB[],3,FALSE)</f>
        <v>Jennifer Pruitt</v>
      </c>
      <c r="O1109" s="2" t="str">
        <f>_xlfn.XLOOKUP(ESales_DB[[#This Row],[Product_ID]],Eproduct_DB[Product_ID],Eproduct_DB[Category])</f>
        <v>Home</v>
      </c>
      <c r="P1109" s="2" t="str">
        <f>_xlfn.XLOOKUP(ESales_DB[[#This Row],[Product_ID]],Eproduct_DB[Product_ID],Eproduct_DB[Product_Name])</f>
        <v>Stainless Steel Cookware Set</v>
      </c>
      <c r="Q1109" s="2" t="str">
        <f>_xlfn.XLOOKUP(ESales_DB[[#This Row],[Store_ID]],Estore_DB[Store_ID],Estore_DB[Region])</f>
        <v>East</v>
      </c>
      <c r="R1109" t="str">
        <f>VLOOKUP(ESales_DB[[#This Row],[Customer_ID]],Ecustom_DB[],10,FALSE)</f>
        <v>Silver</v>
      </c>
      <c r="S1109" t="str">
        <f>IF(ESales_DB[[#This Row],[Quantity1]]&gt;3,"Bulk order","Normal order")</f>
        <v>Normal order</v>
      </c>
    </row>
    <row r="1110" spans="1:19" x14ac:dyDescent="0.3">
      <c r="A1110" t="s">
        <v>3822</v>
      </c>
      <c r="B1110" s="4">
        <v>45773</v>
      </c>
      <c r="C1110" s="4" t="str">
        <f>TEXT(ESales_DB[[#This Row],[Order_Date]],"mmm")</f>
        <v>Apr</v>
      </c>
      <c r="D1110" t="s">
        <v>538</v>
      </c>
      <c r="E1110" t="s">
        <v>1618</v>
      </c>
      <c r="F1110" t="s">
        <v>1782</v>
      </c>
      <c r="G1110">
        <v>3</v>
      </c>
      <c r="H1110" s="10">
        <f>IF(ISBLANK(ESales_DB[[#This Row],[Quantity]]),AVERAGEIF(ESales_DB[Product_ID],ESales_DB[[#This Row],[Product_ID]],ESales_DB[Quantity]),ESales_DB[[#This Row],[Quantity]])</f>
        <v>3</v>
      </c>
      <c r="I1110" s="2">
        <v>875.99</v>
      </c>
      <c r="J1110">
        <v>0.09</v>
      </c>
      <c r="K1110" t="s">
        <v>1826</v>
      </c>
      <c r="L1110" s="2">
        <v>2391.4526999999998</v>
      </c>
      <c r="M1110" s="2" t="str">
        <f>IF(ESales_DB[[#This Row],[Total_Amount]]&gt;1000,"High","Low")</f>
        <v>High</v>
      </c>
      <c r="N1110" s="2" t="str">
        <f>VLOOKUP(ESales_DB[[#This Row],[Customer_ID]],Ecustom_DB[],3,FALSE)</f>
        <v>Cynthia Morris</v>
      </c>
      <c r="O1110" s="2" t="str">
        <f>_xlfn.XLOOKUP(ESales_DB[[#This Row],[Product_ID]],Eproduct_DB[Product_ID],Eproduct_DB[Category])</f>
        <v>Home</v>
      </c>
      <c r="P1110" s="2" t="str">
        <f>_xlfn.XLOOKUP(ESales_DB[[#This Row],[Product_ID]],Eproduct_DB[Product_ID],Eproduct_DB[Product_Name])</f>
        <v>Bedroom Table Lamp</v>
      </c>
      <c r="Q1110" s="2" t="str">
        <f>_xlfn.XLOOKUP(ESales_DB[[#This Row],[Store_ID]],Estore_DB[Store_ID],Estore_DB[Region])</f>
        <v>West</v>
      </c>
      <c r="R1110" t="str">
        <f>VLOOKUP(ESales_DB[[#This Row],[Customer_ID]],Ecustom_DB[],10,FALSE)</f>
        <v>Silver</v>
      </c>
      <c r="S1110" t="str">
        <f>IF(ESales_DB[[#This Row],[Quantity1]]&gt;3,"Bulk order","Normal order")</f>
        <v>Normal order</v>
      </c>
    </row>
    <row r="1111" spans="1:19" x14ac:dyDescent="0.3">
      <c r="A1111" t="s">
        <v>3823</v>
      </c>
      <c r="B1111" s="4">
        <v>45460</v>
      </c>
      <c r="C1111" s="4" t="str">
        <f>TEXT(ESales_DB[[#This Row],[Order_Date]],"mmm")</f>
        <v>Jun</v>
      </c>
      <c r="D1111" t="s">
        <v>441</v>
      </c>
      <c r="E1111" t="s">
        <v>1726</v>
      </c>
      <c r="F1111" t="s">
        <v>1789</v>
      </c>
      <c r="G1111">
        <v>2</v>
      </c>
      <c r="H1111" s="10">
        <f>IF(ISBLANK(ESales_DB[[#This Row],[Quantity]]),AVERAGEIF(ESales_DB[Product_ID],ESales_DB[[#This Row],[Product_ID]],ESales_DB[Quantity]),ESales_DB[[#This Row],[Quantity]])</f>
        <v>2</v>
      </c>
      <c r="I1111" s="2">
        <v>685.31</v>
      </c>
      <c r="J1111">
        <v>0.26</v>
      </c>
      <c r="K1111" t="s">
        <v>1826</v>
      </c>
      <c r="L1111" s="2">
        <v>1014.2588</v>
      </c>
      <c r="M1111" s="2" t="str">
        <f>IF(ESales_DB[[#This Row],[Total_Amount]]&gt;1000,"High","Low")</f>
        <v>High</v>
      </c>
      <c r="N1111" s="2" t="str">
        <f>VLOOKUP(ESales_DB[[#This Row],[Customer_ID]],Ecustom_DB[],3,FALSE)</f>
        <v>Susan Mcdonald</v>
      </c>
      <c r="O1111" s="2" t="str">
        <f>_xlfn.XLOOKUP(ESales_DB[[#This Row],[Product_ID]],Eproduct_DB[Product_ID],Eproduct_DB[Category])</f>
        <v>Beauty</v>
      </c>
      <c r="P1111" s="2" t="str">
        <f>_xlfn.XLOOKUP(ESales_DB[[#This Row],[Product_ID]],Eproduct_DB[Product_ID],Eproduct_DB[Product_Name])</f>
        <v>Face Foundation Kit</v>
      </c>
      <c r="Q1111" s="2" t="str">
        <f>_xlfn.XLOOKUP(ESales_DB[[#This Row],[Store_ID]],Estore_DB[Store_ID],Estore_DB[Region])</f>
        <v>East</v>
      </c>
      <c r="R1111" t="str">
        <f>VLOOKUP(ESales_DB[[#This Row],[Customer_ID]],Ecustom_DB[],10,FALSE)</f>
        <v>Silver</v>
      </c>
      <c r="S1111" t="str">
        <f>IF(ESales_DB[[#This Row],[Quantity1]]&gt;3,"Bulk order","Normal order")</f>
        <v>Normal order</v>
      </c>
    </row>
    <row r="1112" spans="1:19" x14ac:dyDescent="0.3">
      <c r="A1112" t="s">
        <v>3824</v>
      </c>
      <c r="B1112" s="4">
        <v>45607</v>
      </c>
      <c r="C1112" s="4" t="str">
        <f>TEXT(ESales_DB[[#This Row],[Order_Date]],"mmm")</f>
        <v>Nov</v>
      </c>
      <c r="D1112" t="s">
        <v>198</v>
      </c>
      <c r="E1112" t="s">
        <v>1670</v>
      </c>
      <c r="F1112" t="s">
        <v>1792</v>
      </c>
      <c r="G1112">
        <v>3</v>
      </c>
      <c r="H1112" s="10">
        <f>IF(ISBLANK(ESales_DB[[#This Row],[Quantity]]),AVERAGEIF(ESales_DB[Product_ID],ESales_DB[[#This Row],[Product_ID]],ESales_DB[Quantity]),ESales_DB[[#This Row],[Quantity]])</f>
        <v>3</v>
      </c>
      <c r="I1112" s="2">
        <v>945.37</v>
      </c>
      <c r="J1112">
        <v>0.05</v>
      </c>
      <c r="K1112" t="s">
        <v>1824</v>
      </c>
      <c r="L1112" s="2">
        <v>2694.3045000000002</v>
      </c>
      <c r="M1112" s="2" t="str">
        <f>IF(ESales_DB[[#This Row],[Total_Amount]]&gt;1000,"High","Low")</f>
        <v>High</v>
      </c>
      <c r="N1112" s="2" t="str">
        <f>VLOOKUP(ESales_DB[[#This Row],[Customer_ID]],Ecustom_DB[],3,FALSE)</f>
        <v>Debra Liu</v>
      </c>
      <c r="O1112" s="2" t="str">
        <f>_xlfn.XLOOKUP(ESales_DB[[#This Row],[Product_ID]],Eproduct_DB[Product_ID],Eproduct_DB[Category])</f>
        <v>Sports</v>
      </c>
      <c r="P1112" s="2" t="str">
        <f>_xlfn.XLOOKUP(ESales_DB[[#This Row],[Product_ID]],Eproduct_DB[Product_ID],Eproduct_DB[Product_Name])</f>
        <v>Tennis Ball 3-Pack</v>
      </c>
      <c r="Q1112" s="2" t="str">
        <f>_xlfn.XLOOKUP(ESales_DB[[#This Row],[Store_ID]],Estore_DB[Store_ID],Estore_DB[Region])</f>
        <v>South</v>
      </c>
      <c r="R1112" t="str">
        <f>VLOOKUP(ESales_DB[[#This Row],[Customer_ID]],Ecustom_DB[],10,FALSE)</f>
        <v>Bronze</v>
      </c>
      <c r="S1112" t="str">
        <f>IF(ESales_DB[[#This Row],[Quantity1]]&gt;3,"Bulk order","Normal order")</f>
        <v>Normal order</v>
      </c>
    </row>
    <row r="1113" spans="1:19" x14ac:dyDescent="0.3">
      <c r="A1113" t="s">
        <v>3825</v>
      </c>
      <c r="B1113" s="4">
        <v>45267</v>
      </c>
      <c r="C1113" s="4" t="str">
        <f>TEXT(ESales_DB[[#This Row],[Order_Date]],"mmm")</f>
        <v>Dec</v>
      </c>
      <c r="D1113" t="s">
        <v>100</v>
      </c>
      <c r="E1113" t="s">
        <v>1700</v>
      </c>
      <c r="F1113" t="s">
        <v>1813</v>
      </c>
      <c r="G1113">
        <v>3</v>
      </c>
      <c r="H1113" s="10">
        <f>IF(ISBLANK(ESales_DB[[#This Row],[Quantity]]),AVERAGEIF(ESales_DB[Product_ID],ESales_DB[[#This Row],[Product_ID]],ESales_DB[Quantity]),ESales_DB[[#This Row],[Quantity]])</f>
        <v>3</v>
      </c>
      <c r="I1113" s="2">
        <v>68.45</v>
      </c>
      <c r="J1113">
        <v>0.17</v>
      </c>
      <c r="K1113" t="s">
        <v>1826</v>
      </c>
      <c r="L1113" s="2">
        <v>170.44049999999999</v>
      </c>
      <c r="M1113" s="2" t="str">
        <f>IF(ESales_DB[[#This Row],[Total_Amount]]&gt;1000,"High","Low")</f>
        <v>Low</v>
      </c>
      <c r="N1113" s="2" t="str">
        <f>VLOOKUP(ESales_DB[[#This Row],[Customer_ID]],Ecustom_DB[],3,FALSE)</f>
        <v>Jonathan Steele</v>
      </c>
      <c r="O1113" s="2" t="str">
        <f>_xlfn.XLOOKUP(ESales_DB[[#This Row],[Product_ID]],Eproduct_DB[Product_ID],Eproduct_DB[Category])</f>
        <v>Electronics</v>
      </c>
      <c r="P1113" s="2" t="str">
        <f>_xlfn.XLOOKUP(ESales_DB[[#This Row],[Product_ID]],Eproduct_DB[Product_ID],Eproduct_DB[Product_Name])</f>
        <v>Wireless Mouse</v>
      </c>
      <c r="Q1113" s="2" t="str">
        <f>_xlfn.XLOOKUP(ESales_DB[[#This Row],[Store_ID]],Estore_DB[Store_ID],Estore_DB[Region])</f>
        <v>East</v>
      </c>
      <c r="R1113" t="str">
        <f>VLOOKUP(ESales_DB[[#This Row],[Customer_ID]],Ecustom_DB[],10,FALSE)</f>
        <v>Silver</v>
      </c>
      <c r="S1113" t="str">
        <f>IF(ESales_DB[[#This Row],[Quantity1]]&gt;3,"Bulk order","Normal order")</f>
        <v>Normal order</v>
      </c>
    </row>
    <row r="1114" spans="1:19" x14ac:dyDescent="0.3">
      <c r="A1114" t="s">
        <v>1827</v>
      </c>
      <c r="B1114" s="4">
        <v>45446</v>
      </c>
      <c r="C1114" s="4" t="str">
        <f>TEXT(ESales_DB[[#This Row],[Order_Date]],"mmm")</f>
        <v>Jun</v>
      </c>
      <c r="D1114" t="s">
        <v>211</v>
      </c>
      <c r="E1114" t="s">
        <v>1646</v>
      </c>
      <c r="F1114" t="s">
        <v>1782</v>
      </c>
      <c r="G1114">
        <v>4</v>
      </c>
      <c r="H1114" s="10">
        <f>IF(ISBLANK(ESales_DB[[#This Row],[Quantity]]),AVERAGEIF(ESales_DB[Product_ID],ESales_DB[[#This Row],[Product_ID]],ESales_DB[Quantity]),ESales_DB[[#This Row],[Quantity]])</f>
        <v>4</v>
      </c>
      <c r="I1114" s="2">
        <v>914.05</v>
      </c>
      <c r="J1114">
        <v>0.25</v>
      </c>
      <c r="K1114" t="s">
        <v>1824</v>
      </c>
      <c r="L1114" s="2">
        <v>2742.15</v>
      </c>
      <c r="M1114" s="2" t="str">
        <f>IF(ESales_DB[[#This Row],[Total_Amount]]&gt;1000,"High","Low")</f>
        <v>High</v>
      </c>
      <c r="N1114" s="2" t="str">
        <f>VLOOKUP(ESales_DB[[#This Row],[Customer_ID]],Ecustom_DB[],3,FALSE)</f>
        <v>Christopher Sutton</v>
      </c>
      <c r="O1114" s="2" t="str">
        <f>_xlfn.XLOOKUP(ESales_DB[[#This Row],[Product_ID]],Eproduct_DB[Product_ID],Eproduct_DB[Category])</f>
        <v>Beauty</v>
      </c>
      <c r="P1114" s="2" t="str">
        <f>_xlfn.XLOOKUP(ESales_DB[[#This Row],[Product_ID]],Eproduct_DB[Product_ID],Eproduct_DB[Product_Name])</f>
        <v>Men's Roll-On Perfume</v>
      </c>
      <c r="Q1114" s="2" t="str">
        <f>_xlfn.XLOOKUP(ESales_DB[[#This Row],[Store_ID]],Estore_DB[Store_ID],Estore_DB[Region])</f>
        <v>West</v>
      </c>
      <c r="R1114" t="str">
        <f>VLOOKUP(ESales_DB[[#This Row],[Customer_ID]],Ecustom_DB[],10,FALSE)</f>
        <v>Gold</v>
      </c>
      <c r="S1114" t="str">
        <f>IF(ESales_DB[[#This Row],[Quantity1]]&gt;3,"Bulk order","Normal order")</f>
        <v>Bulk order</v>
      </c>
    </row>
    <row r="1115" spans="1:19" x14ac:dyDescent="0.3">
      <c r="A1115" t="s">
        <v>1846</v>
      </c>
      <c r="B1115" s="4">
        <v>45843</v>
      </c>
      <c r="C1115" s="4" t="str">
        <f>TEXT(ESales_DB[[#This Row],[Order_Date]],"mmm")</f>
        <v>Jul</v>
      </c>
      <c r="D1115" t="s">
        <v>487</v>
      </c>
      <c r="E1115" t="s">
        <v>1692</v>
      </c>
      <c r="F1115" t="s">
        <v>1807</v>
      </c>
      <c r="G1115">
        <v>3</v>
      </c>
      <c r="H1115" s="10">
        <f>IF(ISBLANK(ESales_DB[[#This Row],[Quantity]]),AVERAGEIF(ESales_DB[Product_ID],ESales_DB[[#This Row],[Product_ID]],ESales_DB[Quantity]),ESales_DB[[#This Row],[Quantity]])</f>
        <v>3</v>
      </c>
      <c r="I1115" s="2">
        <v>986.04</v>
      </c>
      <c r="J1115">
        <v>0.27</v>
      </c>
      <c r="K1115" t="s">
        <v>1829</v>
      </c>
      <c r="L1115" s="2">
        <v>2159.4276</v>
      </c>
      <c r="M1115" s="2" t="str">
        <f>IF(ESales_DB[[#This Row],[Total_Amount]]&gt;1000,"High","Low")</f>
        <v>High</v>
      </c>
      <c r="N1115" s="2" t="str">
        <f>VLOOKUP(ESales_DB[[#This Row],[Customer_ID]],Ecustom_DB[],3,FALSE)</f>
        <v>Justin Cross</v>
      </c>
      <c r="O1115" s="2" t="str">
        <f>_xlfn.XLOOKUP(ESales_DB[[#This Row],[Product_ID]],Eproduct_DB[Product_ID],Eproduct_DB[Category])</f>
        <v>Sports</v>
      </c>
      <c r="P1115" s="2" t="str">
        <f>_xlfn.XLOOKUP(ESales_DB[[#This Row],[Product_ID]],Eproduct_DB[Product_ID],Eproduct_DB[Product_Name])</f>
        <v>Professional Jump Rope</v>
      </c>
      <c r="Q1115" s="2" t="str">
        <f>_xlfn.XLOOKUP(ESales_DB[[#This Row],[Store_ID]],Estore_DB[Store_ID],Estore_DB[Region])</f>
        <v>North</v>
      </c>
      <c r="R1115" t="str">
        <f>VLOOKUP(ESales_DB[[#This Row],[Customer_ID]],Ecustom_DB[],10,FALSE)</f>
        <v>Bronze</v>
      </c>
      <c r="S1115" t="str">
        <f>IF(ESales_DB[[#This Row],[Quantity1]]&gt;3,"Bulk order","Normal order")</f>
        <v>Normal order</v>
      </c>
    </row>
    <row r="1116" spans="1:19" x14ac:dyDescent="0.3">
      <c r="A1116" t="s">
        <v>2026</v>
      </c>
      <c r="B1116" s="4">
        <v>45725</v>
      </c>
      <c r="C1116" s="4" t="str">
        <f>TEXT(ESales_DB[[#This Row],[Order_Date]],"mmm")</f>
        <v>Mar</v>
      </c>
      <c r="D1116" t="s">
        <v>565</v>
      </c>
      <c r="E1116" t="s">
        <v>1714</v>
      </c>
      <c r="F1116" t="s">
        <v>1776</v>
      </c>
      <c r="G1116">
        <v>3</v>
      </c>
      <c r="H1116" s="10">
        <f>IF(ISBLANK(ESales_DB[[#This Row],[Quantity]]),AVERAGEIF(ESales_DB[Product_ID],ESales_DB[[#This Row],[Product_ID]],ESales_DB[Quantity]),ESales_DB[[#This Row],[Quantity]])</f>
        <v>3</v>
      </c>
      <c r="I1116" s="2">
        <v>748.56</v>
      </c>
      <c r="J1116">
        <v>0.26</v>
      </c>
      <c r="K1116" t="s">
        <v>1826</v>
      </c>
      <c r="L1116" s="2">
        <v>1661.8032000000001</v>
      </c>
      <c r="M1116" s="2" t="str">
        <f>IF(ESales_DB[[#This Row],[Total_Amount]]&gt;1000,"High","Low")</f>
        <v>High</v>
      </c>
      <c r="N1116" s="2" t="str">
        <f>VLOOKUP(ESales_DB[[#This Row],[Customer_ID]],Ecustom_DB[],3,FALSE)</f>
        <v>Christopher Garcia Dds</v>
      </c>
      <c r="O1116" s="2" t="str">
        <f>_xlfn.XLOOKUP(ESales_DB[[#This Row],[Product_ID]],Eproduct_DB[Product_ID],Eproduct_DB[Category])</f>
        <v>Beauty</v>
      </c>
      <c r="P1116" s="2" t="str">
        <f>_xlfn.XLOOKUP(ESales_DB[[#This Row],[Product_ID]],Eproduct_DB[Product_ID],Eproduct_DB[Product_Name])</f>
        <v>Hydrating Face Cleanser</v>
      </c>
      <c r="Q1116" s="2" t="str">
        <f>_xlfn.XLOOKUP(ESales_DB[[#This Row],[Store_ID]],Estore_DB[Store_ID],Estore_DB[Region])</f>
        <v>East</v>
      </c>
      <c r="R1116" t="str">
        <f>VLOOKUP(ESales_DB[[#This Row],[Customer_ID]],Ecustom_DB[],10,FALSE)</f>
        <v>Gold</v>
      </c>
      <c r="S1116" t="str">
        <f>IF(ESales_DB[[#This Row],[Quantity1]]&gt;3,"Bulk order","Normal order")</f>
        <v>Normal order</v>
      </c>
    </row>
    <row r="1117" spans="1:19" x14ac:dyDescent="0.3">
      <c r="A1117" t="s">
        <v>2027</v>
      </c>
      <c r="B1117" s="4">
        <v>45742</v>
      </c>
      <c r="C1117" s="4" t="str">
        <f>TEXT(ESales_DB[[#This Row],[Order_Date]],"mmm")</f>
        <v>Mar</v>
      </c>
      <c r="D1117" t="s">
        <v>487</v>
      </c>
      <c r="E1117" t="s">
        <v>1614</v>
      </c>
      <c r="F1117" t="s">
        <v>1769</v>
      </c>
      <c r="G1117">
        <v>1</v>
      </c>
      <c r="H1117" s="10">
        <f>IF(ISBLANK(ESales_DB[[#This Row],[Quantity]]),AVERAGEIF(ESales_DB[Product_ID],ESales_DB[[#This Row],[Product_ID]],ESales_DB[Quantity]),ESales_DB[[#This Row],[Quantity]])</f>
        <v>1</v>
      </c>
      <c r="I1117" s="2">
        <v>885.72</v>
      </c>
      <c r="J1117">
        <v>0.15</v>
      </c>
      <c r="K1117" t="s">
        <v>1824</v>
      </c>
      <c r="L1117" s="2">
        <v>752.86199999999997</v>
      </c>
      <c r="M1117" s="2" t="str">
        <f>IF(ESales_DB[[#This Row],[Total_Amount]]&gt;1000,"High","Low")</f>
        <v>Low</v>
      </c>
      <c r="N1117" s="2" t="str">
        <f>VLOOKUP(ESales_DB[[#This Row],[Customer_ID]],Ecustom_DB[],3,FALSE)</f>
        <v>Justin Cross</v>
      </c>
      <c r="O1117" s="2" t="str">
        <f>_xlfn.XLOOKUP(ESales_DB[[#This Row],[Product_ID]],Eproduct_DB[Product_ID],Eproduct_DB[Category])</f>
        <v>Home</v>
      </c>
      <c r="P1117" s="2" t="str">
        <f>_xlfn.XLOOKUP(ESales_DB[[#This Row],[Product_ID]],Eproduct_DB[Product_ID],Eproduct_DB[Product_Name])</f>
        <v>Modern Wall Clock</v>
      </c>
      <c r="Q1117" s="2" t="str">
        <f>_xlfn.XLOOKUP(ESales_DB[[#This Row],[Store_ID]],Estore_DB[Store_ID],Estore_DB[Region])</f>
        <v>South</v>
      </c>
      <c r="R1117" t="str">
        <f>VLOOKUP(ESales_DB[[#This Row],[Customer_ID]],Ecustom_DB[],10,FALSE)</f>
        <v>Bronze</v>
      </c>
      <c r="S1117" t="str">
        <f>IF(ESales_DB[[#This Row],[Quantity1]]&gt;3,"Bulk order","Normal order")</f>
        <v>Normal order</v>
      </c>
    </row>
    <row r="1118" spans="1:19" x14ac:dyDescent="0.3">
      <c r="A1118" t="s">
        <v>2028</v>
      </c>
      <c r="B1118" s="4">
        <v>45750</v>
      </c>
      <c r="C1118" s="4" t="str">
        <f>TEXT(ESales_DB[[#This Row],[Order_Date]],"mmm")</f>
        <v>Apr</v>
      </c>
      <c r="D1118" t="s">
        <v>381</v>
      </c>
      <c r="E1118" t="s">
        <v>1672</v>
      </c>
      <c r="F1118" t="s">
        <v>1757</v>
      </c>
      <c r="G1118">
        <v>4</v>
      </c>
      <c r="H1118" s="10">
        <f>IF(ISBLANK(ESales_DB[[#This Row],[Quantity]]),AVERAGEIF(ESales_DB[Product_ID],ESales_DB[[#This Row],[Product_ID]],ESales_DB[Quantity]),ESales_DB[[#This Row],[Quantity]])</f>
        <v>4</v>
      </c>
      <c r="I1118" s="2">
        <v>408.07</v>
      </c>
      <c r="J1118">
        <v>0.28000000000000003</v>
      </c>
      <c r="K1118" t="s">
        <v>1829</v>
      </c>
      <c r="L1118" s="2">
        <v>1175.2416000000001</v>
      </c>
      <c r="M1118" s="2" t="str">
        <f>IF(ESales_DB[[#This Row],[Total_Amount]]&gt;1000,"High","Low")</f>
        <v>High</v>
      </c>
      <c r="N1118" s="2" t="str">
        <f>VLOOKUP(ESales_DB[[#This Row],[Customer_ID]],Ecustom_DB[],3,FALSE)</f>
        <v>Travis Holland</v>
      </c>
      <c r="O1118" s="2" t="str">
        <f>_xlfn.XLOOKUP(ESales_DB[[#This Row],[Product_ID]],Eproduct_DB[Product_ID],Eproduct_DB[Category])</f>
        <v>Electronics</v>
      </c>
      <c r="P1118" s="2" t="str">
        <f>_xlfn.XLOOKUP(ESales_DB[[#This Row],[Product_ID]],Eproduct_DB[Product_ID],Eproduct_DB[Product_Name])</f>
        <v>Laptop Cooling Pad</v>
      </c>
      <c r="Q1118" s="2" t="str">
        <f>_xlfn.XLOOKUP(ESales_DB[[#This Row],[Store_ID]],Estore_DB[Store_ID],Estore_DB[Region])</f>
        <v>North</v>
      </c>
      <c r="R1118" t="str">
        <f>VLOOKUP(ESales_DB[[#This Row],[Customer_ID]],Ecustom_DB[],10,FALSE)</f>
        <v>Bronze</v>
      </c>
      <c r="S1118" t="str">
        <f>IF(ESales_DB[[#This Row],[Quantity1]]&gt;3,"Bulk order","Normal order")</f>
        <v>Bulk order</v>
      </c>
    </row>
    <row r="1119" spans="1:19" x14ac:dyDescent="0.3">
      <c r="A1119" t="s">
        <v>2029</v>
      </c>
      <c r="B1119" s="4">
        <v>45327</v>
      </c>
      <c r="C1119" s="4" t="str">
        <f>TEXT(ESales_DB[[#This Row],[Order_Date]],"mmm")</f>
        <v>Feb</v>
      </c>
      <c r="D1119" t="s">
        <v>1455</v>
      </c>
      <c r="E1119" t="s">
        <v>1616</v>
      </c>
      <c r="F1119" t="s">
        <v>1786</v>
      </c>
      <c r="G1119">
        <v>2</v>
      </c>
      <c r="H1119" s="10">
        <f>IF(ISBLANK(ESales_DB[[#This Row],[Quantity]]),AVERAGEIF(ESales_DB[Product_ID],ESales_DB[[#This Row],[Product_ID]],ESales_DB[Quantity]),ESales_DB[[#This Row],[Quantity]])</f>
        <v>2</v>
      </c>
      <c r="I1119" s="2">
        <v>597.07000000000005</v>
      </c>
      <c r="J1119">
        <v>0.28000000000000003</v>
      </c>
      <c r="K1119" t="s">
        <v>1826</v>
      </c>
      <c r="L1119" s="2">
        <v>859.7808</v>
      </c>
      <c r="M1119" s="2" t="str">
        <f>IF(ESales_DB[[#This Row],[Total_Amount]]&gt;1000,"High","Low")</f>
        <v>Low</v>
      </c>
      <c r="N1119" s="2" t="str">
        <f>VLOOKUP(ESales_DB[[#This Row],[Customer_ID]],Ecustom_DB[],3,FALSE)</f>
        <v>Philip Mendoza</v>
      </c>
      <c r="O1119" s="2" t="str">
        <f>_xlfn.XLOOKUP(ESales_DB[[#This Row],[Product_ID]],Eproduct_DB[Product_ID],Eproduct_DB[Category])</f>
        <v>Electronics</v>
      </c>
      <c r="P1119" s="2" t="str">
        <f>_xlfn.XLOOKUP(ESales_DB[[#This Row],[Product_ID]],Eproduct_DB[Product_ID],Eproduct_DB[Product_Name])</f>
        <v>Gaming Mechanical Keyboard</v>
      </c>
      <c r="Q1119" s="2" t="str">
        <f>_xlfn.XLOOKUP(ESales_DB[[#This Row],[Store_ID]],Estore_DB[Store_ID],Estore_DB[Region])</f>
        <v>South</v>
      </c>
      <c r="R1119" t="str">
        <f>VLOOKUP(ESales_DB[[#This Row],[Customer_ID]],Ecustom_DB[],10,FALSE)</f>
        <v>Silver</v>
      </c>
      <c r="S1119" t="str">
        <f>IF(ESales_DB[[#This Row],[Quantity1]]&gt;3,"Bulk order","Normal order")</f>
        <v>Normal order</v>
      </c>
    </row>
    <row r="1120" spans="1:19" x14ac:dyDescent="0.3">
      <c r="A1120" t="s">
        <v>2030</v>
      </c>
      <c r="B1120" s="4">
        <v>45465</v>
      </c>
      <c r="C1120" s="4" t="str">
        <f>TEXT(ESales_DB[[#This Row],[Order_Date]],"mmm")</f>
        <v>Jun</v>
      </c>
      <c r="D1120" t="s">
        <v>97</v>
      </c>
      <c r="E1120" t="s">
        <v>1682</v>
      </c>
      <c r="F1120" t="s">
        <v>1786</v>
      </c>
      <c r="G1120">
        <v>3</v>
      </c>
      <c r="H1120" s="10">
        <f>IF(ISBLANK(ESales_DB[[#This Row],[Quantity]]),AVERAGEIF(ESales_DB[Product_ID],ESales_DB[[#This Row],[Product_ID]],ESales_DB[Quantity]),ESales_DB[[#This Row],[Quantity]])</f>
        <v>3</v>
      </c>
      <c r="I1120" s="2">
        <v>723.47</v>
      </c>
      <c r="J1120">
        <v>0.12</v>
      </c>
      <c r="K1120" t="s">
        <v>1829</v>
      </c>
      <c r="L1120" s="2">
        <v>1909.9608000000001</v>
      </c>
      <c r="M1120" s="2" t="str">
        <f>IF(ESales_DB[[#This Row],[Total_Amount]]&gt;1000,"High","Low")</f>
        <v>High</v>
      </c>
      <c r="N1120" s="2" t="str">
        <f>VLOOKUP(ESales_DB[[#This Row],[Customer_ID]],Ecustom_DB[],3,FALSE)</f>
        <v>Paul Fox</v>
      </c>
      <c r="O1120" s="2" t="str">
        <f>_xlfn.XLOOKUP(ESales_DB[[#This Row],[Product_ID]],Eproduct_DB[Product_ID],Eproduct_DB[Category])</f>
        <v>Electronics</v>
      </c>
      <c r="P1120" s="2" t="str">
        <f>_xlfn.XLOOKUP(ESales_DB[[#This Row],[Product_ID]],Eproduct_DB[Product_ID],Eproduct_DB[Product_Name])</f>
        <v>Smart LED Light Strip</v>
      </c>
      <c r="Q1120" s="2" t="str">
        <f>_xlfn.XLOOKUP(ESales_DB[[#This Row],[Store_ID]],Estore_DB[Store_ID],Estore_DB[Region])</f>
        <v>South</v>
      </c>
      <c r="R1120" t="str">
        <f>VLOOKUP(ESales_DB[[#This Row],[Customer_ID]],Ecustom_DB[],10,FALSE)</f>
        <v>Silver</v>
      </c>
      <c r="S1120" t="str">
        <f>IF(ESales_DB[[#This Row],[Quantity1]]&gt;3,"Bulk order","Normal order")</f>
        <v>Normal order</v>
      </c>
    </row>
    <row r="1121" spans="1:19" x14ac:dyDescent="0.3">
      <c r="A1121" t="s">
        <v>2031</v>
      </c>
      <c r="B1121" s="4">
        <v>45883</v>
      </c>
      <c r="C1121" s="4" t="str">
        <f>TEXT(ESales_DB[[#This Row],[Order_Date]],"mmm")</f>
        <v>Aug</v>
      </c>
      <c r="D1121" t="s">
        <v>1355</v>
      </c>
      <c r="E1121" t="s">
        <v>1724</v>
      </c>
      <c r="F1121" t="s">
        <v>1773</v>
      </c>
      <c r="G1121">
        <v>1</v>
      </c>
      <c r="H1121" s="10">
        <f>IF(ISBLANK(ESales_DB[[#This Row],[Quantity]]),AVERAGEIF(ESales_DB[Product_ID],ESales_DB[[#This Row],[Product_ID]],ESales_DB[Quantity]),ESales_DB[[#This Row],[Quantity]])</f>
        <v>1</v>
      </c>
      <c r="I1121" s="2">
        <v>479.93</v>
      </c>
      <c r="J1121">
        <v>0.22</v>
      </c>
      <c r="K1121" t="s">
        <v>1824</v>
      </c>
      <c r="L1121" s="2">
        <v>374.34539999999998</v>
      </c>
      <c r="M1121" s="2" t="str">
        <f>IF(ESales_DB[[#This Row],[Total_Amount]]&gt;1000,"High","Low")</f>
        <v>Low</v>
      </c>
      <c r="N1121" s="2" t="str">
        <f>VLOOKUP(ESales_DB[[#This Row],[Customer_ID]],Ecustom_DB[],3,FALSE)</f>
        <v>Melinda Rivera</v>
      </c>
      <c r="O1121" s="2" t="str">
        <f>_xlfn.XLOOKUP(ESales_DB[[#This Row],[Product_ID]],Eproduct_DB[Product_ID],Eproduct_DB[Category])</f>
        <v>Sports</v>
      </c>
      <c r="P1121" s="2" t="str">
        <f>_xlfn.XLOOKUP(ESales_DB[[#This Row],[Product_ID]],Eproduct_DB[Product_ID],Eproduct_DB[Product_Name])</f>
        <v>Sports Wrist Sweatbands</v>
      </c>
      <c r="Q1121" s="2" t="str">
        <f>_xlfn.XLOOKUP(ESales_DB[[#This Row],[Store_ID]],Estore_DB[Store_ID],Estore_DB[Region])</f>
        <v>North</v>
      </c>
      <c r="R1121" t="str">
        <f>VLOOKUP(ESales_DB[[#This Row],[Customer_ID]],Ecustom_DB[],10,FALSE)</f>
        <v>Platinum</v>
      </c>
      <c r="S1121" t="str">
        <f>IF(ESales_DB[[#This Row],[Quantity1]]&gt;3,"Bulk order","Normal order")</f>
        <v>Normal order</v>
      </c>
    </row>
    <row r="1122" spans="1:19" x14ac:dyDescent="0.3">
      <c r="A1122" t="s">
        <v>2032</v>
      </c>
      <c r="B1122" s="4">
        <v>45445</v>
      </c>
      <c r="C1122" s="4" t="str">
        <f>TEXT(ESales_DB[[#This Row],[Order_Date]],"mmm")</f>
        <v>Jun</v>
      </c>
      <c r="D1122" t="s">
        <v>779</v>
      </c>
      <c r="E1122" t="s">
        <v>1616</v>
      </c>
      <c r="F1122" t="s">
        <v>1804</v>
      </c>
      <c r="G1122">
        <v>4</v>
      </c>
      <c r="H1122" s="10">
        <f>IF(ISBLANK(ESales_DB[[#This Row],[Quantity]]),AVERAGEIF(ESales_DB[Product_ID],ESales_DB[[#This Row],[Product_ID]],ESales_DB[Quantity]),ESales_DB[[#This Row],[Quantity]])</f>
        <v>4</v>
      </c>
      <c r="I1122" s="2">
        <v>362.81</v>
      </c>
      <c r="J1122">
        <v>0.21</v>
      </c>
      <c r="K1122" t="s">
        <v>1829</v>
      </c>
      <c r="L1122" s="2">
        <v>1146.4795999999999</v>
      </c>
      <c r="M1122" s="2" t="str">
        <f>IF(ESales_DB[[#This Row],[Total_Amount]]&gt;1000,"High","Low")</f>
        <v>High</v>
      </c>
      <c r="N1122" s="2" t="str">
        <f>VLOOKUP(ESales_DB[[#This Row],[Customer_ID]],Ecustom_DB[],3,FALSE)</f>
        <v>Brian Hammond</v>
      </c>
      <c r="O1122" s="2" t="str">
        <f>_xlfn.XLOOKUP(ESales_DB[[#This Row],[Product_ID]],Eproduct_DB[Product_ID],Eproduct_DB[Category])</f>
        <v>Electronics</v>
      </c>
      <c r="P1122" s="2" t="str">
        <f>_xlfn.XLOOKUP(ESales_DB[[#This Row],[Product_ID]],Eproduct_DB[Product_ID],Eproduct_DB[Product_Name])</f>
        <v>Gaming Mechanical Keyboard</v>
      </c>
      <c r="Q1122" s="2" t="str">
        <f>_xlfn.XLOOKUP(ESales_DB[[#This Row],[Store_ID]],Estore_DB[Store_ID],Estore_DB[Region])</f>
        <v>West</v>
      </c>
      <c r="R1122" t="str">
        <f>VLOOKUP(ESales_DB[[#This Row],[Customer_ID]],Ecustom_DB[],10,FALSE)</f>
        <v>Gold</v>
      </c>
      <c r="S1122" t="str">
        <f>IF(ESales_DB[[#This Row],[Quantity1]]&gt;3,"Bulk order","Normal order")</f>
        <v>Bulk order</v>
      </c>
    </row>
    <row r="1123" spans="1:19" x14ac:dyDescent="0.3">
      <c r="A1123" t="s">
        <v>2033</v>
      </c>
      <c r="B1123" s="4">
        <v>45640</v>
      </c>
      <c r="C1123" s="4" t="str">
        <f>TEXT(ESales_DB[[#This Row],[Order_Date]],"mmm")</f>
        <v>Dec</v>
      </c>
      <c r="D1123" t="s">
        <v>610</v>
      </c>
      <c r="E1123" t="s">
        <v>1706</v>
      </c>
      <c r="F1123" t="s">
        <v>1766</v>
      </c>
      <c r="G1123">
        <v>1</v>
      </c>
      <c r="H1123" s="10">
        <f>IF(ISBLANK(ESales_DB[[#This Row],[Quantity]]),AVERAGEIF(ESales_DB[Product_ID],ESales_DB[[#This Row],[Product_ID]],ESales_DB[Quantity]),ESales_DB[[#This Row],[Quantity]])</f>
        <v>1</v>
      </c>
      <c r="I1123" s="2">
        <v>127.11</v>
      </c>
      <c r="J1123">
        <v>0.01</v>
      </c>
      <c r="K1123" t="s">
        <v>1826</v>
      </c>
      <c r="L1123" s="2">
        <v>125.8389</v>
      </c>
      <c r="M1123" s="2" t="str">
        <f>IF(ESales_DB[[#This Row],[Total_Amount]]&gt;1000,"High","Low")</f>
        <v>Low</v>
      </c>
      <c r="N1123" s="2" t="str">
        <f>VLOOKUP(ESales_DB[[#This Row],[Customer_ID]],Ecustom_DB[],3,FALSE)</f>
        <v>Brent Rivas</v>
      </c>
      <c r="O1123" s="2" t="str">
        <f>_xlfn.XLOOKUP(ESales_DB[[#This Row],[Product_ID]],Eproduct_DB[Product_ID],Eproduct_DB[Category])</f>
        <v>Home</v>
      </c>
      <c r="P1123" s="2" t="str">
        <f>_xlfn.XLOOKUP(ESales_DB[[#This Row],[Product_ID]],Eproduct_DB[Product_ID],Eproduct_DB[Product_Name])</f>
        <v>Decorative Lamp Shade</v>
      </c>
      <c r="Q1123" s="2" t="str">
        <f>_xlfn.XLOOKUP(ESales_DB[[#This Row],[Store_ID]],Estore_DB[Store_ID],Estore_DB[Region])</f>
        <v>North</v>
      </c>
      <c r="R1123" t="str">
        <f>VLOOKUP(ESales_DB[[#This Row],[Customer_ID]],Ecustom_DB[],10,FALSE)</f>
        <v>Platinum</v>
      </c>
      <c r="S1123" t="str">
        <f>IF(ESales_DB[[#This Row],[Quantity1]]&gt;3,"Bulk order","Normal order")</f>
        <v>Normal order</v>
      </c>
    </row>
    <row r="1124" spans="1:19" x14ac:dyDescent="0.3">
      <c r="A1124" t="s">
        <v>2034</v>
      </c>
      <c r="B1124" s="4">
        <v>45411</v>
      </c>
      <c r="C1124" s="4" t="str">
        <f>TEXT(ESales_DB[[#This Row],[Order_Date]],"mmm")</f>
        <v>Apr</v>
      </c>
      <c r="D1124" t="s">
        <v>607</v>
      </c>
      <c r="E1124" t="s">
        <v>1616</v>
      </c>
      <c r="F1124" t="s">
        <v>1807</v>
      </c>
      <c r="G1124">
        <v>4</v>
      </c>
      <c r="H1124" s="10">
        <f>IF(ISBLANK(ESales_DB[[#This Row],[Quantity]]),AVERAGEIF(ESales_DB[Product_ID],ESales_DB[[#This Row],[Product_ID]],ESales_DB[Quantity]),ESales_DB[[#This Row],[Quantity]])</f>
        <v>4</v>
      </c>
      <c r="I1124" s="2">
        <v>931.26</v>
      </c>
      <c r="J1124">
        <v>0.04</v>
      </c>
      <c r="K1124" t="s">
        <v>1824</v>
      </c>
      <c r="L1124" s="2">
        <v>3576.0383999999999</v>
      </c>
      <c r="M1124" s="2" t="str">
        <f>IF(ESales_DB[[#This Row],[Total_Amount]]&gt;1000,"High","Low")</f>
        <v>High</v>
      </c>
      <c r="N1124" s="2" t="str">
        <f>VLOOKUP(ESales_DB[[#This Row],[Customer_ID]],Ecustom_DB[],3,FALSE)</f>
        <v>Leonard Cochran</v>
      </c>
      <c r="O1124" s="2" t="str">
        <f>_xlfn.XLOOKUP(ESales_DB[[#This Row],[Product_ID]],Eproduct_DB[Product_ID],Eproduct_DB[Category])</f>
        <v>Electronics</v>
      </c>
      <c r="P1124" s="2" t="str">
        <f>_xlfn.XLOOKUP(ESales_DB[[#This Row],[Product_ID]],Eproduct_DB[Product_ID],Eproduct_DB[Product_Name])</f>
        <v>Gaming Mechanical Keyboard</v>
      </c>
      <c r="Q1124" s="2" t="str">
        <f>_xlfn.XLOOKUP(ESales_DB[[#This Row],[Store_ID]],Estore_DB[Store_ID],Estore_DB[Region])</f>
        <v>North</v>
      </c>
      <c r="R1124" t="str">
        <f>VLOOKUP(ESales_DB[[#This Row],[Customer_ID]],Ecustom_DB[],10,FALSE)</f>
        <v>Silver</v>
      </c>
      <c r="S1124" t="str">
        <f>IF(ESales_DB[[#This Row],[Quantity1]]&gt;3,"Bulk order","Normal order")</f>
        <v>Bulk order</v>
      </c>
    </row>
    <row r="1125" spans="1:19" x14ac:dyDescent="0.3">
      <c r="A1125" t="s">
        <v>2035</v>
      </c>
      <c r="B1125" s="4">
        <v>45224</v>
      </c>
      <c r="C1125" s="4" t="str">
        <f>TEXT(ESales_DB[[#This Row],[Order_Date]],"mmm")</f>
        <v>Oct</v>
      </c>
      <c r="D1125" t="s">
        <v>1160</v>
      </c>
      <c r="E1125" t="s">
        <v>1682</v>
      </c>
      <c r="F1125" t="s">
        <v>1782</v>
      </c>
      <c r="G1125">
        <v>1</v>
      </c>
      <c r="H1125" s="10">
        <f>IF(ISBLANK(ESales_DB[[#This Row],[Quantity]]),AVERAGEIF(ESales_DB[Product_ID],ESales_DB[[#This Row],[Product_ID]],ESales_DB[Quantity]),ESales_DB[[#This Row],[Quantity]])</f>
        <v>1</v>
      </c>
      <c r="I1125" s="2">
        <v>620.80999999999995</v>
      </c>
      <c r="J1125">
        <v>0.04</v>
      </c>
      <c r="K1125" t="s">
        <v>1826</v>
      </c>
      <c r="L1125" s="2">
        <v>595.97759999999994</v>
      </c>
      <c r="M1125" s="2" t="str">
        <f>IF(ESales_DB[[#This Row],[Total_Amount]]&gt;1000,"High","Low")</f>
        <v>Low</v>
      </c>
      <c r="N1125" s="2" t="str">
        <f>VLOOKUP(ESales_DB[[#This Row],[Customer_ID]],Ecustom_DB[],3,FALSE)</f>
        <v>Michael Garner</v>
      </c>
      <c r="O1125" s="2" t="str">
        <f>_xlfn.XLOOKUP(ESales_DB[[#This Row],[Product_ID]],Eproduct_DB[Product_ID],Eproduct_DB[Category])</f>
        <v>Electronics</v>
      </c>
      <c r="P1125" s="2" t="str">
        <f>_xlfn.XLOOKUP(ESales_DB[[#This Row],[Product_ID]],Eproduct_DB[Product_ID],Eproduct_DB[Product_Name])</f>
        <v>Smart LED Light Strip</v>
      </c>
      <c r="Q1125" s="2" t="str">
        <f>_xlfn.XLOOKUP(ESales_DB[[#This Row],[Store_ID]],Estore_DB[Store_ID],Estore_DB[Region])</f>
        <v>West</v>
      </c>
      <c r="R1125" t="str">
        <f>VLOOKUP(ESales_DB[[#This Row],[Customer_ID]],Ecustom_DB[],10,FALSE)</f>
        <v>Platinum</v>
      </c>
      <c r="S1125" t="str">
        <f>IF(ESales_DB[[#This Row],[Quantity1]]&gt;3,"Bulk order","Normal order")</f>
        <v>Normal order</v>
      </c>
    </row>
    <row r="1126" spans="1:19" x14ac:dyDescent="0.3">
      <c r="A1126" t="s">
        <v>1847</v>
      </c>
      <c r="B1126" s="4">
        <v>45447</v>
      </c>
      <c r="C1126" s="4" t="str">
        <f>TEXT(ESales_DB[[#This Row],[Order_Date]],"mmm")</f>
        <v>Jun</v>
      </c>
      <c r="D1126" t="s">
        <v>1235</v>
      </c>
      <c r="E1126" t="s">
        <v>1634</v>
      </c>
      <c r="F1126" t="s">
        <v>1810</v>
      </c>
      <c r="G1126">
        <v>1</v>
      </c>
      <c r="H1126" s="10">
        <f>IF(ISBLANK(ESales_DB[[#This Row],[Quantity]]),AVERAGEIF(ESales_DB[Product_ID],ESales_DB[[#This Row],[Product_ID]],ESales_DB[Quantity]),ESales_DB[[#This Row],[Quantity]])</f>
        <v>1</v>
      </c>
      <c r="I1126" s="2">
        <v>589.55999999999995</v>
      </c>
      <c r="J1126">
        <v>0.22</v>
      </c>
      <c r="K1126" t="s">
        <v>1824</v>
      </c>
      <c r="L1126" s="2">
        <v>459.85680000000002</v>
      </c>
      <c r="M1126" s="2" t="str">
        <f>IF(ESales_DB[[#This Row],[Total_Amount]]&gt;1000,"High","Low")</f>
        <v>Low</v>
      </c>
      <c r="N1126" s="2" t="str">
        <f>VLOOKUP(ESales_DB[[#This Row],[Customer_ID]],Ecustom_DB[],3,FALSE)</f>
        <v>Alexander Byrd</v>
      </c>
      <c r="O1126" s="2" t="str">
        <f>_xlfn.XLOOKUP(ESales_DB[[#This Row],[Product_ID]],Eproduct_DB[Product_ID],Eproduct_DB[Category])</f>
        <v>Electronics</v>
      </c>
      <c r="P1126" s="2" t="str">
        <f>_xlfn.XLOOKUP(ESales_DB[[#This Row],[Product_ID]],Eproduct_DB[Product_ID],Eproduct_DB[Product_Name])</f>
        <v>USB External Hard Drive</v>
      </c>
      <c r="Q1126" s="2" t="str">
        <f>_xlfn.XLOOKUP(ESales_DB[[#This Row],[Store_ID]],Estore_DB[Store_ID],Estore_DB[Region])</f>
        <v>East</v>
      </c>
      <c r="R1126" t="str">
        <f>VLOOKUP(ESales_DB[[#This Row],[Customer_ID]],Ecustom_DB[],10,FALSE)</f>
        <v>Silver</v>
      </c>
      <c r="S1126" t="str">
        <f>IF(ESales_DB[[#This Row],[Quantity1]]&gt;3,"Bulk order","Normal order")</f>
        <v>Normal order</v>
      </c>
    </row>
    <row r="1127" spans="1:19" x14ac:dyDescent="0.3">
      <c r="A1127" t="s">
        <v>2036</v>
      </c>
      <c r="B1127" s="4">
        <v>45497</v>
      </c>
      <c r="C1127" s="4" t="str">
        <f>TEXT(ESales_DB[[#This Row],[Order_Date]],"mmm")</f>
        <v>Jul</v>
      </c>
      <c r="D1127" t="s">
        <v>338</v>
      </c>
      <c r="E1127" t="s">
        <v>1648</v>
      </c>
      <c r="F1127" t="s">
        <v>1761</v>
      </c>
      <c r="G1127">
        <v>1</v>
      </c>
      <c r="H1127" s="10">
        <f>IF(ISBLANK(ESales_DB[[#This Row],[Quantity]]),AVERAGEIF(ESales_DB[Product_ID],ESales_DB[[#This Row],[Product_ID]],ESales_DB[Quantity]),ESales_DB[[#This Row],[Quantity]])</f>
        <v>1</v>
      </c>
      <c r="I1127" s="2">
        <v>823.26</v>
      </c>
      <c r="J1127">
        <v>0.27</v>
      </c>
      <c r="K1127" t="s">
        <v>1829</v>
      </c>
      <c r="L1127" s="2">
        <v>600.97979999999995</v>
      </c>
      <c r="M1127" s="2" t="str">
        <f>IF(ESales_DB[[#This Row],[Total_Amount]]&gt;1000,"High","Low")</f>
        <v>Low</v>
      </c>
      <c r="N1127" s="2" t="str">
        <f>VLOOKUP(ESales_DB[[#This Row],[Customer_ID]],Ecustom_DB[],3,FALSE)</f>
        <v>David Patterson</v>
      </c>
      <c r="O1127" s="2" t="str">
        <f>_xlfn.XLOOKUP(ESales_DB[[#This Row],[Product_ID]],Eproduct_DB[Product_ID],Eproduct_DB[Category])</f>
        <v>Sports</v>
      </c>
      <c r="P1127" s="2" t="str">
        <f>_xlfn.XLOOKUP(ESales_DB[[#This Row],[Product_ID]],Eproduct_DB[Product_ID],Eproduct_DB[Product_Name])</f>
        <v>Boxing Hand Wraps</v>
      </c>
      <c r="Q1127" s="2" t="str">
        <f>_xlfn.XLOOKUP(ESales_DB[[#This Row],[Store_ID]],Estore_DB[Store_ID],Estore_DB[Region])</f>
        <v>South</v>
      </c>
      <c r="R1127" t="str">
        <f>VLOOKUP(ESales_DB[[#This Row],[Customer_ID]],Ecustom_DB[],10,FALSE)</f>
        <v>Gold</v>
      </c>
      <c r="S1127" t="str">
        <f>IF(ESales_DB[[#This Row],[Quantity1]]&gt;3,"Bulk order","Normal order")</f>
        <v>Normal order</v>
      </c>
    </row>
    <row r="1128" spans="1:19" x14ac:dyDescent="0.3">
      <c r="A1128" t="s">
        <v>2037</v>
      </c>
      <c r="B1128" s="4">
        <v>45807</v>
      </c>
      <c r="C1128" s="4" t="str">
        <f>TEXT(ESales_DB[[#This Row],[Order_Date]],"mmm")</f>
        <v>May</v>
      </c>
      <c r="D1128" t="s">
        <v>59</v>
      </c>
      <c r="E1128" t="s">
        <v>1602</v>
      </c>
      <c r="F1128" t="s">
        <v>1782</v>
      </c>
      <c r="G1128">
        <v>3</v>
      </c>
      <c r="H1128" s="10">
        <f>IF(ISBLANK(ESales_DB[[#This Row],[Quantity]]),AVERAGEIF(ESales_DB[Product_ID],ESales_DB[[#This Row],[Product_ID]],ESales_DB[Quantity]),ESales_DB[[#This Row],[Quantity]])</f>
        <v>3</v>
      </c>
      <c r="I1128" s="2">
        <v>681.01</v>
      </c>
      <c r="J1128">
        <v>0.27</v>
      </c>
      <c r="K1128" t="s">
        <v>1829</v>
      </c>
      <c r="L1128" s="2">
        <v>1491.4119000000001</v>
      </c>
      <c r="M1128" s="2" t="str">
        <f>IF(ESales_DB[[#This Row],[Total_Amount]]&gt;1000,"High","Low")</f>
        <v>High</v>
      </c>
      <c r="N1128" s="2" t="str">
        <f>VLOOKUP(ESales_DB[[#This Row],[Customer_ID]],Ecustom_DB[],3,FALSE)</f>
        <v>Kenneth Lambert</v>
      </c>
      <c r="O1128" s="2" t="str">
        <f>_xlfn.XLOOKUP(ESales_DB[[#This Row],[Product_ID]],Eproduct_DB[Product_ID],Eproduct_DB[Category])</f>
        <v>Home</v>
      </c>
      <c r="P1128" s="2" t="str">
        <f>_xlfn.XLOOKUP(ESales_DB[[#This Row],[Product_ID]],Eproduct_DB[Product_ID],Eproduct_DB[Product_Name])</f>
        <v>Decorative Floor Vase</v>
      </c>
      <c r="Q1128" s="2" t="str">
        <f>_xlfn.XLOOKUP(ESales_DB[[#This Row],[Store_ID]],Estore_DB[Store_ID],Estore_DB[Region])</f>
        <v>West</v>
      </c>
      <c r="R1128" t="str">
        <f>VLOOKUP(ESales_DB[[#This Row],[Customer_ID]],Ecustom_DB[],10,FALSE)</f>
        <v>Platinum</v>
      </c>
      <c r="S1128" t="str">
        <f>IF(ESales_DB[[#This Row],[Quantity1]]&gt;3,"Bulk order","Normal order")</f>
        <v>Normal order</v>
      </c>
    </row>
    <row r="1129" spans="1:19" x14ac:dyDescent="0.3">
      <c r="A1129" t="s">
        <v>2038</v>
      </c>
      <c r="B1129" s="4">
        <v>45942</v>
      </c>
      <c r="C1129" s="4" t="str">
        <f>TEXT(ESales_DB[[#This Row],[Order_Date]],"mmm")</f>
        <v>Oct</v>
      </c>
      <c r="D1129" t="s">
        <v>1368</v>
      </c>
      <c r="E1129" t="s">
        <v>1660</v>
      </c>
      <c r="F1129" t="s">
        <v>1813</v>
      </c>
      <c r="G1129">
        <v>4</v>
      </c>
      <c r="H1129" s="10">
        <f>IF(ISBLANK(ESales_DB[[#This Row],[Quantity]]),AVERAGEIF(ESales_DB[Product_ID],ESales_DB[[#This Row],[Product_ID]],ESales_DB[Quantity]),ESales_DB[[#This Row],[Quantity]])</f>
        <v>4</v>
      </c>
      <c r="I1129" s="2">
        <v>119.83</v>
      </c>
      <c r="J1129">
        <v>0.13</v>
      </c>
      <c r="K1129" t="s">
        <v>1824</v>
      </c>
      <c r="L1129" s="2">
        <v>417.00839999999999</v>
      </c>
      <c r="M1129" s="2" t="str">
        <f>IF(ESales_DB[[#This Row],[Total_Amount]]&gt;1000,"High","Low")</f>
        <v>Low</v>
      </c>
      <c r="N1129" s="2" t="str">
        <f>VLOOKUP(ESales_DB[[#This Row],[Customer_ID]],Ecustom_DB[],3,FALSE)</f>
        <v>Kelli Smith</v>
      </c>
      <c r="O1129" s="2" t="str">
        <f>_xlfn.XLOOKUP(ESales_DB[[#This Row],[Product_ID]],Eproduct_DB[Product_ID],Eproduct_DB[Category])</f>
        <v>Home</v>
      </c>
      <c r="P1129" s="2" t="str">
        <f>_xlfn.XLOOKUP(ESales_DB[[#This Row],[Product_ID]],Eproduct_DB[Product_ID],Eproduct_DB[Product_Name])</f>
        <v>Premium Blanket Throw</v>
      </c>
      <c r="Q1129" s="2" t="str">
        <f>_xlfn.XLOOKUP(ESales_DB[[#This Row],[Store_ID]],Estore_DB[Store_ID],Estore_DB[Region])</f>
        <v>East</v>
      </c>
      <c r="R1129" t="str">
        <f>VLOOKUP(ESales_DB[[#This Row],[Customer_ID]],Ecustom_DB[],10,FALSE)</f>
        <v>Bronze</v>
      </c>
      <c r="S1129" t="str">
        <f>IF(ESales_DB[[#This Row],[Quantity1]]&gt;3,"Bulk order","Normal order")</f>
        <v>Bulk order</v>
      </c>
    </row>
    <row r="1130" spans="1:19" x14ac:dyDescent="0.3">
      <c r="A1130" t="s">
        <v>2039</v>
      </c>
      <c r="B1130" s="4">
        <v>45314</v>
      </c>
      <c r="C1130" s="4" t="str">
        <f>TEXT(ESales_DB[[#This Row],[Order_Date]],"mmm")</f>
        <v>Jan</v>
      </c>
      <c r="D1130" t="s">
        <v>969</v>
      </c>
      <c r="E1130" t="s">
        <v>1704</v>
      </c>
      <c r="F1130" t="s">
        <v>1761</v>
      </c>
      <c r="G1130">
        <v>1</v>
      </c>
      <c r="H1130" s="10">
        <f>IF(ISBLANK(ESales_DB[[#This Row],[Quantity]]),AVERAGEIF(ESales_DB[Product_ID],ESales_DB[[#This Row],[Product_ID]],ESales_DB[Quantity]),ESales_DB[[#This Row],[Quantity]])</f>
        <v>1</v>
      </c>
      <c r="I1130" s="2">
        <v>575.66</v>
      </c>
      <c r="J1130">
        <v>0.03</v>
      </c>
      <c r="K1130" t="s">
        <v>1826</v>
      </c>
      <c r="L1130" s="2">
        <v>558.39019999999994</v>
      </c>
      <c r="M1130" s="2" t="str">
        <f>IF(ESales_DB[[#This Row],[Total_Amount]]&gt;1000,"High","Low")</f>
        <v>Low</v>
      </c>
      <c r="N1130" s="2" t="str">
        <f>VLOOKUP(ESales_DB[[#This Row],[Customer_ID]],Ecustom_DB[],3,FALSE)</f>
        <v>Brandy Thompson</v>
      </c>
      <c r="O1130" s="2" t="str">
        <f>_xlfn.XLOOKUP(ESales_DB[[#This Row],[Product_ID]],Eproduct_DB[Product_ID],Eproduct_DB[Category])</f>
        <v>Home</v>
      </c>
      <c r="P1130" s="2" t="str">
        <f>_xlfn.XLOOKUP(ESales_DB[[#This Row],[Product_ID]],Eproduct_DB[Product_ID],Eproduct_DB[Product_Name])</f>
        <v>Essential Oil Diffuser</v>
      </c>
      <c r="Q1130" s="2" t="str">
        <f>_xlfn.XLOOKUP(ESales_DB[[#This Row],[Store_ID]],Estore_DB[Store_ID],Estore_DB[Region])</f>
        <v>South</v>
      </c>
      <c r="R1130" t="str">
        <f>VLOOKUP(ESales_DB[[#This Row],[Customer_ID]],Ecustom_DB[],10,FALSE)</f>
        <v>Bronze</v>
      </c>
      <c r="S1130" t="str">
        <f>IF(ESales_DB[[#This Row],[Quantity1]]&gt;3,"Bulk order","Normal order")</f>
        <v>Normal order</v>
      </c>
    </row>
    <row r="1131" spans="1:19" x14ac:dyDescent="0.3">
      <c r="A1131" t="s">
        <v>2040</v>
      </c>
      <c r="B1131" s="4">
        <v>45943</v>
      </c>
      <c r="C1131" s="4" t="str">
        <f>TEXT(ESales_DB[[#This Row],[Order_Date]],"mmm")</f>
        <v>Oct</v>
      </c>
      <c r="D1131" t="s">
        <v>651</v>
      </c>
      <c r="E1131" t="s">
        <v>1644</v>
      </c>
      <c r="F1131" t="s">
        <v>1804</v>
      </c>
      <c r="G1131">
        <v>1</v>
      </c>
      <c r="H1131" s="10">
        <f>IF(ISBLANK(ESales_DB[[#This Row],[Quantity]]),AVERAGEIF(ESales_DB[Product_ID],ESales_DB[[#This Row],[Product_ID]],ESales_DB[Quantity]),ESales_DB[[#This Row],[Quantity]])</f>
        <v>1</v>
      </c>
      <c r="I1131" s="2">
        <v>775.84</v>
      </c>
      <c r="J1131">
        <v>0.26</v>
      </c>
      <c r="K1131" t="s">
        <v>1824</v>
      </c>
      <c r="L1131" s="2">
        <v>574.12160000000006</v>
      </c>
      <c r="M1131" s="2" t="str">
        <f>IF(ESales_DB[[#This Row],[Total_Amount]]&gt;1000,"High","Low")</f>
        <v>Low</v>
      </c>
      <c r="N1131" s="2" t="str">
        <f>VLOOKUP(ESales_DB[[#This Row],[Customer_ID]],Ecustom_DB[],3,FALSE)</f>
        <v>Carmen Price</v>
      </c>
      <c r="O1131" s="2" t="str">
        <f>_xlfn.XLOOKUP(ESales_DB[[#This Row],[Product_ID]],Eproduct_DB[Product_ID],Eproduct_DB[Category])</f>
        <v>Electronics</v>
      </c>
      <c r="P1131" s="2" t="str">
        <f>_xlfn.XLOOKUP(ESales_DB[[#This Row],[Product_ID]],Eproduct_DB[Product_ID],Eproduct_DB[Product_Name])</f>
        <v>Car Dashboard Phone Holder</v>
      </c>
      <c r="Q1131" s="2" t="str">
        <f>_xlfn.XLOOKUP(ESales_DB[[#This Row],[Store_ID]],Estore_DB[Store_ID],Estore_DB[Region])</f>
        <v>West</v>
      </c>
      <c r="R1131" t="str">
        <f>VLOOKUP(ESales_DB[[#This Row],[Customer_ID]],Ecustom_DB[],10,FALSE)</f>
        <v>Bronze</v>
      </c>
      <c r="S1131" t="str">
        <f>IF(ESales_DB[[#This Row],[Quantity1]]&gt;3,"Bulk order","Normal order")</f>
        <v>Normal order</v>
      </c>
    </row>
    <row r="1132" spans="1:19" x14ac:dyDescent="0.3">
      <c r="A1132" t="s">
        <v>2041</v>
      </c>
      <c r="B1132" s="4">
        <v>45356</v>
      </c>
      <c r="C1132" s="4" t="str">
        <f>TEXT(ESales_DB[[#This Row],[Order_Date]],"mmm")</f>
        <v>Mar</v>
      </c>
      <c r="D1132" t="s">
        <v>1371</v>
      </c>
      <c r="E1132" t="s">
        <v>1576</v>
      </c>
      <c r="F1132" t="s">
        <v>1786</v>
      </c>
      <c r="G1132">
        <v>3</v>
      </c>
      <c r="H1132" s="10">
        <f>IF(ISBLANK(ESales_DB[[#This Row],[Quantity]]),AVERAGEIF(ESales_DB[Product_ID],ESales_DB[[#This Row],[Product_ID]],ESales_DB[Quantity]),ESales_DB[[#This Row],[Quantity]])</f>
        <v>3</v>
      </c>
      <c r="I1132" s="2">
        <v>318.43</v>
      </c>
      <c r="J1132">
        <v>0.05</v>
      </c>
      <c r="K1132" t="s">
        <v>1824</v>
      </c>
      <c r="L1132" s="2">
        <v>907.52549999999997</v>
      </c>
      <c r="M1132" s="2" t="str">
        <f>IF(ESales_DB[[#This Row],[Total_Amount]]&gt;1000,"High","Low")</f>
        <v>Low</v>
      </c>
      <c r="N1132" s="2" t="str">
        <f>VLOOKUP(ESales_DB[[#This Row],[Customer_ID]],Ecustom_DB[],3,FALSE)</f>
        <v>Adam Castro</v>
      </c>
      <c r="O1132" s="2" t="str">
        <f>_xlfn.XLOOKUP(ESales_DB[[#This Row],[Product_ID]],Eproduct_DB[Product_ID],Eproduct_DB[Category])</f>
        <v>Home</v>
      </c>
      <c r="P1132" s="2" t="str">
        <f>_xlfn.XLOOKUP(ESales_DB[[#This Row],[Product_ID]],Eproduct_DB[Product_ID],Eproduct_DB[Product_Name])</f>
        <v>Decorative Wall Mirror</v>
      </c>
      <c r="Q1132" s="2" t="str">
        <f>_xlfn.XLOOKUP(ESales_DB[[#This Row],[Store_ID]],Estore_DB[Store_ID],Estore_DB[Region])</f>
        <v>South</v>
      </c>
      <c r="R1132" t="str">
        <f>VLOOKUP(ESales_DB[[#This Row],[Customer_ID]],Ecustom_DB[],10,FALSE)</f>
        <v>Silver</v>
      </c>
      <c r="S1132" t="str">
        <f>IF(ESales_DB[[#This Row],[Quantity1]]&gt;3,"Bulk order","Normal order")</f>
        <v>Normal order</v>
      </c>
    </row>
    <row r="1133" spans="1:19" x14ac:dyDescent="0.3">
      <c r="A1133" t="s">
        <v>2042</v>
      </c>
      <c r="B1133" s="4">
        <v>45854</v>
      </c>
      <c r="C1133" s="4" t="str">
        <f>TEXT(ESales_DB[[#This Row],[Order_Date]],"mmm")</f>
        <v>Jul</v>
      </c>
      <c r="D1133" t="s">
        <v>514</v>
      </c>
      <c r="E1133" t="s">
        <v>1692</v>
      </c>
      <c r="F1133" t="s">
        <v>1782</v>
      </c>
      <c r="G1133">
        <v>3</v>
      </c>
      <c r="H1133" s="10">
        <f>IF(ISBLANK(ESales_DB[[#This Row],[Quantity]]),AVERAGEIF(ESales_DB[Product_ID],ESales_DB[[#This Row],[Product_ID]],ESales_DB[Quantity]),ESales_DB[[#This Row],[Quantity]])</f>
        <v>3</v>
      </c>
      <c r="I1133" s="2">
        <v>141.6</v>
      </c>
      <c r="J1133">
        <v>0.08</v>
      </c>
      <c r="K1133" t="s">
        <v>1829</v>
      </c>
      <c r="L1133" s="2">
        <v>390.81599999999997</v>
      </c>
      <c r="M1133" s="2" t="str">
        <f>IF(ESales_DB[[#This Row],[Total_Amount]]&gt;1000,"High","Low")</f>
        <v>Low</v>
      </c>
      <c r="N1133" s="2" t="str">
        <f>VLOOKUP(ESales_DB[[#This Row],[Customer_ID]],Ecustom_DB[],3,FALSE)</f>
        <v>Joseph Faulkner</v>
      </c>
      <c r="O1133" s="2" t="str">
        <f>_xlfn.XLOOKUP(ESales_DB[[#This Row],[Product_ID]],Eproduct_DB[Product_ID],Eproduct_DB[Category])</f>
        <v>Sports</v>
      </c>
      <c r="P1133" s="2" t="str">
        <f>_xlfn.XLOOKUP(ESales_DB[[#This Row],[Product_ID]],Eproduct_DB[Product_ID],Eproduct_DB[Product_Name])</f>
        <v>Professional Jump Rope</v>
      </c>
      <c r="Q1133" s="2" t="str">
        <f>_xlfn.XLOOKUP(ESales_DB[[#This Row],[Store_ID]],Estore_DB[Store_ID],Estore_DB[Region])</f>
        <v>West</v>
      </c>
      <c r="R1133" t="str">
        <f>VLOOKUP(ESales_DB[[#This Row],[Customer_ID]],Ecustom_DB[],10,FALSE)</f>
        <v>Bronze</v>
      </c>
      <c r="S1133" t="str">
        <f>IF(ESales_DB[[#This Row],[Quantity1]]&gt;3,"Bulk order","Normal order")</f>
        <v>Normal order</v>
      </c>
    </row>
    <row r="1134" spans="1:19" x14ac:dyDescent="0.3">
      <c r="A1134" t="s">
        <v>2043</v>
      </c>
      <c r="B1134" s="4">
        <v>45219</v>
      </c>
      <c r="C1134" s="4" t="str">
        <f>TEXT(ESales_DB[[#This Row],[Order_Date]],"mmm")</f>
        <v>Oct</v>
      </c>
      <c r="D1134" t="s">
        <v>849</v>
      </c>
      <c r="E1134" t="s">
        <v>1578</v>
      </c>
      <c r="F1134" t="s">
        <v>1813</v>
      </c>
      <c r="G1134">
        <v>1</v>
      </c>
      <c r="H1134" s="10">
        <f>IF(ISBLANK(ESales_DB[[#This Row],[Quantity]]),AVERAGEIF(ESales_DB[Product_ID],ESales_DB[[#This Row],[Product_ID]],ESales_DB[Quantity]),ESales_DB[[#This Row],[Quantity]])</f>
        <v>1</v>
      </c>
      <c r="I1134" s="2">
        <v>332.82</v>
      </c>
      <c r="J1134">
        <v>0.14000000000000001</v>
      </c>
      <c r="K1134" t="s">
        <v>1826</v>
      </c>
      <c r="L1134" s="2">
        <v>286.22519999999997</v>
      </c>
      <c r="M1134" s="2" t="str">
        <f>IF(ESales_DB[[#This Row],[Total_Amount]]&gt;1000,"High","Low")</f>
        <v>Low</v>
      </c>
      <c r="N1134" s="2" t="str">
        <f>VLOOKUP(ESales_DB[[#This Row],[Customer_ID]],Ecustom_DB[],3,FALSE)</f>
        <v>Cynthia Payne</v>
      </c>
      <c r="O1134" s="2" t="str">
        <f>_xlfn.XLOOKUP(ESales_DB[[#This Row],[Product_ID]],Eproduct_DB[Product_ID],Eproduct_DB[Category])</f>
        <v>Electronics</v>
      </c>
      <c r="P1134" s="2" t="str">
        <f>_xlfn.XLOOKUP(ESales_DB[[#This Row],[Product_ID]],Eproduct_DB[Product_ID],Eproduct_DB[Product_Name])</f>
        <v>4K Home Projector</v>
      </c>
      <c r="Q1134" s="2" t="str">
        <f>_xlfn.XLOOKUP(ESales_DB[[#This Row],[Store_ID]],Estore_DB[Store_ID],Estore_DB[Region])</f>
        <v>East</v>
      </c>
      <c r="R1134" t="str">
        <f>VLOOKUP(ESales_DB[[#This Row],[Customer_ID]],Ecustom_DB[],10,FALSE)</f>
        <v>Bronze</v>
      </c>
      <c r="S1134" t="str">
        <f>IF(ESales_DB[[#This Row],[Quantity1]]&gt;3,"Bulk order","Normal order")</f>
        <v>Normal order</v>
      </c>
    </row>
    <row r="1135" spans="1:19" x14ac:dyDescent="0.3">
      <c r="A1135" t="s">
        <v>2044</v>
      </c>
      <c r="B1135" s="4">
        <v>45447</v>
      </c>
      <c r="C1135" s="4" t="str">
        <f>TEXT(ESales_DB[[#This Row],[Order_Date]],"mmm")</f>
        <v>Jun</v>
      </c>
      <c r="D1135" t="s">
        <v>788</v>
      </c>
      <c r="E1135" t="s">
        <v>1692</v>
      </c>
      <c r="F1135" t="s">
        <v>1757</v>
      </c>
      <c r="G1135">
        <v>4</v>
      </c>
      <c r="H1135" s="10">
        <f>IF(ISBLANK(ESales_DB[[#This Row],[Quantity]]),AVERAGEIF(ESales_DB[Product_ID],ESales_DB[[#This Row],[Product_ID]],ESales_DB[Quantity]),ESales_DB[[#This Row],[Quantity]])</f>
        <v>4</v>
      </c>
      <c r="I1135" s="2">
        <v>640.97</v>
      </c>
      <c r="J1135">
        <v>0.11</v>
      </c>
      <c r="K1135" t="s">
        <v>1829</v>
      </c>
      <c r="L1135" s="2">
        <v>2281.8532</v>
      </c>
      <c r="M1135" s="2" t="str">
        <f>IF(ESales_DB[[#This Row],[Total_Amount]]&gt;1000,"High","Low")</f>
        <v>High</v>
      </c>
      <c r="N1135" s="2" t="str">
        <f>VLOOKUP(ESales_DB[[#This Row],[Customer_ID]],Ecustom_DB[],3,FALSE)</f>
        <v>Mary Russell</v>
      </c>
      <c r="O1135" s="2" t="str">
        <f>_xlfn.XLOOKUP(ESales_DB[[#This Row],[Product_ID]],Eproduct_DB[Product_ID],Eproduct_DB[Category])</f>
        <v>Sports</v>
      </c>
      <c r="P1135" s="2" t="str">
        <f>_xlfn.XLOOKUP(ESales_DB[[#This Row],[Product_ID]],Eproduct_DB[Product_ID],Eproduct_DB[Product_Name])</f>
        <v>Professional Jump Rope</v>
      </c>
      <c r="Q1135" s="2" t="str">
        <f>_xlfn.XLOOKUP(ESales_DB[[#This Row],[Store_ID]],Estore_DB[Store_ID],Estore_DB[Region])</f>
        <v>North</v>
      </c>
      <c r="R1135" t="str">
        <f>VLOOKUP(ESales_DB[[#This Row],[Customer_ID]],Ecustom_DB[],10,FALSE)</f>
        <v>Bronze</v>
      </c>
      <c r="S1135" t="str">
        <f>IF(ESales_DB[[#This Row],[Quantity1]]&gt;3,"Bulk order","Normal order")</f>
        <v>Bulk order</v>
      </c>
    </row>
    <row r="1136" spans="1:19" x14ac:dyDescent="0.3">
      <c r="A1136" t="s">
        <v>2045</v>
      </c>
      <c r="B1136" s="4">
        <v>45225</v>
      </c>
      <c r="C1136" s="4" t="str">
        <f>TEXT(ESales_DB[[#This Row],[Order_Date]],"mmm")</f>
        <v>Oct</v>
      </c>
      <c r="D1136" t="s">
        <v>663</v>
      </c>
      <c r="E1136" t="s">
        <v>1728</v>
      </c>
      <c r="F1136" t="s">
        <v>1801</v>
      </c>
      <c r="G1136">
        <v>4</v>
      </c>
      <c r="H1136" s="10">
        <f>IF(ISBLANK(ESales_DB[[#This Row],[Quantity]]),AVERAGEIF(ESales_DB[Product_ID],ESales_DB[[#This Row],[Product_ID]],ESales_DB[Quantity]),ESales_DB[[#This Row],[Quantity]])</f>
        <v>4</v>
      </c>
      <c r="I1136" s="2">
        <v>75.37</v>
      </c>
      <c r="J1136">
        <v>0.02</v>
      </c>
      <c r="K1136" t="s">
        <v>1829</v>
      </c>
      <c r="L1136" s="2">
        <v>295.4504</v>
      </c>
      <c r="M1136" s="2" t="str">
        <f>IF(ESales_DB[[#This Row],[Total_Amount]]&gt;1000,"High","Low")</f>
        <v>Low</v>
      </c>
      <c r="N1136" s="2" t="str">
        <f>VLOOKUP(ESales_DB[[#This Row],[Customer_ID]],Ecustom_DB[],3,FALSE)</f>
        <v>Sarah Brady</v>
      </c>
      <c r="O1136" s="2" t="str">
        <f>_xlfn.XLOOKUP(ESales_DB[[#This Row],[Product_ID]],Eproduct_DB[Product_ID],Eproduct_DB[Category])</f>
        <v>Electronics</v>
      </c>
      <c r="P1136" s="2" t="str">
        <f>_xlfn.XLOOKUP(ESales_DB[[#This Row],[Product_ID]],Eproduct_DB[Product_ID],Eproduct_DB[Product_Name])</f>
        <v>Gaming Mouse Pad XL</v>
      </c>
      <c r="Q1136" s="2" t="str">
        <f>_xlfn.XLOOKUP(ESales_DB[[#This Row],[Store_ID]],Estore_DB[Store_ID],Estore_DB[Region])</f>
        <v>North</v>
      </c>
      <c r="R1136" t="str">
        <f>VLOOKUP(ESales_DB[[#This Row],[Customer_ID]],Ecustom_DB[],10,FALSE)</f>
        <v>Platinum</v>
      </c>
      <c r="S1136" t="str">
        <f>IF(ESales_DB[[#This Row],[Quantity1]]&gt;3,"Bulk order","Normal order")</f>
        <v>Bulk order</v>
      </c>
    </row>
    <row r="1137" spans="1:19" x14ac:dyDescent="0.3">
      <c r="A1137" t="s">
        <v>1848</v>
      </c>
      <c r="B1137" s="4">
        <v>45394</v>
      </c>
      <c r="C1137" s="4" t="str">
        <f>TEXT(ESales_DB[[#This Row],[Order_Date]],"mmm")</f>
        <v>Apr</v>
      </c>
      <c r="D1137" t="s">
        <v>1466</v>
      </c>
      <c r="E1137" t="s">
        <v>1686</v>
      </c>
      <c r="F1137" t="s">
        <v>1789</v>
      </c>
      <c r="G1137">
        <v>3</v>
      </c>
      <c r="H1137" s="10">
        <f>IF(ISBLANK(ESales_DB[[#This Row],[Quantity]]),AVERAGEIF(ESales_DB[Product_ID],ESales_DB[[#This Row],[Product_ID]],ESales_DB[Quantity]),ESales_DB[[#This Row],[Quantity]])</f>
        <v>3</v>
      </c>
      <c r="I1137" s="2">
        <v>979.42</v>
      </c>
      <c r="J1137">
        <v>0.03</v>
      </c>
      <c r="K1137" t="s">
        <v>1826</v>
      </c>
      <c r="L1137" s="2">
        <v>2850.1122</v>
      </c>
      <c r="M1137" s="2" t="str">
        <f>IF(ESales_DB[[#This Row],[Total_Amount]]&gt;1000,"High","Low")</f>
        <v>High</v>
      </c>
      <c r="N1137" s="2" t="str">
        <f>VLOOKUP(ESales_DB[[#This Row],[Customer_ID]],Ecustom_DB[],3,FALSE)</f>
        <v>Elizabeth Foster</v>
      </c>
      <c r="O1137" s="2" t="str">
        <f>_xlfn.XLOOKUP(ESales_DB[[#This Row],[Product_ID]],Eproduct_DB[Product_ID],Eproduct_DB[Category])</f>
        <v>Clothing</v>
      </c>
      <c r="P1137" s="2" t="str">
        <f>_xlfn.XLOOKUP(ESales_DB[[#This Row],[Product_ID]],Eproduct_DB[Product_ID],Eproduct_DB[Product_Name])</f>
        <v>Men's Sports Shorts</v>
      </c>
      <c r="Q1137" s="2" t="str">
        <f>_xlfn.XLOOKUP(ESales_DB[[#This Row],[Store_ID]],Estore_DB[Store_ID],Estore_DB[Region])</f>
        <v>East</v>
      </c>
      <c r="R1137" t="str">
        <f>VLOOKUP(ESales_DB[[#This Row],[Customer_ID]],Ecustom_DB[],10,FALSE)</f>
        <v>Gold</v>
      </c>
      <c r="S1137" t="str">
        <f>IF(ESales_DB[[#This Row],[Quantity1]]&gt;3,"Bulk order","Normal order")</f>
        <v>Normal order</v>
      </c>
    </row>
    <row r="1138" spans="1:19" x14ac:dyDescent="0.3">
      <c r="A1138" t="s">
        <v>2046</v>
      </c>
      <c r="B1138" s="4">
        <v>45754</v>
      </c>
      <c r="C1138" s="4" t="str">
        <f>TEXT(ESales_DB[[#This Row],[Order_Date]],"mmm")</f>
        <v>Apr</v>
      </c>
      <c r="D1138" t="s">
        <v>275</v>
      </c>
      <c r="E1138" t="s">
        <v>1580</v>
      </c>
      <c r="F1138" t="s">
        <v>1810</v>
      </c>
      <c r="G1138">
        <v>3</v>
      </c>
      <c r="H1138" s="10">
        <f>IF(ISBLANK(ESales_DB[[#This Row],[Quantity]]),AVERAGEIF(ESales_DB[Product_ID],ESales_DB[[#This Row],[Product_ID]],ESales_DB[Quantity]),ESales_DB[[#This Row],[Quantity]])</f>
        <v>3</v>
      </c>
      <c r="I1138" s="2">
        <v>434.55</v>
      </c>
      <c r="J1138">
        <v>0.08</v>
      </c>
      <c r="K1138" t="s">
        <v>1829</v>
      </c>
      <c r="L1138" s="2">
        <v>1199.3579999999999</v>
      </c>
      <c r="M1138" s="2" t="str">
        <f>IF(ESales_DB[[#This Row],[Total_Amount]]&gt;1000,"High","Low")</f>
        <v>High</v>
      </c>
      <c r="N1138" s="2" t="str">
        <f>VLOOKUP(ESales_DB[[#This Row],[Customer_ID]],Ecustom_DB[],3,FALSE)</f>
        <v>Rhonda Morales</v>
      </c>
      <c r="O1138" s="2" t="str">
        <f>_xlfn.XLOOKUP(ESales_DB[[#This Row],[Product_ID]],Eproduct_DB[Product_ID],Eproduct_DB[Category])</f>
        <v>Beauty</v>
      </c>
      <c r="P1138" s="2" t="str">
        <f>_xlfn.XLOOKUP(ESales_DB[[#This Row],[Product_ID]],Eproduct_DB[Product_ID],Eproduct_DB[Product_Name])</f>
        <v>Beard Grooming Kit</v>
      </c>
      <c r="Q1138" s="2" t="str">
        <f>_xlfn.XLOOKUP(ESales_DB[[#This Row],[Store_ID]],Estore_DB[Store_ID],Estore_DB[Region])</f>
        <v>East</v>
      </c>
      <c r="R1138" t="str">
        <f>VLOOKUP(ESales_DB[[#This Row],[Customer_ID]],Ecustom_DB[],10,FALSE)</f>
        <v>Gold</v>
      </c>
      <c r="S1138" t="str">
        <f>IF(ESales_DB[[#This Row],[Quantity1]]&gt;3,"Bulk order","Normal order")</f>
        <v>Normal order</v>
      </c>
    </row>
    <row r="1139" spans="1:19" x14ac:dyDescent="0.3">
      <c r="A1139" t="s">
        <v>2047</v>
      </c>
      <c r="B1139" s="4">
        <v>45729</v>
      </c>
      <c r="C1139" s="4" t="str">
        <f>TEXT(ESales_DB[[#This Row],[Order_Date]],"mmm")</f>
        <v>Mar</v>
      </c>
      <c r="D1139" t="s">
        <v>353</v>
      </c>
      <c r="E1139" t="s">
        <v>1600</v>
      </c>
      <c r="F1139" t="s">
        <v>1799</v>
      </c>
      <c r="G1139">
        <v>4</v>
      </c>
      <c r="H1139" s="10">
        <f>IF(ISBLANK(ESales_DB[[#This Row],[Quantity]]),AVERAGEIF(ESales_DB[Product_ID],ESales_DB[[#This Row],[Product_ID]],ESales_DB[Quantity]),ESales_DB[[#This Row],[Quantity]])</f>
        <v>4</v>
      </c>
      <c r="I1139" s="2">
        <v>652.28</v>
      </c>
      <c r="J1139">
        <v>0.15</v>
      </c>
      <c r="K1139" t="s">
        <v>1824</v>
      </c>
      <c r="L1139" s="2">
        <v>2217.752</v>
      </c>
      <c r="M1139" s="2" t="str">
        <f>IF(ESales_DB[[#This Row],[Total_Amount]]&gt;1000,"High","Low")</f>
        <v>High</v>
      </c>
      <c r="N1139" s="2" t="str">
        <f>VLOOKUP(ESales_DB[[#This Row],[Customer_ID]],Ecustom_DB[],3,FALSE)</f>
        <v>Sheila Wilson</v>
      </c>
      <c r="O1139" s="2" t="str">
        <f>_xlfn.XLOOKUP(ESales_DB[[#This Row],[Product_ID]],Eproduct_DB[Product_ID],Eproduct_DB[Category])</f>
        <v>Electronics</v>
      </c>
      <c r="P1139" s="2" t="str">
        <f>_xlfn.XLOOKUP(ESales_DB[[#This Row],[Product_ID]],Eproduct_DB[Product_ID],Eproduct_DB[Product_Name])</f>
        <v>Wireless Bluetooth Speaker</v>
      </c>
      <c r="Q1139" s="2" t="str">
        <f>_xlfn.XLOOKUP(ESales_DB[[#This Row],[Store_ID]],Estore_DB[Store_ID],Estore_DB[Region])</f>
        <v>South</v>
      </c>
      <c r="R1139" t="str">
        <f>VLOOKUP(ESales_DB[[#This Row],[Customer_ID]],Ecustom_DB[],10,FALSE)</f>
        <v>Silver</v>
      </c>
      <c r="S1139" t="str">
        <f>IF(ESales_DB[[#This Row],[Quantity1]]&gt;3,"Bulk order","Normal order")</f>
        <v>Bulk order</v>
      </c>
    </row>
    <row r="1140" spans="1:19" x14ac:dyDescent="0.3">
      <c r="A1140" t="s">
        <v>2048</v>
      </c>
      <c r="B1140" s="4">
        <v>45480</v>
      </c>
      <c r="C1140" s="4" t="str">
        <f>TEXT(ESales_DB[[#This Row],[Order_Date]],"mmm")</f>
        <v>Jul</v>
      </c>
      <c r="D1140" t="s">
        <v>857</v>
      </c>
      <c r="E1140" t="s">
        <v>1700</v>
      </c>
      <c r="F1140" t="s">
        <v>1807</v>
      </c>
      <c r="G1140">
        <v>3</v>
      </c>
      <c r="H1140" s="10">
        <f>IF(ISBLANK(ESales_DB[[#This Row],[Quantity]]),AVERAGEIF(ESales_DB[Product_ID],ESales_DB[[#This Row],[Product_ID]],ESales_DB[Quantity]),ESales_DB[[#This Row],[Quantity]])</f>
        <v>3</v>
      </c>
      <c r="I1140" s="2">
        <v>207.8</v>
      </c>
      <c r="J1140">
        <v>0.15</v>
      </c>
      <c r="K1140" t="s">
        <v>1824</v>
      </c>
      <c r="L1140" s="2">
        <v>529.8900000000001</v>
      </c>
      <c r="M1140" s="2" t="str">
        <f>IF(ESales_DB[[#This Row],[Total_Amount]]&gt;1000,"High","Low")</f>
        <v>Low</v>
      </c>
      <c r="N1140" s="2" t="str">
        <f>VLOOKUP(ESales_DB[[#This Row],[Customer_ID]],Ecustom_DB[],3,FALSE)</f>
        <v>Tyrone Olson</v>
      </c>
      <c r="O1140" s="2" t="str">
        <f>_xlfn.XLOOKUP(ESales_DB[[#This Row],[Product_ID]],Eproduct_DB[Product_ID],Eproduct_DB[Category])</f>
        <v>Electronics</v>
      </c>
      <c r="P1140" s="2" t="str">
        <f>_xlfn.XLOOKUP(ESales_DB[[#This Row],[Product_ID]],Eproduct_DB[Product_ID],Eproduct_DB[Product_Name])</f>
        <v>Wireless Mouse</v>
      </c>
      <c r="Q1140" s="2" t="str">
        <f>_xlfn.XLOOKUP(ESales_DB[[#This Row],[Store_ID]],Estore_DB[Store_ID],Estore_DB[Region])</f>
        <v>North</v>
      </c>
      <c r="R1140" t="str">
        <f>VLOOKUP(ESales_DB[[#This Row],[Customer_ID]],Ecustom_DB[],10,FALSE)</f>
        <v>Silver</v>
      </c>
      <c r="S1140" t="str">
        <f>IF(ESales_DB[[#This Row],[Quantity1]]&gt;3,"Bulk order","Normal order")</f>
        <v>Normal order</v>
      </c>
    </row>
    <row r="1141" spans="1:19" x14ac:dyDescent="0.3">
      <c r="A1141" t="s">
        <v>2049</v>
      </c>
      <c r="B1141" s="4">
        <v>45361</v>
      </c>
      <c r="C1141" s="4" t="str">
        <f>TEXT(ESales_DB[[#This Row],[Order_Date]],"mmm")</f>
        <v>Mar</v>
      </c>
      <c r="D1141" t="s">
        <v>1521</v>
      </c>
      <c r="E1141" t="s">
        <v>1670</v>
      </c>
      <c r="F1141" t="s">
        <v>1801</v>
      </c>
      <c r="G1141">
        <v>4</v>
      </c>
      <c r="H1141" s="10">
        <f>IF(ISBLANK(ESales_DB[[#This Row],[Quantity]]),AVERAGEIF(ESales_DB[Product_ID],ESales_DB[[#This Row],[Product_ID]],ESales_DB[Quantity]),ESales_DB[[#This Row],[Quantity]])</f>
        <v>4</v>
      </c>
      <c r="I1141" s="2">
        <v>385.5</v>
      </c>
      <c r="J1141">
        <v>0.03</v>
      </c>
      <c r="K1141" t="s">
        <v>1826</v>
      </c>
      <c r="L1141" s="2">
        <v>1495.74</v>
      </c>
      <c r="M1141" s="2" t="str">
        <f>IF(ESales_DB[[#This Row],[Total_Amount]]&gt;1000,"High","Low")</f>
        <v>High</v>
      </c>
      <c r="N1141" s="2" t="str">
        <f>VLOOKUP(ESales_DB[[#This Row],[Customer_ID]],Ecustom_DB[],3,FALSE)</f>
        <v>James Berger</v>
      </c>
      <c r="O1141" s="2" t="str">
        <f>_xlfn.XLOOKUP(ESales_DB[[#This Row],[Product_ID]],Eproduct_DB[Product_ID],Eproduct_DB[Category])</f>
        <v>Sports</v>
      </c>
      <c r="P1141" s="2" t="str">
        <f>_xlfn.XLOOKUP(ESales_DB[[#This Row],[Product_ID]],Eproduct_DB[Product_ID],Eproduct_DB[Product_Name])</f>
        <v>Tennis Ball 3-Pack</v>
      </c>
      <c r="Q1141" s="2" t="str">
        <f>_xlfn.XLOOKUP(ESales_DB[[#This Row],[Store_ID]],Estore_DB[Store_ID],Estore_DB[Region])</f>
        <v>North</v>
      </c>
      <c r="R1141" t="str">
        <f>VLOOKUP(ESales_DB[[#This Row],[Customer_ID]],Ecustom_DB[],10,FALSE)</f>
        <v>Bronze</v>
      </c>
      <c r="S1141" t="str">
        <f>IF(ESales_DB[[#This Row],[Quantity1]]&gt;3,"Bulk order","Normal order")</f>
        <v>Bulk order</v>
      </c>
    </row>
    <row r="1142" spans="1:19" x14ac:dyDescent="0.3">
      <c r="A1142" t="s">
        <v>2050</v>
      </c>
      <c r="B1142" s="4">
        <v>45915</v>
      </c>
      <c r="C1142" s="4" t="str">
        <f>TEXT(ESales_DB[[#This Row],[Order_Date]],"mmm")</f>
        <v>Sep</v>
      </c>
      <c r="D1142" t="s">
        <v>344</v>
      </c>
      <c r="E1142" t="s">
        <v>1678</v>
      </c>
      <c r="F1142" t="s">
        <v>1776</v>
      </c>
      <c r="G1142">
        <v>3</v>
      </c>
      <c r="H1142" s="10">
        <f>IF(ISBLANK(ESales_DB[[#This Row],[Quantity]]),AVERAGEIF(ESales_DB[Product_ID],ESales_DB[[#This Row],[Product_ID]],ESales_DB[Quantity]),ESales_DB[[#This Row],[Quantity]])</f>
        <v>3</v>
      </c>
      <c r="I1142" s="2">
        <v>548.19000000000005</v>
      </c>
      <c r="J1142">
        <v>0.12</v>
      </c>
      <c r="K1142" t="s">
        <v>1824</v>
      </c>
      <c r="L1142" s="2">
        <v>1447.2216000000001</v>
      </c>
      <c r="M1142" s="2" t="str">
        <f>IF(ESales_DB[[#This Row],[Total_Amount]]&gt;1000,"High","Low")</f>
        <v>High</v>
      </c>
      <c r="N1142" s="2" t="str">
        <f>VLOOKUP(ESales_DB[[#This Row],[Customer_ID]],Ecustom_DB[],3,FALSE)</f>
        <v>Samantha Walker</v>
      </c>
      <c r="O1142" s="2" t="str">
        <f>_xlfn.XLOOKUP(ESales_DB[[#This Row],[Product_ID]],Eproduct_DB[Product_ID],Eproduct_DB[Category])</f>
        <v>Sports</v>
      </c>
      <c r="P1142" s="2" t="str">
        <f>_xlfn.XLOOKUP(ESales_DB[[#This Row],[Product_ID]],Eproduct_DB[Product_ID],Eproduct_DB[Product_Name])</f>
        <v>Adjustable Dumbbells 20kg</v>
      </c>
      <c r="Q1142" s="2" t="str">
        <f>_xlfn.XLOOKUP(ESales_DB[[#This Row],[Store_ID]],Estore_DB[Store_ID],Estore_DB[Region])</f>
        <v>East</v>
      </c>
      <c r="R1142" t="str">
        <f>VLOOKUP(ESales_DB[[#This Row],[Customer_ID]],Ecustom_DB[],10,FALSE)</f>
        <v>Platinum</v>
      </c>
      <c r="S1142" t="str">
        <f>IF(ESales_DB[[#This Row],[Quantity1]]&gt;3,"Bulk order","Normal order")</f>
        <v>Normal order</v>
      </c>
    </row>
    <row r="1143" spans="1:19" x14ac:dyDescent="0.3">
      <c r="A1143" t="s">
        <v>2051</v>
      </c>
      <c r="B1143" s="4">
        <v>45607</v>
      </c>
      <c r="C1143" s="4" t="str">
        <f>TEXT(ESales_DB[[#This Row],[Order_Date]],"mmm")</f>
        <v>Nov</v>
      </c>
      <c r="D1143" t="s">
        <v>255</v>
      </c>
      <c r="E1143" t="s">
        <v>1694</v>
      </c>
      <c r="F1143" t="s">
        <v>1786</v>
      </c>
      <c r="G1143">
        <v>3</v>
      </c>
      <c r="H1143" s="10">
        <f>IF(ISBLANK(ESales_DB[[#This Row],[Quantity]]),AVERAGEIF(ESales_DB[Product_ID],ESales_DB[[#This Row],[Product_ID]],ESales_DB[Quantity]),ESales_DB[[#This Row],[Quantity]])</f>
        <v>3</v>
      </c>
      <c r="I1143" s="2">
        <v>927.6</v>
      </c>
      <c r="J1143">
        <v>0.09</v>
      </c>
      <c r="K1143" t="s">
        <v>1824</v>
      </c>
      <c r="L1143" s="2">
        <v>2532.348</v>
      </c>
      <c r="M1143" s="2" t="str">
        <f>IF(ESales_DB[[#This Row],[Total_Amount]]&gt;1000,"High","Low")</f>
        <v>High</v>
      </c>
      <c r="N1143" s="2" t="str">
        <f>VLOOKUP(ESales_DB[[#This Row],[Customer_ID]],Ecustom_DB[],3,FALSE)</f>
        <v>Roy Cole</v>
      </c>
      <c r="O1143" s="2" t="str">
        <f>_xlfn.XLOOKUP(ESales_DB[[#This Row],[Product_ID]],Eproduct_DB[Product_ID],Eproduct_DB[Category])</f>
        <v>Sports</v>
      </c>
      <c r="P1143" s="2" t="str">
        <f>_xlfn.XLOOKUP(ESales_DB[[#This Row],[Product_ID]],Eproduct_DB[Product_ID],Eproduct_DB[Product_Name])</f>
        <v>Shin Guards – Adult</v>
      </c>
      <c r="Q1143" s="2" t="str">
        <f>_xlfn.XLOOKUP(ESales_DB[[#This Row],[Store_ID]],Estore_DB[Store_ID],Estore_DB[Region])</f>
        <v>South</v>
      </c>
      <c r="R1143" t="str">
        <f>VLOOKUP(ESales_DB[[#This Row],[Customer_ID]],Ecustom_DB[],10,FALSE)</f>
        <v>Platinum</v>
      </c>
      <c r="S1143" t="str">
        <f>IF(ESales_DB[[#This Row],[Quantity1]]&gt;3,"Bulk order","Normal order")</f>
        <v>Normal order</v>
      </c>
    </row>
    <row r="1144" spans="1:19" x14ac:dyDescent="0.3">
      <c r="A1144" t="s">
        <v>2052</v>
      </c>
      <c r="B1144" s="4">
        <v>45666</v>
      </c>
      <c r="C1144" s="4" t="str">
        <f>TEXT(ESales_DB[[#This Row],[Order_Date]],"mmm")</f>
        <v>Jan</v>
      </c>
      <c r="D1144" t="s">
        <v>849</v>
      </c>
      <c r="E1144" t="s">
        <v>1670</v>
      </c>
      <c r="F1144" t="s">
        <v>1766</v>
      </c>
      <c r="G1144">
        <v>4</v>
      </c>
      <c r="H1144" s="10">
        <f>IF(ISBLANK(ESales_DB[[#This Row],[Quantity]]),AVERAGEIF(ESales_DB[Product_ID],ESales_DB[[#This Row],[Product_ID]],ESales_DB[Quantity]),ESales_DB[[#This Row],[Quantity]])</f>
        <v>4</v>
      </c>
      <c r="I1144" s="2">
        <v>585.04</v>
      </c>
      <c r="J1144">
        <v>0.22</v>
      </c>
      <c r="K1144" t="s">
        <v>1826</v>
      </c>
      <c r="L1144" s="2">
        <v>1825.3248000000001</v>
      </c>
      <c r="M1144" s="2" t="str">
        <f>IF(ESales_DB[[#This Row],[Total_Amount]]&gt;1000,"High","Low")</f>
        <v>High</v>
      </c>
      <c r="N1144" s="2" t="str">
        <f>VLOOKUP(ESales_DB[[#This Row],[Customer_ID]],Ecustom_DB[],3,FALSE)</f>
        <v>Cynthia Payne</v>
      </c>
      <c r="O1144" s="2" t="str">
        <f>_xlfn.XLOOKUP(ESales_DB[[#This Row],[Product_ID]],Eproduct_DB[Product_ID],Eproduct_DB[Category])</f>
        <v>Sports</v>
      </c>
      <c r="P1144" s="2" t="str">
        <f>_xlfn.XLOOKUP(ESales_DB[[#This Row],[Product_ID]],Eproduct_DB[Product_ID],Eproduct_DB[Product_Name])</f>
        <v>Tennis Ball 3-Pack</v>
      </c>
      <c r="Q1144" s="2" t="str">
        <f>_xlfn.XLOOKUP(ESales_DB[[#This Row],[Store_ID]],Estore_DB[Store_ID],Estore_DB[Region])</f>
        <v>North</v>
      </c>
      <c r="R1144" t="str">
        <f>VLOOKUP(ESales_DB[[#This Row],[Customer_ID]],Ecustom_DB[],10,FALSE)</f>
        <v>Bronze</v>
      </c>
      <c r="S1144" t="str">
        <f>IF(ESales_DB[[#This Row],[Quantity1]]&gt;3,"Bulk order","Normal order")</f>
        <v>Bulk order</v>
      </c>
    </row>
    <row r="1145" spans="1:19" x14ac:dyDescent="0.3">
      <c r="A1145" t="s">
        <v>2053</v>
      </c>
      <c r="B1145" s="4">
        <v>45406</v>
      </c>
      <c r="C1145" s="4" t="str">
        <f>TEXT(ESales_DB[[#This Row],[Order_Date]],"mmm")</f>
        <v>Apr</v>
      </c>
      <c r="D1145" t="s">
        <v>1533</v>
      </c>
      <c r="E1145" t="s">
        <v>1626</v>
      </c>
      <c r="F1145" t="s">
        <v>1761</v>
      </c>
      <c r="G1145">
        <v>2</v>
      </c>
      <c r="H1145" s="10">
        <f>IF(ISBLANK(ESales_DB[[#This Row],[Quantity]]),AVERAGEIF(ESales_DB[Product_ID],ESales_DB[[#This Row],[Product_ID]],ESales_DB[Quantity]),ESales_DB[[#This Row],[Quantity]])</f>
        <v>2</v>
      </c>
      <c r="I1145" s="2">
        <v>999.89</v>
      </c>
      <c r="J1145">
        <v>0.09</v>
      </c>
      <c r="K1145" t="s">
        <v>1824</v>
      </c>
      <c r="L1145" s="2">
        <v>1819.7998</v>
      </c>
      <c r="M1145" s="2" t="str">
        <f>IF(ESales_DB[[#This Row],[Total_Amount]]&gt;1000,"High","Low")</f>
        <v>High</v>
      </c>
      <c r="N1145" s="2" t="str">
        <f>VLOOKUP(ESales_DB[[#This Row],[Customer_ID]],Ecustom_DB[],3,FALSE)</f>
        <v>Philip Pennington</v>
      </c>
      <c r="O1145" s="2" t="str">
        <f>_xlfn.XLOOKUP(ESales_DB[[#This Row],[Product_ID]],Eproduct_DB[Product_ID],Eproduct_DB[Category])</f>
        <v>Electronics</v>
      </c>
      <c r="P1145" s="2" t="str">
        <f>_xlfn.XLOOKUP(ESales_DB[[#This Row],[Product_ID]],Eproduct_DB[Product_ID],Eproduct_DB[Product_Name])</f>
        <v>Portable Power Bank</v>
      </c>
      <c r="Q1145" s="2" t="str">
        <f>_xlfn.XLOOKUP(ESales_DB[[#This Row],[Store_ID]],Estore_DB[Store_ID],Estore_DB[Region])</f>
        <v>South</v>
      </c>
      <c r="R1145" t="str">
        <f>VLOOKUP(ESales_DB[[#This Row],[Customer_ID]],Ecustom_DB[],10,FALSE)</f>
        <v>Platinum</v>
      </c>
      <c r="S1145" t="str">
        <f>IF(ESales_DB[[#This Row],[Quantity1]]&gt;3,"Bulk order","Normal order")</f>
        <v>Normal order</v>
      </c>
    </row>
    <row r="1146" spans="1:19" x14ac:dyDescent="0.3">
      <c r="A1146" t="s">
        <v>2054</v>
      </c>
      <c r="B1146" s="4">
        <v>45284</v>
      </c>
      <c r="C1146" s="4" t="str">
        <f>TEXT(ESales_DB[[#This Row],[Order_Date]],"mmm")</f>
        <v>Dec</v>
      </c>
      <c r="D1146" t="s">
        <v>378</v>
      </c>
      <c r="E1146" t="s">
        <v>1698</v>
      </c>
      <c r="F1146" t="s">
        <v>1766</v>
      </c>
      <c r="G1146">
        <v>2</v>
      </c>
      <c r="H1146" s="10">
        <f>IF(ISBLANK(ESales_DB[[#This Row],[Quantity]]),AVERAGEIF(ESales_DB[Product_ID],ESales_DB[[#This Row],[Product_ID]],ESales_DB[Quantity]),ESales_DB[[#This Row],[Quantity]])</f>
        <v>2</v>
      </c>
      <c r="I1146" s="2">
        <v>848.98</v>
      </c>
      <c r="J1146">
        <v>0.04</v>
      </c>
      <c r="K1146" t="s">
        <v>1826</v>
      </c>
      <c r="L1146" s="2">
        <v>1630.0416</v>
      </c>
      <c r="M1146" s="2" t="str">
        <f>IF(ESales_DB[[#This Row],[Total_Amount]]&gt;1000,"High","Low")</f>
        <v>High</v>
      </c>
      <c r="N1146" s="2" t="str">
        <f>VLOOKUP(ESales_DB[[#This Row],[Customer_ID]],Ecustom_DB[],3,FALSE)</f>
        <v>Erica Carney</v>
      </c>
      <c r="O1146" s="2" t="str">
        <f>_xlfn.XLOOKUP(ESales_DB[[#This Row],[Product_ID]],Eproduct_DB[Product_ID],Eproduct_DB[Category])</f>
        <v>Clothing</v>
      </c>
      <c r="P1146" s="2" t="str">
        <f>_xlfn.XLOOKUP(ESales_DB[[#This Row],[Product_ID]],Eproduct_DB[Product_ID],Eproduct_DB[Product_Name])</f>
        <v>Women's Ankle Boots</v>
      </c>
      <c r="Q1146" s="2" t="str">
        <f>_xlfn.XLOOKUP(ESales_DB[[#This Row],[Store_ID]],Estore_DB[Store_ID],Estore_DB[Region])</f>
        <v>North</v>
      </c>
      <c r="R1146" t="str">
        <f>VLOOKUP(ESales_DB[[#This Row],[Customer_ID]],Ecustom_DB[],10,FALSE)</f>
        <v>Platinum</v>
      </c>
      <c r="S1146" t="str">
        <f>IF(ESales_DB[[#This Row],[Quantity1]]&gt;3,"Bulk order","Normal order")</f>
        <v>Normal order</v>
      </c>
    </row>
    <row r="1147" spans="1:19" x14ac:dyDescent="0.3">
      <c r="A1147" t="s">
        <v>2055</v>
      </c>
      <c r="B1147" s="4">
        <v>45348</v>
      </c>
      <c r="C1147" s="4" t="str">
        <f>TEXT(ESales_DB[[#This Row],[Order_Date]],"mmm")</f>
        <v>Feb</v>
      </c>
      <c r="D1147" t="s">
        <v>481</v>
      </c>
      <c r="E1147" t="s">
        <v>1668</v>
      </c>
      <c r="F1147" t="s">
        <v>1799</v>
      </c>
      <c r="G1147">
        <v>3</v>
      </c>
      <c r="H1147" s="10">
        <f>IF(ISBLANK(ESales_DB[[#This Row],[Quantity]]),AVERAGEIF(ESales_DB[Product_ID],ESales_DB[[#This Row],[Product_ID]],ESales_DB[Quantity]),ESales_DB[[#This Row],[Quantity]])</f>
        <v>3</v>
      </c>
      <c r="I1147" s="2">
        <v>769.56</v>
      </c>
      <c r="J1147">
        <v>0.08</v>
      </c>
      <c r="K1147" t="s">
        <v>1824</v>
      </c>
      <c r="L1147" s="2">
        <v>2123.9856</v>
      </c>
      <c r="M1147" s="2" t="str">
        <f>IF(ESales_DB[[#This Row],[Total_Amount]]&gt;1000,"High","Low")</f>
        <v>High</v>
      </c>
      <c r="N1147" s="2" t="str">
        <f>VLOOKUP(ESales_DB[[#This Row],[Customer_ID]],Ecustom_DB[],3,FALSE)</f>
        <v>Maria Ramirez</v>
      </c>
      <c r="O1147" s="2" t="str">
        <f>_xlfn.XLOOKUP(ESales_DB[[#This Row],[Product_ID]],Eproduct_DB[Product_ID],Eproduct_DB[Category])</f>
        <v>Beauty</v>
      </c>
      <c r="P1147" s="2" t="str">
        <f>_xlfn.XLOOKUP(ESales_DB[[#This Row],[Product_ID]],Eproduct_DB[Product_ID],Eproduct_DB[Product_Name])</f>
        <v>Luxury Perfume Spray</v>
      </c>
      <c r="Q1147" s="2" t="str">
        <f>_xlfn.XLOOKUP(ESales_DB[[#This Row],[Store_ID]],Estore_DB[Store_ID],Estore_DB[Region])</f>
        <v>South</v>
      </c>
      <c r="R1147" t="str">
        <f>VLOOKUP(ESales_DB[[#This Row],[Customer_ID]],Ecustom_DB[],10,FALSE)</f>
        <v>Bronze</v>
      </c>
      <c r="S1147" t="str">
        <f>IF(ESales_DB[[#This Row],[Quantity1]]&gt;3,"Bulk order","Normal order")</f>
        <v>Normal order</v>
      </c>
    </row>
    <row r="1148" spans="1:19" x14ac:dyDescent="0.3">
      <c r="A1148" t="s">
        <v>1849</v>
      </c>
      <c r="B1148" s="4">
        <v>45466</v>
      </c>
      <c r="C1148" s="4" t="str">
        <f>TEXT(ESales_DB[[#This Row],[Order_Date]],"mmm")</f>
        <v>Jun</v>
      </c>
      <c r="D1148" t="s">
        <v>1151</v>
      </c>
      <c r="E1148" t="s">
        <v>1572</v>
      </c>
      <c r="F1148" t="s">
        <v>1782</v>
      </c>
      <c r="G1148">
        <v>1</v>
      </c>
      <c r="H1148" s="10">
        <f>IF(ISBLANK(ESales_DB[[#This Row],[Quantity]]),AVERAGEIF(ESales_DB[Product_ID],ESales_DB[[#This Row],[Product_ID]],ESales_DB[Quantity]),ESales_DB[[#This Row],[Quantity]])</f>
        <v>1</v>
      </c>
      <c r="I1148" s="2">
        <v>719.28</v>
      </c>
      <c r="J1148">
        <v>0.08</v>
      </c>
      <c r="K1148" t="s">
        <v>1824</v>
      </c>
      <c r="L1148" s="2">
        <v>661.73760000000004</v>
      </c>
      <c r="M1148" s="2" t="str">
        <f>IF(ESales_DB[[#This Row],[Total_Amount]]&gt;1000,"High","Low")</f>
        <v>Low</v>
      </c>
      <c r="N1148" s="2" t="str">
        <f>VLOOKUP(ESales_DB[[#This Row],[Customer_ID]],Ecustom_DB[],3,FALSE)</f>
        <v>Miranda King</v>
      </c>
      <c r="O1148" s="2" t="str">
        <f>_xlfn.XLOOKUP(ESales_DB[[#This Row],[Product_ID]],Eproduct_DB[Product_ID],Eproduct_DB[Category])</f>
        <v>Beauty</v>
      </c>
      <c r="P1148" s="2" t="str">
        <f>_xlfn.XLOOKUP(ESales_DB[[#This Row],[Product_ID]],Eproduct_DB[Product_ID],Eproduct_DB[Product_Name])</f>
        <v>Hair Strengthening Shampoo</v>
      </c>
      <c r="Q1148" s="2" t="str">
        <f>_xlfn.XLOOKUP(ESales_DB[[#This Row],[Store_ID]],Estore_DB[Store_ID],Estore_DB[Region])</f>
        <v>West</v>
      </c>
      <c r="R1148" t="str">
        <f>VLOOKUP(ESales_DB[[#This Row],[Customer_ID]],Ecustom_DB[],10,FALSE)</f>
        <v>Platinum</v>
      </c>
      <c r="S1148" t="str">
        <f>IF(ESales_DB[[#This Row],[Quantity1]]&gt;3,"Bulk order","Normal order")</f>
        <v>Normal order</v>
      </c>
    </row>
    <row r="1149" spans="1:19" x14ac:dyDescent="0.3">
      <c r="A1149" t="s">
        <v>2056</v>
      </c>
      <c r="B1149" s="4">
        <v>45676</v>
      </c>
      <c r="C1149" s="4" t="str">
        <f>TEXT(ESales_DB[[#This Row],[Order_Date]],"mmm")</f>
        <v>Jan</v>
      </c>
      <c r="D1149" t="s">
        <v>188</v>
      </c>
      <c r="E1149" t="s">
        <v>1644</v>
      </c>
      <c r="F1149" t="s">
        <v>1797</v>
      </c>
      <c r="G1149">
        <v>3</v>
      </c>
      <c r="H1149" s="10">
        <f>IF(ISBLANK(ESales_DB[[#This Row],[Quantity]]),AVERAGEIF(ESales_DB[Product_ID],ESales_DB[[#This Row],[Product_ID]],ESales_DB[Quantity]),ESales_DB[[#This Row],[Quantity]])</f>
        <v>3</v>
      </c>
      <c r="I1149" s="2">
        <v>449.88</v>
      </c>
      <c r="J1149">
        <v>0.1</v>
      </c>
      <c r="K1149" t="s">
        <v>1826</v>
      </c>
      <c r="L1149" s="2">
        <v>1214.6759999999999</v>
      </c>
      <c r="M1149" s="2" t="str">
        <f>IF(ESales_DB[[#This Row],[Total_Amount]]&gt;1000,"High","Low")</f>
        <v>High</v>
      </c>
      <c r="N1149" s="2" t="str">
        <f>VLOOKUP(ESales_DB[[#This Row],[Customer_ID]],Ecustom_DB[],3,FALSE)</f>
        <v>Timothy Weaver</v>
      </c>
      <c r="O1149" s="2" t="str">
        <f>_xlfn.XLOOKUP(ESales_DB[[#This Row],[Product_ID]],Eproduct_DB[Product_ID],Eproduct_DB[Category])</f>
        <v>Electronics</v>
      </c>
      <c r="P1149" s="2" t="str">
        <f>_xlfn.XLOOKUP(ESales_DB[[#This Row],[Product_ID]],Eproduct_DB[Product_ID],Eproduct_DB[Product_Name])</f>
        <v>Car Dashboard Phone Holder</v>
      </c>
      <c r="Q1149" s="2" t="str">
        <f>_xlfn.XLOOKUP(ESales_DB[[#This Row],[Store_ID]],Estore_DB[Store_ID],Estore_DB[Region])</f>
        <v>East</v>
      </c>
      <c r="R1149" t="str">
        <f>VLOOKUP(ESales_DB[[#This Row],[Customer_ID]],Ecustom_DB[],10,FALSE)</f>
        <v>Gold</v>
      </c>
      <c r="S1149" t="str">
        <f>IF(ESales_DB[[#This Row],[Quantity1]]&gt;3,"Bulk order","Normal order")</f>
        <v>Normal order</v>
      </c>
    </row>
    <row r="1150" spans="1:19" x14ac:dyDescent="0.3">
      <c r="A1150" t="s">
        <v>2057</v>
      </c>
      <c r="B1150" s="4">
        <v>45863</v>
      </c>
      <c r="C1150" s="4" t="str">
        <f>TEXT(ESales_DB[[#This Row],[Order_Date]],"mmm")</f>
        <v>Jul</v>
      </c>
      <c r="D1150" t="s">
        <v>875</v>
      </c>
      <c r="E1150" t="s">
        <v>1686</v>
      </c>
      <c r="F1150" t="s">
        <v>1794</v>
      </c>
      <c r="G1150">
        <v>4</v>
      </c>
      <c r="H1150" s="10">
        <f>IF(ISBLANK(ESales_DB[[#This Row],[Quantity]]),AVERAGEIF(ESales_DB[Product_ID],ESales_DB[[#This Row],[Product_ID]],ESales_DB[Quantity]),ESales_DB[[#This Row],[Quantity]])</f>
        <v>4</v>
      </c>
      <c r="I1150" s="2">
        <v>383.74</v>
      </c>
      <c r="J1150">
        <v>0.01</v>
      </c>
      <c r="K1150" t="s">
        <v>1824</v>
      </c>
      <c r="L1150" s="2">
        <v>1519.6104</v>
      </c>
      <c r="M1150" s="2" t="str">
        <f>IF(ESales_DB[[#This Row],[Total_Amount]]&gt;1000,"High","Low")</f>
        <v>High</v>
      </c>
      <c r="N1150" s="2" t="str">
        <f>VLOOKUP(ESales_DB[[#This Row],[Customer_ID]],Ecustom_DB[],3,FALSE)</f>
        <v>Shannon Miller</v>
      </c>
      <c r="O1150" s="2" t="str">
        <f>_xlfn.XLOOKUP(ESales_DB[[#This Row],[Product_ID]],Eproduct_DB[Product_ID],Eproduct_DB[Category])</f>
        <v>Clothing</v>
      </c>
      <c r="P1150" s="2" t="str">
        <f>_xlfn.XLOOKUP(ESales_DB[[#This Row],[Product_ID]],Eproduct_DB[Product_ID],Eproduct_DB[Product_Name])</f>
        <v>Men's Sports Shorts</v>
      </c>
      <c r="Q1150" s="2" t="str">
        <f>_xlfn.XLOOKUP(ESales_DB[[#This Row],[Store_ID]],Estore_DB[Store_ID],Estore_DB[Region])</f>
        <v>North</v>
      </c>
      <c r="R1150" t="str">
        <f>VLOOKUP(ESales_DB[[#This Row],[Customer_ID]],Ecustom_DB[],10,FALSE)</f>
        <v>Gold</v>
      </c>
      <c r="S1150" t="str">
        <f>IF(ESales_DB[[#This Row],[Quantity1]]&gt;3,"Bulk order","Normal order")</f>
        <v>Bulk order</v>
      </c>
    </row>
    <row r="1151" spans="1:19" x14ac:dyDescent="0.3">
      <c r="A1151" t="s">
        <v>2058</v>
      </c>
      <c r="B1151" s="4">
        <v>45409</v>
      </c>
      <c r="C1151" s="4" t="str">
        <f>TEXT(ESales_DB[[#This Row],[Order_Date]],"mmm")</f>
        <v>Apr</v>
      </c>
      <c r="D1151" t="s">
        <v>499</v>
      </c>
      <c r="E1151" t="s">
        <v>1664</v>
      </c>
      <c r="F1151" t="s">
        <v>1789</v>
      </c>
      <c r="G1151">
        <v>4</v>
      </c>
      <c r="H1151" s="10">
        <f>IF(ISBLANK(ESales_DB[[#This Row],[Quantity]]),AVERAGEIF(ESales_DB[Product_ID],ESales_DB[[#This Row],[Product_ID]],ESales_DB[Quantity]),ESales_DB[[#This Row],[Quantity]])</f>
        <v>4</v>
      </c>
      <c r="I1151" s="2">
        <v>794.97</v>
      </c>
      <c r="J1151">
        <v>0.24</v>
      </c>
      <c r="K1151" t="s">
        <v>1826</v>
      </c>
      <c r="L1151" s="2">
        <v>2416.7087999999999</v>
      </c>
      <c r="M1151" s="2" t="str">
        <f>IF(ESales_DB[[#This Row],[Total_Amount]]&gt;1000,"High","Low")</f>
        <v>High</v>
      </c>
      <c r="N1151" s="2" t="str">
        <f>VLOOKUP(ESales_DB[[#This Row],[Customer_ID]],Ecustom_DB[],3,FALSE)</f>
        <v>Theresa Campbell</v>
      </c>
      <c r="O1151" s="2" t="str">
        <f>_xlfn.XLOOKUP(ESales_DB[[#This Row],[Product_ID]],Eproduct_DB[Product_ID],Eproduct_DB[Category])</f>
        <v>Clothing</v>
      </c>
      <c r="P1151" s="2" t="str">
        <f>_xlfn.XLOOKUP(ESales_DB[[#This Row],[Product_ID]],Eproduct_DB[Product_ID],Eproduct_DB[Product_Name])</f>
        <v>Womens Cotton Scarf</v>
      </c>
      <c r="Q1151" s="2" t="str">
        <f>_xlfn.XLOOKUP(ESales_DB[[#This Row],[Store_ID]],Estore_DB[Store_ID],Estore_DB[Region])</f>
        <v>East</v>
      </c>
      <c r="R1151" t="str">
        <f>VLOOKUP(ESales_DB[[#This Row],[Customer_ID]],Ecustom_DB[],10,FALSE)</f>
        <v>Bronze</v>
      </c>
      <c r="S1151" t="str">
        <f>IF(ESales_DB[[#This Row],[Quantity1]]&gt;3,"Bulk order","Normal order")</f>
        <v>Bulk order</v>
      </c>
    </row>
    <row r="1152" spans="1:19" x14ac:dyDescent="0.3">
      <c r="A1152" t="s">
        <v>2059</v>
      </c>
      <c r="B1152" s="4">
        <v>45880</v>
      </c>
      <c r="C1152" s="4" t="str">
        <f>TEXT(ESales_DB[[#This Row],[Order_Date]],"mmm")</f>
        <v>Aug</v>
      </c>
      <c r="D1152" t="s">
        <v>52</v>
      </c>
      <c r="E1152" t="s">
        <v>1706</v>
      </c>
      <c r="F1152" t="s">
        <v>1773</v>
      </c>
      <c r="G1152">
        <v>1</v>
      </c>
      <c r="H1152" s="10">
        <f>IF(ISBLANK(ESales_DB[[#This Row],[Quantity]]),AVERAGEIF(ESales_DB[Product_ID],ESales_DB[[#This Row],[Product_ID]],ESales_DB[Quantity]),ESales_DB[[#This Row],[Quantity]])</f>
        <v>1</v>
      </c>
      <c r="I1152" s="2">
        <v>989.63</v>
      </c>
      <c r="J1152">
        <v>0.05</v>
      </c>
      <c r="K1152" t="s">
        <v>1826</v>
      </c>
      <c r="L1152" s="2">
        <v>940.1484999999999</v>
      </c>
      <c r="M1152" s="2" t="str">
        <f>IF(ESales_DB[[#This Row],[Total_Amount]]&gt;1000,"High","Low")</f>
        <v>Low</v>
      </c>
      <c r="N1152" s="2" t="str">
        <f>VLOOKUP(ESales_DB[[#This Row],[Customer_ID]],Ecustom_DB[],3,FALSE)</f>
        <v>Dominic Page</v>
      </c>
      <c r="O1152" s="2" t="str">
        <f>_xlfn.XLOOKUP(ESales_DB[[#This Row],[Product_ID]],Eproduct_DB[Product_ID],Eproduct_DB[Category])</f>
        <v>Home</v>
      </c>
      <c r="P1152" s="2" t="str">
        <f>_xlfn.XLOOKUP(ESales_DB[[#This Row],[Product_ID]],Eproduct_DB[Product_ID],Eproduct_DB[Product_Name])</f>
        <v>Decorative Lamp Shade</v>
      </c>
      <c r="Q1152" s="2" t="str">
        <f>_xlfn.XLOOKUP(ESales_DB[[#This Row],[Store_ID]],Estore_DB[Store_ID],Estore_DB[Region])</f>
        <v>North</v>
      </c>
      <c r="R1152" t="str">
        <f>VLOOKUP(ESales_DB[[#This Row],[Customer_ID]],Ecustom_DB[],10,FALSE)</f>
        <v>Bronze</v>
      </c>
      <c r="S1152" t="str">
        <f>IF(ESales_DB[[#This Row],[Quantity1]]&gt;3,"Bulk order","Normal order")</f>
        <v>Normal order</v>
      </c>
    </row>
    <row r="1153" spans="1:19" x14ac:dyDescent="0.3">
      <c r="A1153" t="s">
        <v>2060</v>
      </c>
      <c r="B1153" s="4">
        <v>45731</v>
      </c>
      <c r="C1153" s="4" t="str">
        <f>TEXT(ESales_DB[[#This Row],[Order_Date]],"mmm")</f>
        <v>Mar</v>
      </c>
      <c r="D1153" t="s">
        <v>1053</v>
      </c>
      <c r="E1153" t="s">
        <v>1656</v>
      </c>
      <c r="F1153" t="s">
        <v>1752</v>
      </c>
      <c r="G1153">
        <v>1</v>
      </c>
      <c r="H1153" s="10">
        <f>IF(ISBLANK(ESales_DB[[#This Row],[Quantity]]),AVERAGEIF(ESales_DB[Product_ID],ESales_DB[[#This Row],[Product_ID]],ESales_DB[Quantity]),ESales_DB[[#This Row],[Quantity]])</f>
        <v>1</v>
      </c>
      <c r="I1153" s="2">
        <v>447.16</v>
      </c>
      <c r="J1153">
        <v>0.22</v>
      </c>
      <c r="K1153" t="s">
        <v>1829</v>
      </c>
      <c r="L1153" s="2">
        <v>348.78480000000002</v>
      </c>
      <c r="M1153" s="2" t="str">
        <f>IF(ESales_DB[[#This Row],[Total_Amount]]&gt;1000,"High","Low")</f>
        <v>Low</v>
      </c>
      <c r="N1153" s="2" t="str">
        <f>VLOOKUP(ESales_DB[[#This Row],[Customer_ID]],Ecustom_DB[],3,FALSE)</f>
        <v>Jennifer Woods</v>
      </c>
      <c r="O1153" s="2" t="str">
        <f>_xlfn.XLOOKUP(ESales_DB[[#This Row],[Product_ID]],Eproduct_DB[Product_ID],Eproduct_DB[Category])</f>
        <v>Sports</v>
      </c>
      <c r="P1153" s="2" t="str">
        <f>_xlfn.XLOOKUP(ESales_DB[[#This Row],[Product_ID]],Eproduct_DB[Product_ID],Eproduct_DB[Product_Name])</f>
        <v>Sports Stopwatch Pro</v>
      </c>
      <c r="Q1153" s="2" t="str">
        <f>_xlfn.XLOOKUP(ESales_DB[[#This Row],[Store_ID]],Estore_DB[Store_ID],Estore_DB[Region])</f>
        <v>East</v>
      </c>
      <c r="R1153" t="str">
        <f>VLOOKUP(ESales_DB[[#This Row],[Customer_ID]],Ecustom_DB[],10,FALSE)</f>
        <v>Platinum</v>
      </c>
      <c r="S1153" t="str">
        <f>IF(ESales_DB[[#This Row],[Quantity1]]&gt;3,"Bulk order","Normal order")</f>
        <v>Normal order</v>
      </c>
    </row>
    <row r="1154" spans="1:19" x14ac:dyDescent="0.3">
      <c r="A1154" t="s">
        <v>2061</v>
      </c>
      <c r="B1154" s="4">
        <v>45671</v>
      </c>
      <c r="C1154" s="4" t="str">
        <f>TEXT(ESales_DB[[#This Row],[Order_Date]],"mmm")</f>
        <v>Jan</v>
      </c>
      <c r="D1154" t="s">
        <v>44</v>
      </c>
      <c r="E1154" t="s">
        <v>1736</v>
      </c>
      <c r="F1154" t="s">
        <v>1776</v>
      </c>
      <c r="G1154">
        <v>1</v>
      </c>
      <c r="H1154" s="10">
        <f>IF(ISBLANK(ESales_DB[[#This Row],[Quantity]]),AVERAGEIF(ESales_DB[Product_ID],ESales_DB[[#This Row],[Product_ID]],ESales_DB[Quantity]),ESales_DB[[#This Row],[Quantity]])</f>
        <v>1</v>
      </c>
      <c r="I1154" s="2">
        <v>946.9</v>
      </c>
      <c r="J1154">
        <v>0.28999999999999998</v>
      </c>
      <c r="K1154" t="s">
        <v>1829</v>
      </c>
      <c r="L1154" s="2">
        <v>672.29899999999998</v>
      </c>
      <c r="M1154" s="2" t="str">
        <f>IF(ESales_DB[[#This Row],[Total_Amount]]&gt;1000,"High","Low")</f>
        <v>Low</v>
      </c>
      <c r="N1154" s="2" t="str">
        <f>VLOOKUP(ESales_DB[[#This Row],[Customer_ID]],Ecustom_DB[],3,FALSE)</f>
        <v>Melissa Howard</v>
      </c>
      <c r="O1154" s="2" t="str">
        <f>_xlfn.XLOOKUP(ESales_DB[[#This Row],[Product_ID]],Eproduct_DB[Product_ID],Eproduct_DB[Category])</f>
        <v>Beauty</v>
      </c>
      <c r="P1154" s="2" t="str">
        <f>_xlfn.XLOOKUP(ESales_DB[[#This Row],[Product_ID]],Eproduct_DB[Product_ID],Eproduct_DB[Product_Name])</f>
        <v>Vitamin E Body Lotion</v>
      </c>
      <c r="Q1154" s="2" t="str">
        <f>_xlfn.XLOOKUP(ESales_DB[[#This Row],[Store_ID]],Estore_DB[Store_ID],Estore_DB[Region])</f>
        <v>East</v>
      </c>
      <c r="R1154" t="str">
        <f>VLOOKUP(ESales_DB[[#This Row],[Customer_ID]],Ecustom_DB[],10,FALSE)</f>
        <v>Gold</v>
      </c>
      <c r="S1154" t="str">
        <f>IF(ESales_DB[[#This Row],[Quantity1]]&gt;3,"Bulk order","Normal order")</f>
        <v>Normal order</v>
      </c>
    </row>
    <row r="1155" spans="1:19" x14ac:dyDescent="0.3">
      <c r="A1155" t="s">
        <v>2062</v>
      </c>
      <c r="B1155" s="4">
        <v>45809</v>
      </c>
      <c r="C1155" s="4" t="str">
        <f>TEXT(ESales_DB[[#This Row],[Order_Date]],"mmm")</f>
        <v>Jun</v>
      </c>
      <c r="D1155" t="s">
        <v>562</v>
      </c>
      <c r="E1155" t="s">
        <v>1582</v>
      </c>
      <c r="F1155" t="s">
        <v>1752</v>
      </c>
      <c r="G1155">
        <v>4</v>
      </c>
      <c r="H1155" s="10">
        <f>IF(ISBLANK(ESales_DB[[#This Row],[Quantity]]),AVERAGEIF(ESales_DB[Product_ID],ESales_DB[[#This Row],[Product_ID]],ESales_DB[Quantity]),ESales_DB[[#This Row],[Quantity]])</f>
        <v>4</v>
      </c>
      <c r="I1155" s="2">
        <v>469.68</v>
      </c>
      <c r="J1155">
        <v>0.19</v>
      </c>
      <c r="K1155" t="s">
        <v>1824</v>
      </c>
      <c r="L1155" s="2">
        <v>1521.7632000000001</v>
      </c>
      <c r="M1155" s="2" t="str">
        <f>IF(ESales_DB[[#This Row],[Total_Amount]]&gt;1000,"High","Low")</f>
        <v>High</v>
      </c>
      <c r="N1155" s="2" t="str">
        <f>VLOOKUP(ESales_DB[[#This Row],[Customer_ID]],Ecustom_DB[],3,FALSE)</f>
        <v>Steve Mclaughlin</v>
      </c>
      <c r="O1155" s="2" t="str">
        <f>_xlfn.XLOOKUP(ESales_DB[[#This Row],[Product_ID]],Eproduct_DB[Product_ID],Eproduct_DB[Category])</f>
        <v>Sports</v>
      </c>
      <c r="P1155" s="2" t="str">
        <f>_xlfn.XLOOKUP(ESales_DB[[#This Row],[Product_ID]],Eproduct_DB[Product_ID],Eproduct_DB[Product_Name])</f>
        <v>Soccer Training Cone Set</v>
      </c>
      <c r="Q1155" s="2" t="str">
        <f>_xlfn.XLOOKUP(ESales_DB[[#This Row],[Store_ID]],Estore_DB[Store_ID],Estore_DB[Region])</f>
        <v>East</v>
      </c>
      <c r="R1155" t="str">
        <f>VLOOKUP(ESales_DB[[#This Row],[Customer_ID]],Ecustom_DB[],10,FALSE)</f>
        <v>Bronze</v>
      </c>
      <c r="S1155" t="str">
        <f>IF(ESales_DB[[#This Row],[Quantity1]]&gt;3,"Bulk order","Normal order")</f>
        <v>Bulk order</v>
      </c>
    </row>
    <row r="1156" spans="1:19" x14ac:dyDescent="0.3">
      <c r="A1156" t="s">
        <v>2063</v>
      </c>
      <c r="B1156" s="4">
        <v>45559</v>
      </c>
      <c r="C1156" s="4" t="str">
        <f>TEXT(ESales_DB[[#This Row],[Order_Date]],"mmm")</f>
        <v>Sep</v>
      </c>
      <c r="D1156" t="s">
        <v>1518</v>
      </c>
      <c r="E1156" t="s">
        <v>1604</v>
      </c>
      <c r="F1156" t="s">
        <v>1807</v>
      </c>
      <c r="G1156">
        <v>4</v>
      </c>
      <c r="H1156" s="10">
        <f>IF(ISBLANK(ESales_DB[[#This Row],[Quantity]]),AVERAGEIF(ESales_DB[Product_ID],ESales_DB[[#This Row],[Product_ID]],ESales_DB[Quantity]),ESales_DB[[#This Row],[Quantity]])</f>
        <v>4</v>
      </c>
      <c r="I1156" s="2">
        <v>320.64</v>
      </c>
      <c r="J1156">
        <v>0.2</v>
      </c>
      <c r="K1156" t="s">
        <v>1829</v>
      </c>
      <c r="L1156" s="2">
        <v>1026.048</v>
      </c>
      <c r="M1156" s="2" t="str">
        <f>IF(ESales_DB[[#This Row],[Total_Amount]]&gt;1000,"High","Low")</f>
        <v>High</v>
      </c>
      <c r="N1156" s="2" t="str">
        <f>VLOOKUP(ESales_DB[[#This Row],[Customer_ID]],Ecustom_DB[],3,FALSE)</f>
        <v>Justin Lopez</v>
      </c>
      <c r="O1156" s="2" t="str">
        <f>_xlfn.XLOOKUP(ESales_DB[[#This Row],[Product_ID]],Eproduct_DB[Product_ID],Eproduct_DB[Category])</f>
        <v>Sports</v>
      </c>
      <c r="P1156" s="2" t="str">
        <f>_xlfn.XLOOKUP(ESales_DB[[#This Row],[Product_ID]],Eproduct_DB[Product_ID],Eproduct_DB[Product_Name])</f>
        <v>Sports Stopwatch Timer</v>
      </c>
      <c r="Q1156" s="2" t="str">
        <f>_xlfn.XLOOKUP(ESales_DB[[#This Row],[Store_ID]],Estore_DB[Store_ID],Estore_DB[Region])</f>
        <v>North</v>
      </c>
      <c r="R1156" t="str">
        <f>VLOOKUP(ESales_DB[[#This Row],[Customer_ID]],Ecustom_DB[],10,FALSE)</f>
        <v>Gold</v>
      </c>
      <c r="S1156" t="str">
        <f>IF(ESales_DB[[#This Row],[Quantity1]]&gt;3,"Bulk order","Normal order")</f>
        <v>Bulk order</v>
      </c>
    </row>
    <row r="1157" spans="1:19" x14ac:dyDescent="0.3">
      <c r="A1157" t="s">
        <v>2064</v>
      </c>
      <c r="B1157" s="4">
        <v>45253</v>
      </c>
      <c r="C1157" s="4" t="str">
        <f>TEXT(ESales_DB[[#This Row],[Order_Date]],"mmm")</f>
        <v>Nov</v>
      </c>
      <c r="D1157" t="s">
        <v>461</v>
      </c>
      <c r="E1157" t="s">
        <v>1578</v>
      </c>
      <c r="F1157" t="s">
        <v>1773</v>
      </c>
      <c r="G1157">
        <v>1</v>
      </c>
      <c r="H1157" s="10">
        <f>IF(ISBLANK(ESales_DB[[#This Row],[Quantity]]),AVERAGEIF(ESales_DB[Product_ID],ESales_DB[[#This Row],[Product_ID]],ESales_DB[Quantity]),ESales_DB[[#This Row],[Quantity]])</f>
        <v>1</v>
      </c>
      <c r="I1157" s="2">
        <v>594.44000000000005</v>
      </c>
      <c r="J1157">
        <v>0.21</v>
      </c>
      <c r="K1157" t="s">
        <v>1824</v>
      </c>
      <c r="L1157" s="2">
        <v>469.60759999999999</v>
      </c>
      <c r="M1157" s="2" t="str">
        <f>IF(ESales_DB[[#This Row],[Total_Amount]]&gt;1000,"High","Low")</f>
        <v>Low</v>
      </c>
      <c r="N1157" s="2" t="str">
        <f>VLOOKUP(ESales_DB[[#This Row],[Customer_ID]],Ecustom_DB[],3,FALSE)</f>
        <v>Matthew Hanna</v>
      </c>
      <c r="O1157" s="2" t="str">
        <f>_xlfn.XLOOKUP(ESales_DB[[#This Row],[Product_ID]],Eproduct_DB[Product_ID],Eproduct_DB[Category])</f>
        <v>Electronics</v>
      </c>
      <c r="P1157" s="2" t="str">
        <f>_xlfn.XLOOKUP(ESales_DB[[#This Row],[Product_ID]],Eproduct_DB[Product_ID],Eproduct_DB[Product_Name])</f>
        <v>4K Home Projector</v>
      </c>
      <c r="Q1157" s="2" t="str">
        <f>_xlfn.XLOOKUP(ESales_DB[[#This Row],[Store_ID]],Estore_DB[Store_ID],Estore_DB[Region])</f>
        <v>North</v>
      </c>
      <c r="R1157" t="str">
        <f>VLOOKUP(ESales_DB[[#This Row],[Customer_ID]],Ecustom_DB[],10,FALSE)</f>
        <v>Platinum</v>
      </c>
      <c r="S1157" t="str">
        <f>IF(ESales_DB[[#This Row],[Quantity1]]&gt;3,"Bulk order","Normal order")</f>
        <v>Normal order</v>
      </c>
    </row>
    <row r="1158" spans="1:19" x14ac:dyDescent="0.3">
      <c r="A1158" t="s">
        <v>2065</v>
      </c>
      <c r="B1158" s="4">
        <v>45861</v>
      </c>
      <c r="C1158" s="4" t="str">
        <f>TEXT(ESales_DB[[#This Row],[Order_Date]],"mmm")</f>
        <v>Jul</v>
      </c>
      <c r="D1158" t="s">
        <v>702</v>
      </c>
      <c r="E1158" t="s">
        <v>1720</v>
      </c>
      <c r="F1158" t="s">
        <v>1782</v>
      </c>
      <c r="G1158">
        <v>3</v>
      </c>
      <c r="H1158" s="10">
        <f>IF(ISBLANK(ESales_DB[[#This Row],[Quantity]]),AVERAGEIF(ESales_DB[Product_ID],ESales_DB[[#This Row],[Product_ID]],ESales_DB[Quantity]),ESales_DB[[#This Row],[Quantity]])</f>
        <v>3</v>
      </c>
      <c r="I1158" s="2">
        <v>91.7</v>
      </c>
      <c r="J1158">
        <v>0.08</v>
      </c>
      <c r="K1158" t="s">
        <v>1829</v>
      </c>
      <c r="L1158" s="2">
        <v>253.09200000000001</v>
      </c>
      <c r="M1158" s="2" t="str">
        <f>IF(ESales_DB[[#This Row],[Total_Amount]]&gt;1000,"High","Low")</f>
        <v>Low</v>
      </c>
      <c r="N1158" s="2" t="str">
        <f>VLOOKUP(ESales_DB[[#This Row],[Customer_ID]],Ecustom_DB[],3,FALSE)</f>
        <v>Kathryn Garcia</v>
      </c>
      <c r="O1158" s="2" t="str">
        <f>_xlfn.XLOOKUP(ESales_DB[[#This Row],[Product_ID]],Eproduct_DB[Product_ID],Eproduct_DB[Category])</f>
        <v>Home</v>
      </c>
      <c r="P1158" s="2" t="str">
        <f>_xlfn.XLOOKUP(ESales_DB[[#This Row],[Product_ID]],Eproduct_DB[Product_ID],Eproduct_DB[Product_Name])</f>
        <v>Kitchen Cutting Board</v>
      </c>
      <c r="Q1158" s="2" t="str">
        <f>_xlfn.XLOOKUP(ESales_DB[[#This Row],[Store_ID]],Estore_DB[Store_ID],Estore_DB[Region])</f>
        <v>West</v>
      </c>
      <c r="R1158" t="str">
        <f>VLOOKUP(ESales_DB[[#This Row],[Customer_ID]],Ecustom_DB[],10,FALSE)</f>
        <v>Platinum</v>
      </c>
      <c r="S1158" t="str">
        <f>IF(ESales_DB[[#This Row],[Quantity1]]&gt;3,"Bulk order","Normal order")</f>
        <v>Normal order</v>
      </c>
    </row>
    <row r="1159" spans="1:19" x14ac:dyDescent="0.3">
      <c r="A1159" t="s">
        <v>1850</v>
      </c>
      <c r="B1159" s="4">
        <v>45908</v>
      </c>
      <c r="C1159" s="4" t="str">
        <f>TEXT(ESales_DB[[#This Row],[Order_Date]],"mmm")</f>
        <v>Sep</v>
      </c>
      <c r="D1159" t="s">
        <v>613</v>
      </c>
      <c r="E1159" t="s">
        <v>1682</v>
      </c>
      <c r="F1159" t="s">
        <v>1776</v>
      </c>
      <c r="G1159">
        <v>3</v>
      </c>
      <c r="H1159" s="10">
        <f>IF(ISBLANK(ESales_DB[[#This Row],[Quantity]]),AVERAGEIF(ESales_DB[Product_ID],ESales_DB[[#This Row],[Product_ID]],ESales_DB[Quantity]),ESales_DB[[#This Row],[Quantity]])</f>
        <v>3</v>
      </c>
      <c r="I1159" s="2">
        <v>77.599999999999994</v>
      </c>
      <c r="J1159">
        <v>7.0000000000000007E-2</v>
      </c>
      <c r="K1159" t="s">
        <v>1824</v>
      </c>
      <c r="L1159" s="2">
        <v>216.50399999999999</v>
      </c>
      <c r="M1159" s="2" t="str">
        <f>IF(ESales_DB[[#This Row],[Total_Amount]]&gt;1000,"High","Low")</f>
        <v>Low</v>
      </c>
      <c r="N1159" s="2" t="str">
        <f>VLOOKUP(ESales_DB[[#This Row],[Customer_ID]],Ecustom_DB[],3,FALSE)</f>
        <v>Jennifer Pruitt</v>
      </c>
      <c r="O1159" s="2" t="str">
        <f>_xlfn.XLOOKUP(ESales_DB[[#This Row],[Product_ID]],Eproduct_DB[Product_ID],Eproduct_DB[Category])</f>
        <v>Electronics</v>
      </c>
      <c r="P1159" s="2" t="str">
        <f>_xlfn.XLOOKUP(ESales_DB[[#This Row],[Product_ID]],Eproduct_DB[Product_ID],Eproduct_DB[Product_Name])</f>
        <v>Smart LED Light Strip</v>
      </c>
      <c r="Q1159" s="2" t="str">
        <f>_xlfn.XLOOKUP(ESales_DB[[#This Row],[Store_ID]],Estore_DB[Store_ID],Estore_DB[Region])</f>
        <v>East</v>
      </c>
      <c r="R1159" t="str">
        <f>VLOOKUP(ESales_DB[[#This Row],[Customer_ID]],Ecustom_DB[],10,FALSE)</f>
        <v>Silver</v>
      </c>
      <c r="S1159" t="str">
        <f>IF(ESales_DB[[#This Row],[Quantity1]]&gt;3,"Bulk order","Normal order")</f>
        <v>Normal order</v>
      </c>
    </row>
    <row r="1160" spans="1:19" x14ac:dyDescent="0.3">
      <c r="A1160" t="s">
        <v>2066</v>
      </c>
      <c r="B1160" s="4">
        <v>45917</v>
      </c>
      <c r="C1160" s="4" t="str">
        <f>TEXT(ESales_DB[[#This Row],[Order_Date]],"mmm")</f>
        <v>Sep</v>
      </c>
      <c r="D1160" t="s">
        <v>127</v>
      </c>
      <c r="E1160" t="s">
        <v>1672</v>
      </c>
      <c r="F1160" t="s">
        <v>1794</v>
      </c>
      <c r="G1160">
        <v>3</v>
      </c>
      <c r="H1160" s="10">
        <f>IF(ISBLANK(ESales_DB[[#This Row],[Quantity]]),AVERAGEIF(ESales_DB[Product_ID],ESales_DB[[#This Row],[Product_ID]],ESales_DB[Quantity]),ESales_DB[[#This Row],[Quantity]])</f>
        <v>3</v>
      </c>
      <c r="I1160" s="2">
        <v>741.33</v>
      </c>
      <c r="J1160">
        <v>0.03</v>
      </c>
      <c r="K1160" t="s">
        <v>1824</v>
      </c>
      <c r="L1160" s="2">
        <v>2157.2703000000001</v>
      </c>
      <c r="M1160" s="2" t="str">
        <f>IF(ESales_DB[[#This Row],[Total_Amount]]&gt;1000,"High","Low")</f>
        <v>High</v>
      </c>
      <c r="N1160" s="2" t="str">
        <f>VLOOKUP(ESales_DB[[#This Row],[Customer_ID]],Ecustom_DB[],3,FALSE)</f>
        <v>Sarah Vance</v>
      </c>
      <c r="O1160" s="2" t="str">
        <f>_xlfn.XLOOKUP(ESales_DB[[#This Row],[Product_ID]],Eproduct_DB[Product_ID],Eproduct_DB[Category])</f>
        <v>Electronics</v>
      </c>
      <c r="P1160" s="2" t="str">
        <f>_xlfn.XLOOKUP(ESales_DB[[#This Row],[Product_ID]],Eproduct_DB[Product_ID],Eproduct_DB[Product_Name])</f>
        <v>Laptop Cooling Pad</v>
      </c>
      <c r="Q1160" s="2" t="str">
        <f>_xlfn.XLOOKUP(ESales_DB[[#This Row],[Store_ID]],Estore_DB[Store_ID],Estore_DB[Region])</f>
        <v>North</v>
      </c>
      <c r="R1160" t="str">
        <f>VLOOKUP(ESales_DB[[#This Row],[Customer_ID]],Ecustom_DB[],10,FALSE)</f>
        <v>Silver</v>
      </c>
      <c r="S1160" t="str">
        <f>IF(ESales_DB[[#This Row],[Quantity1]]&gt;3,"Bulk order","Normal order")</f>
        <v>Normal order</v>
      </c>
    </row>
    <row r="1161" spans="1:19" x14ac:dyDescent="0.3">
      <c r="A1161" t="s">
        <v>2067</v>
      </c>
      <c r="B1161" s="4">
        <v>45754</v>
      </c>
      <c r="C1161" s="4" t="str">
        <f>TEXT(ESales_DB[[#This Row],[Order_Date]],"mmm")</f>
        <v>Apr</v>
      </c>
      <c r="D1161" t="s">
        <v>1466</v>
      </c>
      <c r="E1161" t="s">
        <v>1580</v>
      </c>
      <c r="F1161" t="s">
        <v>1813</v>
      </c>
      <c r="G1161">
        <v>1</v>
      </c>
      <c r="H1161" s="10">
        <f>IF(ISBLANK(ESales_DB[[#This Row],[Quantity]]),AVERAGEIF(ESales_DB[Product_ID],ESales_DB[[#This Row],[Product_ID]],ESales_DB[Quantity]),ESales_DB[[#This Row],[Quantity]])</f>
        <v>1</v>
      </c>
      <c r="I1161" s="2">
        <v>922.78</v>
      </c>
      <c r="J1161">
        <v>0.28999999999999998</v>
      </c>
      <c r="K1161" t="s">
        <v>1829</v>
      </c>
      <c r="L1161" s="2">
        <v>655.17379999999991</v>
      </c>
      <c r="M1161" s="2" t="str">
        <f>IF(ESales_DB[[#This Row],[Total_Amount]]&gt;1000,"High","Low")</f>
        <v>Low</v>
      </c>
      <c r="N1161" s="2" t="str">
        <f>VLOOKUP(ESales_DB[[#This Row],[Customer_ID]],Ecustom_DB[],3,FALSE)</f>
        <v>Elizabeth Foster</v>
      </c>
      <c r="O1161" s="2" t="str">
        <f>_xlfn.XLOOKUP(ESales_DB[[#This Row],[Product_ID]],Eproduct_DB[Product_ID],Eproduct_DB[Category])</f>
        <v>Beauty</v>
      </c>
      <c r="P1161" s="2" t="str">
        <f>_xlfn.XLOOKUP(ESales_DB[[#This Row],[Product_ID]],Eproduct_DB[Product_ID],Eproduct_DB[Product_Name])</f>
        <v>Beard Grooming Kit</v>
      </c>
      <c r="Q1161" s="2" t="str">
        <f>_xlfn.XLOOKUP(ESales_DB[[#This Row],[Store_ID]],Estore_DB[Store_ID],Estore_DB[Region])</f>
        <v>East</v>
      </c>
      <c r="R1161" t="str">
        <f>VLOOKUP(ESales_DB[[#This Row],[Customer_ID]],Ecustom_DB[],10,FALSE)</f>
        <v>Gold</v>
      </c>
      <c r="S1161" t="str">
        <f>IF(ESales_DB[[#This Row],[Quantity1]]&gt;3,"Bulk order","Normal order")</f>
        <v>Normal order</v>
      </c>
    </row>
    <row r="1162" spans="1:19" x14ac:dyDescent="0.3">
      <c r="A1162" t="s">
        <v>2068</v>
      </c>
      <c r="B1162" s="4">
        <v>45312</v>
      </c>
      <c r="C1162" s="4" t="str">
        <f>TEXT(ESales_DB[[#This Row],[Order_Date]],"mmm")</f>
        <v>Jan</v>
      </c>
      <c r="D1162" t="s">
        <v>1023</v>
      </c>
      <c r="E1162" t="s">
        <v>1562</v>
      </c>
      <c r="F1162" t="s">
        <v>1804</v>
      </c>
      <c r="G1162">
        <v>1</v>
      </c>
      <c r="H1162" s="10">
        <f>IF(ISBLANK(ESales_DB[[#This Row],[Quantity]]),AVERAGEIF(ESales_DB[Product_ID],ESales_DB[[#This Row],[Product_ID]],ESales_DB[Quantity]),ESales_DB[[#This Row],[Quantity]])</f>
        <v>1</v>
      </c>
      <c r="I1162" s="2">
        <v>394.35</v>
      </c>
      <c r="J1162">
        <v>0.09</v>
      </c>
      <c r="K1162" t="s">
        <v>1826</v>
      </c>
      <c r="L1162" s="2">
        <v>358.85849999999999</v>
      </c>
      <c r="M1162" s="2" t="str">
        <f>IF(ESales_DB[[#This Row],[Total_Amount]]&gt;1000,"High","Low")</f>
        <v>Low</v>
      </c>
      <c r="N1162" s="2" t="str">
        <f>VLOOKUP(ESales_DB[[#This Row],[Customer_ID]],Ecustom_DB[],3,FALSE)</f>
        <v>Andrew Smith</v>
      </c>
      <c r="O1162" s="2" t="str">
        <f>_xlfn.XLOOKUP(ESales_DB[[#This Row],[Product_ID]],Eproduct_DB[Product_ID],Eproduct_DB[Category])</f>
        <v>Electronics</v>
      </c>
      <c r="P1162" s="2" t="str">
        <f>_xlfn.XLOOKUP(ESales_DB[[#This Row],[Product_ID]],Eproduct_DB[Product_ID],Eproduct_DB[Product_Name])</f>
        <v>Wireless Bluetooth Earbuds</v>
      </c>
      <c r="Q1162" s="2" t="str">
        <f>_xlfn.XLOOKUP(ESales_DB[[#This Row],[Store_ID]],Estore_DB[Store_ID],Estore_DB[Region])</f>
        <v>West</v>
      </c>
      <c r="R1162" t="str">
        <f>VLOOKUP(ESales_DB[[#This Row],[Customer_ID]],Ecustom_DB[],10,FALSE)</f>
        <v>Bronze</v>
      </c>
      <c r="S1162" t="str">
        <f>IF(ESales_DB[[#This Row],[Quantity1]]&gt;3,"Bulk order","Normal order")</f>
        <v>Normal order</v>
      </c>
    </row>
    <row r="1163" spans="1:19" x14ac:dyDescent="0.3">
      <c r="A1163" t="s">
        <v>2069</v>
      </c>
      <c r="B1163" s="4">
        <v>45480</v>
      </c>
      <c r="C1163" s="4" t="str">
        <f>TEXT(ESales_DB[[#This Row],[Order_Date]],"mmm")</f>
        <v>Jul</v>
      </c>
      <c r="D1163" t="s">
        <v>1139</v>
      </c>
      <c r="E1163" t="s">
        <v>1678</v>
      </c>
      <c r="F1163" t="s">
        <v>1792</v>
      </c>
      <c r="G1163">
        <v>2</v>
      </c>
      <c r="H1163" s="10">
        <f>IF(ISBLANK(ESales_DB[[#This Row],[Quantity]]),AVERAGEIF(ESales_DB[Product_ID],ESales_DB[[#This Row],[Product_ID]],ESales_DB[Quantity]),ESales_DB[[#This Row],[Quantity]])</f>
        <v>2</v>
      </c>
      <c r="I1163" s="2">
        <v>703.95</v>
      </c>
      <c r="J1163">
        <v>0.03</v>
      </c>
      <c r="K1163" t="s">
        <v>1824</v>
      </c>
      <c r="L1163" s="2">
        <v>1365.663</v>
      </c>
      <c r="M1163" s="2" t="str">
        <f>IF(ESales_DB[[#This Row],[Total_Amount]]&gt;1000,"High","Low")</f>
        <v>High</v>
      </c>
      <c r="N1163" s="2" t="str">
        <f>VLOOKUP(ESales_DB[[#This Row],[Customer_ID]],Ecustom_DB[],3,FALSE)</f>
        <v>Chloe Aguilar</v>
      </c>
      <c r="O1163" s="2" t="str">
        <f>_xlfn.XLOOKUP(ESales_DB[[#This Row],[Product_ID]],Eproduct_DB[Product_ID],Eproduct_DB[Category])</f>
        <v>Sports</v>
      </c>
      <c r="P1163" s="2" t="str">
        <f>_xlfn.XLOOKUP(ESales_DB[[#This Row],[Product_ID]],Eproduct_DB[Product_ID],Eproduct_DB[Product_Name])</f>
        <v>Adjustable Dumbbells 20kg</v>
      </c>
      <c r="Q1163" s="2" t="str">
        <f>_xlfn.XLOOKUP(ESales_DB[[#This Row],[Store_ID]],Estore_DB[Store_ID],Estore_DB[Region])</f>
        <v>South</v>
      </c>
      <c r="R1163" t="str">
        <f>VLOOKUP(ESales_DB[[#This Row],[Customer_ID]],Ecustom_DB[],10,FALSE)</f>
        <v>Bronze</v>
      </c>
      <c r="S1163" t="str">
        <f>IF(ESales_DB[[#This Row],[Quantity1]]&gt;3,"Bulk order","Normal order")</f>
        <v>Normal order</v>
      </c>
    </row>
    <row r="1164" spans="1:19" x14ac:dyDescent="0.3">
      <c r="A1164" t="s">
        <v>2070</v>
      </c>
      <c r="B1164" s="4">
        <v>45780</v>
      </c>
      <c r="C1164" s="4" t="str">
        <f>TEXT(ESales_DB[[#This Row],[Order_Date]],"mmm")</f>
        <v>May</v>
      </c>
      <c r="D1164" t="s">
        <v>654</v>
      </c>
      <c r="E1164" t="s">
        <v>1576</v>
      </c>
      <c r="F1164" t="s">
        <v>1752</v>
      </c>
      <c r="G1164">
        <v>4</v>
      </c>
      <c r="H1164" s="10">
        <f>IF(ISBLANK(ESales_DB[[#This Row],[Quantity]]),AVERAGEIF(ESales_DB[Product_ID],ESales_DB[[#This Row],[Product_ID]],ESales_DB[Quantity]),ESales_DB[[#This Row],[Quantity]])</f>
        <v>4</v>
      </c>
      <c r="I1164" s="2">
        <v>452.67</v>
      </c>
      <c r="J1164">
        <v>0.28000000000000003</v>
      </c>
      <c r="K1164" t="s">
        <v>1826</v>
      </c>
      <c r="L1164" s="2">
        <v>1303.6895999999999</v>
      </c>
      <c r="M1164" s="2" t="str">
        <f>IF(ESales_DB[[#This Row],[Total_Amount]]&gt;1000,"High","Low")</f>
        <v>High</v>
      </c>
      <c r="N1164" s="2" t="str">
        <f>VLOOKUP(ESales_DB[[#This Row],[Customer_ID]],Ecustom_DB[],3,FALSE)</f>
        <v>Anna Perez</v>
      </c>
      <c r="O1164" s="2" t="str">
        <f>_xlfn.XLOOKUP(ESales_DB[[#This Row],[Product_ID]],Eproduct_DB[Product_ID],Eproduct_DB[Category])</f>
        <v>Home</v>
      </c>
      <c r="P1164" s="2" t="str">
        <f>_xlfn.XLOOKUP(ESales_DB[[#This Row],[Product_ID]],Eproduct_DB[Product_ID],Eproduct_DB[Product_Name])</f>
        <v>Decorative Wall Mirror</v>
      </c>
      <c r="Q1164" s="2" t="str">
        <f>_xlfn.XLOOKUP(ESales_DB[[#This Row],[Store_ID]],Estore_DB[Store_ID],Estore_DB[Region])</f>
        <v>East</v>
      </c>
      <c r="R1164" t="str">
        <f>VLOOKUP(ESales_DB[[#This Row],[Customer_ID]],Ecustom_DB[],10,FALSE)</f>
        <v>Platinum</v>
      </c>
      <c r="S1164" t="str">
        <f>IF(ESales_DB[[#This Row],[Quantity1]]&gt;3,"Bulk order","Normal order")</f>
        <v>Bulk order</v>
      </c>
    </row>
    <row r="1165" spans="1:19" x14ac:dyDescent="0.3">
      <c r="A1165" t="s">
        <v>2071</v>
      </c>
      <c r="B1165" s="4">
        <v>45349</v>
      </c>
      <c r="C1165" s="4" t="str">
        <f>TEXT(ESales_DB[[#This Row],[Order_Date]],"mmm")</f>
        <v>Feb</v>
      </c>
      <c r="D1165" t="s">
        <v>1428</v>
      </c>
      <c r="E1165" t="s">
        <v>1562</v>
      </c>
      <c r="F1165" t="s">
        <v>1779</v>
      </c>
      <c r="G1165">
        <v>2</v>
      </c>
      <c r="H1165" s="10">
        <f>IF(ISBLANK(ESales_DB[[#This Row],[Quantity]]),AVERAGEIF(ESales_DB[Product_ID],ESales_DB[[#This Row],[Product_ID]],ESales_DB[Quantity]),ESales_DB[[#This Row],[Quantity]])</f>
        <v>2</v>
      </c>
      <c r="I1165" s="2">
        <v>377.3</v>
      </c>
      <c r="J1165">
        <v>0.15</v>
      </c>
      <c r="K1165" t="s">
        <v>1826</v>
      </c>
      <c r="L1165" s="2">
        <v>641.41</v>
      </c>
      <c r="M1165" s="2" t="str">
        <f>IF(ESales_DB[[#This Row],[Total_Amount]]&gt;1000,"High","Low")</f>
        <v>Low</v>
      </c>
      <c r="N1165" s="2" t="str">
        <f>VLOOKUP(ESales_DB[[#This Row],[Customer_ID]],Ecustom_DB[],3,FALSE)</f>
        <v>Samantha Lee</v>
      </c>
      <c r="O1165" s="2" t="str">
        <f>_xlfn.XLOOKUP(ESales_DB[[#This Row],[Product_ID]],Eproduct_DB[Product_ID],Eproduct_DB[Category])</f>
        <v>Electronics</v>
      </c>
      <c r="P1165" s="2" t="str">
        <f>_xlfn.XLOOKUP(ESales_DB[[#This Row],[Product_ID]],Eproduct_DB[Product_ID],Eproduct_DB[Product_Name])</f>
        <v>Wireless Bluetooth Earbuds</v>
      </c>
      <c r="Q1165" s="2" t="str">
        <f>_xlfn.XLOOKUP(ESales_DB[[#This Row],[Store_ID]],Estore_DB[Store_ID],Estore_DB[Region])</f>
        <v>South</v>
      </c>
      <c r="R1165" t="str">
        <f>VLOOKUP(ESales_DB[[#This Row],[Customer_ID]],Ecustom_DB[],10,FALSE)</f>
        <v>Bronze</v>
      </c>
      <c r="S1165" t="str">
        <f>IF(ESales_DB[[#This Row],[Quantity1]]&gt;3,"Bulk order","Normal order")</f>
        <v>Normal order</v>
      </c>
    </row>
    <row r="1166" spans="1:19" x14ac:dyDescent="0.3">
      <c r="A1166" t="s">
        <v>2072</v>
      </c>
      <c r="B1166" s="4">
        <v>45846</v>
      </c>
      <c r="C1166" s="4" t="str">
        <f>TEXT(ESales_DB[[#This Row],[Order_Date]],"mmm")</f>
        <v>Jul</v>
      </c>
      <c r="D1166" t="s">
        <v>1080</v>
      </c>
      <c r="E1166" t="s">
        <v>1696</v>
      </c>
      <c r="F1166" t="s">
        <v>1779</v>
      </c>
      <c r="G1166">
        <v>2</v>
      </c>
      <c r="H1166" s="10">
        <f>IF(ISBLANK(ESales_DB[[#This Row],[Quantity]]),AVERAGEIF(ESales_DB[Product_ID],ESales_DB[[#This Row],[Product_ID]],ESales_DB[Quantity]),ESales_DB[[#This Row],[Quantity]])</f>
        <v>2</v>
      </c>
      <c r="I1166" s="2">
        <v>130.47999999999999</v>
      </c>
      <c r="J1166">
        <v>0.23</v>
      </c>
      <c r="K1166" t="s">
        <v>1826</v>
      </c>
      <c r="L1166" s="2">
        <v>200.9392</v>
      </c>
      <c r="M1166" s="2" t="str">
        <f>IF(ESales_DB[[#This Row],[Total_Amount]]&gt;1000,"High","Low")</f>
        <v>Low</v>
      </c>
      <c r="N1166" s="2" t="str">
        <f>VLOOKUP(ESales_DB[[#This Row],[Customer_ID]],Ecustom_DB[],3,FALSE)</f>
        <v>Evelyn Brown</v>
      </c>
      <c r="O1166" s="2" t="str">
        <f>_xlfn.XLOOKUP(ESales_DB[[#This Row],[Product_ID]],Eproduct_DB[Product_ID],Eproduct_DB[Category])</f>
        <v>Electronics</v>
      </c>
      <c r="P1166" s="2" t="str">
        <f>_xlfn.XLOOKUP(ESales_DB[[#This Row],[Product_ID]],Eproduct_DB[Product_ID],Eproduct_DB[Product_Name])</f>
        <v>Bluetooth Car Audio System</v>
      </c>
      <c r="Q1166" s="2" t="str">
        <f>_xlfn.XLOOKUP(ESales_DB[[#This Row],[Store_ID]],Estore_DB[Store_ID],Estore_DB[Region])</f>
        <v>South</v>
      </c>
      <c r="R1166" t="str">
        <f>VLOOKUP(ESales_DB[[#This Row],[Customer_ID]],Ecustom_DB[],10,FALSE)</f>
        <v>Gold</v>
      </c>
      <c r="S1166" t="str">
        <f>IF(ESales_DB[[#This Row],[Quantity1]]&gt;3,"Bulk order","Normal order")</f>
        <v>Normal order</v>
      </c>
    </row>
    <row r="1167" spans="1:19" x14ac:dyDescent="0.3">
      <c r="A1167" t="s">
        <v>2073</v>
      </c>
      <c r="B1167" s="4">
        <v>45729</v>
      </c>
      <c r="C1167" s="4" t="str">
        <f>TEXT(ESales_DB[[#This Row],[Order_Date]],"mmm")</f>
        <v>Mar</v>
      </c>
      <c r="D1167" t="s">
        <v>1349</v>
      </c>
      <c r="E1167" t="s">
        <v>1736</v>
      </c>
      <c r="F1167" t="s">
        <v>1794</v>
      </c>
      <c r="G1167">
        <v>1</v>
      </c>
      <c r="H1167" s="10">
        <f>IF(ISBLANK(ESales_DB[[#This Row],[Quantity]]),AVERAGEIF(ESales_DB[Product_ID],ESales_DB[[#This Row],[Product_ID]],ESales_DB[Quantity]),ESales_DB[[#This Row],[Quantity]])</f>
        <v>1</v>
      </c>
      <c r="I1167" s="2">
        <v>809.45</v>
      </c>
      <c r="J1167">
        <v>0.09</v>
      </c>
      <c r="K1167" t="s">
        <v>1829</v>
      </c>
      <c r="L1167" s="2">
        <v>736.59950000000003</v>
      </c>
      <c r="M1167" s="2" t="str">
        <f>IF(ESales_DB[[#This Row],[Total_Amount]]&gt;1000,"High","Low")</f>
        <v>Low</v>
      </c>
      <c r="N1167" s="2" t="str">
        <f>VLOOKUP(ESales_DB[[#This Row],[Customer_ID]],Ecustom_DB[],3,FALSE)</f>
        <v>Lindsay Beasley</v>
      </c>
      <c r="O1167" s="2" t="str">
        <f>_xlfn.XLOOKUP(ESales_DB[[#This Row],[Product_ID]],Eproduct_DB[Product_ID],Eproduct_DB[Category])</f>
        <v>Beauty</v>
      </c>
      <c r="P1167" s="2" t="str">
        <f>_xlfn.XLOOKUP(ESales_DB[[#This Row],[Product_ID]],Eproduct_DB[Product_ID],Eproduct_DB[Product_Name])</f>
        <v>Vitamin E Body Lotion</v>
      </c>
      <c r="Q1167" s="2" t="str">
        <f>_xlfn.XLOOKUP(ESales_DB[[#This Row],[Store_ID]],Estore_DB[Store_ID],Estore_DB[Region])</f>
        <v>North</v>
      </c>
      <c r="R1167" t="str">
        <f>VLOOKUP(ESales_DB[[#This Row],[Customer_ID]],Ecustom_DB[],10,FALSE)</f>
        <v>Silver</v>
      </c>
      <c r="S1167" t="str">
        <f>IF(ESales_DB[[#This Row],[Quantity1]]&gt;3,"Bulk order","Normal order")</f>
        <v>Normal order</v>
      </c>
    </row>
    <row r="1168" spans="1:19" x14ac:dyDescent="0.3">
      <c r="A1168" t="s">
        <v>2074</v>
      </c>
      <c r="B1168" s="4">
        <v>45768</v>
      </c>
      <c r="C1168" s="4" t="str">
        <f>TEXT(ESales_DB[[#This Row],[Order_Date]],"mmm")</f>
        <v>Apr</v>
      </c>
      <c r="D1168" t="s">
        <v>301</v>
      </c>
      <c r="E1168" t="s">
        <v>1638</v>
      </c>
      <c r="F1168" t="s">
        <v>1786</v>
      </c>
      <c r="G1168">
        <v>3</v>
      </c>
      <c r="H1168" s="10">
        <f>IF(ISBLANK(ESales_DB[[#This Row],[Quantity]]),AVERAGEIF(ESales_DB[Product_ID],ESales_DB[[#This Row],[Product_ID]],ESales_DB[Quantity]),ESales_DB[[#This Row],[Quantity]])</f>
        <v>3</v>
      </c>
      <c r="I1168" s="2">
        <v>499.12</v>
      </c>
      <c r="J1168">
        <v>0.05</v>
      </c>
      <c r="K1168" t="s">
        <v>1826</v>
      </c>
      <c r="L1168" s="2">
        <v>1422.492</v>
      </c>
      <c r="M1168" s="2" t="str">
        <f>IF(ESales_DB[[#This Row],[Total_Amount]]&gt;1000,"High","Low")</f>
        <v>High</v>
      </c>
      <c r="N1168" s="2" t="str">
        <f>VLOOKUP(ESales_DB[[#This Row],[Customer_ID]],Ecustom_DB[],3,FALSE)</f>
        <v>Thomas Robinson</v>
      </c>
      <c r="O1168" s="2" t="str">
        <f>_xlfn.XLOOKUP(ESales_DB[[#This Row],[Product_ID]],Eproduct_DB[Product_ID],Eproduct_DB[Category])</f>
        <v>Sports</v>
      </c>
      <c r="P1168" s="2" t="str">
        <f>_xlfn.XLOOKUP(ESales_DB[[#This Row],[Product_ID]],Eproduct_DB[Product_ID],Eproduct_DB[Product_Name])</f>
        <v>High-Grip Football</v>
      </c>
      <c r="Q1168" s="2" t="str">
        <f>_xlfn.XLOOKUP(ESales_DB[[#This Row],[Store_ID]],Estore_DB[Store_ID],Estore_DB[Region])</f>
        <v>South</v>
      </c>
      <c r="R1168" t="str">
        <f>VLOOKUP(ESales_DB[[#This Row],[Customer_ID]],Ecustom_DB[],10,FALSE)</f>
        <v>Bronze</v>
      </c>
      <c r="S1168" t="str">
        <f>IF(ESales_DB[[#This Row],[Quantity1]]&gt;3,"Bulk order","Normal order")</f>
        <v>Normal order</v>
      </c>
    </row>
    <row r="1169" spans="1:19" x14ac:dyDescent="0.3">
      <c r="A1169" t="s">
        <v>2075</v>
      </c>
      <c r="B1169" s="4">
        <v>45606</v>
      </c>
      <c r="C1169" s="4" t="str">
        <f>TEXT(ESales_DB[[#This Row],[Order_Date]],"mmm")</f>
        <v>Nov</v>
      </c>
      <c r="D1169" t="s">
        <v>100</v>
      </c>
      <c r="E1169" t="s">
        <v>1684</v>
      </c>
      <c r="F1169" t="s">
        <v>1766</v>
      </c>
      <c r="G1169">
        <v>2</v>
      </c>
      <c r="H1169" s="10">
        <f>IF(ISBLANK(ESales_DB[[#This Row],[Quantity]]),AVERAGEIF(ESales_DB[Product_ID],ESales_DB[[#This Row],[Product_ID]],ESales_DB[Quantity]),ESales_DB[[#This Row],[Quantity]])</f>
        <v>2</v>
      </c>
      <c r="I1169" s="2">
        <v>894.58</v>
      </c>
      <c r="J1169">
        <v>0.25</v>
      </c>
      <c r="K1169" t="s">
        <v>1824</v>
      </c>
      <c r="L1169" s="2">
        <v>1341.87</v>
      </c>
      <c r="M1169" s="2" t="str">
        <f>IF(ESales_DB[[#This Row],[Total_Amount]]&gt;1000,"High","Low")</f>
        <v>High</v>
      </c>
      <c r="N1169" s="2" t="str">
        <f>VLOOKUP(ESales_DB[[#This Row],[Customer_ID]],Ecustom_DB[],3,FALSE)</f>
        <v>Jonathan Steele</v>
      </c>
      <c r="O1169" s="2" t="str">
        <f>_xlfn.XLOOKUP(ESales_DB[[#This Row],[Product_ID]],Eproduct_DB[Product_ID],Eproduct_DB[Category])</f>
        <v>Home</v>
      </c>
      <c r="P1169" s="2" t="str">
        <f>_xlfn.XLOOKUP(ESales_DB[[#This Row],[Product_ID]],Eproduct_DB[Product_ID],Eproduct_DB[Product_Name])</f>
        <v>Wooden Nightstand</v>
      </c>
      <c r="Q1169" s="2" t="str">
        <f>_xlfn.XLOOKUP(ESales_DB[[#This Row],[Store_ID]],Estore_DB[Store_ID],Estore_DB[Region])</f>
        <v>North</v>
      </c>
      <c r="R1169" t="str">
        <f>VLOOKUP(ESales_DB[[#This Row],[Customer_ID]],Ecustom_DB[],10,FALSE)</f>
        <v>Silver</v>
      </c>
      <c r="S1169" t="str">
        <f>IF(ESales_DB[[#This Row],[Quantity1]]&gt;3,"Bulk order","Normal order")</f>
        <v>Normal order</v>
      </c>
    </row>
    <row r="1170" spans="1:19" x14ac:dyDescent="0.3">
      <c r="A1170" t="s">
        <v>1851</v>
      </c>
      <c r="B1170" s="4">
        <v>45552</v>
      </c>
      <c r="C1170" s="4" t="str">
        <f>TEXT(ESales_DB[[#This Row],[Order_Date]],"mmm")</f>
        <v>Sep</v>
      </c>
      <c r="D1170" t="s">
        <v>1190</v>
      </c>
      <c r="E1170" t="s">
        <v>1555</v>
      </c>
      <c r="F1170" t="s">
        <v>1766</v>
      </c>
      <c r="G1170">
        <v>4</v>
      </c>
      <c r="H1170" s="10">
        <f>IF(ISBLANK(ESales_DB[[#This Row],[Quantity]]),AVERAGEIF(ESales_DB[Product_ID],ESales_DB[[#This Row],[Product_ID]],ESales_DB[Quantity]),ESales_DB[[#This Row],[Quantity]])</f>
        <v>4</v>
      </c>
      <c r="I1170" s="2">
        <v>852.71</v>
      </c>
      <c r="J1170">
        <v>0.14000000000000001</v>
      </c>
      <c r="K1170" t="s">
        <v>1826</v>
      </c>
      <c r="L1170" s="2">
        <v>2933.3224</v>
      </c>
      <c r="M1170" s="2" t="str">
        <f>IF(ESales_DB[[#This Row],[Total_Amount]]&gt;1000,"High","Low")</f>
        <v>High</v>
      </c>
      <c r="N1170" s="2" t="str">
        <f>VLOOKUP(ESales_DB[[#This Row],[Customer_ID]],Ecustom_DB[],3,FALSE)</f>
        <v>Erika Padilla</v>
      </c>
      <c r="O1170" s="2" t="str">
        <f>_xlfn.XLOOKUP(ESales_DB[[#This Row],[Product_ID]],Eproduct_DB[Product_ID],Eproduct_DB[Category])</f>
        <v>Clothing</v>
      </c>
      <c r="P1170" s="2" t="str">
        <f>_xlfn.XLOOKUP(ESales_DB[[#This Row],[Product_ID]],Eproduct_DB[Product_ID],Eproduct_DB[Product_Name])</f>
        <v>Men's Leather Belt</v>
      </c>
      <c r="Q1170" s="2" t="str">
        <f>_xlfn.XLOOKUP(ESales_DB[[#This Row],[Store_ID]],Estore_DB[Store_ID],Estore_DB[Region])</f>
        <v>North</v>
      </c>
      <c r="R1170" t="str">
        <f>VLOOKUP(ESales_DB[[#This Row],[Customer_ID]],Ecustom_DB[],10,FALSE)</f>
        <v>Silver</v>
      </c>
      <c r="S1170" t="str">
        <f>IF(ESales_DB[[#This Row],[Quantity1]]&gt;3,"Bulk order","Normal order")</f>
        <v>Bulk order</v>
      </c>
    </row>
    <row r="1171" spans="1:19" x14ac:dyDescent="0.3">
      <c r="A1171" t="s">
        <v>2076</v>
      </c>
      <c r="B1171" s="4">
        <v>45513</v>
      </c>
      <c r="C1171" s="4" t="str">
        <f>TEXT(ESales_DB[[#This Row],[Order_Date]],"mmm")</f>
        <v>Aug</v>
      </c>
      <c r="D1171" t="s">
        <v>449</v>
      </c>
      <c r="E1171" t="s">
        <v>1698</v>
      </c>
      <c r="F1171" t="s">
        <v>1786</v>
      </c>
      <c r="G1171">
        <v>4</v>
      </c>
      <c r="H1171" s="10">
        <f>IF(ISBLANK(ESales_DB[[#This Row],[Quantity]]),AVERAGEIF(ESales_DB[Product_ID],ESales_DB[[#This Row],[Product_ID]],ESales_DB[Quantity]),ESales_DB[[#This Row],[Quantity]])</f>
        <v>4</v>
      </c>
      <c r="I1171" s="2">
        <v>578.39</v>
      </c>
      <c r="J1171">
        <v>0.01</v>
      </c>
      <c r="K1171" t="s">
        <v>1824</v>
      </c>
      <c r="L1171" s="2">
        <v>2290.4243999999999</v>
      </c>
      <c r="M1171" s="2" t="str">
        <f>IF(ESales_DB[[#This Row],[Total_Amount]]&gt;1000,"High","Low")</f>
        <v>High</v>
      </c>
      <c r="N1171" s="2" t="str">
        <f>VLOOKUP(ESales_DB[[#This Row],[Customer_ID]],Ecustom_DB[],3,FALSE)</f>
        <v>Joseph Richards</v>
      </c>
      <c r="O1171" s="2" t="str">
        <f>_xlfn.XLOOKUP(ESales_DB[[#This Row],[Product_ID]],Eproduct_DB[Product_ID],Eproduct_DB[Category])</f>
        <v>Clothing</v>
      </c>
      <c r="P1171" s="2" t="str">
        <f>_xlfn.XLOOKUP(ESales_DB[[#This Row],[Product_ID]],Eproduct_DB[Product_ID],Eproduct_DB[Product_Name])</f>
        <v>Women's Ankle Boots</v>
      </c>
      <c r="Q1171" s="2" t="str">
        <f>_xlfn.XLOOKUP(ESales_DB[[#This Row],[Store_ID]],Estore_DB[Store_ID],Estore_DB[Region])</f>
        <v>South</v>
      </c>
      <c r="R1171" t="str">
        <f>VLOOKUP(ESales_DB[[#This Row],[Customer_ID]],Ecustom_DB[],10,FALSE)</f>
        <v>Bronze</v>
      </c>
      <c r="S1171" t="str">
        <f>IF(ESales_DB[[#This Row],[Quantity1]]&gt;3,"Bulk order","Normal order")</f>
        <v>Bulk order</v>
      </c>
    </row>
    <row r="1172" spans="1:19" x14ac:dyDescent="0.3">
      <c r="A1172" t="s">
        <v>2077</v>
      </c>
      <c r="B1172" s="4">
        <v>45356</v>
      </c>
      <c r="C1172" s="4" t="str">
        <f>TEXT(ESales_DB[[#This Row],[Order_Date]],"mmm")</f>
        <v>Mar</v>
      </c>
      <c r="D1172" t="s">
        <v>1492</v>
      </c>
      <c r="E1172" t="s">
        <v>1630</v>
      </c>
      <c r="F1172" t="s">
        <v>1807</v>
      </c>
      <c r="G1172">
        <v>4</v>
      </c>
      <c r="H1172" s="10">
        <f>IF(ISBLANK(ESales_DB[[#This Row],[Quantity]]),AVERAGEIF(ESales_DB[Product_ID],ESales_DB[[#This Row],[Product_ID]],ESales_DB[Quantity]),ESales_DB[[#This Row],[Quantity]])</f>
        <v>4</v>
      </c>
      <c r="I1172" s="2">
        <v>982.45</v>
      </c>
      <c r="J1172">
        <v>0.2</v>
      </c>
      <c r="K1172" t="s">
        <v>1826</v>
      </c>
      <c r="L1172" s="2">
        <v>3143.84</v>
      </c>
      <c r="M1172" s="2" t="str">
        <f>IF(ESales_DB[[#This Row],[Total_Amount]]&gt;1000,"High","Low")</f>
        <v>High</v>
      </c>
      <c r="N1172" s="2" t="str">
        <f>VLOOKUP(ESales_DB[[#This Row],[Customer_ID]],Ecustom_DB[],3,FALSE)</f>
        <v>Sara Ingram</v>
      </c>
      <c r="O1172" s="2" t="str">
        <f>_xlfn.XLOOKUP(ESales_DB[[#This Row],[Product_ID]],Eproduct_DB[Product_ID],Eproduct_DB[Category])</f>
        <v>Sports</v>
      </c>
      <c r="P1172" s="2" t="str">
        <f>_xlfn.XLOOKUP(ESales_DB[[#This Row],[Product_ID]],Eproduct_DB[Product_ID],Eproduct_DB[Product_Name])</f>
        <v>Yoga Exercise Mat</v>
      </c>
      <c r="Q1172" s="2" t="str">
        <f>_xlfn.XLOOKUP(ESales_DB[[#This Row],[Store_ID]],Estore_DB[Store_ID],Estore_DB[Region])</f>
        <v>North</v>
      </c>
      <c r="R1172" t="str">
        <f>VLOOKUP(ESales_DB[[#This Row],[Customer_ID]],Ecustom_DB[],10,FALSE)</f>
        <v>Bronze</v>
      </c>
      <c r="S1172" t="str">
        <f>IF(ESales_DB[[#This Row],[Quantity1]]&gt;3,"Bulk order","Normal order")</f>
        <v>Bulk order</v>
      </c>
    </row>
    <row r="1173" spans="1:19" x14ac:dyDescent="0.3">
      <c r="A1173" t="s">
        <v>2078</v>
      </c>
      <c r="B1173" s="4">
        <v>45925</v>
      </c>
      <c r="C1173" s="4" t="str">
        <f>TEXT(ESales_DB[[#This Row],[Order_Date]],"mmm")</f>
        <v>Sep</v>
      </c>
      <c r="D1173" t="s">
        <v>1389</v>
      </c>
      <c r="E1173" t="s">
        <v>1744</v>
      </c>
      <c r="F1173" t="s">
        <v>1813</v>
      </c>
      <c r="G1173">
        <v>1</v>
      </c>
      <c r="H1173" s="10">
        <f>IF(ISBLANK(ESales_DB[[#This Row],[Quantity]]),AVERAGEIF(ESales_DB[Product_ID],ESales_DB[[#This Row],[Product_ID]],ESales_DB[Quantity]),ESales_DB[[#This Row],[Quantity]])</f>
        <v>1</v>
      </c>
      <c r="I1173" s="2">
        <v>549.52</v>
      </c>
      <c r="J1173">
        <v>0.1</v>
      </c>
      <c r="K1173" t="s">
        <v>1826</v>
      </c>
      <c r="L1173" s="2">
        <v>494.56799999999998</v>
      </c>
      <c r="M1173" s="2" t="str">
        <f>IF(ESales_DB[[#This Row],[Total_Amount]]&gt;1000,"High","Low")</f>
        <v>Low</v>
      </c>
      <c r="N1173" s="2" t="str">
        <f>VLOOKUP(ESales_DB[[#This Row],[Customer_ID]],Ecustom_DB[],3,FALSE)</f>
        <v>William Cortez</v>
      </c>
      <c r="O1173" s="2" t="str">
        <f>_xlfn.XLOOKUP(ESales_DB[[#This Row],[Product_ID]],Eproduct_DB[Product_ID],Eproduct_DB[Category])</f>
        <v>Electronics</v>
      </c>
      <c r="P1173" s="2" t="str">
        <f>_xlfn.XLOOKUP(ESales_DB[[#This Row],[Product_ID]],Eproduct_DB[Product_ID],Eproduct_DB[Product_Name])</f>
        <v>Portable Bluetooth Speaker</v>
      </c>
      <c r="Q1173" s="2" t="str">
        <f>_xlfn.XLOOKUP(ESales_DB[[#This Row],[Store_ID]],Estore_DB[Store_ID],Estore_DB[Region])</f>
        <v>East</v>
      </c>
      <c r="R1173" t="str">
        <f>VLOOKUP(ESales_DB[[#This Row],[Customer_ID]],Ecustom_DB[],10,FALSE)</f>
        <v>Bronze</v>
      </c>
      <c r="S1173" t="str">
        <f>IF(ESales_DB[[#This Row],[Quantity1]]&gt;3,"Bulk order","Normal order")</f>
        <v>Normal order</v>
      </c>
    </row>
    <row r="1174" spans="1:19" x14ac:dyDescent="0.3">
      <c r="A1174" t="s">
        <v>2079</v>
      </c>
      <c r="B1174" s="4">
        <v>45876</v>
      </c>
      <c r="C1174" s="4" t="str">
        <f>TEXT(ESales_DB[[#This Row],[Order_Date]],"mmm")</f>
        <v>Aug</v>
      </c>
      <c r="D1174" t="s">
        <v>770</v>
      </c>
      <c r="E1174" t="s">
        <v>1732</v>
      </c>
      <c r="F1174" t="s">
        <v>1810</v>
      </c>
      <c r="G1174">
        <v>2</v>
      </c>
      <c r="H1174" s="10">
        <f>IF(ISBLANK(ESales_DB[[#This Row],[Quantity]]),AVERAGEIF(ESales_DB[Product_ID],ESales_DB[[#This Row],[Product_ID]],ESales_DB[Quantity]),ESales_DB[[#This Row],[Quantity]])</f>
        <v>2</v>
      </c>
      <c r="I1174" s="2">
        <v>239.92</v>
      </c>
      <c r="J1174">
        <v>0.16</v>
      </c>
      <c r="K1174" t="s">
        <v>1824</v>
      </c>
      <c r="L1174" s="2">
        <v>403.06560000000002</v>
      </c>
      <c r="M1174" s="2" t="str">
        <f>IF(ESales_DB[[#This Row],[Total_Amount]]&gt;1000,"High","Low")</f>
        <v>Low</v>
      </c>
      <c r="N1174" s="2" t="str">
        <f>VLOOKUP(ESales_DB[[#This Row],[Customer_ID]],Ecustom_DB[],3,FALSE)</f>
        <v>William Hull</v>
      </c>
      <c r="O1174" s="2" t="str">
        <f>_xlfn.XLOOKUP(ESales_DB[[#This Row],[Product_ID]],Eproduct_DB[Product_ID],Eproduct_DB[Category])</f>
        <v>Home</v>
      </c>
      <c r="P1174" s="2" t="str">
        <f>_xlfn.XLOOKUP(ESales_DB[[#This Row],[Product_ID]],Eproduct_DB[Product_ID],Eproduct_DB[Product_Name])</f>
        <v>Microwave Oven</v>
      </c>
      <c r="Q1174" s="2" t="str">
        <f>_xlfn.XLOOKUP(ESales_DB[[#This Row],[Store_ID]],Estore_DB[Store_ID],Estore_DB[Region])</f>
        <v>East</v>
      </c>
      <c r="R1174" t="str">
        <f>VLOOKUP(ESales_DB[[#This Row],[Customer_ID]],Ecustom_DB[],10,FALSE)</f>
        <v>Platinum</v>
      </c>
      <c r="S1174" t="str">
        <f>IF(ESales_DB[[#This Row],[Quantity1]]&gt;3,"Bulk order","Normal order")</f>
        <v>Normal order</v>
      </c>
    </row>
    <row r="1175" spans="1:19" x14ac:dyDescent="0.3">
      <c r="A1175" t="s">
        <v>2080</v>
      </c>
      <c r="B1175" s="4">
        <v>45338</v>
      </c>
      <c r="C1175" s="4" t="str">
        <f>TEXT(ESales_DB[[#This Row],[Order_Date]],"mmm")</f>
        <v>Feb</v>
      </c>
      <c r="D1175" t="s">
        <v>298</v>
      </c>
      <c r="E1175" t="s">
        <v>1732</v>
      </c>
      <c r="F1175" t="s">
        <v>1776</v>
      </c>
      <c r="G1175">
        <v>2</v>
      </c>
      <c r="H1175" s="10">
        <f>IF(ISBLANK(ESales_DB[[#This Row],[Quantity]]),AVERAGEIF(ESales_DB[Product_ID],ESales_DB[[#This Row],[Product_ID]],ESales_DB[Quantity]),ESales_DB[[#This Row],[Quantity]])</f>
        <v>2</v>
      </c>
      <c r="I1175" s="2">
        <v>878.05</v>
      </c>
      <c r="J1175">
        <v>0.11</v>
      </c>
      <c r="K1175" t="s">
        <v>1826</v>
      </c>
      <c r="L1175" s="2">
        <v>1562.9290000000001</v>
      </c>
      <c r="M1175" s="2" t="str">
        <f>IF(ESales_DB[[#This Row],[Total_Amount]]&gt;1000,"High","Low")</f>
        <v>High</v>
      </c>
      <c r="N1175" s="2" t="str">
        <f>VLOOKUP(ESales_DB[[#This Row],[Customer_ID]],Ecustom_DB[],3,FALSE)</f>
        <v>George Rosario</v>
      </c>
      <c r="O1175" s="2" t="str">
        <f>_xlfn.XLOOKUP(ESales_DB[[#This Row],[Product_ID]],Eproduct_DB[Product_ID],Eproduct_DB[Category])</f>
        <v>Home</v>
      </c>
      <c r="P1175" s="2" t="str">
        <f>_xlfn.XLOOKUP(ESales_DB[[#This Row],[Product_ID]],Eproduct_DB[Product_ID],Eproduct_DB[Product_Name])</f>
        <v>Microwave Oven</v>
      </c>
      <c r="Q1175" s="2" t="str">
        <f>_xlfn.XLOOKUP(ESales_DB[[#This Row],[Store_ID]],Estore_DB[Store_ID],Estore_DB[Region])</f>
        <v>East</v>
      </c>
      <c r="R1175" t="str">
        <f>VLOOKUP(ESales_DB[[#This Row],[Customer_ID]],Ecustom_DB[],10,FALSE)</f>
        <v>Bronze</v>
      </c>
      <c r="S1175" t="str">
        <f>IF(ESales_DB[[#This Row],[Quantity1]]&gt;3,"Bulk order","Normal order")</f>
        <v>Normal order</v>
      </c>
    </row>
    <row r="1176" spans="1:19" x14ac:dyDescent="0.3">
      <c r="A1176" t="s">
        <v>2081</v>
      </c>
      <c r="B1176" s="4">
        <v>45746</v>
      </c>
      <c r="C1176" s="4" t="str">
        <f>TEXT(ESales_DB[[#This Row],[Order_Date]],"mmm")</f>
        <v>Mar</v>
      </c>
      <c r="D1176" t="s">
        <v>172</v>
      </c>
      <c r="E1176" t="s">
        <v>1546</v>
      </c>
      <c r="F1176" t="s">
        <v>1786</v>
      </c>
      <c r="G1176">
        <v>3</v>
      </c>
      <c r="H1176" s="10">
        <f>IF(ISBLANK(ESales_DB[[#This Row],[Quantity]]),AVERAGEIF(ESales_DB[Product_ID],ESales_DB[[#This Row],[Product_ID]],ESales_DB[Quantity]),ESales_DB[[#This Row],[Quantity]])</f>
        <v>3</v>
      </c>
      <c r="I1176" s="2">
        <v>546.96</v>
      </c>
      <c r="J1176">
        <v>0.19</v>
      </c>
      <c r="K1176" t="s">
        <v>1824</v>
      </c>
      <c r="L1176" s="2">
        <v>1329.1128000000001</v>
      </c>
      <c r="M1176" s="2" t="str">
        <f>IF(ESales_DB[[#This Row],[Total_Amount]]&gt;1000,"High","Low")</f>
        <v>High</v>
      </c>
      <c r="N1176" s="2" t="str">
        <f>VLOOKUP(ESales_DB[[#This Row],[Customer_ID]],Ecustom_DB[],3,FALSE)</f>
        <v>Denise Williams</v>
      </c>
      <c r="O1176" s="2" t="str">
        <f>_xlfn.XLOOKUP(ESales_DB[[#This Row],[Product_ID]],Eproduct_DB[Product_ID],Eproduct_DB[Category])</f>
        <v>Clothing</v>
      </c>
      <c r="P1176" s="2" t="str">
        <f>_xlfn.XLOOKUP(ESales_DB[[#This Row],[Product_ID]],Eproduct_DB[Product_ID],Eproduct_DB[Product_Name])</f>
        <v>Men's Graphic T-Shirt</v>
      </c>
      <c r="Q1176" s="2" t="str">
        <f>_xlfn.XLOOKUP(ESales_DB[[#This Row],[Store_ID]],Estore_DB[Store_ID],Estore_DB[Region])</f>
        <v>South</v>
      </c>
      <c r="R1176" t="str">
        <f>VLOOKUP(ESales_DB[[#This Row],[Customer_ID]],Ecustom_DB[],10,FALSE)</f>
        <v>Bronze</v>
      </c>
      <c r="S1176" t="str">
        <f>IF(ESales_DB[[#This Row],[Quantity1]]&gt;3,"Bulk order","Normal order")</f>
        <v>Normal order</v>
      </c>
    </row>
    <row r="1177" spans="1:19" x14ac:dyDescent="0.3">
      <c r="A1177" t="s">
        <v>2082</v>
      </c>
      <c r="B1177" s="4">
        <v>45706</v>
      </c>
      <c r="C1177" s="4" t="str">
        <f>TEXT(ESales_DB[[#This Row],[Order_Date]],"mmm")</f>
        <v>Feb</v>
      </c>
      <c r="D1177" t="s">
        <v>1452</v>
      </c>
      <c r="E1177" t="s">
        <v>1582</v>
      </c>
      <c r="F1177" t="s">
        <v>1789</v>
      </c>
      <c r="G1177">
        <v>2</v>
      </c>
      <c r="H1177" s="10">
        <f>IF(ISBLANK(ESales_DB[[#This Row],[Quantity]]),AVERAGEIF(ESales_DB[Product_ID],ESales_DB[[#This Row],[Product_ID]],ESales_DB[Quantity]),ESales_DB[[#This Row],[Quantity]])</f>
        <v>2</v>
      </c>
      <c r="I1177" s="2">
        <v>71.77</v>
      </c>
      <c r="J1177">
        <v>0.22</v>
      </c>
      <c r="K1177" t="s">
        <v>1824</v>
      </c>
      <c r="L1177" s="2">
        <v>111.96120000000001</v>
      </c>
      <c r="M1177" s="2" t="str">
        <f>IF(ESales_DB[[#This Row],[Total_Amount]]&gt;1000,"High","Low")</f>
        <v>Low</v>
      </c>
      <c r="N1177" s="2" t="str">
        <f>VLOOKUP(ESales_DB[[#This Row],[Customer_ID]],Ecustom_DB[],3,FALSE)</f>
        <v>Debra Mccullough</v>
      </c>
      <c r="O1177" s="2" t="str">
        <f>_xlfn.XLOOKUP(ESales_DB[[#This Row],[Product_ID]],Eproduct_DB[Product_ID],Eproduct_DB[Category])</f>
        <v>Sports</v>
      </c>
      <c r="P1177" s="2" t="str">
        <f>_xlfn.XLOOKUP(ESales_DB[[#This Row],[Product_ID]],Eproduct_DB[Product_ID],Eproduct_DB[Product_Name])</f>
        <v>Soccer Training Cone Set</v>
      </c>
      <c r="Q1177" s="2" t="str">
        <f>_xlfn.XLOOKUP(ESales_DB[[#This Row],[Store_ID]],Estore_DB[Store_ID],Estore_DB[Region])</f>
        <v>East</v>
      </c>
      <c r="R1177" t="str">
        <f>VLOOKUP(ESales_DB[[#This Row],[Customer_ID]],Ecustom_DB[],10,FALSE)</f>
        <v>Platinum</v>
      </c>
      <c r="S1177" t="str">
        <f>IF(ESales_DB[[#This Row],[Quantity1]]&gt;3,"Bulk order","Normal order")</f>
        <v>Normal order</v>
      </c>
    </row>
    <row r="1178" spans="1:19" x14ac:dyDescent="0.3">
      <c r="A1178" t="s">
        <v>2083</v>
      </c>
      <c r="B1178" s="4">
        <v>45717</v>
      </c>
      <c r="C1178" s="4" t="str">
        <f>TEXT(ESales_DB[[#This Row],[Order_Date]],"mmm")</f>
        <v>Mar</v>
      </c>
      <c r="D1178" t="s">
        <v>63</v>
      </c>
      <c r="E1178" t="s">
        <v>1596</v>
      </c>
      <c r="F1178" t="s">
        <v>1757</v>
      </c>
      <c r="G1178">
        <v>2</v>
      </c>
      <c r="H1178" s="10">
        <f>IF(ISBLANK(ESales_DB[[#This Row],[Quantity]]),AVERAGEIF(ESales_DB[Product_ID],ESales_DB[[#This Row],[Product_ID]],ESales_DB[Quantity]),ESales_DB[[#This Row],[Quantity]])</f>
        <v>2</v>
      </c>
      <c r="I1178" s="2">
        <v>679.86</v>
      </c>
      <c r="J1178">
        <v>0.22</v>
      </c>
      <c r="K1178" t="s">
        <v>1829</v>
      </c>
      <c r="L1178" s="2">
        <v>1060.5816</v>
      </c>
      <c r="M1178" s="2" t="str">
        <f>IF(ESales_DB[[#This Row],[Total_Amount]]&gt;1000,"High","Low")</f>
        <v>High</v>
      </c>
      <c r="N1178" s="2" t="str">
        <f>VLOOKUP(ESales_DB[[#This Row],[Customer_ID]],Ecustom_DB[],3,FALSE)</f>
        <v>Nathan Hernandez</v>
      </c>
      <c r="O1178" s="2" t="str">
        <f>_xlfn.XLOOKUP(ESales_DB[[#This Row],[Product_ID]],Eproduct_DB[Product_ID],Eproduct_DB[Category])</f>
        <v>Sports</v>
      </c>
      <c r="P1178" s="2" t="str">
        <f>_xlfn.XLOOKUP(ESales_DB[[#This Row],[Product_ID]],Eproduct_DB[Product_ID],Eproduct_DB[Product_Name])</f>
        <v>Foldable Camping Chair</v>
      </c>
      <c r="Q1178" s="2" t="str">
        <f>_xlfn.XLOOKUP(ESales_DB[[#This Row],[Store_ID]],Estore_DB[Store_ID],Estore_DB[Region])</f>
        <v>North</v>
      </c>
      <c r="R1178" t="str">
        <f>VLOOKUP(ESales_DB[[#This Row],[Customer_ID]],Ecustom_DB[],10,FALSE)</f>
        <v>Silver</v>
      </c>
      <c r="S1178" t="str">
        <f>IF(ESales_DB[[#This Row],[Quantity1]]&gt;3,"Bulk order","Normal order")</f>
        <v>Normal order</v>
      </c>
    </row>
    <row r="1179" spans="1:19" x14ac:dyDescent="0.3">
      <c r="A1179" t="s">
        <v>2084</v>
      </c>
      <c r="B1179" s="4">
        <v>45300</v>
      </c>
      <c r="C1179" s="4" t="str">
        <f>TEXT(ESales_DB[[#This Row],[Order_Date]],"mmm")</f>
        <v>Jan</v>
      </c>
      <c r="D1179" t="s">
        <v>464</v>
      </c>
      <c r="E1179" t="s">
        <v>1618</v>
      </c>
      <c r="F1179" t="s">
        <v>1807</v>
      </c>
      <c r="G1179">
        <v>1</v>
      </c>
      <c r="H1179" s="10">
        <f>IF(ISBLANK(ESales_DB[[#This Row],[Quantity]]),AVERAGEIF(ESales_DB[Product_ID],ESales_DB[[#This Row],[Product_ID]],ESales_DB[Quantity]),ESales_DB[[#This Row],[Quantity]])</f>
        <v>1</v>
      </c>
      <c r="I1179" s="2">
        <v>222.94</v>
      </c>
      <c r="J1179">
        <v>0.19</v>
      </c>
      <c r="K1179" t="s">
        <v>1824</v>
      </c>
      <c r="L1179" s="2">
        <v>180.5814</v>
      </c>
      <c r="M1179" s="2" t="str">
        <f>IF(ESales_DB[[#This Row],[Total_Amount]]&gt;1000,"High","Low")</f>
        <v>Low</v>
      </c>
      <c r="N1179" s="2" t="str">
        <f>VLOOKUP(ESales_DB[[#This Row],[Customer_ID]],Ecustom_DB[],3,FALSE)</f>
        <v>Patrick Coleman</v>
      </c>
      <c r="O1179" s="2" t="str">
        <f>_xlfn.XLOOKUP(ESales_DB[[#This Row],[Product_ID]],Eproduct_DB[Product_ID],Eproduct_DB[Category])</f>
        <v>Home</v>
      </c>
      <c r="P1179" s="2" t="str">
        <f>_xlfn.XLOOKUP(ESales_DB[[#This Row],[Product_ID]],Eproduct_DB[Product_ID],Eproduct_DB[Product_Name])</f>
        <v>Bedroom Table Lamp</v>
      </c>
      <c r="Q1179" s="2" t="str">
        <f>_xlfn.XLOOKUP(ESales_DB[[#This Row],[Store_ID]],Estore_DB[Store_ID],Estore_DB[Region])</f>
        <v>North</v>
      </c>
      <c r="R1179" t="str">
        <f>VLOOKUP(ESales_DB[[#This Row],[Customer_ID]],Ecustom_DB[],10,FALSE)</f>
        <v>Silver</v>
      </c>
      <c r="S1179" t="str">
        <f>IF(ESales_DB[[#This Row],[Quantity1]]&gt;3,"Bulk order","Normal order")</f>
        <v>Normal order</v>
      </c>
    </row>
    <row r="1180" spans="1:19" x14ac:dyDescent="0.3">
      <c r="A1180" t="s">
        <v>2085</v>
      </c>
      <c r="B1180" s="4">
        <v>45773</v>
      </c>
      <c r="C1180" s="4" t="str">
        <f>TEXT(ESales_DB[[#This Row],[Order_Date]],"mmm")</f>
        <v>Apr</v>
      </c>
      <c r="D1180" t="s">
        <v>794</v>
      </c>
      <c r="E1180" t="s">
        <v>1618</v>
      </c>
      <c r="F1180" t="s">
        <v>1761</v>
      </c>
      <c r="G1180">
        <v>2</v>
      </c>
      <c r="H1180" s="10">
        <f>IF(ISBLANK(ESales_DB[[#This Row],[Quantity]]),AVERAGEIF(ESales_DB[Product_ID],ESales_DB[[#This Row],[Product_ID]],ESales_DB[Quantity]),ESales_DB[[#This Row],[Quantity]])</f>
        <v>2</v>
      </c>
      <c r="I1180" s="2">
        <v>355.3</v>
      </c>
      <c r="K1180" t="s">
        <v>1826</v>
      </c>
      <c r="L1180" s="2">
        <v>589.798</v>
      </c>
      <c r="M1180" s="2" t="str">
        <f>IF(ESales_DB[[#This Row],[Total_Amount]]&gt;1000,"High","Low")</f>
        <v>Low</v>
      </c>
      <c r="N1180" s="2" t="str">
        <f>VLOOKUP(ESales_DB[[#This Row],[Customer_ID]],Ecustom_DB[],3,FALSE)</f>
        <v>Nicholas Webb</v>
      </c>
      <c r="O1180" s="2" t="str">
        <f>_xlfn.XLOOKUP(ESales_DB[[#This Row],[Product_ID]],Eproduct_DB[Product_ID],Eproduct_DB[Category])</f>
        <v>Home</v>
      </c>
      <c r="P1180" s="2" t="str">
        <f>_xlfn.XLOOKUP(ESales_DB[[#This Row],[Product_ID]],Eproduct_DB[Product_ID],Eproduct_DB[Product_Name])</f>
        <v>Bedroom Table Lamp</v>
      </c>
      <c r="Q1180" s="2" t="str">
        <f>_xlfn.XLOOKUP(ESales_DB[[#This Row],[Store_ID]],Estore_DB[Store_ID],Estore_DB[Region])</f>
        <v>South</v>
      </c>
      <c r="R1180" t="str">
        <f>VLOOKUP(ESales_DB[[#This Row],[Customer_ID]],Ecustom_DB[],10,FALSE)</f>
        <v>Gold</v>
      </c>
      <c r="S1180" t="str">
        <f>IF(ESales_DB[[#This Row],[Quantity1]]&gt;3,"Bulk order","Normal order")</f>
        <v>Normal order</v>
      </c>
    </row>
    <row r="1181" spans="1:19" x14ac:dyDescent="0.3">
      <c r="A1181" t="s">
        <v>1852</v>
      </c>
      <c r="B1181" s="4">
        <v>45294</v>
      </c>
      <c r="C1181" s="4" t="str">
        <f>TEXT(ESales_DB[[#This Row],[Order_Date]],"mmm")</f>
        <v>Jan</v>
      </c>
      <c r="D1181" t="s">
        <v>693</v>
      </c>
      <c r="E1181" t="s">
        <v>1744</v>
      </c>
      <c r="F1181" t="s">
        <v>1782</v>
      </c>
      <c r="G1181">
        <v>4</v>
      </c>
      <c r="H1181" s="10">
        <f>IF(ISBLANK(ESales_DB[[#This Row],[Quantity]]),AVERAGEIF(ESales_DB[Product_ID],ESales_DB[[#This Row],[Product_ID]],ESales_DB[Quantity]),ESales_DB[[#This Row],[Quantity]])</f>
        <v>4</v>
      </c>
      <c r="I1181" s="2">
        <v>156.16</v>
      </c>
      <c r="K1181" t="s">
        <v>1824</v>
      </c>
      <c r="L1181" s="2">
        <v>599.65440000000001</v>
      </c>
      <c r="M1181" s="2" t="str">
        <f>IF(ESales_DB[[#This Row],[Total_Amount]]&gt;1000,"High","Low")</f>
        <v>Low</v>
      </c>
      <c r="N1181" s="2" t="str">
        <f>VLOOKUP(ESales_DB[[#This Row],[Customer_ID]],Ecustom_DB[],3,FALSE)</f>
        <v>Stuart Johnson</v>
      </c>
      <c r="O1181" s="2" t="str">
        <f>_xlfn.XLOOKUP(ESales_DB[[#This Row],[Product_ID]],Eproduct_DB[Product_ID],Eproduct_DB[Category])</f>
        <v>Electronics</v>
      </c>
      <c r="P1181" s="2" t="str">
        <f>_xlfn.XLOOKUP(ESales_DB[[#This Row],[Product_ID]],Eproduct_DB[Product_ID],Eproduct_DB[Product_Name])</f>
        <v>Portable Bluetooth Speaker</v>
      </c>
      <c r="Q1181" s="2" t="str">
        <f>_xlfn.XLOOKUP(ESales_DB[[#This Row],[Store_ID]],Estore_DB[Store_ID],Estore_DB[Region])</f>
        <v>West</v>
      </c>
      <c r="R1181" t="str">
        <f>VLOOKUP(ESales_DB[[#This Row],[Customer_ID]],Ecustom_DB[],10,FALSE)</f>
        <v>Platinum</v>
      </c>
      <c r="S1181" t="str">
        <f>IF(ESales_DB[[#This Row],[Quantity1]]&gt;3,"Bulk order","Normal order")</f>
        <v>Bulk order</v>
      </c>
    </row>
    <row r="1182" spans="1:19" x14ac:dyDescent="0.3">
      <c r="A1182" t="s">
        <v>2086</v>
      </c>
      <c r="B1182" s="4">
        <v>45497</v>
      </c>
      <c r="C1182" s="4" t="str">
        <f>TEXT(ESales_DB[[#This Row],[Order_Date]],"mmm")</f>
        <v>Jul</v>
      </c>
      <c r="D1182" t="s">
        <v>366</v>
      </c>
      <c r="E1182" t="s">
        <v>1726</v>
      </c>
      <c r="F1182" t="s">
        <v>1813</v>
      </c>
      <c r="G1182">
        <v>4</v>
      </c>
      <c r="H1182" s="10">
        <f>IF(ISBLANK(ESales_DB[[#This Row],[Quantity]]),AVERAGEIF(ESales_DB[Product_ID],ESales_DB[[#This Row],[Product_ID]],ESales_DB[Quantity]),ESales_DB[[#This Row],[Quantity]])</f>
        <v>4</v>
      </c>
      <c r="I1182" s="2">
        <v>611.29999999999995</v>
      </c>
      <c r="J1182">
        <v>0.11</v>
      </c>
      <c r="K1182" t="s">
        <v>1826</v>
      </c>
      <c r="L1182" s="2">
        <v>2176.2280000000001</v>
      </c>
      <c r="M1182" s="2" t="str">
        <f>IF(ESales_DB[[#This Row],[Total_Amount]]&gt;1000,"High","Low")</f>
        <v>High</v>
      </c>
      <c r="N1182" s="2" t="str">
        <f>VLOOKUP(ESales_DB[[#This Row],[Customer_ID]],Ecustom_DB[],3,FALSE)</f>
        <v>Steven Stein</v>
      </c>
      <c r="O1182" s="2" t="str">
        <f>_xlfn.XLOOKUP(ESales_DB[[#This Row],[Product_ID]],Eproduct_DB[Product_ID],Eproduct_DB[Category])</f>
        <v>Beauty</v>
      </c>
      <c r="P1182" s="2" t="str">
        <f>_xlfn.XLOOKUP(ESales_DB[[#This Row],[Product_ID]],Eproduct_DB[Product_ID],Eproduct_DB[Product_Name])</f>
        <v>Face Foundation Kit</v>
      </c>
      <c r="Q1182" s="2" t="str">
        <f>_xlfn.XLOOKUP(ESales_DB[[#This Row],[Store_ID]],Estore_DB[Store_ID],Estore_DB[Region])</f>
        <v>East</v>
      </c>
      <c r="R1182" t="str">
        <f>VLOOKUP(ESales_DB[[#This Row],[Customer_ID]],Ecustom_DB[],10,FALSE)</f>
        <v>Bronze</v>
      </c>
      <c r="S1182" t="str">
        <f>IF(ESales_DB[[#This Row],[Quantity1]]&gt;3,"Bulk order","Normal order")</f>
        <v>Bulk order</v>
      </c>
    </row>
    <row r="1183" spans="1:19" x14ac:dyDescent="0.3">
      <c r="A1183" t="s">
        <v>2087</v>
      </c>
      <c r="B1183" s="4">
        <v>45742</v>
      </c>
      <c r="C1183" s="4" t="str">
        <f>TEXT(ESales_DB[[#This Row],[Order_Date]],"mmm")</f>
        <v>Mar</v>
      </c>
      <c r="D1183" t="s">
        <v>1047</v>
      </c>
      <c r="E1183" t="s">
        <v>1543</v>
      </c>
      <c r="F1183" t="s">
        <v>1782</v>
      </c>
      <c r="G1183">
        <v>4</v>
      </c>
      <c r="H1183" s="10">
        <f>IF(ISBLANK(ESales_DB[[#This Row],[Quantity]]),AVERAGEIF(ESales_DB[Product_ID],ESales_DB[[#This Row],[Product_ID]],ESales_DB[Quantity]),ESales_DB[[#This Row],[Quantity]])</f>
        <v>4</v>
      </c>
      <c r="I1183" s="2">
        <v>849.21</v>
      </c>
      <c r="J1183">
        <v>7.0000000000000007E-2</v>
      </c>
      <c r="K1183" t="s">
        <v>1824</v>
      </c>
      <c r="L1183" s="2">
        <v>3159.0612000000001</v>
      </c>
      <c r="M1183" s="2" t="str">
        <f>IF(ESales_DB[[#This Row],[Total_Amount]]&gt;1000,"High","Low")</f>
        <v>High</v>
      </c>
      <c r="N1183" s="2" t="str">
        <f>VLOOKUP(ESales_DB[[#This Row],[Customer_ID]],Ecustom_DB[],3,FALSE)</f>
        <v>Teresa Johnson</v>
      </c>
      <c r="O1183" s="2" t="str">
        <f>_xlfn.XLOOKUP(ESales_DB[[#This Row],[Product_ID]],Eproduct_DB[Product_ID],Eproduct_DB[Category])</f>
        <v>Electronics</v>
      </c>
      <c r="P1183" s="2" t="str">
        <f>_xlfn.XLOOKUP(ESales_DB[[#This Row],[Product_ID]],Eproduct_DB[Product_ID],Eproduct_DB[Product_Name])</f>
        <v>Brother Laser Printer</v>
      </c>
      <c r="Q1183" s="2" t="str">
        <f>_xlfn.XLOOKUP(ESales_DB[[#This Row],[Store_ID]],Estore_DB[Store_ID],Estore_DB[Region])</f>
        <v>West</v>
      </c>
      <c r="R1183" t="str">
        <f>VLOOKUP(ESales_DB[[#This Row],[Customer_ID]],Ecustom_DB[],10,FALSE)</f>
        <v>Gold</v>
      </c>
      <c r="S1183" t="str">
        <f>IF(ESales_DB[[#This Row],[Quantity1]]&gt;3,"Bulk order","Normal order")</f>
        <v>Bulk order</v>
      </c>
    </row>
    <row r="1184" spans="1:19" x14ac:dyDescent="0.3">
      <c r="A1184" t="s">
        <v>2088</v>
      </c>
      <c r="B1184" s="4">
        <v>45713</v>
      </c>
      <c r="C1184" s="4" t="str">
        <f>TEXT(ESales_DB[[#This Row],[Order_Date]],"mmm")</f>
        <v>Feb</v>
      </c>
      <c r="D1184" t="s">
        <v>681</v>
      </c>
      <c r="E1184" t="s">
        <v>1632</v>
      </c>
      <c r="F1184" t="s">
        <v>1779</v>
      </c>
      <c r="G1184">
        <v>3</v>
      </c>
      <c r="H1184" s="10">
        <f>IF(ISBLANK(ESales_DB[[#This Row],[Quantity]]),AVERAGEIF(ESales_DB[Product_ID],ESales_DB[[#This Row],[Product_ID]],ESales_DB[Quantity]),ESales_DB[[#This Row],[Quantity]])</f>
        <v>3</v>
      </c>
      <c r="I1184" s="2">
        <v>553.12</v>
      </c>
      <c r="J1184">
        <v>0.28000000000000003</v>
      </c>
      <c r="K1184" t="s">
        <v>1829</v>
      </c>
      <c r="L1184" s="2">
        <v>1194.7392</v>
      </c>
      <c r="M1184" s="2" t="str">
        <f>IF(ESales_DB[[#This Row],[Total_Amount]]&gt;1000,"High","Low")</f>
        <v>High</v>
      </c>
      <c r="N1184" s="2" t="str">
        <f>VLOOKUP(ESales_DB[[#This Row],[Customer_ID]],Ecustom_DB[],3,FALSE)</f>
        <v>Joan Johnson</v>
      </c>
      <c r="O1184" s="2" t="str">
        <f>_xlfn.XLOOKUP(ESales_DB[[#This Row],[Product_ID]],Eproduct_DB[Product_ID],Eproduct_DB[Category])</f>
        <v>Electronics</v>
      </c>
      <c r="P1184" s="2" t="str">
        <f>_xlfn.XLOOKUP(ESales_DB[[#This Row],[Product_ID]],Eproduct_DB[Product_ID],Eproduct_DB[Product_Name])</f>
        <v>Smart Home WiFi Camera</v>
      </c>
      <c r="Q1184" s="2" t="str">
        <f>_xlfn.XLOOKUP(ESales_DB[[#This Row],[Store_ID]],Estore_DB[Store_ID],Estore_DB[Region])</f>
        <v>South</v>
      </c>
      <c r="R1184" t="str">
        <f>VLOOKUP(ESales_DB[[#This Row],[Customer_ID]],Ecustom_DB[],10,FALSE)</f>
        <v>Platinum</v>
      </c>
      <c r="S1184" t="str">
        <f>IF(ESales_DB[[#This Row],[Quantity1]]&gt;3,"Bulk order","Normal order")</f>
        <v>Normal order</v>
      </c>
    </row>
    <row r="1185" spans="1:19" x14ac:dyDescent="0.3">
      <c r="A1185" t="s">
        <v>2089</v>
      </c>
      <c r="B1185" s="4">
        <v>45826</v>
      </c>
      <c r="C1185" s="4" t="str">
        <f>TEXT(ESales_DB[[#This Row],[Order_Date]],"mmm")</f>
        <v>Jun</v>
      </c>
      <c r="D1185" t="s">
        <v>896</v>
      </c>
      <c r="E1185" t="s">
        <v>1730</v>
      </c>
      <c r="F1185" t="s">
        <v>1786</v>
      </c>
      <c r="G1185">
        <v>2</v>
      </c>
      <c r="H1185" s="10">
        <f>IF(ISBLANK(ESales_DB[[#This Row],[Quantity]]),AVERAGEIF(ESales_DB[Product_ID],ESales_DB[[#This Row],[Product_ID]],ESales_DB[Quantity]),ESales_DB[[#This Row],[Quantity]])</f>
        <v>2</v>
      </c>
      <c r="I1185" s="2">
        <v>903.08</v>
      </c>
      <c r="J1185">
        <v>0.18</v>
      </c>
      <c r="K1185" t="s">
        <v>1829</v>
      </c>
      <c r="L1185" s="2">
        <v>1481.0512000000001</v>
      </c>
      <c r="M1185" s="2" t="str">
        <f>IF(ESales_DB[[#This Row],[Total_Amount]]&gt;1000,"High","Low")</f>
        <v>High</v>
      </c>
      <c r="N1185" s="2" t="str">
        <f>VLOOKUP(ESales_DB[[#This Row],[Customer_ID]],Ecustom_DB[],3,FALSE)</f>
        <v>Kristi Lopez</v>
      </c>
      <c r="O1185" s="2" t="str">
        <f>_xlfn.XLOOKUP(ESales_DB[[#This Row],[Product_ID]],Eproduct_DB[Product_ID],Eproduct_DB[Category])</f>
        <v>Clothing</v>
      </c>
      <c r="P1185" s="2" t="str">
        <f>_xlfn.XLOOKUP(ESales_DB[[#This Row],[Product_ID]],Eproduct_DB[Product_ID],Eproduct_DB[Product_Name])</f>
        <v>Women's High Heels</v>
      </c>
      <c r="Q1185" s="2" t="str">
        <f>_xlfn.XLOOKUP(ESales_DB[[#This Row],[Store_ID]],Estore_DB[Store_ID],Estore_DB[Region])</f>
        <v>South</v>
      </c>
      <c r="R1185" t="str">
        <f>VLOOKUP(ESales_DB[[#This Row],[Customer_ID]],Ecustom_DB[],10,FALSE)</f>
        <v>Gold</v>
      </c>
      <c r="S1185" t="str">
        <f>IF(ESales_DB[[#This Row],[Quantity1]]&gt;3,"Bulk order","Normal order")</f>
        <v>Normal order</v>
      </c>
    </row>
    <row r="1186" spans="1:19" x14ac:dyDescent="0.3">
      <c r="A1186" t="s">
        <v>2090</v>
      </c>
      <c r="B1186" s="4">
        <v>45648</v>
      </c>
      <c r="C1186" s="4" t="str">
        <f>TEXT(ESales_DB[[#This Row],[Order_Date]],"mmm")</f>
        <v>Dec</v>
      </c>
      <c r="D1186" t="s">
        <v>1472</v>
      </c>
      <c r="E1186" t="s">
        <v>1580</v>
      </c>
      <c r="F1186" t="s">
        <v>1792</v>
      </c>
      <c r="G1186">
        <v>4</v>
      </c>
      <c r="H1186" s="10">
        <f>IF(ISBLANK(ESales_DB[[#This Row],[Quantity]]),AVERAGEIF(ESales_DB[Product_ID],ESales_DB[[#This Row],[Product_ID]],ESales_DB[Quantity]),ESales_DB[[#This Row],[Quantity]])</f>
        <v>4</v>
      </c>
      <c r="I1186" s="2">
        <v>640.23</v>
      </c>
      <c r="J1186">
        <v>0.06</v>
      </c>
      <c r="K1186" t="s">
        <v>1829</v>
      </c>
      <c r="L1186" s="2">
        <v>2407.2647999999999</v>
      </c>
      <c r="M1186" s="2" t="str">
        <f>IF(ESales_DB[[#This Row],[Total_Amount]]&gt;1000,"High","Low")</f>
        <v>High</v>
      </c>
      <c r="N1186" s="2" t="str">
        <f>VLOOKUP(ESales_DB[[#This Row],[Customer_ID]],Ecustom_DB[],3,FALSE)</f>
        <v>Earl Smith Dds</v>
      </c>
      <c r="O1186" s="2" t="str">
        <f>_xlfn.XLOOKUP(ESales_DB[[#This Row],[Product_ID]],Eproduct_DB[Product_ID],Eproduct_DB[Category])</f>
        <v>Beauty</v>
      </c>
      <c r="P1186" s="2" t="str">
        <f>_xlfn.XLOOKUP(ESales_DB[[#This Row],[Product_ID]],Eproduct_DB[Product_ID],Eproduct_DB[Product_Name])</f>
        <v>Beard Grooming Kit</v>
      </c>
      <c r="Q1186" s="2" t="str">
        <f>_xlfn.XLOOKUP(ESales_DB[[#This Row],[Store_ID]],Estore_DB[Store_ID],Estore_DB[Region])</f>
        <v>South</v>
      </c>
      <c r="R1186" t="str">
        <f>VLOOKUP(ESales_DB[[#This Row],[Customer_ID]],Ecustom_DB[],10,FALSE)</f>
        <v>Gold</v>
      </c>
      <c r="S1186" t="str">
        <f>IF(ESales_DB[[#This Row],[Quantity1]]&gt;3,"Bulk order","Normal order")</f>
        <v>Bulk order</v>
      </c>
    </row>
    <row r="1187" spans="1:19" x14ac:dyDescent="0.3">
      <c r="A1187" t="s">
        <v>2091</v>
      </c>
      <c r="B1187" s="4">
        <v>45836</v>
      </c>
      <c r="C1187" s="4" t="str">
        <f>TEXT(ESales_DB[[#This Row],[Order_Date]],"mmm")</f>
        <v>Jun</v>
      </c>
      <c r="D1187" t="s">
        <v>478</v>
      </c>
      <c r="E1187" t="s">
        <v>1590</v>
      </c>
      <c r="F1187" t="s">
        <v>1776</v>
      </c>
      <c r="G1187">
        <v>1</v>
      </c>
      <c r="H1187" s="10">
        <f>IF(ISBLANK(ESales_DB[[#This Row],[Quantity]]),AVERAGEIF(ESales_DB[Product_ID],ESales_DB[[#This Row],[Product_ID]],ESales_DB[Quantity]),ESales_DB[[#This Row],[Quantity]])</f>
        <v>1</v>
      </c>
      <c r="I1187" s="2">
        <v>518</v>
      </c>
      <c r="J1187">
        <v>0.25</v>
      </c>
      <c r="K1187" t="s">
        <v>1824</v>
      </c>
      <c r="L1187" s="2">
        <v>388.5</v>
      </c>
      <c r="M1187" s="2" t="str">
        <f>IF(ESales_DB[[#This Row],[Total_Amount]]&gt;1000,"High","Low")</f>
        <v>Low</v>
      </c>
      <c r="N1187" s="2" t="str">
        <f>VLOOKUP(ESales_DB[[#This Row],[Customer_ID]],Ecustom_DB[],3,FALSE)</f>
        <v>Cristian Wright</v>
      </c>
      <c r="O1187" s="2" t="str">
        <f>_xlfn.XLOOKUP(ESales_DB[[#This Row],[Product_ID]],Eproduct_DB[Product_ID],Eproduct_DB[Category])</f>
        <v>Home</v>
      </c>
      <c r="P1187" s="2" t="str">
        <f>_xlfn.XLOOKUP(ESales_DB[[#This Row],[Product_ID]],Eproduct_DB[Product_ID],Eproduct_DB[Product_Name])</f>
        <v>Multi-Purpose Storage Box</v>
      </c>
      <c r="Q1187" s="2" t="str">
        <f>_xlfn.XLOOKUP(ESales_DB[[#This Row],[Store_ID]],Estore_DB[Store_ID],Estore_DB[Region])</f>
        <v>East</v>
      </c>
      <c r="R1187" t="str">
        <f>VLOOKUP(ESales_DB[[#This Row],[Customer_ID]],Ecustom_DB[],10,FALSE)</f>
        <v>Bronze</v>
      </c>
      <c r="S1187" t="str">
        <f>IF(ESales_DB[[#This Row],[Quantity1]]&gt;3,"Bulk order","Normal order")</f>
        <v>Normal order</v>
      </c>
    </row>
    <row r="1188" spans="1:19" x14ac:dyDescent="0.3">
      <c r="A1188" t="s">
        <v>2092</v>
      </c>
      <c r="B1188" s="4">
        <v>45437</v>
      </c>
      <c r="C1188" s="4" t="str">
        <f>TEXT(ESales_DB[[#This Row],[Order_Date]],"mmm")</f>
        <v>May</v>
      </c>
      <c r="D1188" t="s">
        <v>1343</v>
      </c>
      <c r="E1188" t="s">
        <v>1676</v>
      </c>
      <c r="F1188" t="s">
        <v>1769</v>
      </c>
      <c r="G1188">
        <v>4</v>
      </c>
      <c r="H1188" s="10">
        <f>IF(ISBLANK(ESales_DB[[#This Row],[Quantity]]),AVERAGEIF(ESales_DB[Product_ID],ESales_DB[[#This Row],[Product_ID]],ESales_DB[Quantity]),ESales_DB[[#This Row],[Quantity]])</f>
        <v>4</v>
      </c>
      <c r="I1188" s="2">
        <v>779.25</v>
      </c>
      <c r="J1188">
        <v>0.25</v>
      </c>
      <c r="K1188" t="s">
        <v>1824</v>
      </c>
      <c r="L1188" s="2">
        <v>2337.75</v>
      </c>
      <c r="M1188" s="2" t="str">
        <f>IF(ESales_DB[[#This Row],[Total_Amount]]&gt;1000,"High","Low")</f>
        <v>High</v>
      </c>
      <c r="N1188" s="2" t="str">
        <f>VLOOKUP(ESales_DB[[#This Row],[Customer_ID]],Ecustom_DB[],3,FALSE)</f>
        <v>Thomas Moore</v>
      </c>
      <c r="O1188" s="2" t="str">
        <f>_xlfn.XLOOKUP(ESales_DB[[#This Row],[Product_ID]],Eproduct_DB[Product_ID],Eproduct_DB[Category])</f>
        <v>Beauty</v>
      </c>
      <c r="P1188" s="2" t="str">
        <f>_xlfn.XLOOKUP(ESales_DB[[#This Row],[Product_ID]],Eproduct_DB[Product_ID],Eproduct_DB[Product_Name])</f>
        <v>Matte Lipstick Set</v>
      </c>
      <c r="Q1188" s="2" t="str">
        <f>_xlfn.XLOOKUP(ESales_DB[[#This Row],[Store_ID]],Estore_DB[Store_ID],Estore_DB[Region])</f>
        <v>South</v>
      </c>
      <c r="R1188" t="str">
        <f>VLOOKUP(ESales_DB[[#This Row],[Customer_ID]],Ecustom_DB[],10,FALSE)</f>
        <v>Silver</v>
      </c>
      <c r="S1188" t="str">
        <f>IF(ESales_DB[[#This Row],[Quantity1]]&gt;3,"Bulk order","Normal order")</f>
        <v>Bulk order</v>
      </c>
    </row>
    <row r="1189" spans="1:19" x14ac:dyDescent="0.3">
      <c r="A1189" t="s">
        <v>2093</v>
      </c>
      <c r="B1189" s="4">
        <v>45807</v>
      </c>
      <c r="C1189" s="4" t="str">
        <f>TEXT(ESales_DB[[#This Row],[Order_Date]],"mmm")</f>
        <v>May</v>
      </c>
      <c r="D1189" t="s">
        <v>411</v>
      </c>
      <c r="E1189" t="s">
        <v>1714</v>
      </c>
      <c r="F1189" t="s">
        <v>1779</v>
      </c>
      <c r="G1189">
        <v>2</v>
      </c>
      <c r="H1189" s="10">
        <f>IF(ISBLANK(ESales_DB[[#This Row],[Quantity]]),AVERAGEIF(ESales_DB[Product_ID],ESales_DB[[#This Row],[Product_ID]],ESales_DB[Quantity]),ESales_DB[[#This Row],[Quantity]])</f>
        <v>2</v>
      </c>
      <c r="I1189" s="2">
        <v>467.75</v>
      </c>
      <c r="J1189">
        <v>0.26</v>
      </c>
      <c r="K1189" t="s">
        <v>1824</v>
      </c>
      <c r="L1189" s="2">
        <v>692.27</v>
      </c>
      <c r="M1189" s="2" t="str">
        <f>IF(ESales_DB[[#This Row],[Total_Amount]]&gt;1000,"High","Low")</f>
        <v>Low</v>
      </c>
      <c r="N1189" s="2" t="str">
        <f>VLOOKUP(ESales_DB[[#This Row],[Customer_ID]],Ecustom_DB[],3,FALSE)</f>
        <v>Earl Allen</v>
      </c>
      <c r="O1189" s="2" t="str">
        <f>_xlfn.XLOOKUP(ESales_DB[[#This Row],[Product_ID]],Eproduct_DB[Product_ID],Eproduct_DB[Category])</f>
        <v>Beauty</v>
      </c>
      <c r="P1189" s="2" t="str">
        <f>_xlfn.XLOOKUP(ESales_DB[[#This Row],[Product_ID]],Eproduct_DB[Product_ID],Eproduct_DB[Product_Name])</f>
        <v>Hydrating Face Cleanser</v>
      </c>
      <c r="Q1189" s="2" t="str">
        <f>_xlfn.XLOOKUP(ESales_DB[[#This Row],[Store_ID]],Estore_DB[Store_ID],Estore_DB[Region])</f>
        <v>South</v>
      </c>
      <c r="R1189" t="str">
        <f>VLOOKUP(ESales_DB[[#This Row],[Customer_ID]],Ecustom_DB[],10,FALSE)</f>
        <v>Platinum</v>
      </c>
      <c r="S1189" t="str">
        <f>IF(ESales_DB[[#This Row],[Quantity1]]&gt;3,"Bulk order","Normal order")</f>
        <v>Normal order</v>
      </c>
    </row>
    <row r="1190" spans="1:19" x14ac:dyDescent="0.3">
      <c r="A1190" t="s">
        <v>2094</v>
      </c>
      <c r="B1190" s="4">
        <v>45555</v>
      </c>
      <c r="C1190" s="4" t="str">
        <f>TEXT(ESales_DB[[#This Row],[Order_Date]],"mmm")</f>
        <v>Sep</v>
      </c>
      <c r="D1190" t="s">
        <v>1263</v>
      </c>
      <c r="E1190" t="s">
        <v>1728</v>
      </c>
      <c r="F1190" t="s">
        <v>1810</v>
      </c>
      <c r="G1190">
        <v>3</v>
      </c>
      <c r="H1190" s="10">
        <f>IF(ISBLANK(ESales_DB[[#This Row],[Quantity]]),AVERAGEIF(ESales_DB[Product_ID],ESales_DB[[#This Row],[Product_ID]],ESales_DB[Quantity]),ESales_DB[[#This Row],[Quantity]])</f>
        <v>3</v>
      </c>
      <c r="J1190">
        <v>0.06</v>
      </c>
      <c r="K1190" t="s">
        <v>1824</v>
      </c>
      <c r="L1190" s="2">
        <v>315.24779999999998</v>
      </c>
      <c r="M1190" s="2" t="str">
        <f>IF(ESales_DB[[#This Row],[Total_Amount]]&gt;1000,"High","Low")</f>
        <v>Low</v>
      </c>
      <c r="N1190" s="2" t="str">
        <f>VLOOKUP(ESales_DB[[#This Row],[Customer_ID]],Ecustom_DB[],3,FALSE)</f>
        <v>David Lozano</v>
      </c>
      <c r="O1190" s="2" t="str">
        <f>_xlfn.XLOOKUP(ESales_DB[[#This Row],[Product_ID]],Eproduct_DB[Product_ID],Eproduct_DB[Category])</f>
        <v>Electronics</v>
      </c>
      <c r="P1190" s="2" t="str">
        <f>_xlfn.XLOOKUP(ESales_DB[[#This Row],[Product_ID]],Eproduct_DB[Product_ID],Eproduct_DB[Product_Name])</f>
        <v>Gaming Mouse Pad XL</v>
      </c>
      <c r="Q1190" s="2" t="str">
        <f>_xlfn.XLOOKUP(ESales_DB[[#This Row],[Store_ID]],Estore_DB[Store_ID],Estore_DB[Region])</f>
        <v>East</v>
      </c>
      <c r="R1190" t="str">
        <f>VLOOKUP(ESales_DB[[#This Row],[Customer_ID]],Ecustom_DB[],10,FALSE)</f>
        <v>Gold</v>
      </c>
      <c r="S1190" t="str">
        <f>IF(ESales_DB[[#This Row],[Quantity1]]&gt;3,"Bulk order","Normal order")</f>
        <v>Normal order</v>
      </c>
    </row>
    <row r="1191" spans="1:19" x14ac:dyDescent="0.3">
      <c r="A1191" t="s">
        <v>2095</v>
      </c>
      <c r="B1191" s="4">
        <v>45803</v>
      </c>
      <c r="C1191" s="4" t="str">
        <f>TEXT(ESales_DB[[#This Row],[Order_Date]],"mmm")</f>
        <v>May</v>
      </c>
      <c r="D1191" t="s">
        <v>711</v>
      </c>
      <c r="E1191" t="s">
        <v>1622</v>
      </c>
      <c r="F1191" t="s">
        <v>1752</v>
      </c>
      <c r="G1191">
        <v>4</v>
      </c>
      <c r="H1191" s="10">
        <f>IF(ISBLANK(ESales_DB[[#This Row],[Quantity]]),AVERAGEIF(ESales_DB[Product_ID],ESales_DB[[#This Row],[Product_ID]],ESales_DB[Quantity]),ESales_DB[[#This Row],[Quantity]])</f>
        <v>4</v>
      </c>
      <c r="I1191" s="2">
        <v>747.01</v>
      </c>
      <c r="J1191">
        <v>0.13</v>
      </c>
      <c r="K1191" t="s">
        <v>1826</v>
      </c>
      <c r="L1191" s="2">
        <v>2599.5947999999999</v>
      </c>
      <c r="M1191" s="2" t="str">
        <f>IF(ESales_DB[[#This Row],[Total_Amount]]&gt;1000,"High","Low")</f>
        <v>High</v>
      </c>
      <c r="N1191" s="2" t="str">
        <f>VLOOKUP(ESales_DB[[#This Row],[Customer_ID]],Ecustom_DB[],3,FALSE)</f>
        <v>Jordan Wells</v>
      </c>
      <c r="O1191" s="2" t="str">
        <f>_xlfn.XLOOKUP(ESales_DB[[#This Row],[Product_ID]],Eproduct_DB[Product_ID],Eproduct_DB[Category])</f>
        <v>Clothing</v>
      </c>
      <c r="P1191" s="2" t="str">
        <f>_xlfn.XLOOKUP(ESales_DB[[#This Row],[Product_ID]],Eproduct_DB[Product_ID],Eproduct_DB[Product_Name])</f>
        <v>Men's Casual Sneakers</v>
      </c>
      <c r="Q1191" s="2" t="str">
        <f>_xlfn.XLOOKUP(ESales_DB[[#This Row],[Store_ID]],Estore_DB[Store_ID],Estore_DB[Region])</f>
        <v>East</v>
      </c>
      <c r="R1191" t="str">
        <f>VLOOKUP(ESales_DB[[#This Row],[Customer_ID]],Ecustom_DB[],10,FALSE)</f>
        <v>Gold</v>
      </c>
      <c r="S1191" t="str">
        <f>IF(ESales_DB[[#This Row],[Quantity1]]&gt;3,"Bulk order","Normal order")</f>
        <v>Bulk order</v>
      </c>
    </row>
    <row r="1192" spans="1:19" x14ac:dyDescent="0.3">
      <c r="A1192" t="s">
        <v>1853</v>
      </c>
      <c r="B1192" s="4">
        <v>45710</v>
      </c>
      <c r="C1192" s="4" t="str">
        <f>TEXT(ESales_DB[[#This Row],[Order_Date]],"mmm")</f>
        <v>Feb</v>
      </c>
      <c r="D1192" t="s">
        <v>654</v>
      </c>
      <c r="E1192" t="s">
        <v>1702</v>
      </c>
      <c r="F1192" t="s">
        <v>1782</v>
      </c>
      <c r="G1192">
        <v>3</v>
      </c>
      <c r="H1192" s="10">
        <f>IF(ISBLANK(ESales_DB[[#This Row],[Quantity]]),AVERAGEIF(ESales_DB[Product_ID],ESales_DB[[#This Row],[Product_ID]],ESales_DB[Quantity]),ESales_DB[[#This Row],[Quantity]])</f>
        <v>3</v>
      </c>
      <c r="I1192" s="2">
        <v>815.49</v>
      </c>
      <c r="J1192">
        <v>0.17</v>
      </c>
      <c r="K1192" t="s">
        <v>1824</v>
      </c>
      <c r="L1192" s="2">
        <v>2030.5700999999999</v>
      </c>
      <c r="M1192" s="2" t="str">
        <f>IF(ESales_DB[[#This Row],[Total_Amount]]&gt;1000,"High","Low")</f>
        <v>High</v>
      </c>
      <c r="N1192" s="2" t="str">
        <f>VLOOKUP(ESales_DB[[#This Row],[Customer_ID]],Ecustom_DB[],3,FALSE)</f>
        <v>Anna Perez</v>
      </c>
      <c r="O1192" s="2" t="str">
        <f>_xlfn.XLOOKUP(ESales_DB[[#This Row],[Product_ID]],Eproduct_DB[Product_ID],Eproduct_DB[Category])</f>
        <v>Electronics</v>
      </c>
      <c r="P1192" s="2" t="str">
        <f>_xlfn.XLOOKUP(ESales_DB[[#This Row],[Product_ID]],Eproduct_DB[Product_ID],Eproduct_DB[Product_Name])</f>
        <v>WiFi Mesh Router</v>
      </c>
      <c r="Q1192" s="2" t="str">
        <f>_xlfn.XLOOKUP(ESales_DB[[#This Row],[Store_ID]],Estore_DB[Store_ID],Estore_DB[Region])</f>
        <v>West</v>
      </c>
      <c r="R1192" t="str">
        <f>VLOOKUP(ESales_DB[[#This Row],[Customer_ID]],Ecustom_DB[],10,FALSE)</f>
        <v>Platinum</v>
      </c>
      <c r="S1192" t="str">
        <f>IF(ESales_DB[[#This Row],[Quantity1]]&gt;3,"Bulk order","Normal order")</f>
        <v>Normal order</v>
      </c>
    </row>
    <row r="1193" spans="1:19" x14ac:dyDescent="0.3">
      <c r="A1193" t="s">
        <v>2096</v>
      </c>
      <c r="B1193" s="4">
        <v>45735</v>
      </c>
      <c r="C1193" s="4" t="str">
        <f>TEXT(ESales_DB[[#This Row],[Order_Date]],"mmm")</f>
        <v>Mar</v>
      </c>
      <c r="D1193" t="s">
        <v>360</v>
      </c>
      <c r="E1193" t="s">
        <v>1726</v>
      </c>
      <c r="F1193" t="s">
        <v>1794</v>
      </c>
      <c r="G1193">
        <v>4</v>
      </c>
      <c r="H1193" s="10">
        <f>IF(ISBLANK(ESales_DB[[#This Row],[Quantity]]),AVERAGEIF(ESales_DB[Product_ID],ESales_DB[[#This Row],[Product_ID]],ESales_DB[Quantity]),ESales_DB[[#This Row],[Quantity]])</f>
        <v>4</v>
      </c>
      <c r="I1193" s="2">
        <v>461.83</v>
      </c>
      <c r="J1193">
        <v>0.28000000000000003</v>
      </c>
      <c r="K1193" t="s">
        <v>1826</v>
      </c>
      <c r="L1193" s="2">
        <v>1330.0704000000001</v>
      </c>
      <c r="M1193" s="2" t="str">
        <f>IF(ESales_DB[[#This Row],[Total_Amount]]&gt;1000,"High","Low")</f>
        <v>High</v>
      </c>
      <c r="N1193" s="2" t="str">
        <f>VLOOKUP(ESales_DB[[#This Row],[Customer_ID]],Ecustom_DB[],3,FALSE)</f>
        <v>Colleen Maynard</v>
      </c>
      <c r="O1193" s="2" t="str">
        <f>_xlfn.XLOOKUP(ESales_DB[[#This Row],[Product_ID]],Eproduct_DB[Product_ID],Eproduct_DB[Category])</f>
        <v>Beauty</v>
      </c>
      <c r="P1193" s="2" t="str">
        <f>_xlfn.XLOOKUP(ESales_DB[[#This Row],[Product_ID]],Eproduct_DB[Product_ID],Eproduct_DB[Product_Name])</f>
        <v>Face Foundation Kit</v>
      </c>
      <c r="Q1193" s="2" t="str">
        <f>_xlfn.XLOOKUP(ESales_DB[[#This Row],[Store_ID]],Estore_DB[Store_ID],Estore_DB[Region])</f>
        <v>North</v>
      </c>
      <c r="R1193" t="str">
        <f>VLOOKUP(ESales_DB[[#This Row],[Customer_ID]],Ecustom_DB[],10,FALSE)</f>
        <v>Gold</v>
      </c>
      <c r="S1193" t="str">
        <f>IF(ESales_DB[[#This Row],[Quantity1]]&gt;3,"Bulk order","Normal order")</f>
        <v>Bulk order</v>
      </c>
    </row>
    <row r="1194" spans="1:19" x14ac:dyDescent="0.3">
      <c r="A1194" t="s">
        <v>2097</v>
      </c>
      <c r="B1194" s="4">
        <v>45750</v>
      </c>
      <c r="C1194" s="4" t="str">
        <f>TEXT(ESales_DB[[#This Row],[Order_Date]],"mmm")</f>
        <v>Apr</v>
      </c>
      <c r="D1194" t="s">
        <v>458</v>
      </c>
      <c r="E1194" t="s">
        <v>1688</v>
      </c>
      <c r="F1194" t="s">
        <v>1782</v>
      </c>
      <c r="G1194">
        <v>2</v>
      </c>
      <c r="H1194" s="10">
        <f>IF(ISBLANK(ESales_DB[[#This Row],[Quantity]]),AVERAGEIF(ESales_DB[Product_ID],ESales_DB[[#This Row],[Product_ID]],ESales_DB[Quantity]),ESales_DB[[#This Row],[Quantity]])</f>
        <v>2</v>
      </c>
      <c r="I1194" s="2">
        <v>105.15</v>
      </c>
      <c r="J1194">
        <v>0.06</v>
      </c>
      <c r="K1194" t="s">
        <v>1824</v>
      </c>
      <c r="L1194" s="2">
        <v>197.68199999999999</v>
      </c>
      <c r="M1194" s="2" t="str">
        <f>IF(ESales_DB[[#This Row],[Total_Amount]]&gt;1000,"High","Low")</f>
        <v>Low</v>
      </c>
      <c r="N1194" s="2" t="str">
        <f>VLOOKUP(ESales_DB[[#This Row],[Customer_ID]],Ecustom_DB[],3,FALSE)</f>
        <v>Morgan Bowen</v>
      </c>
      <c r="O1194" s="2" t="str">
        <f>_xlfn.XLOOKUP(ESales_DB[[#This Row],[Product_ID]],Eproduct_DB[Product_ID],Eproduct_DB[Category])</f>
        <v>Home</v>
      </c>
      <c r="P1194" s="2" t="str">
        <f>_xlfn.XLOOKUP(ESales_DB[[#This Row],[Product_ID]],Eproduct_DB[Product_ID],Eproduct_DB[Product_Name])</f>
        <v>Kitchen Storage Rack</v>
      </c>
      <c r="Q1194" s="2" t="str">
        <f>_xlfn.XLOOKUP(ESales_DB[[#This Row],[Store_ID]],Estore_DB[Store_ID],Estore_DB[Region])</f>
        <v>West</v>
      </c>
      <c r="R1194" t="str">
        <f>VLOOKUP(ESales_DB[[#This Row],[Customer_ID]],Ecustom_DB[],10,FALSE)</f>
        <v>Gold</v>
      </c>
      <c r="S1194" t="str">
        <f>IF(ESales_DB[[#This Row],[Quantity1]]&gt;3,"Bulk order","Normal order")</f>
        <v>Normal order</v>
      </c>
    </row>
    <row r="1195" spans="1:19" x14ac:dyDescent="0.3">
      <c r="A1195" t="s">
        <v>2098</v>
      </c>
      <c r="B1195" s="4">
        <v>45693</v>
      </c>
      <c r="C1195" s="4" t="str">
        <f>TEXT(ESales_DB[[#This Row],[Order_Date]],"mmm")</f>
        <v>Feb</v>
      </c>
      <c r="D1195" t="s">
        <v>134</v>
      </c>
      <c r="E1195" t="s">
        <v>1594</v>
      </c>
      <c r="F1195" t="s">
        <v>1766</v>
      </c>
      <c r="G1195">
        <v>3</v>
      </c>
      <c r="H1195" s="10">
        <f>IF(ISBLANK(ESales_DB[[#This Row],[Quantity]]),AVERAGEIF(ESales_DB[Product_ID],ESales_DB[[#This Row],[Product_ID]],ESales_DB[Quantity]),ESales_DB[[#This Row],[Quantity]])</f>
        <v>3</v>
      </c>
      <c r="I1195" s="2">
        <v>610.24</v>
      </c>
      <c r="J1195">
        <v>0.17</v>
      </c>
      <c r="K1195" t="s">
        <v>1829</v>
      </c>
      <c r="L1195" s="2">
        <v>1519.4975999999999</v>
      </c>
      <c r="M1195" s="2" t="str">
        <f>IF(ESales_DB[[#This Row],[Total_Amount]]&gt;1000,"High","Low")</f>
        <v>High</v>
      </c>
      <c r="N1195" s="2" t="str">
        <f>VLOOKUP(ESales_DB[[#This Row],[Customer_ID]],Ecustom_DB[],3,FALSE)</f>
        <v>Robert Jones Dds</v>
      </c>
      <c r="O1195" s="2" t="str">
        <f>_xlfn.XLOOKUP(ESales_DB[[#This Row],[Product_ID]],Eproduct_DB[Product_ID],Eproduct_DB[Category])</f>
        <v>Clothing</v>
      </c>
      <c r="P1195" s="2" t="str">
        <f>_xlfn.XLOOKUP(ESales_DB[[#This Row],[Product_ID]],Eproduct_DB[Product_ID],Eproduct_DB[Product_Name])</f>
        <v>Men's Formal Shirt</v>
      </c>
      <c r="Q1195" s="2" t="str">
        <f>_xlfn.XLOOKUP(ESales_DB[[#This Row],[Store_ID]],Estore_DB[Store_ID],Estore_DB[Region])</f>
        <v>North</v>
      </c>
      <c r="R1195" t="str">
        <f>VLOOKUP(ESales_DB[[#This Row],[Customer_ID]],Ecustom_DB[],10,FALSE)</f>
        <v>Platinum</v>
      </c>
      <c r="S1195" t="str">
        <f>IF(ESales_DB[[#This Row],[Quantity1]]&gt;3,"Bulk order","Normal order")</f>
        <v>Normal order</v>
      </c>
    </row>
    <row r="1196" spans="1:19" x14ac:dyDescent="0.3">
      <c r="A1196" t="s">
        <v>2099</v>
      </c>
      <c r="B1196" s="4">
        <v>45667</v>
      </c>
      <c r="C1196" s="4" t="str">
        <f>TEXT(ESales_DB[[#This Row],[Order_Date]],"mmm")</f>
        <v>Jan</v>
      </c>
      <c r="D1196" t="s">
        <v>984</v>
      </c>
      <c r="E1196" t="s">
        <v>1696</v>
      </c>
      <c r="F1196" t="s">
        <v>1782</v>
      </c>
      <c r="G1196">
        <v>1</v>
      </c>
      <c r="H1196" s="10">
        <f>IF(ISBLANK(ESales_DB[[#This Row],[Quantity]]),AVERAGEIF(ESales_DB[Product_ID],ESales_DB[[#This Row],[Product_ID]],ESales_DB[Quantity]),ESales_DB[[#This Row],[Quantity]])</f>
        <v>1</v>
      </c>
      <c r="I1196" s="2">
        <v>872.12</v>
      </c>
      <c r="J1196">
        <v>7.0000000000000007E-2</v>
      </c>
      <c r="K1196" t="s">
        <v>1826</v>
      </c>
      <c r="L1196" s="2">
        <v>811.07159999999999</v>
      </c>
      <c r="M1196" s="2" t="str">
        <f>IF(ESales_DB[[#This Row],[Total_Amount]]&gt;1000,"High","Low")</f>
        <v>Low</v>
      </c>
      <c r="N1196" s="2" t="str">
        <f>VLOOKUP(ESales_DB[[#This Row],[Customer_ID]],Ecustom_DB[],3,FALSE)</f>
        <v>Jason Mullins</v>
      </c>
      <c r="O1196" s="2" t="str">
        <f>_xlfn.XLOOKUP(ESales_DB[[#This Row],[Product_ID]],Eproduct_DB[Product_ID],Eproduct_DB[Category])</f>
        <v>Electronics</v>
      </c>
      <c r="P1196" s="2" t="str">
        <f>_xlfn.XLOOKUP(ESales_DB[[#This Row],[Product_ID]],Eproduct_DB[Product_ID],Eproduct_DB[Product_Name])</f>
        <v>Bluetooth Car Audio System</v>
      </c>
      <c r="Q1196" s="2" t="str">
        <f>_xlfn.XLOOKUP(ESales_DB[[#This Row],[Store_ID]],Estore_DB[Store_ID],Estore_DB[Region])</f>
        <v>West</v>
      </c>
      <c r="R1196" t="str">
        <f>VLOOKUP(ESales_DB[[#This Row],[Customer_ID]],Ecustom_DB[],10,FALSE)</f>
        <v>Silver</v>
      </c>
      <c r="S1196" t="str">
        <f>IF(ESales_DB[[#This Row],[Quantity1]]&gt;3,"Bulk order","Normal order")</f>
        <v>Normal order</v>
      </c>
    </row>
    <row r="1197" spans="1:19" x14ac:dyDescent="0.3">
      <c r="A1197" t="s">
        <v>2100</v>
      </c>
      <c r="B1197" s="4">
        <v>45316</v>
      </c>
      <c r="C1197" s="4" t="str">
        <f>TEXT(ESales_DB[[#This Row],[Order_Date]],"mmm")</f>
        <v>Jan</v>
      </c>
      <c r="D1197" t="s">
        <v>1343</v>
      </c>
      <c r="E1197" t="s">
        <v>1568</v>
      </c>
      <c r="F1197" t="s">
        <v>1757</v>
      </c>
      <c r="G1197">
        <v>1</v>
      </c>
      <c r="H1197" s="10">
        <f>IF(ISBLANK(ESales_DB[[#This Row],[Quantity]]),AVERAGEIF(ESales_DB[Product_ID],ESales_DB[[#This Row],[Product_ID]],ESales_DB[Quantity]),ESales_DB[[#This Row],[Quantity]])</f>
        <v>1</v>
      </c>
      <c r="I1197" s="2">
        <v>406.79</v>
      </c>
      <c r="J1197">
        <v>0.03</v>
      </c>
      <c r="K1197" t="s">
        <v>1829</v>
      </c>
      <c r="L1197" s="2">
        <v>394.58629999999999</v>
      </c>
      <c r="M1197" s="2" t="str">
        <f>IF(ESales_DB[[#This Row],[Total_Amount]]&gt;1000,"High","Low")</f>
        <v>Low</v>
      </c>
      <c r="N1197" s="2" t="str">
        <f>VLOOKUP(ESales_DB[[#This Row],[Customer_ID]],Ecustom_DB[],3,FALSE)</f>
        <v>Thomas Moore</v>
      </c>
      <c r="O1197" s="2" t="str">
        <f>_xlfn.XLOOKUP(ESales_DB[[#This Row],[Product_ID]],Eproduct_DB[Product_ID],Eproduct_DB[Category])</f>
        <v>Home</v>
      </c>
      <c r="P1197" s="2" t="str">
        <f>_xlfn.XLOOKUP(ESales_DB[[#This Row],[Product_ID]],Eproduct_DB[Product_ID],Eproduct_DB[Product_Name])</f>
        <v>Ceramic Kitchen Bowl Set</v>
      </c>
      <c r="Q1197" s="2" t="str">
        <f>_xlfn.XLOOKUP(ESales_DB[[#This Row],[Store_ID]],Estore_DB[Store_ID],Estore_DB[Region])</f>
        <v>North</v>
      </c>
      <c r="R1197" t="str">
        <f>VLOOKUP(ESales_DB[[#This Row],[Customer_ID]],Ecustom_DB[],10,FALSE)</f>
        <v>Silver</v>
      </c>
      <c r="S1197" t="str">
        <f>IF(ESales_DB[[#This Row],[Quantity1]]&gt;3,"Bulk order","Normal order")</f>
        <v>Normal order</v>
      </c>
    </row>
    <row r="1198" spans="1:19" x14ac:dyDescent="0.3">
      <c r="A1198" t="s">
        <v>2101</v>
      </c>
      <c r="B1198" s="4">
        <v>45932</v>
      </c>
      <c r="C1198" s="4" t="str">
        <f>TEXT(ESales_DB[[#This Row],[Order_Date]],"mmm")</f>
        <v>Oct</v>
      </c>
      <c r="D1198" t="s">
        <v>1163</v>
      </c>
      <c r="E1198" t="s">
        <v>1656</v>
      </c>
      <c r="F1198" t="s">
        <v>1799</v>
      </c>
      <c r="G1198">
        <v>1</v>
      </c>
      <c r="H1198" s="10">
        <f>IF(ISBLANK(ESales_DB[[#This Row],[Quantity]]),AVERAGEIF(ESales_DB[Product_ID],ESales_DB[[#This Row],[Product_ID]],ESales_DB[Quantity]),ESales_DB[[#This Row],[Quantity]])</f>
        <v>1</v>
      </c>
      <c r="I1198" s="2">
        <v>606.01</v>
      </c>
      <c r="J1198">
        <v>0.04</v>
      </c>
      <c r="K1198" t="s">
        <v>1826</v>
      </c>
      <c r="L1198" s="2">
        <v>581.76959999999997</v>
      </c>
      <c r="M1198" s="2" t="str">
        <f>IF(ESales_DB[[#This Row],[Total_Amount]]&gt;1000,"High","Low")</f>
        <v>Low</v>
      </c>
      <c r="N1198" s="2" t="str">
        <f>VLOOKUP(ESales_DB[[#This Row],[Customer_ID]],Ecustom_DB[],3,FALSE)</f>
        <v>Jacqueline Anthony</v>
      </c>
      <c r="O1198" s="2" t="str">
        <f>_xlfn.XLOOKUP(ESales_DB[[#This Row],[Product_ID]],Eproduct_DB[Product_ID],Eproduct_DB[Category])</f>
        <v>Sports</v>
      </c>
      <c r="P1198" s="2" t="str">
        <f>_xlfn.XLOOKUP(ESales_DB[[#This Row],[Product_ID]],Eproduct_DB[Product_ID],Eproduct_DB[Product_Name])</f>
        <v>Sports Stopwatch Pro</v>
      </c>
      <c r="Q1198" s="2" t="str">
        <f>_xlfn.XLOOKUP(ESales_DB[[#This Row],[Store_ID]],Estore_DB[Store_ID],Estore_DB[Region])</f>
        <v>South</v>
      </c>
      <c r="R1198" t="str">
        <f>VLOOKUP(ESales_DB[[#This Row],[Customer_ID]],Ecustom_DB[],10,FALSE)</f>
        <v>Bronze</v>
      </c>
      <c r="S1198" t="str">
        <f>IF(ESales_DB[[#This Row],[Quantity1]]&gt;3,"Bulk order","Normal order")</f>
        <v>Normal order</v>
      </c>
    </row>
    <row r="1199" spans="1:19" x14ac:dyDescent="0.3">
      <c r="A1199" t="s">
        <v>2102</v>
      </c>
      <c r="B1199" s="4">
        <v>45483</v>
      </c>
      <c r="C1199" s="4" t="str">
        <f>TEXT(ESales_DB[[#This Row],[Order_Date]],"mmm")</f>
        <v>Jul</v>
      </c>
      <c r="D1199" t="s">
        <v>1095</v>
      </c>
      <c r="E1199" t="s">
        <v>1582</v>
      </c>
      <c r="F1199" t="s">
        <v>1773</v>
      </c>
      <c r="G1199">
        <v>4</v>
      </c>
      <c r="H1199" s="10">
        <f>IF(ISBLANK(ESales_DB[[#This Row],[Quantity]]),AVERAGEIF(ESales_DB[Product_ID],ESales_DB[[#This Row],[Product_ID]],ESales_DB[Quantity]),ESales_DB[[#This Row],[Quantity]])</f>
        <v>4</v>
      </c>
      <c r="I1199" s="2">
        <v>322.58</v>
      </c>
      <c r="J1199">
        <v>0.06</v>
      </c>
      <c r="K1199" t="s">
        <v>1824</v>
      </c>
      <c r="L1199" s="2">
        <v>1212.9007999999999</v>
      </c>
      <c r="M1199" s="2" t="str">
        <f>IF(ESales_DB[[#This Row],[Total_Amount]]&gt;1000,"High","Low")</f>
        <v>High</v>
      </c>
      <c r="N1199" s="2" t="str">
        <f>VLOOKUP(ESales_DB[[#This Row],[Customer_ID]],Ecustom_DB[],3,FALSE)</f>
        <v>Heather Valenzuela</v>
      </c>
      <c r="O1199" s="2" t="str">
        <f>_xlfn.XLOOKUP(ESales_DB[[#This Row],[Product_ID]],Eproduct_DB[Product_ID],Eproduct_DB[Category])</f>
        <v>Sports</v>
      </c>
      <c r="P1199" s="2" t="str">
        <f>_xlfn.XLOOKUP(ESales_DB[[#This Row],[Product_ID]],Eproduct_DB[Product_ID],Eproduct_DB[Product_Name])</f>
        <v>Soccer Training Cone Set</v>
      </c>
      <c r="Q1199" s="2" t="str">
        <f>_xlfn.XLOOKUP(ESales_DB[[#This Row],[Store_ID]],Estore_DB[Store_ID],Estore_DB[Region])</f>
        <v>North</v>
      </c>
      <c r="R1199" t="str">
        <f>VLOOKUP(ESales_DB[[#This Row],[Customer_ID]],Ecustom_DB[],10,FALSE)</f>
        <v>Bronze</v>
      </c>
      <c r="S1199" t="str">
        <f>IF(ESales_DB[[#This Row],[Quantity1]]&gt;3,"Bulk order","Normal order")</f>
        <v>Bulk order</v>
      </c>
    </row>
    <row r="1200" spans="1:19" x14ac:dyDescent="0.3">
      <c r="A1200" t="s">
        <v>2103</v>
      </c>
      <c r="B1200" s="4">
        <v>45661</v>
      </c>
      <c r="C1200" s="4" t="str">
        <f>TEXT(ESales_DB[[#This Row],[Order_Date]],"mmm")</f>
        <v>Jan</v>
      </c>
      <c r="D1200" t="s">
        <v>1489</v>
      </c>
      <c r="E1200" t="s">
        <v>1702</v>
      </c>
      <c r="F1200" t="s">
        <v>1810</v>
      </c>
      <c r="G1200">
        <v>4</v>
      </c>
      <c r="H1200" s="10">
        <f>IF(ISBLANK(ESales_DB[[#This Row],[Quantity]]),AVERAGEIF(ESales_DB[Product_ID],ESales_DB[[#This Row],[Product_ID]],ESales_DB[Quantity]),ESales_DB[[#This Row],[Quantity]])</f>
        <v>4</v>
      </c>
      <c r="I1200" s="2">
        <v>463.17</v>
      </c>
      <c r="J1200">
        <v>0.06</v>
      </c>
      <c r="K1200" t="s">
        <v>1826</v>
      </c>
      <c r="L1200" s="2">
        <v>1741.5192</v>
      </c>
      <c r="M1200" s="2" t="str">
        <f>IF(ESales_DB[[#This Row],[Total_Amount]]&gt;1000,"High","Low")</f>
        <v>High</v>
      </c>
      <c r="N1200" s="2" t="str">
        <f>VLOOKUP(ESales_DB[[#This Row],[Customer_ID]],Ecustom_DB[],3,FALSE)</f>
        <v>Jessica Castro</v>
      </c>
      <c r="O1200" s="2" t="str">
        <f>_xlfn.XLOOKUP(ESales_DB[[#This Row],[Product_ID]],Eproduct_DB[Product_ID],Eproduct_DB[Category])</f>
        <v>Electronics</v>
      </c>
      <c r="P1200" s="2" t="str">
        <f>_xlfn.XLOOKUP(ESales_DB[[#This Row],[Product_ID]],Eproduct_DB[Product_ID],Eproduct_DB[Product_Name])</f>
        <v>WiFi Mesh Router</v>
      </c>
      <c r="Q1200" s="2" t="str">
        <f>_xlfn.XLOOKUP(ESales_DB[[#This Row],[Store_ID]],Estore_DB[Store_ID],Estore_DB[Region])</f>
        <v>East</v>
      </c>
      <c r="R1200" t="str">
        <f>VLOOKUP(ESales_DB[[#This Row],[Customer_ID]],Ecustom_DB[],10,FALSE)</f>
        <v>Bronze</v>
      </c>
      <c r="S1200" t="str">
        <f>IF(ESales_DB[[#This Row],[Quantity1]]&gt;3,"Bulk order","Normal order")</f>
        <v>Bulk order</v>
      </c>
    </row>
    <row r="1201" spans="1:19" x14ac:dyDescent="0.3">
      <c r="A1201" t="s">
        <v>2104</v>
      </c>
      <c r="B1201" s="4">
        <v>45798</v>
      </c>
      <c r="C1201" s="4" t="str">
        <f>TEXT(ESales_DB[[#This Row],[Order_Date]],"mmm")</f>
        <v>May</v>
      </c>
      <c r="D1201" t="s">
        <v>996</v>
      </c>
      <c r="E1201" t="s">
        <v>1598</v>
      </c>
      <c r="F1201" t="s">
        <v>1779</v>
      </c>
      <c r="G1201">
        <v>4</v>
      </c>
      <c r="H1201" s="10">
        <f>IF(ISBLANK(ESales_DB[[#This Row],[Quantity]]),AVERAGEIF(ESales_DB[Product_ID],ESales_DB[[#This Row],[Product_ID]],ESales_DB[Quantity]),ESales_DB[[#This Row],[Quantity]])</f>
        <v>4</v>
      </c>
      <c r="I1201" s="2">
        <v>285.82</v>
      </c>
      <c r="J1201">
        <v>0.18</v>
      </c>
      <c r="K1201" t="s">
        <v>1826</v>
      </c>
      <c r="L1201" s="2">
        <v>937.4896</v>
      </c>
      <c r="M1201" s="2" t="str">
        <f>IF(ESales_DB[[#This Row],[Total_Amount]]&gt;1000,"High","Low")</f>
        <v>Low</v>
      </c>
      <c r="N1201" s="2" t="str">
        <f>VLOOKUP(ESales_DB[[#This Row],[Customer_ID]],Ecustom_DB[],3,FALSE)</f>
        <v>Robert House</v>
      </c>
      <c r="O1201" s="2" t="str">
        <f>_xlfn.XLOOKUP(ESales_DB[[#This Row],[Product_ID]],Eproduct_DB[Product_ID],Eproduct_DB[Category])</f>
        <v>Clothing</v>
      </c>
      <c r="P1201" s="2" t="str">
        <f>_xlfn.XLOOKUP(ESales_DB[[#This Row],[Product_ID]],Eproduct_DB[Product_ID],Eproduct_DB[Product_Name])</f>
        <v>Women's Scarf Set</v>
      </c>
      <c r="Q1201" s="2" t="str">
        <f>_xlfn.XLOOKUP(ESales_DB[[#This Row],[Store_ID]],Estore_DB[Store_ID],Estore_DB[Region])</f>
        <v>South</v>
      </c>
      <c r="R1201" t="str">
        <f>VLOOKUP(ESales_DB[[#This Row],[Customer_ID]],Ecustom_DB[],10,FALSE)</f>
        <v>Gold</v>
      </c>
      <c r="S1201" t="str">
        <f>IF(ESales_DB[[#This Row],[Quantity1]]&gt;3,"Bulk order","Normal order")</f>
        <v>Bulk order</v>
      </c>
    </row>
    <row r="1202" spans="1:19" x14ac:dyDescent="0.3">
      <c r="A1202" t="s">
        <v>2105</v>
      </c>
      <c r="B1202" s="4">
        <v>45868</v>
      </c>
      <c r="C1202" s="4" t="str">
        <f>TEXT(ESales_DB[[#This Row],[Order_Date]],"mmm")</f>
        <v>Jul</v>
      </c>
      <c r="D1202" t="s">
        <v>1026</v>
      </c>
      <c r="E1202" t="s">
        <v>1622</v>
      </c>
      <c r="F1202" t="s">
        <v>1792</v>
      </c>
      <c r="G1202">
        <v>3</v>
      </c>
      <c r="H1202" s="10">
        <f>IF(ISBLANK(ESales_DB[[#This Row],[Quantity]]),AVERAGEIF(ESales_DB[Product_ID],ESales_DB[[#This Row],[Product_ID]],ESales_DB[Quantity]),ESales_DB[[#This Row],[Quantity]])</f>
        <v>3</v>
      </c>
      <c r="I1202" s="2">
        <v>995.38</v>
      </c>
      <c r="J1202">
        <v>0.1</v>
      </c>
      <c r="K1202" t="s">
        <v>1826</v>
      </c>
      <c r="L1202" s="2">
        <v>2687.5259999999998</v>
      </c>
      <c r="M1202" s="2" t="str">
        <f>IF(ESales_DB[[#This Row],[Total_Amount]]&gt;1000,"High","Low")</f>
        <v>High</v>
      </c>
      <c r="N1202" s="2" t="str">
        <f>VLOOKUP(ESales_DB[[#This Row],[Customer_ID]],Ecustom_DB[],3,FALSE)</f>
        <v>Robert King</v>
      </c>
      <c r="O1202" s="2" t="str">
        <f>_xlfn.XLOOKUP(ESales_DB[[#This Row],[Product_ID]],Eproduct_DB[Product_ID],Eproduct_DB[Category])</f>
        <v>Clothing</v>
      </c>
      <c r="P1202" s="2" t="str">
        <f>_xlfn.XLOOKUP(ESales_DB[[#This Row],[Product_ID]],Eproduct_DB[Product_ID],Eproduct_DB[Product_Name])</f>
        <v>Men's Casual Sneakers</v>
      </c>
      <c r="Q1202" s="2" t="str">
        <f>_xlfn.XLOOKUP(ESales_DB[[#This Row],[Store_ID]],Estore_DB[Store_ID],Estore_DB[Region])</f>
        <v>South</v>
      </c>
      <c r="R1202" t="str">
        <f>VLOOKUP(ESales_DB[[#This Row],[Customer_ID]],Ecustom_DB[],10,FALSE)</f>
        <v>Gold</v>
      </c>
      <c r="S1202" t="str">
        <f>IF(ESales_DB[[#This Row],[Quantity1]]&gt;3,"Bulk order","Normal order")</f>
        <v>Normal order</v>
      </c>
    </row>
    <row r="1203" spans="1:19" x14ac:dyDescent="0.3">
      <c r="A1203" t="s">
        <v>1854</v>
      </c>
      <c r="B1203" s="4">
        <v>45923</v>
      </c>
      <c r="C1203" s="4" t="str">
        <f>TEXT(ESales_DB[[#This Row],[Order_Date]],"mmm")</f>
        <v>Sep</v>
      </c>
      <c r="D1203" t="s">
        <v>499</v>
      </c>
      <c r="E1203" t="s">
        <v>1574</v>
      </c>
      <c r="F1203" t="s">
        <v>1761</v>
      </c>
      <c r="G1203">
        <v>2</v>
      </c>
      <c r="H1203" s="10">
        <f>IF(ISBLANK(ESales_DB[[#This Row],[Quantity]]),AVERAGEIF(ESales_DB[Product_ID],ESales_DB[[#This Row],[Product_ID]],ESales_DB[Quantity]),ESales_DB[[#This Row],[Quantity]])</f>
        <v>2</v>
      </c>
      <c r="I1203" s="2">
        <v>74.209999999999994</v>
      </c>
      <c r="J1203">
        <v>0.11</v>
      </c>
      <c r="K1203" t="s">
        <v>1826</v>
      </c>
      <c r="L1203" s="2">
        <v>132.09379999999999</v>
      </c>
      <c r="M1203" s="2" t="str">
        <f>IF(ESales_DB[[#This Row],[Total_Amount]]&gt;1000,"High","Low")</f>
        <v>Low</v>
      </c>
      <c r="N1203" s="2" t="str">
        <f>VLOOKUP(ESales_DB[[#This Row],[Customer_ID]],Ecustom_DB[],3,FALSE)</f>
        <v>Theresa Campbell</v>
      </c>
      <c r="O1203" s="2" t="str">
        <f>_xlfn.XLOOKUP(ESales_DB[[#This Row],[Product_ID]],Eproduct_DB[Product_ID],Eproduct_DB[Category])</f>
        <v>Electronics</v>
      </c>
      <c r="P1203" s="2" t="str">
        <f>_xlfn.XLOOKUP(ESales_DB[[#This Row],[Product_ID]],Eproduct_DB[Product_ID],Eproduct_DB[Product_Name])</f>
        <v>USB-C Fast Charger</v>
      </c>
      <c r="Q1203" s="2" t="str">
        <f>_xlfn.XLOOKUP(ESales_DB[[#This Row],[Store_ID]],Estore_DB[Store_ID],Estore_DB[Region])</f>
        <v>South</v>
      </c>
      <c r="R1203" t="str">
        <f>VLOOKUP(ESales_DB[[#This Row],[Customer_ID]],Ecustom_DB[],10,FALSE)</f>
        <v>Bronze</v>
      </c>
      <c r="S1203" t="str">
        <f>IF(ESales_DB[[#This Row],[Quantity1]]&gt;3,"Bulk order","Normal order")</f>
        <v>Normal order</v>
      </c>
    </row>
    <row r="1204" spans="1:19" x14ac:dyDescent="0.3">
      <c r="A1204" t="s">
        <v>2106</v>
      </c>
      <c r="B1204" s="4">
        <v>45757</v>
      </c>
      <c r="C1204" s="4" t="str">
        <f>TEXT(ESales_DB[[#This Row],[Order_Date]],"mmm")</f>
        <v>Apr</v>
      </c>
      <c r="D1204" t="s">
        <v>414</v>
      </c>
      <c r="E1204" t="s">
        <v>1672</v>
      </c>
      <c r="F1204" t="s">
        <v>1782</v>
      </c>
      <c r="G1204">
        <v>1</v>
      </c>
      <c r="H1204" s="10">
        <f>IF(ISBLANK(ESales_DB[[#This Row],[Quantity]]),AVERAGEIF(ESales_DB[Product_ID],ESales_DB[[#This Row],[Product_ID]],ESales_DB[Quantity]),ESales_DB[[#This Row],[Quantity]])</f>
        <v>1</v>
      </c>
      <c r="I1204" s="2">
        <v>329.31</v>
      </c>
      <c r="J1204">
        <v>0.09</v>
      </c>
      <c r="K1204" t="s">
        <v>1824</v>
      </c>
      <c r="L1204" s="2">
        <v>299.6721</v>
      </c>
      <c r="M1204" s="2" t="str">
        <f>IF(ESales_DB[[#This Row],[Total_Amount]]&gt;1000,"High","Low")</f>
        <v>Low</v>
      </c>
      <c r="N1204" s="2" t="str">
        <f>VLOOKUP(ESales_DB[[#This Row],[Customer_ID]],Ecustom_DB[],3,FALSE)</f>
        <v>Michael Jones</v>
      </c>
      <c r="O1204" s="2" t="str">
        <f>_xlfn.XLOOKUP(ESales_DB[[#This Row],[Product_ID]],Eproduct_DB[Product_ID],Eproduct_DB[Category])</f>
        <v>Electronics</v>
      </c>
      <c r="P1204" s="2" t="str">
        <f>_xlfn.XLOOKUP(ESales_DB[[#This Row],[Product_ID]],Eproduct_DB[Product_ID],Eproduct_DB[Product_Name])</f>
        <v>Laptop Cooling Pad</v>
      </c>
      <c r="Q1204" s="2" t="str">
        <f>_xlfn.XLOOKUP(ESales_DB[[#This Row],[Store_ID]],Estore_DB[Store_ID],Estore_DB[Region])</f>
        <v>West</v>
      </c>
      <c r="R1204" t="str">
        <f>VLOOKUP(ESales_DB[[#This Row],[Customer_ID]],Ecustom_DB[],10,FALSE)</f>
        <v>Bronze</v>
      </c>
      <c r="S1204" t="str">
        <f>IF(ESales_DB[[#This Row],[Quantity1]]&gt;3,"Bulk order","Normal order")</f>
        <v>Normal order</v>
      </c>
    </row>
    <row r="1205" spans="1:19" x14ac:dyDescent="0.3">
      <c r="A1205" t="s">
        <v>2107</v>
      </c>
      <c r="B1205" s="4">
        <v>45475</v>
      </c>
      <c r="C1205" s="4" t="str">
        <f>TEXT(ESales_DB[[#This Row],[Order_Date]],"mmm")</f>
        <v>Jul</v>
      </c>
      <c r="D1205" t="s">
        <v>1507</v>
      </c>
      <c r="E1205" t="s">
        <v>1642</v>
      </c>
      <c r="F1205" t="s">
        <v>1804</v>
      </c>
      <c r="G1205">
        <v>3</v>
      </c>
      <c r="H1205" s="10">
        <f>IF(ISBLANK(ESales_DB[[#This Row],[Quantity]]),AVERAGEIF(ESales_DB[Product_ID],ESales_DB[[#This Row],[Product_ID]],ESales_DB[Quantity]),ESales_DB[[#This Row],[Quantity]])</f>
        <v>3</v>
      </c>
      <c r="I1205" s="2">
        <v>64.2</v>
      </c>
      <c r="J1205">
        <v>0.08</v>
      </c>
      <c r="K1205" t="s">
        <v>1829</v>
      </c>
      <c r="L1205" s="2">
        <v>177.19200000000001</v>
      </c>
      <c r="M1205" s="2" t="str">
        <f>IF(ESales_DB[[#This Row],[Total_Amount]]&gt;1000,"High","Low")</f>
        <v>Low</v>
      </c>
      <c r="N1205" s="2" t="str">
        <f>VLOOKUP(ESales_DB[[#This Row],[Customer_ID]],Ecustom_DB[],3,FALSE)</f>
        <v>Scott Harris</v>
      </c>
      <c r="O1205" s="2" t="str">
        <f>_xlfn.XLOOKUP(ESales_DB[[#This Row],[Product_ID]],Eproduct_DB[Product_ID],Eproduct_DB[Category])</f>
        <v>Beauty</v>
      </c>
      <c r="P1205" s="2" t="str">
        <f>_xlfn.XLOOKUP(ESales_DB[[#This Row],[Product_ID]],Eproduct_DB[Product_ID],Eproduct_DB[Product_Name])</f>
        <v>Makeup Brush Set</v>
      </c>
      <c r="Q1205" s="2" t="str">
        <f>_xlfn.XLOOKUP(ESales_DB[[#This Row],[Store_ID]],Estore_DB[Store_ID],Estore_DB[Region])</f>
        <v>West</v>
      </c>
      <c r="R1205" t="str">
        <f>VLOOKUP(ESales_DB[[#This Row],[Customer_ID]],Ecustom_DB[],10,FALSE)</f>
        <v>Platinum</v>
      </c>
      <c r="S1205" t="str">
        <f>IF(ESales_DB[[#This Row],[Quantity1]]&gt;3,"Bulk order","Normal order")</f>
        <v>Normal order</v>
      </c>
    </row>
    <row r="1206" spans="1:19" x14ac:dyDescent="0.3">
      <c r="A1206" t="s">
        <v>2108</v>
      </c>
      <c r="B1206" s="4">
        <v>45829</v>
      </c>
      <c r="C1206" s="4" t="str">
        <f>TEXT(ESales_DB[[#This Row],[Order_Date]],"mmm")</f>
        <v>Jun</v>
      </c>
      <c r="D1206" t="s">
        <v>836</v>
      </c>
      <c r="E1206" t="s">
        <v>1570</v>
      </c>
      <c r="F1206" t="s">
        <v>1797</v>
      </c>
      <c r="G1206">
        <v>3</v>
      </c>
      <c r="H1206" s="10">
        <f>IF(ISBLANK(ESales_DB[[#This Row],[Quantity]]),AVERAGEIF(ESales_DB[Product_ID],ESales_DB[[#This Row],[Product_ID]],ESales_DB[Quantity]),ESales_DB[[#This Row],[Quantity]])</f>
        <v>3</v>
      </c>
      <c r="I1206" s="2">
        <v>697.13</v>
      </c>
      <c r="J1206">
        <v>0.25</v>
      </c>
      <c r="K1206" t="s">
        <v>1829</v>
      </c>
      <c r="L1206" s="2">
        <v>1568.5425</v>
      </c>
      <c r="M1206" s="2" t="str">
        <f>IF(ESales_DB[[#This Row],[Total_Amount]]&gt;1000,"High","Low")</f>
        <v>High</v>
      </c>
      <c r="N1206" s="2" t="str">
        <f>VLOOKUP(ESales_DB[[#This Row],[Customer_ID]],Ecustom_DB[],3,FALSE)</f>
        <v>Katherine Cowan</v>
      </c>
      <c r="O1206" s="2" t="str">
        <f>_xlfn.XLOOKUP(ESales_DB[[#This Row],[Product_ID]],Eproduct_DB[Product_ID],Eproduct_DB[Category])</f>
        <v>Electronics</v>
      </c>
      <c r="P1206" s="2" t="str">
        <f>_xlfn.XLOOKUP(ESales_DB[[#This Row],[Product_ID]],Eproduct_DB[Product_ID],Eproduct_DB[Product_Name])</f>
        <v>HD Smart TV Stick</v>
      </c>
      <c r="Q1206" s="2" t="str">
        <f>_xlfn.XLOOKUP(ESales_DB[[#This Row],[Store_ID]],Estore_DB[Store_ID],Estore_DB[Region])</f>
        <v>East</v>
      </c>
      <c r="R1206" t="str">
        <f>VLOOKUP(ESales_DB[[#This Row],[Customer_ID]],Ecustom_DB[],10,FALSE)</f>
        <v>Silver</v>
      </c>
      <c r="S1206" t="str">
        <f>IF(ESales_DB[[#This Row],[Quantity1]]&gt;3,"Bulk order","Normal order")</f>
        <v>Normal order</v>
      </c>
    </row>
    <row r="1207" spans="1:19" x14ac:dyDescent="0.3">
      <c r="A1207" t="s">
        <v>2109</v>
      </c>
      <c r="B1207" s="4">
        <v>45639</v>
      </c>
      <c r="C1207" s="4" t="str">
        <f>TEXT(ESales_DB[[#This Row],[Order_Date]],"mmm")</f>
        <v>Dec</v>
      </c>
      <c r="D1207" t="s">
        <v>97</v>
      </c>
      <c r="E1207" t="s">
        <v>1565</v>
      </c>
      <c r="F1207" t="s">
        <v>1773</v>
      </c>
      <c r="G1207">
        <v>3</v>
      </c>
      <c r="H1207" s="10">
        <f>IF(ISBLANK(ESales_DB[[#This Row],[Quantity]]),AVERAGEIF(ESales_DB[Product_ID],ESales_DB[[#This Row],[Product_ID]],ESales_DB[Quantity]),ESales_DB[[#This Row],[Quantity]])</f>
        <v>3</v>
      </c>
      <c r="I1207" s="2">
        <v>134.30000000000001</v>
      </c>
      <c r="J1207">
        <v>0.14000000000000001</v>
      </c>
      <c r="K1207" t="s">
        <v>1824</v>
      </c>
      <c r="L1207" s="2">
        <v>346.49400000000003</v>
      </c>
      <c r="M1207" s="2" t="str">
        <f>IF(ESales_DB[[#This Row],[Total_Amount]]&gt;1000,"High","Low")</f>
        <v>Low</v>
      </c>
      <c r="N1207" s="2" t="str">
        <f>VLOOKUP(ESales_DB[[#This Row],[Customer_ID]],Ecustom_DB[],3,FALSE)</f>
        <v>Paul Fox</v>
      </c>
      <c r="O1207" s="2" t="str">
        <f>_xlfn.XLOOKUP(ESales_DB[[#This Row],[Product_ID]],Eproduct_DB[Product_ID],Eproduct_DB[Category])</f>
        <v>Sports</v>
      </c>
      <c r="P1207" s="2" t="str">
        <f>_xlfn.XLOOKUP(ESales_DB[[#This Row],[Product_ID]],Eproduct_DB[Product_ID],Eproduct_DB[Product_Name])</f>
        <v>Adjustable Dumbbell Set</v>
      </c>
      <c r="Q1207" s="2" t="str">
        <f>_xlfn.XLOOKUP(ESales_DB[[#This Row],[Store_ID]],Estore_DB[Store_ID],Estore_DB[Region])</f>
        <v>North</v>
      </c>
      <c r="R1207" t="str">
        <f>VLOOKUP(ESales_DB[[#This Row],[Customer_ID]],Ecustom_DB[],10,FALSE)</f>
        <v>Silver</v>
      </c>
      <c r="S1207" t="str">
        <f>IF(ESales_DB[[#This Row],[Quantity1]]&gt;3,"Bulk order","Normal order")</f>
        <v>Normal order</v>
      </c>
    </row>
    <row r="1208" spans="1:19" x14ac:dyDescent="0.3">
      <c r="A1208" t="s">
        <v>2110</v>
      </c>
      <c r="B1208" s="4">
        <v>45518</v>
      </c>
      <c r="C1208" s="4" t="str">
        <f>TEXT(ESales_DB[[#This Row],[Order_Date]],"mmm")</f>
        <v>Aug</v>
      </c>
      <c r="D1208" t="s">
        <v>830</v>
      </c>
      <c r="E1208" t="s">
        <v>1716</v>
      </c>
      <c r="F1208" t="s">
        <v>1797</v>
      </c>
      <c r="G1208">
        <v>1</v>
      </c>
      <c r="H1208" s="10">
        <f>IF(ISBLANK(ESales_DB[[#This Row],[Quantity]]),AVERAGEIF(ESales_DB[Product_ID],ESales_DB[[#This Row],[Product_ID]],ESales_DB[Quantity]),ESales_DB[[#This Row],[Quantity]])</f>
        <v>1</v>
      </c>
      <c r="I1208" s="2">
        <v>520.92999999999995</v>
      </c>
      <c r="J1208">
        <v>0.15</v>
      </c>
      <c r="K1208" t="s">
        <v>1824</v>
      </c>
      <c r="L1208" s="2">
        <v>442.79050000000001</v>
      </c>
      <c r="M1208" s="2" t="str">
        <f>IF(ESales_DB[[#This Row],[Total_Amount]]&gt;1000,"High","Low")</f>
        <v>Low</v>
      </c>
      <c r="N1208" s="2" t="str">
        <f>VLOOKUP(ESales_DB[[#This Row],[Customer_ID]],Ecustom_DB[],3,FALSE)</f>
        <v>Russell Lamb</v>
      </c>
      <c r="O1208" s="2" t="str">
        <f>_xlfn.XLOOKUP(ESales_DB[[#This Row],[Product_ID]],Eproduct_DB[Product_ID],Eproduct_DB[Category])</f>
        <v>Home</v>
      </c>
      <c r="P1208" s="2" t="str">
        <f>_xlfn.XLOOKUP(ESales_DB[[#This Row],[Product_ID]],Eproduct_DB[Product_ID],Eproduct_DB[Product_Name])</f>
        <v>Wooden Bookshelf</v>
      </c>
      <c r="Q1208" s="2" t="str">
        <f>_xlfn.XLOOKUP(ESales_DB[[#This Row],[Store_ID]],Estore_DB[Store_ID],Estore_DB[Region])</f>
        <v>East</v>
      </c>
      <c r="R1208" t="str">
        <f>VLOOKUP(ESales_DB[[#This Row],[Customer_ID]],Ecustom_DB[],10,FALSE)</f>
        <v>Platinum</v>
      </c>
      <c r="S1208" t="str">
        <f>IF(ESales_DB[[#This Row],[Quantity1]]&gt;3,"Bulk order","Normal order")</f>
        <v>Normal order</v>
      </c>
    </row>
    <row r="1209" spans="1:19" x14ac:dyDescent="0.3">
      <c r="A1209" t="s">
        <v>2111</v>
      </c>
      <c r="B1209" s="4">
        <v>45721</v>
      </c>
      <c r="C1209" s="4" t="str">
        <f>TEXT(ESales_DB[[#This Row],[Order_Date]],"mmm")</f>
        <v>Mar</v>
      </c>
      <c r="D1209" t="s">
        <v>727</v>
      </c>
      <c r="E1209" t="s">
        <v>1586</v>
      </c>
      <c r="F1209" t="s">
        <v>1779</v>
      </c>
      <c r="G1209">
        <v>2</v>
      </c>
      <c r="H1209" s="10">
        <f>IF(ISBLANK(ESales_DB[[#This Row],[Quantity]]),AVERAGEIF(ESales_DB[Product_ID],ESales_DB[[#This Row],[Product_ID]],ESales_DB[Quantity]),ESales_DB[[#This Row],[Quantity]])</f>
        <v>2</v>
      </c>
      <c r="I1209" s="2">
        <v>350.12</v>
      </c>
      <c r="J1209">
        <v>0.21</v>
      </c>
      <c r="K1209" t="s">
        <v>1829</v>
      </c>
      <c r="L1209" s="2">
        <v>553.18960000000004</v>
      </c>
      <c r="M1209" s="2" t="str">
        <f>IF(ESales_DB[[#This Row],[Total_Amount]]&gt;1000,"High","Low")</f>
        <v>Low</v>
      </c>
      <c r="N1209" s="2" t="str">
        <f>VLOOKUP(ESales_DB[[#This Row],[Customer_ID]],Ecustom_DB[],3,FALSE)</f>
        <v>Elizabeth Stanley</v>
      </c>
      <c r="O1209" s="2" t="str">
        <f>_xlfn.XLOOKUP(ESales_DB[[#This Row],[Product_ID]],Eproduct_DB[Product_ID],Eproduct_DB[Category])</f>
        <v>Sports</v>
      </c>
      <c r="P1209" s="2" t="str">
        <f>_xlfn.XLOOKUP(ESales_DB[[#This Row],[Product_ID]],Eproduct_DB[Product_ID],Eproduct_DB[Product_Name])</f>
        <v>Knee Support Brace</v>
      </c>
      <c r="Q1209" s="2" t="str">
        <f>_xlfn.XLOOKUP(ESales_DB[[#This Row],[Store_ID]],Estore_DB[Store_ID],Estore_DB[Region])</f>
        <v>South</v>
      </c>
      <c r="R1209" t="str">
        <f>VLOOKUP(ESales_DB[[#This Row],[Customer_ID]],Ecustom_DB[],10,FALSE)</f>
        <v>Platinum</v>
      </c>
      <c r="S1209" t="str">
        <f>IF(ESales_DB[[#This Row],[Quantity1]]&gt;3,"Bulk order","Normal order")</f>
        <v>Normal order</v>
      </c>
    </row>
    <row r="1210" spans="1:19" x14ac:dyDescent="0.3">
      <c r="A1210" t="s">
        <v>2112</v>
      </c>
      <c r="B1210" s="4">
        <v>45308</v>
      </c>
      <c r="C1210" s="4" t="str">
        <f>TEXT(ESales_DB[[#This Row],[Order_Date]],"mmm")</f>
        <v>Jan</v>
      </c>
      <c r="D1210" t="s">
        <v>1437</v>
      </c>
      <c r="E1210" t="s">
        <v>1644</v>
      </c>
      <c r="F1210" t="s">
        <v>1813</v>
      </c>
      <c r="G1210">
        <v>3</v>
      </c>
      <c r="H1210" s="10">
        <f>IF(ISBLANK(ESales_DB[[#This Row],[Quantity]]),AVERAGEIF(ESales_DB[Product_ID],ESales_DB[[#This Row],[Product_ID]],ESales_DB[Quantity]),ESales_DB[[#This Row],[Quantity]])</f>
        <v>3</v>
      </c>
      <c r="I1210" s="2">
        <v>807.95</v>
      </c>
      <c r="J1210">
        <v>0.1</v>
      </c>
      <c r="K1210" t="s">
        <v>1826</v>
      </c>
      <c r="L1210" s="2">
        <v>2181.4650000000011</v>
      </c>
      <c r="M1210" s="2" t="str">
        <f>IF(ESales_DB[[#This Row],[Total_Amount]]&gt;1000,"High","Low")</f>
        <v>High</v>
      </c>
      <c r="N1210" s="2" t="str">
        <f>VLOOKUP(ESales_DB[[#This Row],[Customer_ID]],Ecustom_DB[],3,FALSE)</f>
        <v>Cynthia Parrish</v>
      </c>
      <c r="O1210" s="2" t="str">
        <f>_xlfn.XLOOKUP(ESales_DB[[#This Row],[Product_ID]],Eproduct_DB[Product_ID],Eproduct_DB[Category])</f>
        <v>Electronics</v>
      </c>
      <c r="P1210" s="2" t="str">
        <f>_xlfn.XLOOKUP(ESales_DB[[#This Row],[Product_ID]],Eproduct_DB[Product_ID],Eproduct_DB[Product_Name])</f>
        <v>Car Dashboard Phone Holder</v>
      </c>
      <c r="Q1210" s="2" t="str">
        <f>_xlfn.XLOOKUP(ESales_DB[[#This Row],[Store_ID]],Estore_DB[Store_ID],Estore_DB[Region])</f>
        <v>East</v>
      </c>
      <c r="R1210" t="str">
        <f>VLOOKUP(ESales_DB[[#This Row],[Customer_ID]],Ecustom_DB[],10,FALSE)</f>
        <v>Silver</v>
      </c>
      <c r="S1210" t="str">
        <f>IF(ESales_DB[[#This Row],[Quantity1]]&gt;3,"Bulk order","Normal order")</f>
        <v>Normal order</v>
      </c>
    </row>
    <row r="1211" spans="1:19" x14ac:dyDescent="0.3">
      <c r="A1211" t="s">
        <v>2113</v>
      </c>
      <c r="B1211" s="4">
        <v>45889</v>
      </c>
      <c r="C1211" s="4" t="str">
        <f>TEXT(ESales_DB[[#This Row],[Order_Date]],"mmm")</f>
        <v>Aug</v>
      </c>
      <c r="D1211" t="s">
        <v>1053</v>
      </c>
      <c r="E1211" t="s">
        <v>1624</v>
      </c>
      <c r="F1211" t="s">
        <v>1776</v>
      </c>
      <c r="G1211">
        <v>4</v>
      </c>
      <c r="H1211" s="10">
        <f>IF(ISBLANK(ESales_DB[[#This Row],[Quantity]]),AVERAGEIF(ESales_DB[Product_ID],ESales_DB[[#This Row],[Product_ID]],ESales_DB[Quantity]),ESales_DB[[#This Row],[Quantity]])</f>
        <v>4</v>
      </c>
      <c r="I1211" s="2">
        <v>766.03</v>
      </c>
      <c r="J1211">
        <v>0.28999999999999998</v>
      </c>
      <c r="K1211" t="s">
        <v>1826</v>
      </c>
      <c r="L1211" s="2">
        <v>2175.5252</v>
      </c>
      <c r="M1211" s="2" t="str">
        <f>IF(ESales_DB[[#This Row],[Total_Amount]]&gt;1000,"High","Low")</f>
        <v>High</v>
      </c>
      <c r="N1211" s="2" t="str">
        <f>VLOOKUP(ESales_DB[[#This Row],[Customer_ID]],Ecustom_DB[],3,FALSE)</f>
        <v>Jennifer Woods</v>
      </c>
      <c r="O1211" s="2" t="str">
        <f>_xlfn.XLOOKUP(ESales_DB[[#This Row],[Product_ID]],Eproduct_DB[Product_ID],Eproduct_DB[Category])</f>
        <v>Sports</v>
      </c>
      <c r="P1211" s="2" t="str">
        <f>_xlfn.XLOOKUP(ESales_DB[[#This Row],[Product_ID]],Eproduct_DB[Product_ID],Eproduct_DB[Product_Name])</f>
        <v>Sports Water Hydration Pack</v>
      </c>
      <c r="Q1211" s="2" t="str">
        <f>_xlfn.XLOOKUP(ESales_DB[[#This Row],[Store_ID]],Estore_DB[Store_ID],Estore_DB[Region])</f>
        <v>East</v>
      </c>
      <c r="R1211" t="str">
        <f>VLOOKUP(ESales_DB[[#This Row],[Customer_ID]],Ecustom_DB[],10,FALSE)</f>
        <v>Platinum</v>
      </c>
      <c r="S1211" t="str">
        <f>IF(ESales_DB[[#This Row],[Quantity1]]&gt;3,"Bulk order","Normal order")</f>
        <v>Bulk order</v>
      </c>
    </row>
    <row r="1212" spans="1:19" x14ac:dyDescent="0.3">
      <c r="A1212" t="s">
        <v>2114</v>
      </c>
      <c r="B1212" s="4">
        <v>45386</v>
      </c>
      <c r="C1212" s="4" t="str">
        <f>TEXT(ESales_DB[[#This Row],[Order_Date]],"mmm")</f>
        <v>Apr</v>
      </c>
      <c r="D1212" t="s">
        <v>601</v>
      </c>
      <c r="E1212" t="s">
        <v>1662</v>
      </c>
      <c r="F1212" t="s">
        <v>1782</v>
      </c>
      <c r="G1212">
        <v>3</v>
      </c>
      <c r="H1212" s="10">
        <f>IF(ISBLANK(ESales_DB[[#This Row],[Quantity]]),AVERAGEIF(ESales_DB[Product_ID],ESales_DB[[#This Row],[Product_ID]],ESales_DB[Quantity]),ESales_DB[[#This Row],[Quantity]])</f>
        <v>3</v>
      </c>
      <c r="I1212" s="2">
        <v>545.1</v>
      </c>
      <c r="J1212">
        <v>0.08</v>
      </c>
      <c r="K1212" t="s">
        <v>1829</v>
      </c>
      <c r="L1212" s="2">
        <v>1504.4760000000001</v>
      </c>
      <c r="M1212" s="2" t="str">
        <f>IF(ESales_DB[[#This Row],[Total_Amount]]&gt;1000,"High","Low")</f>
        <v>High</v>
      </c>
      <c r="N1212" s="2" t="str">
        <f>VLOOKUP(ESales_DB[[#This Row],[Customer_ID]],Ecustom_DB[],3,FALSE)</f>
        <v>Melissa Hamilton</v>
      </c>
      <c r="O1212" s="2" t="str">
        <f>_xlfn.XLOOKUP(ESales_DB[[#This Row],[Product_ID]],Eproduct_DB[Product_ID],Eproduct_DB[Category])</f>
        <v>Sports</v>
      </c>
      <c r="P1212" s="2" t="str">
        <f>_xlfn.XLOOKUP(ESales_DB[[#This Row],[Product_ID]],Eproduct_DB[Product_ID],Eproduct_DB[Product_Name])</f>
        <v>Foam Roller</v>
      </c>
      <c r="Q1212" s="2" t="str">
        <f>_xlfn.XLOOKUP(ESales_DB[[#This Row],[Store_ID]],Estore_DB[Store_ID],Estore_DB[Region])</f>
        <v>West</v>
      </c>
      <c r="R1212" t="str">
        <f>VLOOKUP(ESales_DB[[#This Row],[Customer_ID]],Ecustom_DB[],10,FALSE)</f>
        <v>Silver</v>
      </c>
      <c r="S1212" t="str">
        <f>IF(ESales_DB[[#This Row],[Quantity1]]&gt;3,"Bulk order","Normal order")</f>
        <v>Normal order</v>
      </c>
    </row>
    <row r="1213" spans="1:19" x14ac:dyDescent="0.3">
      <c r="A1213" t="s">
        <v>2115</v>
      </c>
      <c r="B1213" s="4">
        <v>45438</v>
      </c>
      <c r="C1213" s="4" t="str">
        <f>TEXT(ESales_DB[[#This Row],[Order_Date]],"mmm")</f>
        <v>May</v>
      </c>
      <c r="D1213" t="s">
        <v>839</v>
      </c>
      <c r="E1213" t="s">
        <v>1678</v>
      </c>
      <c r="F1213" t="s">
        <v>1779</v>
      </c>
      <c r="G1213">
        <v>1</v>
      </c>
      <c r="H1213" s="10">
        <f>IF(ISBLANK(ESales_DB[[#This Row],[Quantity]]),AVERAGEIF(ESales_DB[Product_ID],ESales_DB[[#This Row],[Product_ID]],ESales_DB[Quantity]),ESales_DB[[#This Row],[Quantity]])</f>
        <v>1</v>
      </c>
      <c r="I1213" s="2">
        <v>203.61</v>
      </c>
      <c r="J1213">
        <v>0.24</v>
      </c>
      <c r="K1213" t="s">
        <v>1829</v>
      </c>
      <c r="L1213" s="2">
        <v>154.74359999999999</v>
      </c>
      <c r="M1213" s="2" t="str">
        <f>IF(ESales_DB[[#This Row],[Total_Amount]]&gt;1000,"High","Low")</f>
        <v>Low</v>
      </c>
      <c r="N1213" s="2" t="str">
        <f>VLOOKUP(ESales_DB[[#This Row],[Customer_ID]],Ecustom_DB[],3,FALSE)</f>
        <v>Crystal Davis</v>
      </c>
      <c r="O1213" s="2" t="str">
        <f>_xlfn.XLOOKUP(ESales_DB[[#This Row],[Product_ID]],Eproduct_DB[Product_ID],Eproduct_DB[Category])</f>
        <v>Sports</v>
      </c>
      <c r="P1213" s="2" t="str">
        <f>_xlfn.XLOOKUP(ESales_DB[[#This Row],[Product_ID]],Eproduct_DB[Product_ID],Eproduct_DB[Product_Name])</f>
        <v>Adjustable Dumbbells 20kg</v>
      </c>
      <c r="Q1213" s="2" t="str">
        <f>_xlfn.XLOOKUP(ESales_DB[[#This Row],[Store_ID]],Estore_DB[Store_ID],Estore_DB[Region])</f>
        <v>South</v>
      </c>
      <c r="R1213" t="str">
        <f>VLOOKUP(ESales_DB[[#This Row],[Customer_ID]],Ecustom_DB[],10,FALSE)</f>
        <v>Bronze</v>
      </c>
      <c r="S1213" t="str">
        <f>IF(ESales_DB[[#This Row],[Quantity1]]&gt;3,"Bulk order","Normal order")</f>
        <v>Normal order</v>
      </c>
    </row>
    <row r="1214" spans="1:19" x14ac:dyDescent="0.3">
      <c r="A1214" t="s">
        <v>1855</v>
      </c>
      <c r="B1214" s="4">
        <v>45302</v>
      </c>
      <c r="C1214" s="4" t="str">
        <f>TEXT(ESales_DB[[#This Row],[Order_Date]],"mmm")</f>
        <v>Jan</v>
      </c>
      <c r="D1214" t="s">
        <v>1092</v>
      </c>
      <c r="E1214" t="s">
        <v>1746</v>
      </c>
      <c r="F1214" t="s">
        <v>1766</v>
      </c>
      <c r="H1214" s="10">
        <f>IF(ISBLANK(ESales_DB[[#This Row],[Quantity]]),AVERAGEIF(ESales_DB[Product_ID],ESales_DB[[#This Row],[Product_ID]],ESales_DB[Quantity]),ESales_DB[[#This Row],[Quantity]])</f>
        <v>2.25</v>
      </c>
      <c r="I1214" s="2">
        <v>451.67</v>
      </c>
      <c r="J1214">
        <v>0.15</v>
      </c>
      <c r="K1214" t="s">
        <v>1824</v>
      </c>
      <c r="L1214" s="2">
        <v>1535.6780000000001</v>
      </c>
      <c r="M1214" s="2" t="str">
        <f>IF(ESales_DB[[#This Row],[Total_Amount]]&gt;1000,"High","Low")</f>
        <v>High</v>
      </c>
      <c r="N1214" s="2" t="str">
        <f>VLOOKUP(ESales_DB[[#This Row],[Customer_ID]],Ecustom_DB[],3,FALSE)</f>
        <v>Sherry Cabrera</v>
      </c>
      <c r="O1214" s="2" t="str">
        <f>_xlfn.XLOOKUP(ESales_DB[[#This Row],[Product_ID]],Eproduct_DB[Product_ID],Eproduct_DB[Category])</f>
        <v>Home</v>
      </c>
      <c r="P1214" s="2" t="str">
        <f>_xlfn.XLOOKUP(ESales_DB[[#This Row],[Product_ID]],Eproduct_DB[Product_ID],Eproduct_DB[Product_Name])</f>
        <v>Stainless Steel Cookware Set</v>
      </c>
      <c r="Q1214" s="2" t="str">
        <f>_xlfn.XLOOKUP(ESales_DB[[#This Row],[Store_ID]],Estore_DB[Store_ID],Estore_DB[Region])</f>
        <v>North</v>
      </c>
      <c r="R1214" t="str">
        <f>VLOOKUP(ESales_DB[[#This Row],[Customer_ID]],Ecustom_DB[],10,FALSE)</f>
        <v>Silver</v>
      </c>
      <c r="S1214" t="str">
        <f>IF(ESales_DB[[#This Row],[Quantity1]]&gt;3,"Bulk order","Normal order")</f>
        <v>Normal order</v>
      </c>
    </row>
    <row r="1215" spans="1:19" x14ac:dyDescent="0.3">
      <c r="A1215" t="s">
        <v>2116</v>
      </c>
      <c r="B1215" s="4">
        <v>45856</v>
      </c>
      <c r="C1215" s="4" t="str">
        <f>TEXT(ESales_DB[[#This Row],[Order_Date]],"mmm")</f>
        <v>Jul</v>
      </c>
      <c r="D1215" t="s">
        <v>1295</v>
      </c>
      <c r="E1215" t="s">
        <v>1742</v>
      </c>
      <c r="F1215" t="s">
        <v>1801</v>
      </c>
      <c r="G1215">
        <v>4</v>
      </c>
      <c r="H1215" s="10">
        <f>IF(ISBLANK(ESales_DB[[#This Row],[Quantity]]),AVERAGEIF(ESales_DB[Product_ID],ESales_DB[[#This Row],[Product_ID]],ESales_DB[Quantity]),ESales_DB[[#This Row],[Quantity]])</f>
        <v>4</v>
      </c>
      <c r="I1215" s="2">
        <v>493.8</v>
      </c>
      <c r="J1215">
        <v>0.24</v>
      </c>
      <c r="K1215" t="s">
        <v>1829</v>
      </c>
      <c r="L1215" s="2">
        <v>1501.152</v>
      </c>
      <c r="M1215" s="2" t="str">
        <f>IF(ESales_DB[[#This Row],[Total_Amount]]&gt;1000,"High","Low")</f>
        <v>High</v>
      </c>
      <c r="N1215" s="2" t="str">
        <f>VLOOKUP(ESales_DB[[#This Row],[Customer_ID]],Ecustom_DB[],3,FALSE)</f>
        <v>Karen King</v>
      </c>
      <c r="O1215" s="2" t="str">
        <f>_xlfn.XLOOKUP(ESales_DB[[#This Row],[Product_ID]],Eproduct_DB[Product_ID],Eproduct_DB[Category])</f>
        <v>Sports</v>
      </c>
      <c r="P1215" s="2" t="str">
        <f>_xlfn.XLOOKUP(ESales_DB[[#This Row],[Product_ID]],Eproduct_DB[Product_ID],Eproduct_DB[Product_Name])</f>
        <v>Cricket Bat</v>
      </c>
      <c r="Q1215" s="2" t="str">
        <f>_xlfn.XLOOKUP(ESales_DB[[#This Row],[Store_ID]],Estore_DB[Store_ID],Estore_DB[Region])</f>
        <v>North</v>
      </c>
      <c r="R1215" t="str">
        <f>VLOOKUP(ESales_DB[[#This Row],[Customer_ID]],Ecustom_DB[],10,FALSE)</f>
        <v>Bronze</v>
      </c>
      <c r="S1215" t="str">
        <f>IF(ESales_DB[[#This Row],[Quantity1]]&gt;3,"Bulk order","Normal order")</f>
        <v>Bulk order</v>
      </c>
    </row>
    <row r="1216" spans="1:19" x14ac:dyDescent="0.3">
      <c r="A1216" t="s">
        <v>2117</v>
      </c>
      <c r="B1216" s="4">
        <v>45485</v>
      </c>
      <c r="C1216" s="4" t="str">
        <f>TEXT(ESales_DB[[#This Row],[Order_Date]],"mmm")</f>
        <v>Jul</v>
      </c>
      <c r="D1216" t="s">
        <v>78</v>
      </c>
      <c r="E1216" t="s">
        <v>1630</v>
      </c>
      <c r="F1216" t="s">
        <v>1807</v>
      </c>
      <c r="G1216">
        <v>1</v>
      </c>
      <c r="H1216" s="10">
        <f>IF(ISBLANK(ESales_DB[[#This Row],[Quantity]]),AVERAGEIF(ESales_DB[Product_ID],ESales_DB[[#This Row],[Product_ID]],ESales_DB[Quantity]),ESales_DB[[#This Row],[Quantity]])</f>
        <v>1</v>
      </c>
      <c r="I1216" s="2">
        <v>640.54999999999995</v>
      </c>
      <c r="J1216">
        <v>0.25</v>
      </c>
      <c r="K1216" t="s">
        <v>1824</v>
      </c>
      <c r="L1216" s="2">
        <v>480.41250000000002</v>
      </c>
      <c r="M1216" s="2" t="str">
        <f>IF(ESales_DB[[#This Row],[Total_Amount]]&gt;1000,"High","Low")</f>
        <v>Low</v>
      </c>
      <c r="N1216" s="2" t="str">
        <f>VLOOKUP(ESales_DB[[#This Row],[Customer_ID]],Ecustom_DB[],3,FALSE)</f>
        <v>Adam Cruz</v>
      </c>
      <c r="O1216" s="2" t="str">
        <f>_xlfn.XLOOKUP(ESales_DB[[#This Row],[Product_ID]],Eproduct_DB[Product_ID],Eproduct_DB[Category])</f>
        <v>Sports</v>
      </c>
      <c r="P1216" s="2" t="str">
        <f>_xlfn.XLOOKUP(ESales_DB[[#This Row],[Product_ID]],Eproduct_DB[Product_ID],Eproduct_DB[Product_Name])</f>
        <v>Yoga Exercise Mat</v>
      </c>
      <c r="Q1216" s="2" t="str">
        <f>_xlfn.XLOOKUP(ESales_DB[[#This Row],[Store_ID]],Estore_DB[Store_ID],Estore_DB[Region])</f>
        <v>North</v>
      </c>
      <c r="R1216" t="str">
        <f>VLOOKUP(ESales_DB[[#This Row],[Customer_ID]],Ecustom_DB[],10,FALSE)</f>
        <v>Platinum</v>
      </c>
      <c r="S1216" t="str">
        <f>IF(ESales_DB[[#This Row],[Quantity1]]&gt;3,"Bulk order","Normal order")</f>
        <v>Normal order</v>
      </c>
    </row>
    <row r="1217" spans="1:19" x14ac:dyDescent="0.3">
      <c r="A1217" t="s">
        <v>2118</v>
      </c>
      <c r="B1217" s="4">
        <v>45545</v>
      </c>
      <c r="C1217" s="4" t="str">
        <f>TEXT(ESales_DB[[#This Row],[Order_Date]],"mmm")</f>
        <v>Sep</v>
      </c>
      <c r="D1217" t="s">
        <v>414</v>
      </c>
      <c r="E1217" t="s">
        <v>1696</v>
      </c>
      <c r="F1217" t="s">
        <v>1769</v>
      </c>
      <c r="G1217">
        <v>1</v>
      </c>
      <c r="H1217" s="10">
        <f>IF(ISBLANK(ESales_DB[[#This Row],[Quantity]]),AVERAGEIF(ESales_DB[Product_ID],ESales_DB[[#This Row],[Product_ID]],ESales_DB[Quantity]),ESales_DB[[#This Row],[Quantity]])</f>
        <v>1</v>
      </c>
      <c r="I1217" s="2">
        <v>702.53</v>
      </c>
      <c r="J1217">
        <v>0.3</v>
      </c>
      <c r="K1217" t="s">
        <v>1824</v>
      </c>
      <c r="L1217" s="2">
        <v>491.77100000000002</v>
      </c>
      <c r="M1217" s="2" t="str">
        <f>IF(ESales_DB[[#This Row],[Total_Amount]]&gt;1000,"High","Low")</f>
        <v>Low</v>
      </c>
      <c r="N1217" s="2" t="str">
        <f>VLOOKUP(ESales_DB[[#This Row],[Customer_ID]],Ecustom_DB[],3,FALSE)</f>
        <v>Michael Jones</v>
      </c>
      <c r="O1217" s="2" t="str">
        <f>_xlfn.XLOOKUP(ESales_DB[[#This Row],[Product_ID]],Eproduct_DB[Product_ID],Eproduct_DB[Category])</f>
        <v>Electronics</v>
      </c>
      <c r="P1217" s="2" t="str">
        <f>_xlfn.XLOOKUP(ESales_DB[[#This Row],[Product_ID]],Eproduct_DB[Product_ID],Eproduct_DB[Product_Name])</f>
        <v>Bluetooth Car Audio System</v>
      </c>
      <c r="Q1217" s="2" t="str">
        <f>_xlfn.XLOOKUP(ESales_DB[[#This Row],[Store_ID]],Estore_DB[Store_ID],Estore_DB[Region])</f>
        <v>South</v>
      </c>
      <c r="R1217" t="str">
        <f>VLOOKUP(ESales_DB[[#This Row],[Customer_ID]],Ecustom_DB[],10,FALSE)</f>
        <v>Bronze</v>
      </c>
      <c r="S1217" t="str">
        <f>IF(ESales_DB[[#This Row],[Quantity1]]&gt;3,"Bulk order","Normal order")</f>
        <v>Normal order</v>
      </c>
    </row>
    <row r="1218" spans="1:19" x14ac:dyDescent="0.3">
      <c r="A1218" t="s">
        <v>2119</v>
      </c>
      <c r="B1218" s="4">
        <v>45826</v>
      </c>
      <c r="C1218" s="4" t="str">
        <f>TEXT(ESales_DB[[#This Row],[Order_Date]],"mmm")</f>
        <v>Jun</v>
      </c>
      <c r="D1218" t="s">
        <v>724</v>
      </c>
      <c r="E1218" t="s">
        <v>1626</v>
      </c>
      <c r="F1218" t="s">
        <v>1782</v>
      </c>
      <c r="G1218">
        <v>4</v>
      </c>
      <c r="H1218" s="10">
        <f>IF(ISBLANK(ESales_DB[[#This Row],[Quantity]]),AVERAGEIF(ESales_DB[Product_ID],ESales_DB[[#This Row],[Product_ID]],ESales_DB[Quantity]),ESales_DB[[#This Row],[Quantity]])</f>
        <v>4</v>
      </c>
      <c r="I1218" s="2">
        <v>139.94</v>
      </c>
      <c r="J1218">
        <v>0.24</v>
      </c>
      <c r="K1218" t="s">
        <v>1824</v>
      </c>
      <c r="L1218" s="2">
        <v>425.41759999999999</v>
      </c>
      <c r="M1218" s="2" t="str">
        <f>IF(ESales_DB[[#This Row],[Total_Amount]]&gt;1000,"High","Low")</f>
        <v>Low</v>
      </c>
      <c r="N1218" s="2" t="str">
        <f>VLOOKUP(ESales_DB[[#This Row],[Customer_ID]],Ecustom_DB[],3,FALSE)</f>
        <v>Anthony Morgan</v>
      </c>
      <c r="O1218" s="2" t="str">
        <f>_xlfn.XLOOKUP(ESales_DB[[#This Row],[Product_ID]],Eproduct_DB[Product_ID],Eproduct_DB[Category])</f>
        <v>Electronics</v>
      </c>
      <c r="P1218" s="2" t="str">
        <f>_xlfn.XLOOKUP(ESales_DB[[#This Row],[Product_ID]],Eproduct_DB[Product_ID],Eproduct_DB[Product_Name])</f>
        <v>Portable Power Bank</v>
      </c>
      <c r="Q1218" s="2" t="str">
        <f>_xlfn.XLOOKUP(ESales_DB[[#This Row],[Store_ID]],Estore_DB[Store_ID],Estore_DB[Region])</f>
        <v>West</v>
      </c>
      <c r="R1218" t="str">
        <f>VLOOKUP(ESales_DB[[#This Row],[Customer_ID]],Ecustom_DB[],10,FALSE)</f>
        <v>Silver</v>
      </c>
      <c r="S1218" t="str">
        <f>IF(ESales_DB[[#This Row],[Quantity1]]&gt;3,"Bulk order","Normal order")</f>
        <v>Bulk order</v>
      </c>
    </row>
    <row r="1219" spans="1:19" x14ac:dyDescent="0.3">
      <c r="A1219" t="s">
        <v>2120</v>
      </c>
      <c r="B1219" s="4">
        <v>45654</v>
      </c>
      <c r="C1219" s="4" t="str">
        <f>TEXT(ESales_DB[[#This Row],[Order_Date]],"mmm")</f>
        <v>Dec</v>
      </c>
      <c r="D1219" t="s">
        <v>881</v>
      </c>
      <c r="E1219" t="s">
        <v>1586</v>
      </c>
      <c r="F1219" t="s">
        <v>1782</v>
      </c>
      <c r="G1219">
        <v>2</v>
      </c>
      <c r="H1219" s="10">
        <f>IF(ISBLANK(ESales_DB[[#This Row],[Quantity]]),AVERAGEIF(ESales_DB[Product_ID],ESales_DB[[#This Row],[Product_ID]],ESales_DB[Quantity]),ESales_DB[[#This Row],[Quantity]])</f>
        <v>2</v>
      </c>
      <c r="I1219" s="2">
        <v>230.85</v>
      </c>
      <c r="J1219">
        <v>0.18</v>
      </c>
      <c r="K1219" t="s">
        <v>1824</v>
      </c>
      <c r="L1219" s="2">
        <v>378.59399999999999</v>
      </c>
      <c r="M1219" s="2" t="str">
        <f>IF(ESales_DB[[#This Row],[Total_Amount]]&gt;1000,"High","Low")</f>
        <v>Low</v>
      </c>
      <c r="N1219" s="2" t="str">
        <f>VLOOKUP(ESales_DB[[#This Row],[Customer_ID]],Ecustom_DB[],3,FALSE)</f>
        <v>Jeffrey Gomez</v>
      </c>
      <c r="O1219" s="2" t="str">
        <f>_xlfn.XLOOKUP(ESales_DB[[#This Row],[Product_ID]],Eproduct_DB[Product_ID],Eproduct_DB[Category])</f>
        <v>Sports</v>
      </c>
      <c r="P1219" s="2" t="str">
        <f>_xlfn.XLOOKUP(ESales_DB[[#This Row],[Product_ID]],Eproduct_DB[Product_ID],Eproduct_DB[Product_Name])</f>
        <v>Knee Support Brace</v>
      </c>
      <c r="Q1219" s="2" t="str">
        <f>_xlfn.XLOOKUP(ESales_DB[[#This Row],[Store_ID]],Estore_DB[Store_ID],Estore_DB[Region])</f>
        <v>West</v>
      </c>
      <c r="R1219" t="str">
        <f>VLOOKUP(ESales_DB[[#This Row],[Customer_ID]],Ecustom_DB[],10,FALSE)</f>
        <v>Platinum</v>
      </c>
      <c r="S1219" t="str">
        <f>IF(ESales_DB[[#This Row],[Quantity1]]&gt;3,"Bulk order","Normal order")</f>
        <v>Normal order</v>
      </c>
    </row>
    <row r="1220" spans="1:19" x14ac:dyDescent="0.3">
      <c r="A1220" t="s">
        <v>2121</v>
      </c>
      <c r="B1220" s="4">
        <v>45556</v>
      </c>
      <c r="C1220" s="4" t="str">
        <f>TEXT(ESales_DB[[#This Row],[Order_Date]],"mmm")</f>
        <v>Sep</v>
      </c>
      <c r="D1220" t="s">
        <v>687</v>
      </c>
      <c r="E1220" t="s">
        <v>1718</v>
      </c>
      <c r="F1220" t="s">
        <v>1807</v>
      </c>
      <c r="G1220">
        <v>4</v>
      </c>
      <c r="H1220" s="10">
        <f>IF(ISBLANK(ESales_DB[[#This Row],[Quantity]]),AVERAGEIF(ESales_DB[Product_ID],ESales_DB[[#This Row],[Product_ID]],ESales_DB[Quantity]),ESales_DB[[#This Row],[Quantity]])</f>
        <v>4</v>
      </c>
      <c r="I1220" s="2">
        <v>626.35</v>
      </c>
      <c r="J1220">
        <v>0.25</v>
      </c>
      <c r="K1220" t="s">
        <v>1829</v>
      </c>
      <c r="L1220" s="2">
        <v>1879.05</v>
      </c>
      <c r="M1220" s="2" t="str">
        <f>IF(ESales_DB[[#This Row],[Total_Amount]]&gt;1000,"High","Low")</f>
        <v>High</v>
      </c>
      <c r="N1220" s="2" t="str">
        <f>VLOOKUP(ESales_DB[[#This Row],[Customer_ID]],Ecustom_DB[],3,FALSE)</f>
        <v>Rodney Huffman</v>
      </c>
      <c r="O1220" s="2" t="str">
        <f>_xlfn.XLOOKUP(ESales_DB[[#This Row],[Product_ID]],Eproduct_DB[Product_ID],Eproduct_DB[Category])</f>
        <v>Clothing</v>
      </c>
      <c r="P1220" s="2" t="str">
        <f>_xlfn.XLOOKUP(ESales_DB[[#This Row],[Product_ID]],Eproduct_DB[Product_ID],Eproduct_DB[Product_Name])</f>
        <v>Women's Beanie Hat</v>
      </c>
      <c r="Q1220" s="2" t="str">
        <f>_xlfn.XLOOKUP(ESales_DB[[#This Row],[Store_ID]],Estore_DB[Store_ID],Estore_DB[Region])</f>
        <v>North</v>
      </c>
      <c r="R1220" t="str">
        <f>VLOOKUP(ESales_DB[[#This Row],[Customer_ID]],Ecustom_DB[],10,FALSE)</f>
        <v>Silver</v>
      </c>
      <c r="S1220" t="str">
        <f>IF(ESales_DB[[#This Row],[Quantity1]]&gt;3,"Bulk order","Normal order")</f>
        <v>Bulk order</v>
      </c>
    </row>
    <row r="1221" spans="1:19" x14ac:dyDescent="0.3">
      <c r="A1221" t="s">
        <v>2122</v>
      </c>
      <c r="B1221" s="4">
        <v>45434</v>
      </c>
      <c r="C1221" s="4" t="str">
        <f>TEXT(ESales_DB[[#This Row],[Order_Date]],"mmm")</f>
        <v>May</v>
      </c>
      <c r="D1221" t="s">
        <v>298</v>
      </c>
      <c r="E1221" t="s">
        <v>1630</v>
      </c>
      <c r="F1221" t="s">
        <v>1799</v>
      </c>
      <c r="G1221">
        <v>4</v>
      </c>
      <c r="H1221" s="10">
        <f>IF(ISBLANK(ESales_DB[[#This Row],[Quantity]]),AVERAGEIF(ESales_DB[Product_ID],ESales_DB[[#This Row],[Product_ID]],ESales_DB[Quantity]),ESales_DB[[#This Row],[Quantity]])</f>
        <v>4</v>
      </c>
      <c r="I1221" s="2">
        <v>108.55</v>
      </c>
      <c r="J1221">
        <v>0.18</v>
      </c>
      <c r="K1221" t="s">
        <v>1826</v>
      </c>
      <c r="L1221" s="2">
        <v>356.04399999999998</v>
      </c>
      <c r="M1221" s="2" t="str">
        <f>IF(ESales_DB[[#This Row],[Total_Amount]]&gt;1000,"High","Low")</f>
        <v>Low</v>
      </c>
      <c r="N1221" s="2" t="str">
        <f>VLOOKUP(ESales_DB[[#This Row],[Customer_ID]],Ecustom_DB[],3,FALSE)</f>
        <v>George Rosario</v>
      </c>
      <c r="O1221" s="2" t="str">
        <f>_xlfn.XLOOKUP(ESales_DB[[#This Row],[Product_ID]],Eproduct_DB[Product_ID],Eproduct_DB[Category])</f>
        <v>Sports</v>
      </c>
      <c r="P1221" s="2" t="str">
        <f>_xlfn.XLOOKUP(ESales_DB[[#This Row],[Product_ID]],Eproduct_DB[Product_ID],Eproduct_DB[Product_Name])</f>
        <v>Yoga Exercise Mat</v>
      </c>
      <c r="Q1221" s="2" t="str">
        <f>_xlfn.XLOOKUP(ESales_DB[[#This Row],[Store_ID]],Estore_DB[Store_ID],Estore_DB[Region])</f>
        <v>South</v>
      </c>
      <c r="R1221" t="str">
        <f>VLOOKUP(ESales_DB[[#This Row],[Customer_ID]],Ecustom_DB[],10,FALSE)</f>
        <v>Bronze</v>
      </c>
      <c r="S1221" t="str">
        <f>IF(ESales_DB[[#This Row],[Quantity1]]&gt;3,"Bulk order","Normal order")</f>
        <v>Bulk order</v>
      </c>
    </row>
    <row r="1222" spans="1:19" x14ac:dyDescent="0.3">
      <c r="A1222" t="s">
        <v>2123</v>
      </c>
      <c r="B1222" s="4">
        <v>45871</v>
      </c>
      <c r="C1222" s="4" t="str">
        <f>TEXT(ESales_DB[[#This Row],[Order_Date]],"mmm")</f>
        <v>Aug</v>
      </c>
      <c r="D1222" t="s">
        <v>628</v>
      </c>
      <c r="E1222" t="s">
        <v>1582</v>
      </c>
      <c r="F1222" t="s">
        <v>1757</v>
      </c>
      <c r="G1222">
        <v>4</v>
      </c>
      <c r="H1222" s="10">
        <f>IF(ISBLANK(ESales_DB[[#This Row],[Quantity]]),AVERAGEIF(ESales_DB[Product_ID],ESales_DB[[#This Row],[Product_ID]],ESales_DB[Quantity]),ESales_DB[[#This Row],[Quantity]])</f>
        <v>4</v>
      </c>
      <c r="I1222" s="2">
        <v>353.67</v>
      </c>
      <c r="J1222">
        <v>0.03</v>
      </c>
      <c r="K1222" t="s">
        <v>1829</v>
      </c>
      <c r="L1222" s="2">
        <v>1372.2396000000001</v>
      </c>
      <c r="M1222" s="2" t="str">
        <f>IF(ESales_DB[[#This Row],[Total_Amount]]&gt;1000,"High","Low")</f>
        <v>High</v>
      </c>
      <c r="N1222" s="2" t="str">
        <f>VLOOKUP(ESales_DB[[#This Row],[Customer_ID]],Ecustom_DB[],3,FALSE)</f>
        <v>Todd Poole</v>
      </c>
      <c r="O1222" s="2" t="str">
        <f>_xlfn.XLOOKUP(ESales_DB[[#This Row],[Product_ID]],Eproduct_DB[Product_ID],Eproduct_DB[Category])</f>
        <v>Sports</v>
      </c>
      <c r="P1222" s="2" t="str">
        <f>_xlfn.XLOOKUP(ESales_DB[[#This Row],[Product_ID]],Eproduct_DB[Product_ID],Eproduct_DB[Product_Name])</f>
        <v>Soccer Training Cone Set</v>
      </c>
      <c r="Q1222" s="2" t="str">
        <f>_xlfn.XLOOKUP(ESales_DB[[#This Row],[Store_ID]],Estore_DB[Store_ID],Estore_DB[Region])</f>
        <v>North</v>
      </c>
      <c r="R1222" t="str">
        <f>VLOOKUP(ESales_DB[[#This Row],[Customer_ID]],Ecustom_DB[],10,FALSE)</f>
        <v>Bronze</v>
      </c>
      <c r="S1222" t="str">
        <f>IF(ESales_DB[[#This Row],[Quantity1]]&gt;3,"Bulk order","Normal order")</f>
        <v>Bulk order</v>
      </c>
    </row>
    <row r="1223" spans="1:19" x14ac:dyDescent="0.3">
      <c r="A1223" t="s">
        <v>2124</v>
      </c>
      <c r="B1223" s="4">
        <v>45583</v>
      </c>
      <c r="C1223" s="4" t="str">
        <f>TEXT(ESales_DB[[#This Row],[Order_Date]],"mmm")</f>
        <v>Oct</v>
      </c>
      <c r="D1223" t="s">
        <v>241</v>
      </c>
      <c r="E1223" t="s">
        <v>1728</v>
      </c>
      <c r="F1223" t="s">
        <v>1757</v>
      </c>
      <c r="G1223">
        <v>4</v>
      </c>
      <c r="H1223" s="10">
        <f>IF(ISBLANK(ESales_DB[[#This Row],[Quantity]]),AVERAGEIF(ESales_DB[Product_ID],ESales_DB[[#This Row],[Product_ID]],ESales_DB[Quantity]),ESales_DB[[#This Row],[Quantity]])</f>
        <v>4</v>
      </c>
      <c r="I1223" s="2">
        <v>61.98</v>
      </c>
      <c r="J1223">
        <v>0.16</v>
      </c>
      <c r="K1223" t="s">
        <v>1824</v>
      </c>
      <c r="L1223" s="2">
        <v>208.25280000000001</v>
      </c>
      <c r="M1223" s="2" t="str">
        <f>IF(ESales_DB[[#This Row],[Total_Amount]]&gt;1000,"High","Low")</f>
        <v>Low</v>
      </c>
      <c r="N1223" s="2" t="str">
        <f>VLOOKUP(ESales_DB[[#This Row],[Customer_ID]],Ecustom_DB[],3,FALSE)</f>
        <v>Michael Thomas</v>
      </c>
      <c r="O1223" s="2" t="str">
        <f>_xlfn.XLOOKUP(ESales_DB[[#This Row],[Product_ID]],Eproduct_DB[Product_ID],Eproduct_DB[Category])</f>
        <v>Electronics</v>
      </c>
      <c r="P1223" s="2" t="str">
        <f>_xlfn.XLOOKUP(ESales_DB[[#This Row],[Product_ID]],Eproduct_DB[Product_ID],Eproduct_DB[Product_Name])</f>
        <v>Gaming Mouse Pad XL</v>
      </c>
      <c r="Q1223" s="2" t="str">
        <f>_xlfn.XLOOKUP(ESales_DB[[#This Row],[Store_ID]],Estore_DB[Store_ID],Estore_DB[Region])</f>
        <v>North</v>
      </c>
      <c r="R1223" t="str">
        <f>VLOOKUP(ESales_DB[[#This Row],[Customer_ID]],Ecustom_DB[],10,FALSE)</f>
        <v>Silver</v>
      </c>
      <c r="S1223" t="str">
        <f>IF(ESales_DB[[#This Row],[Quantity1]]&gt;3,"Bulk order","Normal order")</f>
        <v>Bulk order</v>
      </c>
    </row>
    <row r="1224" spans="1:19" x14ac:dyDescent="0.3">
      <c r="A1224" t="s">
        <v>2125</v>
      </c>
      <c r="B1224" s="4">
        <v>45348</v>
      </c>
      <c r="C1224" s="4" t="str">
        <f>TEXT(ESales_DB[[#This Row],[Order_Date]],"mmm")</f>
        <v>Feb</v>
      </c>
      <c r="D1224" t="s">
        <v>702</v>
      </c>
      <c r="E1224" t="s">
        <v>1592</v>
      </c>
      <c r="F1224" t="s">
        <v>1813</v>
      </c>
      <c r="G1224">
        <v>2</v>
      </c>
      <c r="H1224" s="10">
        <f>IF(ISBLANK(ESales_DB[[#This Row],[Quantity]]),AVERAGEIF(ESales_DB[Product_ID],ESales_DB[[#This Row],[Product_ID]],ESales_DB[Quantity]),ESales_DB[[#This Row],[Quantity]])</f>
        <v>2</v>
      </c>
      <c r="I1224" s="2">
        <v>873.1</v>
      </c>
      <c r="J1224">
        <v>0.12</v>
      </c>
      <c r="K1224" t="s">
        <v>1826</v>
      </c>
      <c r="L1224" s="2">
        <v>1536.6559999999999</v>
      </c>
      <c r="M1224" s="2" t="str">
        <f>IF(ESales_DB[[#This Row],[Total_Amount]]&gt;1000,"High","Low")</f>
        <v>High</v>
      </c>
      <c r="N1224" s="2" t="str">
        <f>VLOOKUP(ESales_DB[[#This Row],[Customer_ID]],Ecustom_DB[],3,FALSE)</f>
        <v>Kathryn Garcia</v>
      </c>
      <c r="O1224" s="2" t="str">
        <f>_xlfn.XLOOKUP(ESales_DB[[#This Row],[Product_ID]],Eproduct_DB[Product_ID],Eproduct_DB[Category])</f>
        <v>Sports</v>
      </c>
      <c r="P1224" s="2" t="str">
        <f>_xlfn.XLOOKUP(ESales_DB[[#This Row],[Product_ID]],Eproduct_DB[Product_ID],Eproduct_DB[Product_Name])</f>
        <v>Carbon Fiber Tennis Racket</v>
      </c>
      <c r="Q1224" s="2" t="str">
        <f>_xlfn.XLOOKUP(ESales_DB[[#This Row],[Store_ID]],Estore_DB[Store_ID],Estore_DB[Region])</f>
        <v>East</v>
      </c>
      <c r="R1224" t="str">
        <f>VLOOKUP(ESales_DB[[#This Row],[Customer_ID]],Ecustom_DB[],10,FALSE)</f>
        <v>Platinum</v>
      </c>
      <c r="S1224" t="str">
        <f>IF(ESales_DB[[#This Row],[Quantity1]]&gt;3,"Bulk order","Normal order")</f>
        <v>Normal order</v>
      </c>
    </row>
    <row r="1225" spans="1:19" x14ac:dyDescent="0.3">
      <c r="A1225" t="s">
        <v>1828</v>
      </c>
      <c r="B1225" s="4">
        <v>45259</v>
      </c>
      <c r="C1225" s="4" t="str">
        <f>TEXT(ESales_DB[[#This Row],[Order_Date]],"mmm")</f>
        <v>Nov</v>
      </c>
      <c r="D1225" t="s">
        <v>1086</v>
      </c>
      <c r="E1225" t="s">
        <v>1700</v>
      </c>
      <c r="F1225" t="s">
        <v>1782</v>
      </c>
      <c r="G1225">
        <v>1</v>
      </c>
      <c r="H1225" s="10">
        <f>IF(ISBLANK(ESales_DB[[#This Row],[Quantity]]),AVERAGEIF(ESales_DB[Product_ID],ESales_DB[[#This Row],[Product_ID]],ESales_DB[Quantity]),ESales_DB[[#This Row],[Quantity]])</f>
        <v>1</v>
      </c>
      <c r="I1225" s="2">
        <v>921.51</v>
      </c>
      <c r="J1225">
        <v>0.16</v>
      </c>
      <c r="K1225" t="s">
        <v>1829</v>
      </c>
      <c r="L1225" s="2">
        <v>774.0684</v>
      </c>
      <c r="M1225" s="2" t="str">
        <f>IF(ESales_DB[[#This Row],[Total_Amount]]&gt;1000,"High","Low")</f>
        <v>Low</v>
      </c>
      <c r="N1225" s="2" t="str">
        <f>VLOOKUP(ESales_DB[[#This Row],[Customer_ID]],Ecustom_DB[],3,FALSE)</f>
        <v>John Jordan</v>
      </c>
      <c r="O1225" s="2" t="str">
        <f>_xlfn.XLOOKUP(ESales_DB[[#This Row],[Product_ID]],Eproduct_DB[Product_ID],Eproduct_DB[Category])</f>
        <v>Electronics</v>
      </c>
      <c r="P1225" s="2" t="str">
        <f>_xlfn.XLOOKUP(ESales_DB[[#This Row],[Product_ID]],Eproduct_DB[Product_ID],Eproduct_DB[Product_Name])</f>
        <v>Wireless Mouse</v>
      </c>
      <c r="Q1225" s="2" t="str">
        <f>_xlfn.XLOOKUP(ESales_DB[[#This Row],[Store_ID]],Estore_DB[Store_ID],Estore_DB[Region])</f>
        <v>West</v>
      </c>
      <c r="R1225" t="str">
        <f>VLOOKUP(ESales_DB[[#This Row],[Customer_ID]],Ecustom_DB[],10,FALSE)</f>
        <v>Platinum</v>
      </c>
      <c r="S1225" t="str">
        <f>IF(ESales_DB[[#This Row],[Quantity1]]&gt;3,"Bulk order","Normal order")</f>
        <v>Normal order</v>
      </c>
    </row>
    <row r="1226" spans="1:19" x14ac:dyDescent="0.3">
      <c r="A1226" t="s">
        <v>1856</v>
      </c>
      <c r="B1226" s="4">
        <v>45217</v>
      </c>
      <c r="C1226" s="4" t="str">
        <f>TEXT(ESales_DB[[#This Row],[Order_Date]],"mmm")</f>
        <v>Oct</v>
      </c>
      <c r="D1226" t="s">
        <v>118</v>
      </c>
      <c r="E1226" t="s">
        <v>1555</v>
      </c>
      <c r="F1226" t="s">
        <v>1813</v>
      </c>
      <c r="G1226">
        <v>1</v>
      </c>
      <c r="H1226" s="10">
        <f>IF(ISBLANK(ESales_DB[[#This Row],[Quantity]]),AVERAGEIF(ESales_DB[Product_ID],ESales_DB[[#This Row],[Product_ID]],ESales_DB[Quantity]),ESales_DB[[#This Row],[Quantity]])</f>
        <v>1</v>
      </c>
      <c r="I1226" s="2">
        <v>429.38</v>
      </c>
      <c r="J1226">
        <v>0.13</v>
      </c>
      <c r="K1226" t="s">
        <v>1826</v>
      </c>
      <c r="L1226" s="2">
        <v>373.56060000000002</v>
      </c>
      <c r="M1226" s="2" t="str">
        <f>IF(ESales_DB[[#This Row],[Total_Amount]]&gt;1000,"High","Low")</f>
        <v>Low</v>
      </c>
      <c r="N1226" s="2" t="str">
        <f>VLOOKUP(ESales_DB[[#This Row],[Customer_ID]],Ecustom_DB[],3,FALSE)</f>
        <v>Joshua Ryan</v>
      </c>
      <c r="O1226" s="2" t="str">
        <f>_xlfn.XLOOKUP(ESales_DB[[#This Row],[Product_ID]],Eproduct_DB[Product_ID],Eproduct_DB[Category])</f>
        <v>Clothing</v>
      </c>
      <c r="P1226" s="2" t="str">
        <f>_xlfn.XLOOKUP(ESales_DB[[#This Row],[Product_ID]],Eproduct_DB[Product_ID],Eproduct_DB[Product_Name])</f>
        <v>Men's Leather Belt</v>
      </c>
      <c r="Q1226" s="2" t="str">
        <f>_xlfn.XLOOKUP(ESales_DB[[#This Row],[Store_ID]],Estore_DB[Store_ID],Estore_DB[Region])</f>
        <v>East</v>
      </c>
      <c r="R1226" t="str">
        <f>VLOOKUP(ESales_DB[[#This Row],[Customer_ID]],Ecustom_DB[],10,FALSE)</f>
        <v>Platinum</v>
      </c>
      <c r="S1226" t="str">
        <f>IF(ESales_DB[[#This Row],[Quantity1]]&gt;3,"Bulk order","Normal order")</f>
        <v>Normal order</v>
      </c>
    </row>
    <row r="1227" spans="1:19" x14ac:dyDescent="0.3">
      <c r="A1227" t="s">
        <v>2126</v>
      </c>
      <c r="B1227" s="4">
        <v>45268</v>
      </c>
      <c r="C1227" s="4" t="str">
        <f>TEXT(ESales_DB[[#This Row],[Order_Date]],"mmm")</f>
        <v>Dec</v>
      </c>
      <c r="D1227" t="s">
        <v>648</v>
      </c>
      <c r="E1227" t="s">
        <v>1572</v>
      </c>
      <c r="F1227" t="s">
        <v>1801</v>
      </c>
      <c r="G1227">
        <v>4</v>
      </c>
      <c r="H1227" s="10">
        <f>IF(ISBLANK(ESales_DB[[#This Row],[Quantity]]),AVERAGEIF(ESales_DB[Product_ID],ESales_DB[[#This Row],[Product_ID]],ESales_DB[Quantity]),ESales_DB[[#This Row],[Quantity]])</f>
        <v>4</v>
      </c>
      <c r="I1227" s="2">
        <v>889.47</v>
      </c>
      <c r="J1227">
        <v>0.24</v>
      </c>
      <c r="K1227" t="s">
        <v>1824</v>
      </c>
      <c r="L1227" s="2">
        <v>2703.9888000000001</v>
      </c>
      <c r="M1227" s="2" t="str">
        <f>IF(ESales_DB[[#This Row],[Total_Amount]]&gt;1000,"High","Low")</f>
        <v>High</v>
      </c>
      <c r="N1227" s="2" t="str">
        <f>VLOOKUP(ESales_DB[[#This Row],[Customer_ID]],Ecustom_DB[],3,FALSE)</f>
        <v>Wanda Snyder</v>
      </c>
      <c r="O1227" s="2" t="str">
        <f>_xlfn.XLOOKUP(ESales_DB[[#This Row],[Product_ID]],Eproduct_DB[Product_ID],Eproduct_DB[Category])</f>
        <v>Beauty</v>
      </c>
      <c r="P1227" s="2" t="str">
        <f>_xlfn.XLOOKUP(ESales_DB[[#This Row],[Product_ID]],Eproduct_DB[Product_ID],Eproduct_DB[Product_Name])</f>
        <v>Hair Strengthening Shampoo</v>
      </c>
      <c r="Q1227" s="2" t="str">
        <f>_xlfn.XLOOKUP(ESales_DB[[#This Row],[Store_ID]],Estore_DB[Store_ID],Estore_DB[Region])</f>
        <v>North</v>
      </c>
      <c r="R1227" t="str">
        <f>VLOOKUP(ESales_DB[[#This Row],[Customer_ID]],Ecustom_DB[],10,FALSE)</f>
        <v>Bronze</v>
      </c>
      <c r="S1227" t="str">
        <f>IF(ESales_DB[[#This Row],[Quantity1]]&gt;3,"Bulk order","Normal order")</f>
        <v>Bulk order</v>
      </c>
    </row>
    <row r="1228" spans="1:19" x14ac:dyDescent="0.3">
      <c r="A1228" t="s">
        <v>2127</v>
      </c>
      <c r="B1228" s="4">
        <v>45596</v>
      </c>
      <c r="C1228" s="4" t="str">
        <f>TEXT(ESales_DB[[#This Row],[Order_Date]],"mmm")</f>
        <v>Oct</v>
      </c>
      <c r="D1228" t="s">
        <v>118</v>
      </c>
      <c r="E1228" t="s">
        <v>1696</v>
      </c>
      <c r="F1228" t="s">
        <v>1792</v>
      </c>
      <c r="G1228">
        <v>3</v>
      </c>
      <c r="H1228" s="10">
        <f>IF(ISBLANK(ESales_DB[[#This Row],[Quantity]]),AVERAGEIF(ESales_DB[Product_ID],ESales_DB[[#This Row],[Product_ID]],ESales_DB[Quantity]),ESales_DB[[#This Row],[Quantity]])</f>
        <v>3</v>
      </c>
      <c r="I1228" s="2">
        <v>803.76</v>
      </c>
      <c r="J1228">
        <v>0.19</v>
      </c>
      <c r="K1228" t="s">
        <v>1829</v>
      </c>
      <c r="L1228" s="2">
        <v>1953.1368</v>
      </c>
      <c r="M1228" s="2" t="str">
        <f>IF(ESales_DB[[#This Row],[Total_Amount]]&gt;1000,"High","Low")</f>
        <v>High</v>
      </c>
      <c r="N1228" s="2" t="str">
        <f>VLOOKUP(ESales_DB[[#This Row],[Customer_ID]],Ecustom_DB[],3,FALSE)</f>
        <v>Joshua Ryan</v>
      </c>
      <c r="O1228" s="2" t="str">
        <f>_xlfn.XLOOKUP(ESales_DB[[#This Row],[Product_ID]],Eproduct_DB[Product_ID],Eproduct_DB[Category])</f>
        <v>Electronics</v>
      </c>
      <c r="P1228" s="2" t="str">
        <f>_xlfn.XLOOKUP(ESales_DB[[#This Row],[Product_ID]],Eproduct_DB[Product_ID],Eproduct_DB[Product_Name])</f>
        <v>Bluetooth Car Audio System</v>
      </c>
      <c r="Q1228" s="2" t="str">
        <f>_xlfn.XLOOKUP(ESales_DB[[#This Row],[Store_ID]],Estore_DB[Store_ID],Estore_DB[Region])</f>
        <v>South</v>
      </c>
      <c r="R1228" t="str">
        <f>VLOOKUP(ESales_DB[[#This Row],[Customer_ID]],Ecustom_DB[],10,FALSE)</f>
        <v>Platinum</v>
      </c>
      <c r="S1228" t="str">
        <f>IF(ESales_DB[[#This Row],[Quantity1]]&gt;3,"Bulk order","Normal order")</f>
        <v>Normal order</v>
      </c>
    </row>
    <row r="1229" spans="1:19" x14ac:dyDescent="0.3">
      <c r="A1229" t="s">
        <v>2128</v>
      </c>
      <c r="B1229" s="4">
        <v>45624</v>
      </c>
      <c r="C1229" s="4" t="str">
        <f>TEXT(ESales_DB[[#This Row],[Order_Date]],"mmm")</f>
        <v>Nov</v>
      </c>
      <c r="D1229" t="s">
        <v>1443</v>
      </c>
      <c r="E1229" t="s">
        <v>1698</v>
      </c>
      <c r="F1229" t="s">
        <v>1773</v>
      </c>
      <c r="G1229">
        <v>2</v>
      </c>
      <c r="H1229" s="10">
        <f>IF(ISBLANK(ESales_DB[[#This Row],[Quantity]]),AVERAGEIF(ESales_DB[Product_ID],ESales_DB[[#This Row],[Product_ID]],ESales_DB[Quantity]),ESales_DB[[#This Row],[Quantity]])</f>
        <v>2</v>
      </c>
      <c r="I1229" s="2">
        <v>865.14</v>
      </c>
      <c r="J1229">
        <v>0.2</v>
      </c>
      <c r="K1229" t="s">
        <v>1826</v>
      </c>
      <c r="L1229" s="2">
        <v>1384.2239999999999</v>
      </c>
      <c r="M1229" s="2" t="str">
        <f>IF(ESales_DB[[#This Row],[Total_Amount]]&gt;1000,"High","Low")</f>
        <v>High</v>
      </c>
      <c r="N1229" s="2" t="str">
        <f>VLOOKUP(ESales_DB[[#This Row],[Customer_ID]],Ecustom_DB[],3,FALSE)</f>
        <v>Gregory Curtis</v>
      </c>
      <c r="O1229" s="2" t="str">
        <f>_xlfn.XLOOKUP(ESales_DB[[#This Row],[Product_ID]],Eproduct_DB[Product_ID],Eproduct_DB[Category])</f>
        <v>Clothing</v>
      </c>
      <c r="P1229" s="2" t="str">
        <f>_xlfn.XLOOKUP(ESales_DB[[#This Row],[Product_ID]],Eproduct_DB[Product_ID],Eproduct_DB[Product_Name])</f>
        <v>Women's Ankle Boots</v>
      </c>
      <c r="Q1229" s="2" t="str">
        <f>_xlfn.XLOOKUP(ESales_DB[[#This Row],[Store_ID]],Estore_DB[Store_ID],Estore_DB[Region])</f>
        <v>North</v>
      </c>
      <c r="R1229" t="str">
        <f>VLOOKUP(ESales_DB[[#This Row],[Customer_ID]],Ecustom_DB[],10,FALSE)</f>
        <v>Bronze</v>
      </c>
      <c r="S1229" t="str">
        <f>IF(ESales_DB[[#This Row],[Quantity1]]&gt;3,"Bulk order","Normal order")</f>
        <v>Normal order</v>
      </c>
    </row>
    <row r="1230" spans="1:19" x14ac:dyDescent="0.3">
      <c r="A1230" t="s">
        <v>2129</v>
      </c>
      <c r="B1230" s="4">
        <v>45813</v>
      </c>
      <c r="C1230" s="4" t="str">
        <f>TEXT(ESales_DB[[#This Row],[Order_Date]],"mmm")</f>
        <v>Jun</v>
      </c>
      <c r="D1230" t="s">
        <v>347</v>
      </c>
      <c r="E1230" t="s">
        <v>1610</v>
      </c>
      <c r="F1230" t="s">
        <v>1786</v>
      </c>
      <c r="G1230">
        <v>2</v>
      </c>
      <c r="H1230" s="10">
        <f>IF(ISBLANK(ESales_DB[[#This Row],[Quantity]]),AVERAGEIF(ESales_DB[Product_ID],ESales_DB[[#This Row],[Product_ID]],ESales_DB[Quantity]),ESales_DB[[#This Row],[Quantity]])</f>
        <v>2</v>
      </c>
      <c r="I1230" s="2">
        <v>916.49</v>
      </c>
      <c r="J1230">
        <v>0.3</v>
      </c>
      <c r="K1230" t="s">
        <v>1829</v>
      </c>
      <c r="L1230" s="2">
        <v>1283.086</v>
      </c>
      <c r="M1230" s="2" t="str">
        <f>IF(ESales_DB[[#This Row],[Total_Amount]]&gt;1000,"High","Low")</f>
        <v>High</v>
      </c>
      <c r="N1230" s="2" t="str">
        <f>VLOOKUP(ESales_DB[[#This Row],[Customer_ID]],Ecustom_DB[],3,FALSE)</f>
        <v>David Cobb</v>
      </c>
      <c r="O1230" s="2" t="str">
        <f>_xlfn.XLOOKUP(ESales_DB[[#This Row],[Product_ID]],Eproduct_DB[Product_ID],Eproduct_DB[Category])</f>
        <v>Sports</v>
      </c>
      <c r="P1230" s="2" t="str">
        <f>_xlfn.XLOOKUP(ESales_DB[[#This Row],[Product_ID]],Eproduct_DB[Product_ID],Eproduct_DB[Product_Name])</f>
        <v>Basketball</v>
      </c>
      <c r="Q1230" s="2" t="str">
        <f>_xlfn.XLOOKUP(ESales_DB[[#This Row],[Store_ID]],Estore_DB[Store_ID],Estore_DB[Region])</f>
        <v>South</v>
      </c>
      <c r="R1230" t="str">
        <f>VLOOKUP(ESales_DB[[#This Row],[Customer_ID]],Ecustom_DB[],10,FALSE)</f>
        <v>Silver</v>
      </c>
      <c r="S1230" t="str">
        <f>IF(ESales_DB[[#This Row],[Quantity1]]&gt;3,"Bulk order","Normal order")</f>
        <v>Normal order</v>
      </c>
    </row>
    <row r="1231" spans="1:19" x14ac:dyDescent="0.3">
      <c r="A1231" t="s">
        <v>2130</v>
      </c>
      <c r="B1231" s="4">
        <v>45615</v>
      </c>
      <c r="C1231" s="4" t="str">
        <f>TEXT(ESales_DB[[#This Row],[Order_Date]],"mmm")</f>
        <v>Nov</v>
      </c>
      <c r="D1231" t="s">
        <v>164</v>
      </c>
      <c r="E1231" t="s">
        <v>1650</v>
      </c>
      <c r="F1231" t="s">
        <v>1794</v>
      </c>
      <c r="G1231">
        <v>3</v>
      </c>
      <c r="H1231" s="10">
        <f>IF(ISBLANK(ESales_DB[[#This Row],[Quantity]]),AVERAGEIF(ESales_DB[Product_ID],ESales_DB[[#This Row],[Product_ID]],ESales_DB[Quantity]),ESales_DB[[#This Row],[Quantity]])</f>
        <v>3</v>
      </c>
      <c r="I1231" s="2">
        <v>781.39</v>
      </c>
      <c r="J1231">
        <v>0.12</v>
      </c>
      <c r="K1231" t="s">
        <v>1824</v>
      </c>
      <c r="L1231" s="2">
        <v>2062.8696</v>
      </c>
      <c r="M1231" s="2" t="str">
        <f>IF(ESales_DB[[#This Row],[Total_Amount]]&gt;1000,"High","Low")</f>
        <v>High</v>
      </c>
      <c r="N1231" s="2" t="str">
        <f>VLOOKUP(ESales_DB[[#This Row],[Customer_ID]],Ecustom_DB[],3,FALSE)</f>
        <v>William Martin</v>
      </c>
      <c r="O1231" s="2" t="str">
        <f>_xlfn.XLOOKUP(ESales_DB[[#This Row],[Product_ID]],Eproduct_DB[Product_ID],Eproduct_DB[Category])</f>
        <v>Electronics</v>
      </c>
      <c r="P1231" s="2" t="str">
        <f>_xlfn.XLOOKUP(ESales_DB[[#This Row],[Product_ID]],Eproduct_DB[Product_ID],Eproduct_DB[Product_Name])</f>
        <v>HDMI Cable – 2m</v>
      </c>
      <c r="Q1231" s="2" t="str">
        <f>_xlfn.XLOOKUP(ESales_DB[[#This Row],[Store_ID]],Estore_DB[Store_ID],Estore_DB[Region])</f>
        <v>North</v>
      </c>
      <c r="R1231" t="str">
        <f>VLOOKUP(ESales_DB[[#This Row],[Customer_ID]],Ecustom_DB[],10,FALSE)</f>
        <v>Platinum</v>
      </c>
      <c r="S1231" t="str">
        <f>IF(ESales_DB[[#This Row],[Quantity1]]&gt;3,"Bulk order","Normal order")</f>
        <v>Normal order</v>
      </c>
    </row>
    <row r="1232" spans="1:19" x14ac:dyDescent="0.3">
      <c r="A1232" t="s">
        <v>2131</v>
      </c>
      <c r="B1232" s="4">
        <v>45431</v>
      </c>
      <c r="C1232" s="4" t="str">
        <f>TEXT(ESales_DB[[#This Row],[Order_Date]],"mmm")</f>
        <v>May</v>
      </c>
      <c r="D1232" t="s">
        <v>687</v>
      </c>
      <c r="E1232" t="s">
        <v>1624</v>
      </c>
      <c r="F1232" t="s">
        <v>1794</v>
      </c>
      <c r="G1232">
        <v>4</v>
      </c>
      <c r="H1232" s="10">
        <f>IF(ISBLANK(ESales_DB[[#This Row],[Quantity]]),AVERAGEIF(ESales_DB[Product_ID],ESales_DB[[#This Row],[Product_ID]],ESales_DB[Quantity]),ESales_DB[[#This Row],[Quantity]])</f>
        <v>4</v>
      </c>
      <c r="I1232" s="2">
        <v>619.74</v>
      </c>
      <c r="J1232">
        <v>0.13</v>
      </c>
      <c r="K1232" t="s">
        <v>1829</v>
      </c>
      <c r="L1232" s="2">
        <v>2156.6952000000001</v>
      </c>
      <c r="M1232" s="2" t="str">
        <f>IF(ESales_DB[[#This Row],[Total_Amount]]&gt;1000,"High","Low")</f>
        <v>High</v>
      </c>
      <c r="N1232" s="2" t="str">
        <f>VLOOKUP(ESales_DB[[#This Row],[Customer_ID]],Ecustom_DB[],3,FALSE)</f>
        <v>Rodney Huffman</v>
      </c>
      <c r="O1232" s="2" t="str">
        <f>_xlfn.XLOOKUP(ESales_DB[[#This Row],[Product_ID]],Eproduct_DB[Product_ID],Eproduct_DB[Category])</f>
        <v>Sports</v>
      </c>
      <c r="P1232" s="2" t="str">
        <f>_xlfn.XLOOKUP(ESales_DB[[#This Row],[Product_ID]],Eproduct_DB[Product_ID],Eproduct_DB[Product_Name])</f>
        <v>Sports Water Hydration Pack</v>
      </c>
      <c r="Q1232" s="2" t="str">
        <f>_xlfn.XLOOKUP(ESales_DB[[#This Row],[Store_ID]],Estore_DB[Store_ID],Estore_DB[Region])</f>
        <v>North</v>
      </c>
      <c r="R1232" t="str">
        <f>VLOOKUP(ESales_DB[[#This Row],[Customer_ID]],Ecustom_DB[],10,FALSE)</f>
        <v>Silver</v>
      </c>
      <c r="S1232" t="str">
        <f>IF(ESales_DB[[#This Row],[Quantity1]]&gt;3,"Bulk order","Normal order")</f>
        <v>Bulk order</v>
      </c>
    </row>
    <row r="1233" spans="1:19" x14ac:dyDescent="0.3">
      <c r="A1233" t="s">
        <v>2132</v>
      </c>
      <c r="B1233" s="4">
        <v>45679</v>
      </c>
      <c r="C1233" s="4" t="str">
        <f>TEXT(ESales_DB[[#This Row],[Order_Date]],"mmm")</f>
        <v>Jan</v>
      </c>
      <c r="D1233" t="s">
        <v>1481</v>
      </c>
      <c r="E1233" t="s">
        <v>1672</v>
      </c>
      <c r="F1233" t="s">
        <v>1799</v>
      </c>
      <c r="G1233">
        <v>2</v>
      </c>
      <c r="H1233" s="10">
        <f>IF(ISBLANK(ESales_DB[[#This Row],[Quantity]]),AVERAGEIF(ESales_DB[Product_ID],ESales_DB[[#This Row],[Product_ID]],ESales_DB[Quantity]),ESales_DB[[#This Row],[Quantity]])</f>
        <v>2</v>
      </c>
      <c r="I1233" s="2">
        <v>837.76</v>
      </c>
      <c r="J1233">
        <v>0.03</v>
      </c>
      <c r="K1233" t="s">
        <v>1829</v>
      </c>
      <c r="L1233" s="2">
        <v>1625.2544</v>
      </c>
      <c r="M1233" s="2" t="str">
        <f>IF(ESales_DB[[#This Row],[Total_Amount]]&gt;1000,"High","Low")</f>
        <v>High</v>
      </c>
      <c r="N1233" s="2" t="str">
        <f>VLOOKUP(ESales_DB[[#This Row],[Customer_ID]],Ecustom_DB[],3,FALSE)</f>
        <v>Bryan Tran</v>
      </c>
      <c r="O1233" s="2" t="str">
        <f>_xlfn.XLOOKUP(ESales_DB[[#This Row],[Product_ID]],Eproduct_DB[Product_ID],Eproduct_DB[Category])</f>
        <v>Electronics</v>
      </c>
      <c r="P1233" s="2" t="str">
        <f>_xlfn.XLOOKUP(ESales_DB[[#This Row],[Product_ID]],Eproduct_DB[Product_ID],Eproduct_DB[Product_Name])</f>
        <v>Laptop Cooling Pad</v>
      </c>
      <c r="Q1233" s="2" t="str">
        <f>_xlfn.XLOOKUP(ESales_DB[[#This Row],[Store_ID]],Estore_DB[Store_ID],Estore_DB[Region])</f>
        <v>South</v>
      </c>
      <c r="R1233" t="str">
        <f>VLOOKUP(ESales_DB[[#This Row],[Customer_ID]],Ecustom_DB[],10,FALSE)</f>
        <v>Gold</v>
      </c>
      <c r="S1233" t="str">
        <f>IF(ESales_DB[[#This Row],[Quantity1]]&gt;3,"Bulk order","Normal order")</f>
        <v>Normal order</v>
      </c>
    </row>
    <row r="1234" spans="1:19" x14ac:dyDescent="0.3">
      <c r="A1234" t="s">
        <v>2133</v>
      </c>
      <c r="B1234" s="4">
        <v>45842</v>
      </c>
      <c r="C1234" s="4" t="str">
        <f>TEXT(ESales_DB[[#This Row],[Order_Date]],"mmm")</f>
        <v>Jul</v>
      </c>
      <c r="D1234" t="s">
        <v>1395</v>
      </c>
      <c r="E1234" t="s">
        <v>1728</v>
      </c>
      <c r="F1234" t="s">
        <v>1757</v>
      </c>
      <c r="G1234">
        <v>3</v>
      </c>
      <c r="H1234" s="10">
        <f>IF(ISBLANK(ESales_DB[[#This Row],[Quantity]]),AVERAGEIF(ESales_DB[Product_ID],ESales_DB[[#This Row],[Product_ID]],ESales_DB[Quantity]),ESales_DB[[#This Row],[Quantity]])</f>
        <v>3</v>
      </c>
      <c r="I1234" s="2">
        <v>135.94</v>
      </c>
      <c r="J1234">
        <v>0.2</v>
      </c>
      <c r="K1234" t="s">
        <v>1824</v>
      </c>
      <c r="L1234" s="2">
        <v>326.25599999999997</v>
      </c>
      <c r="M1234" s="2" t="str">
        <f>IF(ESales_DB[[#This Row],[Total_Amount]]&gt;1000,"High","Low")</f>
        <v>Low</v>
      </c>
      <c r="N1234" s="2" t="str">
        <f>VLOOKUP(ESales_DB[[#This Row],[Customer_ID]],Ecustom_DB[],3,FALSE)</f>
        <v>Ashley Roberts</v>
      </c>
      <c r="O1234" s="2" t="str">
        <f>_xlfn.XLOOKUP(ESales_DB[[#This Row],[Product_ID]],Eproduct_DB[Product_ID],Eproduct_DB[Category])</f>
        <v>Electronics</v>
      </c>
      <c r="P1234" s="2" t="str">
        <f>_xlfn.XLOOKUP(ESales_DB[[#This Row],[Product_ID]],Eproduct_DB[Product_ID],Eproduct_DB[Product_Name])</f>
        <v>Gaming Mouse Pad XL</v>
      </c>
      <c r="Q1234" s="2" t="str">
        <f>_xlfn.XLOOKUP(ESales_DB[[#This Row],[Store_ID]],Estore_DB[Store_ID],Estore_DB[Region])</f>
        <v>North</v>
      </c>
      <c r="R1234" t="str">
        <f>VLOOKUP(ESales_DB[[#This Row],[Customer_ID]],Ecustom_DB[],10,FALSE)</f>
        <v>Gold</v>
      </c>
      <c r="S1234" t="str">
        <f>IF(ESales_DB[[#This Row],[Quantity1]]&gt;3,"Bulk order","Normal order")</f>
        <v>Normal order</v>
      </c>
    </row>
    <row r="1235" spans="1:19" x14ac:dyDescent="0.3">
      <c r="A1235" t="s">
        <v>2134</v>
      </c>
      <c r="B1235" s="4">
        <v>45796</v>
      </c>
      <c r="C1235" s="4" t="str">
        <f>TEXT(ESales_DB[[#This Row],[Order_Date]],"mmm")</f>
        <v>May</v>
      </c>
      <c r="D1235" t="s">
        <v>1475</v>
      </c>
      <c r="E1235" t="s">
        <v>1696</v>
      </c>
      <c r="F1235" t="s">
        <v>1757</v>
      </c>
      <c r="G1235">
        <v>4</v>
      </c>
      <c r="H1235" s="10">
        <f>IF(ISBLANK(ESales_DB[[#This Row],[Quantity]]),AVERAGEIF(ESales_DB[Product_ID],ESales_DB[[#This Row],[Product_ID]],ESales_DB[Quantity]),ESales_DB[[#This Row],[Quantity]])</f>
        <v>4</v>
      </c>
      <c r="I1235" s="2">
        <v>396.53</v>
      </c>
      <c r="J1235">
        <v>7.0000000000000007E-2</v>
      </c>
      <c r="K1235" t="s">
        <v>1826</v>
      </c>
      <c r="L1235" s="2">
        <v>1475.0916</v>
      </c>
      <c r="M1235" s="2" t="str">
        <f>IF(ESales_DB[[#This Row],[Total_Amount]]&gt;1000,"High","Low")</f>
        <v>High</v>
      </c>
      <c r="N1235" s="2" t="str">
        <f>VLOOKUP(ESales_DB[[#This Row],[Customer_ID]],Ecustom_DB[],3,FALSE)</f>
        <v>Dylan Gutierrez</v>
      </c>
      <c r="O1235" s="2" t="str">
        <f>_xlfn.XLOOKUP(ESales_DB[[#This Row],[Product_ID]],Eproduct_DB[Product_ID],Eproduct_DB[Category])</f>
        <v>Electronics</v>
      </c>
      <c r="P1235" s="2" t="str">
        <f>_xlfn.XLOOKUP(ESales_DB[[#This Row],[Product_ID]],Eproduct_DB[Product_ID],Eproduct_DB[Product_Name])</f>
        <v>Bluetooth Car Audio System</v>
      </c>
      <c r="Q1235" s="2" t="str">
        <f>_xlfn.XLOOKUP(ESales_DB[[#This Row],[Store_ID]],Estore_DB[Store_ID],Estore_DB[Region])</f>
        <v>North</v>
      </c>
      <c r="R1235" t="str">
        <f>VLOOKUP(ESales_DB[[#This Row],[Customer_ID]],Ecustom_DB[],10,FALSE)</f>
        <v>Bronze</v>
      </c>
      <c r="S1235" t="str">
        <f>IF(ESales_DB[[#This Row],[Quantity1]]&gt;3,"Bulk order","Normal order")</f>
        <v>Bulk order</v>
      </c>
    </row>
    <row r="1236" spans="1:19" x14ac:dyDescent="0.3">
      <c r="A1236" t="s">
        <v>2135</v>
      </c>
      <c r="B1236" s="4">
        <v>45264</v>
      </c>
      <c r="C1236" s="4" t="str">
        <f>TEXT(ESales_DB[[#This Row],[Order_Date]],"mmm")</f>
        <v>Dec</v>
      </c>
      <c r="D1236" t="s">
        <v>713</v>
      </c>
      <c r="E1236" t="s">
        <v>1606</v>
      </c>
      <c r="F1236" t="s">
        <v>1799</v>
      </c>
      <c r="G1236">
        <v>2</v>
      </c>
      <c r="H1236" s="10">
        <f>IF(ISBLANK(ESales_DB[[#This Row],[Quantity]]),AVERAGEIF(ESales_DB[Product_ID],ESales_DB[[#This Row],[Product_ID]],ESales_DB[Quantity]),ESales_DB[[#This Row],[Quantity]])</f>
        <v>2</v>
      </c>
      <c r="I1236" s="2">
        <v>722.45</v>
      </c>
      <c r="J1236">
        <v>0.22</v>
      </c>
      <c r="K1236" t="s">
        <v>1826</v>
      </c>
      <c r="L1236" s="2">
        <v>1127.0219999999999</v>
      </c>
      <c r="M1236" s="2" t="str">
        <f>IF(ESales_DB[[#This Row],[Total_Amount]]&gt;1000,"High","Low")</f>
        <v>High</v>
      </c>
      <c r="N1236" s="2" t="str">
        <f>VLOOKUP(ESales_DB[[#This Row],[Customer_ID]],Ecustom_DB[],3,FALSE)</f>
        <v>George Davis</v>
      </c>
      <c r="O1236" s="2" t="str">
        <f>_xlfn.XLOOKUP(ESales_DB[[#This Row],[Product_ID]],Eproduct_DB[Product_ID],Eproduct_DB[Category])</f>
        <v>Home</v>
      </c>
      <c r="P1236" s="2" t="str">
        <f>_xlfn.XLOOKUP(ESales_DB[[#This Row],[Product_ID]],Eproduct_DB[Product_ID],Eproduct_DB[Product_Name])</f>
        <v>Fabric Sofa Throw Blanket</v>
      </c>
      <c r="Q1236" s="2" t="str">
        <f>_xlfn.XLOOKUP(ESales_DB[[#This Row],[Store_ID]],Estore_DB[Store_ID],Estore_DB[Region])</f>
        <v>South</v>
      </c>
      <c r="R1236" t="str">
        <f>VLOOKUP(ESales_DB[[#This Row],[Customer_ID]],Ecustom_DB[],10,FALSE)</f>
        <v>Bronze</v>
      </c>
      <c r="S1236" t="str">
        <f>IF(ESales_DB[[#This Row],[Quantity1]]&gt;3,"Bulk order","Normal order")</f>
        <v>Normal order</v>
      </c>
    </row>
    <row r="1237" spans="1:19" x14ac:dyDescent="0.3">
      <c r="A1237" t="s">
        <v>1857</v>
      </c>
      <c r="B1237" s="4">
        <v>45593</v>
      </c>
      <c r="C1237" s="4" t="str">
        <f>TEXT(ESales_DB[[#This Row],[Order_Date]],"mmm")</f>
        <v>Oct</v>
      </c>
      <c r="D1237" t="s">
        <v>1281</v>
      </c>
      <c r="E1237" t="s">
        <v>1654</v>
      </c>
      <c r="F1237" t="s">
        <v>1794</v>
      </c>
      <c r="G1237">
        <v>2</v>
      </c>
      <c r="H1237" s="10">
        <f>IF(ISBLANK(ESales_DB[[#This Row],[Quantity]]),AVERAGEIF(ESales_DB[Product_ID],ESales_DB[[#This Row],[Product_ID]],ESales_DB[Quantity]),ESales_DB[[#This Row],[Quantity]])</f>
        <v>2</v>
      </c>
      <c r="I1237" s="2">
        <v>148.96</v>
      </c>
      <c r="J1237">
        <v>0.03</v>
      </c>
      <c r="K1237" t="s">
        <v>1829</v>
      </c>
      <c r="L1237" s="2">
        <v>288.98239999999998</v>
      </c>
      <c r="M1237" s="2" t="str">
        <f>IF(ESales_DB[[#This Row],[Total_Amount]]&gt;1000,"High","Low")</f>
        <v>Low</v>
      </c>
      <c r="N1237" s="2" t="str">
        <f>VLOOKUP(ESales_DB[[#This Row],[Customer_ID]],Ecustom_DB[],3,FALSE)</f>
        <v>Shane Brown</v>
      </c>
      <c r="O1237" s="2" t="str">
        <f>_xlfn.XLOOKUP(ESales_DB[[#This Row],[Product_ID]],Eproduct_DB[Product_ID],Eproduct_DB[Category])</f>
        <v>Clothing</v>
      </c>
      <c r="P1237" s="2" t="str">
        <f>_xlfn.XLOOKUP(ESales_DB[[#This Row],[Product_ID]],Eproduct_DB[Product_ID],Eproduct_DB[Product_Name])</f>
        <v>Men's Track Pants</v>
      </c>
      <c r="Q1237" s="2" t="str">
        <f>_xlfn.XLOOKUP(ESales_DB[[#This Row],[Store_ID]],Estore_DB[Store_ID],Estore_DB[Region])</f>
        <v>North</v>
      </c>
      <c r="R1237" t="str">
        <f>VLOOKUP(ESales_DB[[#This Row],[Customer_ID]],Ecustom_DB[],10,FALSE)</f>
        <v>Gold</v>
      </c>
      <c r="S1237" t="str">
        <f>IF(ESales_DB[[#This Row],[Quantity1]]&gt;3,"Bulk order","Normal order")</f>
        <v>Normal order</v>
      </c>
    </row>
    <row r="1238" spans="1:19" x14ac:dyDescent="0.3">
      <c r="A1238" t="s">
        <v>2136</v>
      </c>
      <c r="B1238" s="4">
        <v>45504</v>
      </c>
      <c r="C1238" s="4" t="str">
        <f>TEXT(ESales_DB[[#This Row],[Order_Date]],"mmm")</f>
        <v>Jul</v>
      </c>
      <c r="D1238" t="s">
        <v>181</v>
      </c>
      <c r="E1238" t="s">
        <v>1676</v>
      </c>
      <c r="F1238" t="s">
        <v>1761</v>
      </c>
      <c r="G1238">
        <v>2</v>
      </c>
      <c r="H1238" s="10">
        <f>IF(ISBLANK(ESales_DB[[#This Row],[Quantity]]),AVERAGEIF(ESales_DB[Product_ID],ESales_DB[[#This Row],[Product_ID]],ESales_DB[Quantity]),ESales_DB[[#This Row],[Quantity]])</f>
        <v>2</v>
      </c>
      <c r="I1238" s="2">
        <v>138.41</v>
      </c>
      <c r="J1238">
        <v>0.02</v>
      </c>
      <c r="K1238" t="s">
        <v>1824</v>
      </c>
      <c r="L1238" s="2">
        <v>271.28359999999998</v>
      </c>
      <c r="M1238" s="2" t="str">
        <f>IF(ESales_DB[[#This Row],[Total_Amount]]&gt;1000,"High","Low")</f>
        <v>Low</v>
      </c>
      <c r="N1238" s="2" t="str">
        <f>VLOOKUP(ESales_DB[[#This Row],[Customer_ID]],Ecustom_DB[],3,FALSE)</f>
        <v>Gina Knight</v>
      </c>
      <c r="O1238" s="2" t="str">
        <f>_xlfn.XLOOKUP(ESales_DB[[#This Row],[Product_ID]],Eproduct_DB[Product_ID],Eproduct_DB[Category])</f>
        <v>Beauty</v>
      </c>
      <c r="P1238" s="2" t="str">
        <f>_xlfn.XLOOKUP(ESales_DB[[#This Row],[Product_ID]],Eproduct_DB[Product_ID],Eproduct_DB[Product_Name])</f>
        <v>Matte Lipstick Set</v>
      </c>
      <c r="Q1238" s="2" t="str">
        <f>_xlfn.XLOOKUP(ESales_DB[[#This Row],[Store_ID]],Estore_DB[Store_ID],Estore_DB[Region])</f>
        <v>South</v>
      </c>
      <c r="R1238" t="str">
        <f>VLOOKUP(ESales_DB[[#This Row],[Customer_ID]],Ecustom_DB[],10,FALSE)</f>
        <v>Silver</v>
      </c>
      <c r="S1238" t="str">
        <f>IF(ESales_DB[[#This Row],[Quantity1]]&gt;3,"Bulk order","Normal order")</f>
        <v>Normal order</v>
      </c>
    </row>
    <row r="1239" spans="1:19" x14ac:dyDescent="0.3">
      <c r="A1239" t="s">
        <v>2137</v>
      </c>
      <c r="B1239" s="4">
        <v>45679</v>
      </c>
      <c r="C1239" s="4" t="str">
        <f>TEXT(ESales_DB[[#This Row],[Order_Date]],"mmm")</f>
        <v>Jan</v>
      </c>
      <c r="D1239" t="s">
        <v>435</v>
      </c>
      <c r="E1239" t="s">
        <v>1708</v>
      </c>
      <c r="F1239" t="s">
        <v>1761</v>
      </c>
      <c r="G1239">
        <v>4</v>
      </c>
      <c r="H1239" s="10">
        <f>IF(ISBLANK(ESales_DB[[#This Row],[Quantity]]),AVERAGEIF(ESales_DB[Product_ID],ESales_DB[[#This Row],[Product_ID]],ESales_DB[Quantity]),ESales_DB[[#This Row],[Quantity]])</f>
        <v>4</v>
      </c>
      <c r="I1239" s="2">
        <v>741.51</v>
      </c>
      <c r="J1239">
        <v>0.09</v>
      </c>
      <c r="K1239" t="s">
        <v>1829</v>
      </c>
      <c r="L1239" s="2">
        <v>2699.0963999999999</v>
      </c>
      <c r="M1239" s="2" t="str">
        <f>IF(ESales_DB[[#This Row],[Total_Amount]]&gt;1000,"High","Low")</f>
        <v>High</v>
      </c>
      <c r="N1239" s="2" t="str">
        <f>VLOOKUP(ESales_DB[[#This Row],[Customer_ID]],Ecustom_DB[],3,FALSE)</f>
        <v>James Wolfe</v>
      </c>
      <c r="O1239" s="2" t="str">
        <f>_xlfn.XLOOKUP(ESales_DB[[#This Row],[Product_ID]],Eproduct_DB[Product_ID],Eproduct_DB[Category])</f>
        <v>Home</v>
      </c>
      <c r="P1239" s="2" t="str">
        <f>_xlfn.XLOOKUP(ESales_DB[[#This Row],[Product_ID]],Eproduct_DB[Product_ID],Eproduct_DB[Product_Name])</f>
        <v>Wall-Mounted Spice Rack</v>
      </c>
      <c r="Q1239" s="2" t="str">
        <f>_xlfn.XLOOKUP(ESales_DB[[#This Row],[Store_ID]],Estore_DB[Store_ID],Estore_DB[Region])</f>
        <v>South</v>
      </c>
      <c r="R1239" t="str">
        <f>VLOOKUP(ESales_DB[[#This Row],[Customer_ID]],Ecustom_DB[],10,FALSE)</f>
        <v>Gold</v>
      </c>
      <c r="S1239" t="str">
        <f>IF(ESales_DB[[#This Row],[Quantity1]]&gt;3,"Bulk order","Normal order")</f>
        <v>Bulk order</v>
      </c>
    </row>
    <row r="1240" spans="1:19" x14ac:dyDescent="0.3">
      <c r="A1240" t="s">
        <v>2138</v>
      </c>
      <c r="B1240" s="4">
        <v>45611</v>
      </c>
      <c r="C1240" s="4" t="str">
        <f>TEXT(ESales_DB[[#This Row],[Order_Date]],"mmm")</f>
        <v>Nov</v>
      </c>
      <c r="D1240" t="s">
        <v>100</v>
      </c>
      <c r="E1240" t="s">
        <v>1708</v>
      </c>
      <c r="F1240" t="s">
        <v>1807</v>
      </c>
      <c r="G1240">
        <v>2</v>
      </c>
      <c r="H1240" s="10">
        <f>IF(ISBLANK(ESales_DB[[#This Row],[Quantity]]),AVERAGEIF(ESales_DB[Product_ID],ESales_DB[[#This Row],[Product_ID]],ESales_DB[Quantity]),ESales_DB[[#This Row],[Quantity]])</f>
        <v>2</v>
      </c>
      <c r="I1240" s="2">
        <v>588.9</v>
      </c>
      <c r="J1240">
        <v>0.19</v>
      </c>
      <c r="K1240" t="s">
        <v>1826</v>
      </c>
      <c r="L1240" s="2">
        <v>954.01800000000003</v>
      </c>
      <c r="M1240" s="2" t="str">
        <f>IF(ESales_DB[[#This Row],[Total_Amount]]&gt;1000,"High","Low")</f>
        <v>Low</v>
      </c>
      <c r="N1240" s="2" t="str">
        <f>VLOOKUP(ESales_DB[[#This Row],[Customer_ID]],Ecustom_DB[],3,FALSE)</f>
        <v>Jonathan Steele</v>
      </c>
      <c r="O1240" s="2" t="str">
        <f>_xlfn.XLOOKUP(ESales_DB[[#This Row],[Product_ID]],Eproduct_DB[Product_ID],Eproduct_DB[Category])</f>
        <v>Home</v>
      </c>
      <c r="P1240" s="2" t="str">
        <f>_xlfn.XLOOKUP(ESales_DB[[#This Row],[Product_ID]],Eproduct_DB[Product_ID],Eproduct_DB[Product_Name])</f>
        <v>Wall-Mounted Spice Rack</v>
      </c>
      <c r="Q1240" s="2" t="str">
        <f>_xlfn.XLOOKUP(ESales_DB[[#This Row],[Store_ID]],Estore_DB[Store_ID],Estore_DB[Region])</f>
        <v>North</v>
      </c>
      <c r="R1240" t="str">
        <f>VLOOKUP(ESales_DB[[#This Row],[Customer_ID]],Ecustom_DB[],10,FALSE)</f>
        <v>Silver</v>
      </c>
      <c r="S1240" t="str">
        <f>IF(ESales_DB[[#This Row],[Quantity1]]&gt;3,"Bulk order","Normal order")</f>
        <v>Normal order</v>
      </c>
    </row>
    <row r="1241" spans="1:19" x14ac:dyDescent="0.3">
      <c r="A1241" t="s">
        <v>2139</v>
      </c>
      <c r="B1241" s="4">
        <v>45389</v>
      </c>
      <c r="C1241" s="4" t="str">
        <f>TEXT(ESales_DB[[#This Row],[Order_Date]],"mmm")</f>
        <v>Apr</v>
      </c>
      <c r="D1241" t="s">
        <v>960</v>
      </c>
      <c r="E1241" t="s">
        <v>1648</v>
      </c>
      <c r="F1241" t="s">
        <v>1761</v>
      </c>
      <c r="G1241">
        <v>1</v>
      </c>
      <c r="H1241" s="10">
        <f>IF(ISBLANK(ESales_DB[[#This Row],[Quantity]]),AVERAGEIF(ESales_DB[Product_ID],ESales_DB[[#This Row],[Product_ID]],ESales_DB[Quantity]),ESales_DB[[#This Row],[Quantity]])</f>
        <v>1</v>
      </c>
      <c r="I1241" s="2">
        <v>88.92</v>
      </c>
      <c r="J1241">
        <v>0.19</v>
      </c>
      <c r="K1241" t="s">
        <v>1826</v>
      </c>
      <c r="L1241" s="2">
        <v>72.025200000000012</v>
      </c>
      <c r="M1241" s="2" t="str">
        <f>IF(ESales_DB[[#This Row],[Total_Amount]]&gt;1000,"High","Low")</f>
        <v>Low</v>
      </c>
      <c r="N1241" s="2" t="str">
        <f>VLOOKUP(ESales_DB[[#This Row],[Customer_ID]],Ecustom_DB[],3,FALSE)</f>
        <v>Miss Alexandria Li Dvm</v>
      </c>
      <c r="O1241" s="2" t="str">
        <f>_xlfn.XLOOKUP(ESales_DB[[#This Row],[Product_ID]],Eproduct_DB[Product_ID],Eproduct_DB[Category])</f>
        <v>Sports</v>
      </c>
      <c r="P1241" s="2" t="str">
        <f>_xlfn.XLOOKUP(ESales_DB[[#This Row],[Product_ID]],Eproduct_DB[Product_ID],Eproduct_DB[Product_Name])</f>
        <v>Boxing Hand Wraps</v>
      </c>
      <c r="Q1241" s="2" t="str">
        <f>_xlfn.XLOOKUP(ESales_DB[[#This Row],[Store_ID]],Estore_DB[Store_ID],Estore_DB[Region])</f>
        <v>South</v>
      </c>
      <c r="R1241" t="str">
        <f>VLOOKUP(ESales_DB[[#This Row],[Customer_ID]],Ecustom_DB[],10,FALSE)</f>
        <v>Silver</v>
      </c>
      <c r="S1241" t="str">
        <f>IF(ESales_DB[[#This Row],[Quantity1]]&gt;3,"Bulk order","Normal order")</f>
        <v>Normal order</v>
      </c>
    </row>
    <row r="1242" spans="1:19" x14ac:dyDescent="0.3">
      <c r="A1242" t="s">
        <v>2140</v>
      </c>
      <c r="B1242" s="4">
        <v>45339</v>
      </c>
      <c r="C1242" s="4" t="str">
        <f>TEXT(ESales_DB[[#This Row],[Order_Date]],"mmm")</f>
        <v>Feb</v>
      </c>
      <c r="D1242" t="s">
        <v>411</v>
      </c>
      <c r="E1242" t="s">
        <v>1670</v>
      </c>
      <c r="F1242" t="s">
        <v>1804</v>
      </c>
      <c r="G1242">
        <v>1</v>
      </c>
      <c r="H1242" s="10">
        <f>IF(ISBLANK(ESales_DB[[#This Row],[Quantity]]),AVERAGEIF(ESales_DB[Product_ID],ESales_DB[[#This Row],[Product_ID]],ESales_DB[Quantity]),ESales_DB[[#This Row],[Quantity]])</f>
        <v>1</v>
      </c>
      <c r="I1242" s="2">
        <v>299.13</v>
      </c>
      <c r="J1242">
        <v>0.1</v>
      </c>
      <c r="K1242" t="s">
        <v>1829</v>
      </c>
      <c r="L1242" s="2">
        <v>269.21699999999998</v>
      </c>
      <c r="M1242" s="2" t="str">
        <f>IF(ESales_DB[[#This Row],[Total_Amount]]&gt;1000,"High","Low")</f>
        <v>Low</v>
      </c>
      <c r="N1242" s="2" t="str">
        <f>VLOOKUP(ESales_DB[[#This Row],[Customer_ID]],Ecustom_DB[],3,FALSE)</f>
        <v>Earl Allen</v>
      </c>
      <c r="O1242" s="2" t="str">
        <f>_xlfn.XLOOKUP(ESales_DB[[#This Row],[Product_ID]],Eproduct_DB[Product_ID],Eproduct_DB[Category])</f>
        <v>Sports</v>
      </c>
      <c r="P1242" s="2" t="str">
        <f>_xlfn.XLOOKUP(ESales_DB[[#This Row],[Product_ID]],Eproduct_DB[Product_ID],Eproduct_DB[Product_Name])</f>
        <v>Tennis Ball 3-Pack</v>
      </c>
      <c r="Q1242" s="2" t="str">
        <f>_xlfn.XLOOKUP(ESales_DB[[#This Row],[Store_ID]],Estore_DB[Store_ID],Estore_DB[Region])</f>
        <v>West</v>
      </c>
      <c r="R1242" t="str">
        <f>VLOOKUP(ESales_DB[[#This Row],[Customer_ID]],Ecustom_DB[],10,FALSE)</f>
        <v>Platinum</v>
      </c>
      <c r="S1242" t="str">
        <f>IF(ESales_DB[[#This Row],[Quantity1]]&gt;3,"Bulk order","Normal order")</f>
        <v>Normal order</v>
      </c>
    </row>
    <row r="1243" spans="1:19" x14ac:dyDescent="0.3">
      <c r="A1243" t="s">
        <v>2141</v>
      </c>
      <c r="B1243" s="4">
        <v>45433</v>
      </c>
      <c r="C1243" s="4" t="str">
        <f>TEXT(ESales_DB[[#This Row],[Order_Date]],"mmm")</f>
        <v>May</v>
      </c>
      <c r="D1243" t="s">
        <v>405</v>
      </c>
      <c r="E1243" t="s">
        <v>1702</v>
      </c>
      <c r="F1243" t="s">
        <v>1766</v>
      </c>
      <c r="G1243">
        <v>2</v>
      </c>
      <c r="H1243" s="10">
        <f>IF(ISBLANK(ESales_DB[[#This Row],[Quantity]]),AVERAGEIF(ESales_DB[Product_ID],ESales_DB[[#This Row],[Product_ID]],ESales_DB[Quantity]),ESales_DB[[#This Row],[Quantity]])</f>
        <v>2</v>
      </c>
      <c r="I1243" s="2">
        <v>548.29999999999995</v>
      </c>
      <c r="J1243">
        <v>0.23</v>
      </c>
      <c r="K1243" t="s">
        <v>1824</v>
      </c>
      <c r="L1243" s="2">
        <v>844.38199999999995</v>
      </c>
      <c r="M1243" s="2" t="str">
        <f>IF(ESales_DB[[#This Row],[Total_Amount]]&gt;1000,"High","Low")</f>
        <v>Low</v>
      </c>
      <c r="N1243" s="2" t="str">
        <f>VLOOKUP(ESales_DB[[#This Row],[Customer_ID]],Ecustom_DB[],3,FALSE)</f>
        <v>Anthony Phillips</v>
      </c>
      <c r="O1243" s="2" t="str">
        <f>_xlfn.XLOOKUP(ESales_DB[[#This Row],[Product_ID]],Eproduct_DB[Product_ID],Eproduct_DB[Category])</f>
        <v>Electronics</v>
      </c>
      <c r="P1243" s="2" t="str">
        <f>_xlfn.XLOOKUP(ESales_DB[[#This Row],[Product_ID]],Eproduct_DB[Product_ID],Eproduct_DB[Product_Name])</f>
        <v>WiFi Mesh Router</v>
      </c>
      <c r="Q1243" s="2" t="str">
        <f>_xlfn.XLOOKUP(ESales_DB[[#This Row],[Store_ID]],Estore_DB[Store_ID],Estore_DB[Region])</f>
        <v>North</v>
      </c>
      <c r="R1243" t="str">
        <f>VLOOKUP(ESales_DB[[#This Row],[Customer_ID]],Ecustom_DB[],10,FALSE)</f>
        <v>Platinum</v>
      </c>
      <c r="S1243" t="str">
        <f>IF(ESales_DB[[#This Row],[Quantity1]]&gt;3,"Bulk order","Normal order")</f>
        <v>Normal order</v>
      </c>
    </row>
    <row r="1244" spans="1:19" x14ac:dyDescent="0.3">
      <c r="A1244" t="s">
        <v>2142</v>
      </c>
      <c r="B1244" s="4">
        <v>45435</v>
      </c>
      <c r="C1244" s="4" t="str">
        <f>TEXT(ESales_DB[[#This Row],[Order_Date]],"mmm")</f>
        <v>May</v>
      </c>
      <c r="D1244" t="s">
        <v>836</v>
      </c>
      <c r="E1244" t="s">
        <v>1656</v>
      </c>
      <c r="F1244" t="s">
        <v>1789</v>
      </c>
      <c r="G1244">
        <v>3</v>
      </c>
      <c r="H1244" s="10">
        <f>IF(ISBLANK(ESales_DB[[#This Row],[Quantity]]),AVERAGEIF(ESales_DB[Product_ID],ESales_DB[[#This Row],[Product_ID]],ESales_DB[Quantity]),ESales_DB[[#This Row],[Quantity]])</f>
        <v>3</v>
      </c>
      <c r="I1244" s="2">
        <v>977.55</v>
      </c>
      <c r="J1244">
        <v>0.02</v>
      </c>
      <c r="K1244" t="s">
        <v>1826</v>
      </c>
      <c r="L1244" s="2">
        <v>2873.9969999999989</v>
      </c>
      <c r="M1244" s="2" t="str">
        <f>IF(ESales_DB[[#This Row],[Total_Amount]]&gt;1000,"High","Low")</f>
        <v>High</v>
      </c>
      <c r="N1244" s="2" t="str">
        <f>VLOOKUP(ESales_DB[[#This Row],[Customer_ID]],Ecustom_DB[],3,FALSE)</f>
        <v>Katherine Cowan</v>
      </c>
      <c r="O1244" s="2" t="str">
        <f>_xlfn.XLOOKUP(ESales_DB[[#This Row],[Product_ID]],Eproduct_DB[Product_ID],Eproduct_DB[Category])</f>
        <v>Sports</v>
      </c>
      <c r="P1244" s="2" t="str">
        <f>_xlfn.XLOOKUP(ESales_DB[[#This Row],[Product_ID]],Eproduct_DB[Product_ID],Eproduct_DB[Product_Name])</f>
        <v>Sports Stopwatch Pro</v>
      </c>
      <c r="Q1244" s="2" t="str">
        <f>_xlfn.XLOOKUP(ESales_DB[[#This Row],[Store_ID]],Estore_DB[Store_ID],Estore_DB[Region])</f>
        <v>East</v>
      </c>
      <c r="R1244" t="str">
        <f>VLOOKUP(ESales_DB[[#This Row],[Customer_ID]],Ecustom_DB[],10,FALSE)</f>
        <v>Silver</v>
      </c>
      <c r="S1244" t="str">
        <f>IF(ESales_DB[[#This Row],[Quantity1]]&gt;3,"Bulk order","Normal order")</f>
        <v>Normal order</v>
      </c>
    </row>
    <row r="1245" spans="1:19" x14ac:dyDescent="0.3">
      <c r="A1245" t="s">
        <v>2143</v>
      </c>
      <c r="B1245" s="4">
        <v>45823</v>
      </c>
      <c r="C1245" s="4" t="str">
        <f>TEXT(ESales_DB[[#This Row],[Order_Date]],"mmm")</f>
        <v>Jun</v>
      </c>
      <c r="D1245" t="s">
        <v>1086</v>
      </c>
      <c r="E1245" t="s">
        <v>1636</v>
      </c>
      <c r="F1245" t="s">
        <v>1810</v>
      </c>
      <c r="G1245">
        <v>1</v>
      </c>
      <c r="H1245" s="10">
        <f>IF(ISBLANK(ESales_DB[[#This Row],[Quantity]]),AVERAGEIF(ESales_DB[Product_ID],ESales_DB[[#This Row],[Product_ID]],ESales_DB[Quantity]),ESales_DB[[#This Row],[Quantity]])</f>
        <v>1</v>
      </c>
      <c r="I1245" s="2">
        <v>459.42</v>
      </c>
      <c r="J1245">
        <v>0.28000000000000003</v>
      </c>
      <c r="K1245" t="s">
        <v>1829</v>
      </c>
      <c r="L1245" s="2">
        <v>330.7824</v>
      </c>
      <c r="M1245" s="2" t="str">
        <f>IF(ESales_DB[[#This Row],[Total_Amount]]&gt;1000,"High","Low")</f>
        <v>Low</v>
      </c>
      <c r="N1245" s="2" t="str">
        <f>VLOOKUP(ESales_DB[[#This Row],[Customer_ID]],Ecustom_DB[],3,FALSE)</f>
        <v>John Jordan</v>
      </c>
      <c r="O1245" s="2" t="str">
        <f>_xlfn.XLOOKUP(ESales_DB[[#This Row],[Product_ID]],Eproduct_DB[Product_ID],Eproduct_DB[Category])</f>
        <v>Sports</v>
      </c>
      <c r="P1245" s="2" t="str">
        <f>_xlfn.XLOOKUP(ESales_DB[[#This Row],[Product_ID]],Eproduct_DB[Product_ID],Eproduct_DB[Product_Name])</f>
        <v>Adjustable Jump Rope</v>
      </c>
      <c r="Q1245" s="2" t="str">
        <f>_xlfn.XLOOKUP(ESales_DB[[#This Row],[Store_ID]],Estore_DB[Store_ID],Estore_DB[Region])</f>
        <v>East</v>
      </c>
      <c r="R1245" t="str">
        <f>VLOOKUP(ESales_DB[[#This Row],[Customer_ID]],Ecustom_DB[],10,FALSE)</f>
        <v>Platinum</v>
      </c>
      <c r="S1245" t="str">
        <f>IF(ESales_DB[[#This Row],[Quantity1]]&gt;3,"Bulk order","Normal order")</f>
        <v>Normal order</v>
      </c>
    </row>
    <row r="1246" spans="1:19" x14ac:dyDescent="0.3">
      <c r="A1246" t="s">
        <v>2144</v>
      </c>
      <c r="B1246" s="4">
        <v>45663</v>
      </c>
      <c r="C1246" s="4" t="str">
        <f>TEXT(ESales_DB[[#This Row],[Order_Date]],"mmm")</f>
        <v>Jan</v>
      </c>
      <c r="D1246" t="s">
        <v>318</v>
      </c>
      <c r="E1246" t="s">
        <v>1549</v>
      </c>
      <c r="F1246" t="s">
        <v>1769</v>
      </c>
      <c r="G1246">
        <v>2</v>
      </c>
      <c r="H1246" s="10">
        <f>IF(ISBLANK(ESales_DB[[#This Row],[Quantity]]),AVERAGEIF(ESales_DB[Product_ID],ESales_DB[[#This Row],[Product_ID]],ESales_DB[Quantity]),ESales_DB[[#This Row],[Quantity]])</f>
        <v>2</v>
      </c>
      <c r="I1246" s="2">
        <v>123.19</v>
      </c>
      <c r="J1246">
        <v>0.19</v>
      </c>
      <c r="K1246" t="s">
        <v>1824</v>
      </c>
      <c r="L1246" s="2">
        <v>199.56780000000001</v>
      </c>
      <c r="M1246" s="2" t="str">
        <f>IF(ESales_DB[[#This Row],[Total_Amount]]&gt;1000,"High","Low")</f>
        <v>Low</v>
      </c>
      <c r="N1246" s="2" t="str">
        <f>VLOOKUP(ESales_DB[[#This Row],[Customer_ID]],Ecustom_DB[],3,FALSE)</f>
        <v>Timothy Wright</v>
      </c>
      <c r="O1246" s="2" t="str">
        <f>_xlfn.XLOOKUP(ESales_DB[[#This Row],[Product_ID]],Eproduct_DB[Product_ID],Eproduct_DB[Category])</f>
        <v>Clothing</v>
      </c>
      <c r="P1246" s="2" t="str">
        <f>_xlfn.XLOOKUP(ESales_DB[[#This Row],[Product_ID]],Eproduct_DB[Product_ID],Eproduct_DB[Product_Name])</f>
        <v>Women's Casual Hoodie</v>
      </c>
      <c r="Q1246" s="2" t="str">
        <f>_xlfn.XLOOKUP(ESales_DB[[#This Row],[Store_ID]],Estore_DB[Store_ID],Estore_DB[Region])</f>
        <v>South</v>
      </c>
      <c r="R1246" t="str">
        <f>VLOOKUP(ESales_DB[[#This Row],[Customer_ID]],Ecustom_DB[],10,FALSE)</f>
        <v>Silver</v>
      </c>
      <c r="S1246" t="str">
        <f>IF(ESales_DB[[#This Row],[Quantity1]]&gt;3,"Bulk order","Normal order")</f>
        <v>Normal order</v>
      </c>
    </row>
    <row r="1247" spans="1:19" x14ac:dyDescent="0.3">
      <c r="A1247" t="s">
        <v>2145</v>
      </c>
      <c r="B1247" s="4">
        <v>45879</v>
      </c>
      <c r="C1247" s="4" t="str">
        <f>TEXT(ESales_DB[[#This Row],[Order_Date]],"mmm")</f>
        <v>Aug</v>
      </c>
      <c r="D1247" t="s">
        <v>1121</v>
      </c>
      <c r="E1247" t="s">
        <v>1658</v>
      </c>
      <c r="F1247" t="s">
        <v>1813</v>
      </c>
      <c r="G1247">
        <v>1</v>
      </c>
      <c r="H1247" s="10">
        <f>IF(ISBLANK(ESales_DB[[#This Row],[Quantity]]),AVERAGEIF(ESales_DB[Product_ID],ESales_DB[[#This Row],[Product_ID]],ESales_DB[Quantity]),ESales_DB[[#This Row],[Quantity]])</f>
        <v>1</v>
      </c>
      <c r="I1247" s="2">
        <v>222.95</v>
      </c>
      <c r="J1247">
        <v>0.02</v>
      </c>
      <c r="K1247" t="s">
        <v>1826</v>
      </c>
      <c r="L1247" s="2">
        <v>218.49100000000001</v>
      </c>
      <c r="M1247" s="2" t="str">
        <f>IF(ESales_DB[[#This Row],[Total_Amount]]&gt;1000,"High","Low")</f>
        <v>Low</v>
      </c>
      <c r="N1247" s="2" t="str">
        <f>VLOOKUP(ESales_DB[[#This Row],[Customer_ID]],Ecustom_DB[],3,FALSE)</f>
        <v>Ashley Anderson</v>
      </c>
      <c r="O1247" s="2" t="str">
        <f>_xlfn.XLOOKUP(ESales_DB[[#This Row],[Product_ID]],Eproduct_DB[Product_ID],Eproduct_DB[Category])</f>
        <v>Home</v>
      </c>
      <c r="P1247" s="2" t="str">
        <f>_xlfn.XLOOKUP(ESales_DB[[#This Row],[Product_ID]],Eproduct_DB[Product_ID],Eproduct_DB[Product_Name])</f>
        <v>Ceramic Plant Pot</v>
      </c>
      <c r="Q1247" s="2" t="str">
        <f>_xlfn.XLOOKUP(ESales_DB[[#This Row],[Store_ID]],Estore_DB[Store_ID],Estore_DB[Region])</f>
        <v>East</v>
      </c>
      <c r="R1247" t="str">
        <f>VLOOKUP(ESales_DB[[#This Row],[Customer_ID]],Ecustom_DB[],10,FALSE)</f>
        <v>Gold</v>
      </c>
      <c r="S1247" t="str">
        <f>IF(ESales_DB[[#This Row],[Quantity1]]&gt;3,"Bulk order","Normal order")</f>
        <v>Normal order</v>
      </c>
    </row>
    <row r="1248" spans="1:19" x14ac:dyDescent="0.3">
      <c r="A1248" t="s">
        <v>1858</v>
      </c>
      <c r="B1248" s="4">
        <v>45597</v>
      </c>
      <c r="C1248" s="4" t="str">
        <f>TEXT(ESales_DB[[#This Row],[Order_Date]],"mmm")</f>
        <v>Nov</v>
      </c>
      <c r="D1248" t="s">
        <v>1240</v>
      </c>
      <c r="E1248" t="s">
        <v>1698</v>
      </c>
      <c r="F1248" t="s">
        <v>1782</v>
      </c>
      <c r="G1248">
        <v>4</v>
      </c>
      <c r="H1248" s="10">
        <f>IF(ISBLANK(ESales_DB[[#This Row],[Quantity]]),AVERAGEIF(ESales_DB[Product_ID],ESales_DB[[#This Row],[Product_ID]],ESales_DB[Quantity]),ESales_DB[[#This Row],[Quantity]])</f>
        <v>4</v>
      </c>
      <c r="I1248" s="2">
        <v>313.83</v>
      </c>
      <c r="J1248">
        <v>0.08</v>
      </c>
      <c r="K1248" t="s">
        <v>1824</v>
      </c>
      <c r="L1248" s="2">
        <v>1154.8943999999999</v>
      </c>
      <c r="M1248" s="2" t="str">
        <f>IF(ESales_DB[[#This Row],[Total_Amount]]&gt;1000,"High","Low")</f>
        <v>High</v>
      </c>
      <c r="N1248" s="2" t="str">
        <f>VLOOKUP(ESales_DB[[#This Row],[Customer_ID]],Ecustom_DB[],3,FALSE)</f>
        <v>Jennifer Johnson</v>
      </c>
      <c r="O1248" s="2" t="str">
        <f>_xlfn.XLOOKUP(ESales_DB[[#This Row],[Product_ID]],Eproduct_DB[Product_ID],Eproduct_DB[Category])</f>
        <v>Clothing</v>
      </c>
      <c r="P1248" s="2" t="str">
        <f>_xlfn.XLOOKUP(ESales_DB[[#This Row],[Product_ID]],Eproduct_DB[Product_ID],Eproduct_DB[Product_Name])</f>
        <v>Women's Ankle Boots</v>
      </c>
      <c r="Q1248" s="2" t="str">
        <f>_xlfn.XLOOKUP(ESales_DB[[#This Row],[Store_ID]],Estore_DB[Store_ID],Estore_DB[Region])</f>
        <v>West</v>
      </c>
      <c r="R1248" t="str">
        <f>VLOOKUP(ESales_DB[[#This Row],[Customer_ID]],Ecustom_DB[],10,FALSE)</f>
        <v>Bronze</v>
      </c>
      <c r="S1248" t="str">
        <f>IF(ESales_DB[[#This Row],[Quantity1]]&gt;3,"Bulk order","Normal order")</f>
        <v>Bulk order</v>
      </c>
    </row>
    <row r="1249" spans="1:19" x14ac:dyDescent="0.3">
      <c r="A1249" t="s">
        <v>2146</v>
      </c>
      <c r="B1249" s="4">
        <v>45840</v>
      </c>
      <c r="C1249" s="4" t="str">
        <f>TEXT(ESales_DB[[#This Row],[Order_Date]],"mmm")</f>
        <v>Jul</v>
      </c>
      <c r="D1249" t="s">
        <v>1044</v>
      </c>
      <c r="E1249" t="s">
        <v>1612</v>
      </c>
      <c r="F1249" t="s">
        <v>1769</v>
      </c>
      <c r="G1249">
        <v>3</v>
      </c>
      <c r="H1249" s="10">
        <f>IF(ISBLANK(ESales_DB[[#This Row],[Quantity]]),AVERAGEIF(ESales_DB[Product_ID],ESales_DB[[#This Row],[Product_ID]],ESales_DB[Quantity]),ESales_DB[[#This Row],[Quantity]])</f>
        <v>3</v>
      </c>
      <c r="I1249" s="2">
        <v>601.92999999999995</v>
      </c>
      <c r="J1249">
        <v>0.14000000000000001</v>
      </c>
      <c r="K1249" t="s">
        <v>1824</v>
      </c>
      <c r="L1249" s="2">
        <v>1552.9793999999999</v>
      </c>
      <c r="M1249" s="2" t="str">
        <f>IF(ESales_DB[[#This Row],[Total_Amount]]&gt;1000,"High","Low")</f>
        <v>High</v>
      </c>
      <c r="N1249" s="2" t="str">
        <f>VLOOKUP(ESales_DB[[#This Row],[Customer_ID]],Ecustom_DB[],3,FALSE)</f>
        <v>Dr. Lindsay Hanna</v>
      </c>
      <c r="O1249" s="2" t="str">
        <f>_xlfn.XLOOKUP(ESales_DB[[#This Row],[Product_ID]],Eproduct_DB[Product_ID],Eproduct_DB[Category])</f>
        <v>Beauty</v>
      </c>
      <c r="P1249" s="2" t="str">
        <f>_xlfn.XLOOKUP(ESales_DB[[#This Row],[Product_ID]],Eproduct_DB[Product_ID],Eproduct_DB[Product_Name])</f>
        <v>Vitamin C Face Serum</v>
      </c>
      <c r="Q1249" s="2" t="str">
        <f>_xlfn.XLOOKUP(ESales_DB[[#This Row],[Store_ID]],Estore_DB[Store_ID],Estore_DB[Region])</f>
        <v>South</v>
      </c>
      <c r="R1249" t="str">
        <f>VLOOKUP(ESales_DB[[#This Row],[Customer_ID]],Ecustom_DB[],10,FALSE)</f>
        <v>Bronze</v>
      </c>
      <c r="S1249" t="str">
        <f>IF(ESales_DB[[#This Row],[Quantity1]]&gt;3,"Bulk order","Normal order")</f>
        <v>Normal order</v>
      </c>
    </row>
    <row r="1250" spans="1:19" x14ac:dyDescent="0.3">
      <c r="A1250" t="s">
        <v>2147</v>
      </c>
      <c r="B1250" s="4">
        <v>45380</v>
      </c>
      <c r="C1250" s="4" t="str">
        <f>TEXT(ESales_DB[[#This Row],[Order_Date]],"mmm")</f>
        <v>Mar</v>
      </c>
      <c r="D1250" t="s">
        <v>939</v>
      </c>
      <c r="E1250" t="s">
        <v>1686</v>
      </c>
      <c r="F1250" t="s">
        <v>1761</v>
      </c>
      <c r="G1250">
        <v>1</v>
      </c>
      <c r="H1250" s="10">
        <f>IF(ISBLANK(ESales_DB[[#This Row],[Quantity]]),AVERAGEIF(ESales_DB[Product_ID],ESales_DB[[#This Row],[Product_ID]],ESales_DB[Quantity]),ESales_DB[[#This Row],[Quantity]])</f>
        <v>1</v>
      </c>
      <c r="I1250" s="2">
        <v>564.1</v>
      </c>
      <c r="J1250">
        <v>0.03</v>
      </c>
      <c r="K1250" t="s">
        <v>1824</v>
      </c>
      <c r="L1250" s="2">
        <v>547.17700000000002</v>
      </c>
      <c r="M1250" s="2" t="str">
        <f>IF(ESales_DB[[#This Row],[Total_Amount]]&gt;1000,"High","Low")</f>
        <v>Low</v>
      </c>
      <c r="N1250" s="2" t="str">
        <f>VLOOKUP(ESales_DB[[#This Row],[Customer_ID]],Ecustom_DB[],3,FALSE)</f>
        <v>Jennifer Carr</v>
      </c>
      <c r="O1250" s="2" t="str">
        <f>_xlfn.XLOOKUP(ESales_DB[[#This Row],[Product_ID]],Eproduct_DB[Product_ID],Eproduct_DB[Category])</f>
        <v>Clothing</v>
      </c>
      <c r="P1250" s="2" t="str">
        <f>_xlfn.XLOOKUP(ESales_DB[[#This Row],[Product_ID]],Eproduct_DB[Product_ID],Eproduct_DB[Product_Name])</f>
        <v>Men's Sports Shorts</v>
      </c>
      <c r="Q1250" s="2" t="str">
        <f>_xlfn.XLOOKUP(ESales_DB[[#This Row],[Store_ID]],Estore_DB[Store_ID],Estore_DB[Region])</f>
        <v>South</v>
      </c>
      <c r="R1250" t="str">
        <f>VLOOKUP(ESales_DB[[#This Row],[Customer_ID]],Ecustom_DB[],10,FALSE)</f>
        <v>Silver</v>
      </c>
      <c r="S1250" t="str">
        <f>IF(ESales_DB[[#This Row],[Quantity1]]&gt;3,"Bulk order","Normal order")</f>
        <v>Normal order</v>
      </c>
    </row>
    <row r="1251" spans="1:19" x14ac:dyDescent="0.3">
      <c r="A1251" t="s">
        <v>2148</v>
      </c>
      <c r="B1251" s="4">
        <v>45672</v>
      </c>
      <c r="C1251" s="4" t="str">
        <f>TEXT(ESales_DB[[#This Row],[Order_Date]],"mmm")</f>
        <v>Jan</v>
      </c>
      <c r="D1251" t="s">
        <v>341</v>
      </c>
      <c r="E1251" t="s">
        <v>1708</v>
      </c>
      <c r="F1251" t="s">
        <v>1773</v>
      </c>
      <c r="G1251">
        <v>1</v>
      </c>
      <c r="H1251" s="10">
        <f>IF(ISBLANK(ESales_DB[[#This Row],[Quantity]]),AVERAGEIF(ESales_DB[Product_ID],ESales_DB[[#This Row],[Product_ID]],ESales_DB[Quantity]),ESales_DB[[#This Row],[Quantity]])</f>
        <v>1</v>
      </c>
      <c r="I1251" s="2">
        <v>516.62</v>
      </c>
      <c r="J1251">
        <v>0.18</v>
      </c>
      <c r="K1251" t="s">
        <v>1824</v>
      </c>
      <c r="L1251" s="2">
        <v>423.62840000000011</v>
      </c>
      <c r="M1251" s="2" t="str">
        <f>IF(ESales_DB[[#This Row],[Total_Amount]]&gt;1000,"High","Low")</f>
        <v>Low</v>
      </c>
      <c r="N1251" s="2" t="str">
        <f>VLOOKUP(ESales_DB[[#This Row],[Customer_ID]],Ecustom_DB[],3,FALSE)</f>
        <v>Amy Fowler</v>
      </c>
      <c r="O1251" s="2" t="str">
        <f>_xlfn.XLOOKUP(ESales_DB[[#This Row],[Product_ID]],Eproduct_DB[Product_ID],Eproduct_DB[Category])</f>
        <v>Home</v>
      </c>
      <c r="P1251" s="2" t="str">
        <f>_xlfn.XLOOKUP(ESales_DB[[#This Row],[Product_ID]],Eproduct_DB[Product_ID],Eproduct_DB[Product_Name])</f>
        <v>Wall-Mounted Spice Rack</v>
      </c>
      <c r="Q1251" s="2" t="str">
        <f>_xlfn.XLOOKUP(ESales_DB[[#This Row],[Store_ID]],Estore_DB[Store_ID],Estore_DB[Region])</f>
        <v>North</v>
      </c>
      <c r="R1251" t="str">
        <f>VLOOKUP(ESales_DB[[#This Row],[Customer_ID]],Ecustom_DB[],10,FALSE)</f>
        <v>Platinum</v>
      </c>
      <c r="S1251" t="str">
        <f>IF(ESales_DB[[#This Row],[Quantity1]]&gt;3,"Bulk order","Normal order")</f>
        <v>Normal order</v>
      </c>
    </row>
    <row r="1252" spans="1:19" x14ac:dyDescent="0.3">
      <c r="A1252" t="s">
        <v>2149</v>
      </c>
      <c r="B1252" s="4">
        <v>45497</v>
      </c>
      <c r="C1252" s="4" t="str">
        <f>TEXT(ESales_DB[[#This Row],[Order_Date]],"mmm")</f>
        <v>Jul</v>
      </c>
      <c r="D1252" t="s">
        <v>1357</v>
      </c>
      <c r="E1252" t="s">
        <v>1674</v>
      </c>
      <c r="F1252" t="s">
        <v>1794</v>
      </c>
      <c r="G1252">
        <v>1</v>
      </c>
      <c r="H1252" s="10">
        <f>IF(ISBLANK(ESales_DB[[#This Row],[Quantity]]),AVERAGEIF(ESales_DB[Product_ID],ESales_DB[[#This Row],[Product_ID]],ESales_DB[Quantity]),ESales_DB[[#This Row],[Quantity]])</f>
        <v>1</v>
      </c>
      <c r="I1252" s="2">
        <v>934.75</v>
      </c>
      <c r="J1252">
        <v>0.11</v>
      </c>
      <c r="K1252" t="s">
        <v>1826</v>
      </c>
      <c r="L1252" s="2">
        <v>831.92750000000001</v>
      </c>
      <c r="M1252" s="2" t="str">
        <f>IF(ESales_DB[[#This Row],[Total_Amount]]&gt;1000,"High","Low")</f>
        <v>Low</v>
      </c>
      <c r="N1252" s="2" t="str">
        <f>VLOOKUP(ESales_DB[[#This Row],[Customer_ID]],Ecustom_DB[],3,FALSE)</f>
        <v>Monica Flynn</v>
      </c>
      <c r="O1252" s="2" t="str">
        <f>_xlfn.XLOOKUP(ESales_DB[[#This Row],[Product_ID]],Eproduct_DB[Product_ID],Eproduct_DB[Category])</f>
        <v>Beauty</v>
      </c>
      <c r="P1252" s="2" t="str">
        <f>_xlfn.XLOOKUP(ESales_DB[[#This Row],[Product_ID]],Eproduct_DB[Product_ID],Eproduct_DB[Product_Name])</f>
        <v>Organic Sunscreen Lotion</v>
      </c>
      <c r="Q1252" s="2" t="str">
        <f>_xlfn.XLOOKUP(ESales_DB[[#This Row],[Store_ID]],Estore_DB[Store_ID],Estore_DB[Region])</f>
        <v>North</v>
      </c>
      <c r="R1252" t="str">
        <f>VLOOKUP(ESales_DB[[#This Row],[Customer_ID]],Ecustom_DB[],10,FALSE)</f>
        <v>Platinum</v>
      </c>
      <c r="S1252" t="str">
        <f>IF(ESales_DB[[#This Row],[Quantity1]]&gt;3,"Bulk order","Normal order")</f>
        <v>Normal order</v>
      </c>
    </row>
    <row r="1253" spans="1:19" x14ac:dyDescent="0.3">
      <c r="A1253" t="s">
        <v>2150</v>
      </c>
      <c r="B1253" s="4">
        <v>45407</v>
      </c>
      <c r="C1253" s="4" t="str">
        <f>TEXT(ESales_DB[[#This Row],[Order_Date]],"mmm")</f>
        <v>Apr</v>
      </c>
      <c r="D1253" t="s">
        <v>752</v>
      </c>
      <c r="E1253" t="s">
        <v>1744</v>
      </c>
      <c r="F1253" t="s">
        <v>1779</v>
      </c>
      <c r="G1253">
        <v>4</v>
      </c>
      <c r="H1253" s="10">
        <f>IF(ISBLANK(ESales_DB[[#This Row],[Quantity]]),AVERAGEIF(ESales_DB[Product_ID],ESales_DB[[#This Row],[Product_ID]],ESales_DB[Quantity]),ESales_DB[[#This Row],[Quantity]])</f>
        <v>4</v>
      </c>
      <c r="I1253" s="2">
        <v>548.44000000000005</v>
      </c>
      <c r="J1253">
        <v>0.05</v>
      </c>
      <c r="K1253" t="s">
        <v>1826</v>
      </c>
      <c r="L1253" s="2">
        <v>2084.0720000000001</v>
      </c>
      <c r="M1253" s="2" t="str">
        <f>IF(ESales_DB[[#This Row],[Total_Amount]]&gt;1000,"High","Low")</f>
        <v>High</v>
      </c>
      <c r="N1253" s="2" t="str">
        <f>VLOOKUP(ESales_DB[[#This Row],[Customer_ID]],Ecustom_DB[],3,FALSE)</f>
        <v>Nathaniel Hill</v>
      </c>
      <c r="O1253" s="2" t="str">
        <f>_xlfn.XLOOKUP(ESales_DB[[#This Row],[Product_ID]],Eproduct_DB[Product_ID],Eproduct_DB[Category])</f>
        <v>Electronics</v>
      </c>
      <c r="P1253" s="2" t="str">
        <f>_xlfn.XLOOKUP(ESales_DB[[#This Row],[Product_ID]],Eproduct_DB[Product_ID],Eproduct_DB[Product_Name])</f>
        <v>Portable Bluetooth Speaker</v>
      </c>
      <c r="Q1253" s="2" t="str">
        <f>_xlfn.XLOOKUP(ESales_DB[[#This Row],[Store_ID]],Estore_DB[Store_ID],Estore_DB[Region])</f>
        <v>South</v>
      </c>
      <c r="R1253" t="str">
        <f>VLOOKUP(ESales_DB[[#This Row],[Customer_ID]],Ecustom_DB[],10,FALSE)</f>
        <v>Gold</v>
      </c>
      <c r="S1253" t="str">
        <f>IF(ESales_DB[[#This Row],[Quantity1]]&gt;3,"Bulk order","Normal order")</f>
        <v>Bulk order</v>
      </c>
    </row>
    <row r="1254" spans="1:19" x14ac:dyDescent="0.3">
      <c r="A1254" t="s">
        <v>2151</v>
      </c>
      <c r="B1254" s="4">
        <v>45764</v>
      </c>
      <c r="C1254" s="4" t="str">
        <f>TEXT(ESales_DB[[#This Row],[Order_Date]],"mmm")</f>
        <v>Apr</v>
      </c>
      <c r="D1254" t="s">
        <v>63</v>
      </c>
      <c r="E1254" t="s">
        <v>1622</v>
      </c>
      <c r="F1254" t="s">
        <v>1766</v>
      </c>
      <c r="G1254">
        <v>3</v>
      </c>
      <c r="H1254" s="10">
        <f>IF(ISBLANK(ESales_DB[[#This Row],[Quantity]]),AVERAGEIF(ESales_DB[Product_ID],ESales_DB[[#This Row],[Product_ID]],ESales_DB[Quantity]),ESales_DB[[#This Row],[Quantity]])</f>
        <v>3</v>
      </c>
      <c r="I1254" s="2">
        <v>361.11</v>
      </c>
      <c r="J1254">
        <v>0.06</v>
      </c>
      <c r="K1254" t="s">
        <v>1824</v>
      </c>
      <c r="L1254" s="2">
        <v>1018.3302</v>
      </c>
      <c r="M1254" s="2" t="str">
        <f>IF(ESales_DB[[#This Row],[Total_Amount]]&gt;1000,"High","Low")</f>
        <v>High</v>
      </c>
      <c r="N1254" s="2" t="str">
        <f>VLOOKUP(ESales_DB[[#This Row],[Customer_ID]],Ecustom_DB[],3,FALSE)</f>
        <v>Nathan Hernandez</v>
      </c>
      <c r="O1254" s="2" t="str">
        <f>_xlfn.XLOOKUP(ESales_DB[[#This Row],[Product_ID]],Eproduct_DB[Product_ID],Eproduct_DB[Category])</f>
        <v>Clothing</v>
      </c>
      <c r="P1254" s="2" t="str">
        <f>_xlfn.XLOOKUP(ESales_DB[[#This Row],[Product_ID]],Eproduct_DB[Product_ID],Eproduct_DB[Product_Name])</f>
        <v>Men's Casual Sneakers</v>
      </c>
      <c r="Q1254" s="2" t="str">
        <f>_xlfn.XLOOKUP(ESales_DB[[#This Row],[Store_ID]],Estore_DB[Store_ID],Estore_DB[Region])</f>
        <v>North</v>
      </c>
      <c r="R1254" t="str">
        <f>VLOOKUP(ESales_DB[[#This Row],[Customer_ID]],Ecustom_DB[],10,FALSE)</f>
        <v>Silver</v>
      </c>
      <c r="S1254" t="str">
        <f>IF(ESales_DB[[#This Row],[Quantity1]]&gt;3,"Bulk order","Normal order")</f>
        <v>Normal order</v>
      </c>
    </row>
    <row r="1255" spans="1:19" x14ac:dyDescent="0.3">
      <c r="A1255" t="s">
        <v>2152</v>
      </c>
      <c r="B1255" s="4">
        <v>45924</v>
      </c>
      <c r="C1255" s="4" t="str">
        <f>TEXT(ESales_DB[[#This Row],[Order_Date]],"mmm")</f>
        <v>Sep</v>
      </c>
      <c r="D1255" t="s">
        <v>616</v>
      </c>
      <c r="E1255" t="s">
        <v>1574</v>
      </c>
      <c r="F1255" t="s">
        <v>1757</v>
      </c>
      <c r="G1255">
        <v>2</v>
      </c>
      <c r="H1255" s="10">
        <f>IF(ISBLANK(ESales_DB[[#This Row],[Quantity]]),AVERAGEIF(ESales_DB[Product_ID],ESales_DB[[#This Row],[Product_ID]],ESales_DB[Quantity]),ESales_DB[[#This Row],[Quantity]])</f>
        <v>2</v>
      </c>
      <c r="I1255" s="2">
        <v>610.37</v>
      </c>
      <c r="J1255">
        <v>0.1</v>
      </c>
      <c r="K1255" t="s">
        <v>1826</v>
      </c>
      <c r="L1255" s="2">
        <v>1098.6659999999999</v>
      </c>
      <c r="M1255" s="2" t="str">
        <f>IF(ESales_DB[[#This Row],[Total_Amount]]&gt;1000,"High","Low")</f>
        <v>High</v>
      </c>
      <c r="N1255" s="2" t="str">
        <f>VLOOKUP(ESales_DB[[#This Row],[Customer_ID]],Ecustom_DB[],3,FALSE)</f>
        <v>Dr. Suzanne Bullock</v>
      </c>
      <c r="O1255" s="2" t="str">
        <f>_xlfn.XLOOKUP(ESales_DB[[#This Row],[Product_ID]],Eproduct_DB[Product_ID],Eproduct_DB[Category])</f>
        <v>Electronics</v>
      </c>
      <c r="P1255" s="2" t="str">
        <f>_xlfn.XLOOKUP(ESales_DB[[#This Row],[Product_ID]],Eproduct_DB[Product_ID],Eproduct_DB[Product_Name])</f>
        <v>USB-C Fast Charger</v>
      </c>
      <c r="Q1255" s="2" t="str">
        <f>_xlfn.XLOOKUP(ESales_DB[[#This Row],[Store_ID]],Estore_DB[Store_ID],Estore_DB[Region])</f>
        <v>North</v>
      </c>
      <c r="R1255" t="str">
        <f>VLOOKUP(ESales_DB[[#This Row],[Customer_ID]],Ecustom_DB[],10,FALSE)</f>
        <v>Platinum</v>
      </c>
      <c r="S1255" t="str">
        <f>IF(ESales_DB[[#This Row],[Quantity1]]&gt;3,"Bulk order","Normal order")</f>
        <v>Normal order</v>
      </c>
    </row>
    <row r="1256" spans="1:19" x14ac:dyDescent="0.3">
      <c r="A1256" t="s">
        <v>2153</v>
      </c>
      <c r="B1256" s="4">
        <v>45240</v>
      </c>
      <c r="C1256" s="4" t="str">
        <f>TEXT(ESales_DB[[#This Row],[Order_Date]],"mmm")</f>
        <v>Nov</v>
      </c>
      <c r="D1256" t="s">
        <v>1050</v>
      </c>
      <c r="E1256" t="s">
        <v>1650</v>
      </c>
      <c r="F1256" t="s">
        <v>1804</v>
      </c>
      <c r="G1256">
        <v>1</v>
      </c>
      <c r="H1256" s="10">
        <f>IF(ISBLANK(ESales_DB[[#This Row],[Quantity]]),AVERAGEIF(ESales_DB[Product_ID],ESales_DB[[#This Row],[Product_ID]],ESales_DB[Quantity]),ESales_DB[[#This Row],[Quantity]])</f>
        <v>1</v>
      </c>
      <c r="I1256" s="2">
        <v>272.2</v>
      </c>
      <c r="J1256">
        <v>0.3</v>
      </c>
      <c r="K1256" t="s">
        <v>1824</v>
      </c>
      <c r="L1256" s="2">
        <v>190.54</v>
      </c>
      <c r="M1256" s="2" t="str">
        <f>IF(ESales_DB[[#This Row],[Total_Amount]]&gt;1000,"High","Low")</f>
        <v>Low</v>
      </c>
      <c r="N1256" s="2" t="str">
        <f>VLOOKUP(ESales_DB[[#This Row],[Customer_ID]],Ecustom_DB[],3,FALSE)</f>
        <v>Mr. Christopher Sims</v>
      </c>
      <c r="O1256" s="2" t="str">
        <f>_xlfn.XLOOKUP(ESales_DB[[#This Row],[Product_ID]],Eproduct_DB[Product_ID],Eproduct_DB[Category])</f>
        <v>Electronics</v>
      </c>
      <c r="P1256" s="2" t="str">
        <f>_xlfn.XLOOKUP(ESales_DB[[#This Row],[Product_ID]],Eproduct_DB[Product_ID],Eproduct_DB[Product_Name])</f>
        <v>HDMI Cable – 2m</v>
      </c>
      <c r="Q1256" s="2" t="str">
        <f>_xlfn.XLOOKUP(ESales_DB[[#This Row],[Store_ID]],Estore_DB[Store_ID],Estore_DB[Region])</f>
        <v>West</v>
      </c>
      <c r="R1256" t="str">
        <f>VLOOKUP(ESales_DB[[#This Row],[Customer_ID]],Ecustom_DB[],10,FALSE)</f>
        <v>Silver</v>
      </c>
      <c r="S1256" t="str">
        <f>IF(ESales_DB[[#This Row],[Quantity1]]&gt;3,"Bulk order","Normal order")</f>
        <v>Normal order</v>
      </c>
    </row>
    <row r="1257" spans="1:19" x14ac:dyDescent="0.3">
      <c r="A1257" t="s">
        <v>2154</v>
      </c>
      <c r="B1257" s="4">
        <v>45349</v>
      </c>
      <c r="C1257" s="4" t="str">
        <f>TEXT(ESales_DB[[#This Row],[Order_Date]],"mmm")</f>
        <v>Feb</v>
      </c>
      <c r="D1257" t="s">
        <v>1357</v>
      </c>
      <c r="E1257" t="s">
        <v>1702</v>
      </c>
      <c r="F1257" t="s">
        <v>1776</v>
      </c>
      <c r="G1257">
        <v>3</v>
      </c>
      <c r="H1257" s="10">
        <f>IF(ISBLANK(ESales_DB[[#This Row],[Quantity]]),AVERAGEIF(ESales_DB[Product_ID],ESales_DB[[#This Row],[Product_ID]],ESales_DB[Quantity]),ESales_DB[[#This Row],[Quantity]])</f>
        <v>3</v>
      </c>
      <c r="I1257" s="2">
        <v>573.1</v>
      </c>
      <c r="J1257">
        <v>0.16</v>
      </c>
      <c r="K1257" t="s">
        <v>1829</v>
      </c>
      <c r="L1257" s="2">
        <v>1444.212</v>
      </c>
      <c r="M1257" s="2" t="str">
        <f>IF(ESales_DB[[#This Row],[Total_Amount]]&gt;1000,"High","Low")</f>
        <v>High</v>
      </c>
      <c r="N1257" s="2" t="str">
        <f>VLOOKUP(ESales_DB[[#This Row],[Customer_ID]],Ecustom_DB[],3,FALSE)</f>
        <v>Monica Flynn</v>
      </c>
      <c r="O1257" s="2" t="str">
        <f>_xlfn.XLOOKUP(ESales_DB[[#This Row],[Product_ID]],Eproduct_DB[Product_ID],Eproduct_DB[Category])</f>
        <v>Electronics</v>
      </c>
      <c r="P1257" s="2" t="str">
        <f>_xlfn.XLOOKUP(ESales_DB[[#This Row],[Product_ID]],Eproduct_DB[Product_ID],Eproduct_DB[Product_Name])</f>
        <v>WiFi Mesh Router</v>
      </c>
      <c r="Q1257" s="2" t="str">
        <f>_xlfn.XLOOKUP(ESales_DB[[#This Row],[Store_ID]],Estore_DB[Store_ID],Estore_DB[Region])</f>
        <v>East</v>
      </c>
      <c r="R1257" t="str">
        <f>VLOOKUP(ESales_DB[[#This Row],[Customer_ID]],Ecustom_DB[],10,FALSE)</f>
        <v>Platinum</v>
      </c>
      <c r="S1257" t="str">
        <f>IF(ESales_DB[[#This Row],[Quantity1]]&gt;3,"Bulk order","Normal order")</f>
        <v>Normal order</v>
      </c>
    </row>
    <row r="1258" spans="1:19" x14ac:dyDescent="0.3">
      <c r="A1258" t="s">
        <v>2155</v>
      </c>
      <c r="B1258" s="4">
        <v>45756</v>
      </c>
      <c r="C1258" s="4" t="str">
        <f>TEXT(ESales_DB[[#This Row],[Order_Date]],"mmm")</f>
        <v>Apr</v>
      </c>
      <c r="D1258" t="s">
        <v>1014</v>
      </c>
      <c r="E1258" t="s">
        <v>1557</v>
      </c>
      <c r="F1258" t="s">
        <v>1752</v>
      </c>
      <c r="G1258">
        <v>4</v>
      </c>
      <c r="H1258" s="10">
        <f>IF(ISBLANK(ESales_DB[[#This Row],[Quantity]]),AVERAGEIF(ESales_DB[Product_ID],ESales_DB[[#This Row],[Product_ID]],ESales_DB[Quantity]),ESales_DB[[#This Row],[Quantity]])</f>
        <v>4</v>
      </c>
      <c r="I1258" s="2">
        <v>24.72</v>
      </c>
      <c r="J1258">
        <v>0.28000000000000003</v>
      </c>
      <c r="K1258" t="s">
        <v>1824</v>
      </c>
      <c r="L1258" s="2">
        <v>71.193599999999989</v>
      </c>
      <c r="M1258" s="2" t="str">
        <f>IF(ESales_DB[[#This Row],[Total_Amount]]&gt;1000,"High","Low")</f>
        <v>Low</v>
      </c>
      <c r="N1258" s="2" t="str">
        <f>VLOOKUP(ESales_DB[[#This Row],[Customer_ID]],Ecustom_DB[],3,FALSE)</f>
        <v>Samuel Arias</v>
      </c>
      <c r="O1258" s="2" t="str">
        <f>_xlfn.XLOOKUP(ESales_DB[[#This Row],[Product_ID]],Eproduct_DB[Product_ID],Eproduct_DB[Category])</f>
        <v>Beauty</v>
      </c>
      <c r="P1258" s="2" t="str">
        <f>_xlfn.XLOOKUP(ESales_DB[[#This Row],[Product_ID]],Eproduct_DB[Product_ID],Eproduct_DB[Product_Name])</f>
        <v>Herbal Face Moisturizer</v>
      </c>
      <c r="Q1258" s="2" t="str">
        <f>_xlfn.XLOOKUP(ESales_DB[[#This Row],[Store_ID]],Estore_DB[Store_ID],Estore_DB[Region])</f>
        <v>East</v>
      </c>
      <c r="R1258" t="str">
        <f>VLOOKUP(ESales_DB[[#This Row],[Customer_ID]],Ecustom_DB[],10,FALSE)</f>
        <v>Bronze</v>
      </c>
      <c r="S1258" t="str">
        <f>IF(ESales_DB[[#This Row],[Quantity1]]&gt;3,"Bulk order","Normal order")</f>
        <v>Bulk order</v>
      </c>
    </row>
    <row r="1259" spans="1:19" x14ac:dyDescent="0.3">
      <c r="A1259" t="s">
        <v>1859</v>
      </c>
      <c r="B1259" s="4">
        <v>45620</v>
      </c>
      <c r="C1259" s="4" t="str">
        <f>TEXT(ESales_DB[[#This Row],[Order_Date]],"mmm")</f>
        <v>Nov</v>
      </c>
      <c r="D1259" t="s">
        <v>1400</v>
      </c>
      <c r="E1259" t="s">
        <v>1572</v>
      </c>
      <c r="F1259" t="s">
        <v>1776</v>
      </c>
      <c r="G1259">
        <v>2</v>
      </c>
      <c r="H1259" s="10">
        <f>IF(ISBLANK(ESales_DB[[#This Row],[Quantity]]),AVERAGEIF(ESales_DB[Product_ID],ESales_DB[[#This Row],[Product_ID]],ESales_DB[Quantity]),ESales_DB[[#This Row],[Quantity]])</f>
        <v>2</v>
      </c>
      <c r="I1259" s="2">
        <v>717.31</v>
      </c>
      <c r="J1259">
        <v>0.15</v>
      </c>
      <c r="K1259" t="s">
        <v>1824</v>
      </c>
      <c r="L1259" s="2">
        <v>1219.4269999999999</v>
      </c>
      <c r="M1259" s="2" t="str">
        <f>IF(ESales_DB[[#This Row],[Total_Amount]]&gt;1000,"High","Low")</f>
        <v>High</v>
      </c>
      <c r="N1259" s="2" t="str">
        <f>VLOOKUP(ESales_DB[[#This Row],[Customer_ID]],Ecustom_DB[],3,FALSE)</f>
        <v>April Phillips</v>
      </c>
      <c r="O1259" s="2" t="str">
        <f>_xlfn.XLOOKUP(ESales_DB[[#This Row],[Product_ID]],Eproduct_DB[Product_ID],Eproduct_DB[Category])</f>
        <v>Beauty</v>
      </c>
      <c r="P1259" s="2" t="str">
        <f>_xlfn.XLOOKUP(ESales_DB[[#This Row],[Product_ID]],Eproduct_DB[Product_ID],Eproduct_DB[Product_Name])</f>
        <v>Hair Strengthening Shampoo</v>
      </c>
      <c r="Q1259" s="2" t="str">
        <f>_xlfn.XLOOKUP(ESales_DB[[#This Row],[Store_ID]],Estore_DB[Store_ID],Estore_DB[Region])</f>
        <v>East</v>
      </c>
      <c r="R1259" t="str">
        <f>VLOOKUP(ESales_DB[[#This Row],[Customer_ID]],Ecustom_DB[],10,FALSE)</f>
        <v>Platinum</v>
      </c>
      <c r="S1259" t="str">
        <f>IF(ESales_DB[[#This Row],[Quantity1]]&gt;3,"Bulk order","Normal order")</f>
        <v>Normal order</v>
      </c>
    </row>
    <row r="1260" spans="1:19" x14ac:dyDescent="0.3">
      <c r="A1260" t="s">
        <v>2156</v>
      </c>
      <c r="B1260" s="4">
        <v>45478</v>
      </c>
      <c r="C1260" s="4" t="str">
        <f>TEXT(ESales_DB[[#This Row],[Order_Date]],"mmm")</f>
        <v>Jul</v>
      </c>
      <c r="D1260" t="s">
        <v>803</v>
      </c>
      <c r="E1260" t="s">
        <v>1565</v>
      </c>
      <c r="F1260" t="s">
        <v>1786</v>
      </c>
      <c r="G1260">
        <v>3</v>
      </c>
      <c r="H1260" s="10">
        <f>IF(ISBLANK(ESales_DB[[#This Row],[Quantity]]),AVERAGEIF(ESales_DB[Product_ID],ESales_DB[[#This Row],[Product_ID]],ESales_DB[Quantity]),ESales_DB[[#This Row],[Quantity]])</f>
        <v>3</v>
      </c>
      <c r="I1260" s="2">
        <v>268.89</v>
      </c>
      <c r="J1260">
        <v>7.0000000000000007E-2</v>
      </c>
      <c r="K1260" t="s">
        <v>1829</v>
      </c>
      <c r="L1260" s="2">
        <v>750.20309999999995</v>
      </c>
      <c r="M1260" s="2" t="str">
        <f>IF(ESales_DB[[#This Row],[Total_Amount]]&gt;1000,"High","Low")</f>
        <v>Low</v>
      </c>
      <c r="N1260" s="2" t="str">
        <f>VLOOKUP(ESales_DB[[#This Row],[Customer_ID]],Ecustom_DB[],3,FALSE)</f>
        <v>Tyler Garner</v>
      </c>
      <c r="O1260" s="2" t="str">
        <f>_xlfn.XLOOKUP(ESales_DB[[#This Row],[Product_ID]],Eproduct_DB[Product_ID],Eproduct_DB[Category])</f>
        <v>Sports</v>
      </c>
      <c r="P1260" s="2" t="str">
        <f>_xlfn.XLOOKUP(ESales_DB[[#This Row],[Product_ID]],Eproduct_DB[Product_ID],Eproduct_DB[Product_Name])</f>
        <v>Adjustable Dumbbell Set</v>
      </c>
      <c r="Q1260" s="2" t="str">
        <f>_xlfn.XLOOKUP(ESales_DB[[#This Row],[Store_ID]],Estore_DB[Store_ID],Estore_DB[Region])</f>
        <v>South</v>
      </c>
      <c r="R1260" t="str">
        <f>VLOOKUP(ESales_DB[[#This Row],[Customer_ID]],Ecustom_DB[],10,FALSE)</f>
        <v>Silver</v>
      </c>
      <c r="S1260" t="str">
        <f>IF(ESales_DB[[#This Row],[Quantity1]]&gt;3,"Bulk order","Normal order")</f>
        <v>Normal order</v>
      </c>
    </row>
    <row r="1261" spans="1:19" x14ac:dyDescent="0.3">
      <c r="A1261" t="s">
        <v>2157</v>
      </c>
      <c r="B1261" s="4">
        <v>45890</v>
      </c>
      <c r="C1261" s="4" t="str">
        <f>TEXT(ESales_DB[[#This Row],[Order_Date]],"mmm")</f>
        <v>Aug</v>
      </c>
      <c r="D1261" t="s">
        <v>821</v>
      </c>
      <c r="E1261" t="s">
        <v>1684</v>
      </c>
      <c r="F1261" t="s">
        <v>1786</v>
      </c>
      <c r="G1261">
        <v>1</v>
      </c>
      <c r="H1261" s="10">
        <f>IF(ISBLANK(ESales_DB[[#This Row],[Quantity]]),AVERAGEIF(ESales_DB[Product_ID],ESales_DB[[#This Row],[Product_ID]],ESales_DB[Quantity]),ESales_DB[[#This Row],[Quantity]])</f>
        <v>1</v>
      </c>
      <c r="I1261" s="2">
        <v>78.5</v>
      </c>
      <c r="J1261">
        <v>0.17</v>
      </c>
      <c r="K1261" t="s">
        <v>1829</v>
      </c>
      <c r="L1261" s="2">
        <v>65.155000000000001</v>
      </c>
      <c r="M1261" s="2" t="str">
        <f>IF(ESales_DB[[#This Row],[Total_Amount]]&gt;1000,"High","Low")</f>
        <v>Low</v>
      </c>
      <c r="N1261" s="2" t="str">
        <f>VLOOKUP(ESales_DB[[#This Row],[Customer_ID]],Ecustom_DB[],3,FALSE)</f>
        <v>Christopher David</v>
      </c>
      <c r="O1261" s="2" t="str">
        <f>_xlfn.XLOOKUP(ESales_DB[[#This Row],[Product_ID]],Eproduct_DB[Product_ID],Eproduct_DB[Category])</f>
        <v>Home</v>
      </c>
      <c r="P1261" s="2" t="str">
        <f>_xlfn.XLOOKUP(ESales_DB[[#This Row],[Product_ID]],Eproduct_DB[Product_ID],Eproduct_DB[Product_Name])</f>
        <v>Wooden Nightstand</v>
      </c>
      <c r="Q1261" s="2" t="str">
        <f>_xlfn.XLOOKUP(ESales_DB[[#This Row],[Store_ID]],Estore_DB[Store_ID],Estore_DB[Region])</f>
        <v>South</v>
      </c>
      <c r="R1261" t="str">
        <f>VLOOKUP(ESales_DB[[#This Row],[Customer_ID]],Ecustom_DB[],10,FALSE)</f>
        <v>Silver</v>
      </c>
      <c r="S1261" t="str">
        <f>IF(ESales_DB[[#This Row],[Quantity1]]&gt;3,"Bulk order","Normal order")</f>
        <v>Normal order</v>
      </c>
    </row>
    <row r="1262" spans="1:19" x14ac:dyDescent="0.3">
      <c r="A1262" t="s">
        <v>2158</v>
      </c>
      <c r="B1262" s="4">
        <v>45815</v>
      </c>
      <c r="C1262" s="4" t="str">
        <f>TEXT(ESales_DB[[#This Row],[Order_Date]],"mmm")</f>
        <v>Jun</v>
      </c>
      <c r="D1262" t="s">
        <v>455</v>
      </c>
      <c r="E1262" t="s">
        <v>1620</v>
      </c>
      <c r="F1262" t="s">
        <v>1769</v>
      </c>
      <c r="G1262">
        <v>3</v>
      </c>
      <c r="H1262" s="10">
        <f>IF(ISBLANK(ESales_DB[[#This Row],[Quantity]]),AVERAGEIF(ESales_DB[Product_ID],ESales_DB[[#This Row],[Product_ID]],ESales_DB[Quantity]),ESales_DB[[#This Row],[Quantity]])</f>
        <v>3</v>
      </c>
      <c r="I1262" s="2">
        <v>399.42</v>
      </c>
      <c r="J1262">
        <v>0.02</v>
      </c>
      <c r="K1262" t="s">
        <v>1824</v>
      </c>
      <c r="L1262" s="2">
        <v>1174.2947999999999</v>
      </c>
      <c r="M1262" s="2" t="str">
        <f>IF(ESales_DB[[#This Row],[Total_Amount]]&gt;1000,"High","Low")</f>
        <v>High</v>
      </c>
      <c r="N1262" s="2" t="str">
        <f>VLOOKUP(ESales_DB[[#This Row],[Customer_ID]],Ecustom_DB[],3,FALSE)</f>
        <v>Hayley Pope</v>
      </c>
      <c r="O1262" s="2" t="str">
        <f>_xlfn.XLOOKUP(ESales_DB[[#This Row],[Product_ID]],Eproduct_DB[Product_ID],Eproduct_DB[Category])</f>
        <v>Clothing</v>
      </c>
      <c r="P1262" s="2" t="str">
        <f>_xlfn.XLOOKUP(ESales_DB[[#This Row],[Product_ID]],Eproduct_DB[Product_ID],Eproduct_DB[Product_Name])</f>
        <v>Women's Summer Dress</v>
      </c>
      <c r="Q1262" s="2" t="str">
        <f>_xlfn.XLOOKUP(ESales_DB[[#This Row],[Store_ID]],Estore_DB[Store_ID],Estore_DB[Region])</f>
        <v>South</v>
      </c>
      <c r="R1262" t="str">
        <f>VLOOKUP(ESales_DB[[#This Row],[Customer_ID]],Ecustom_DB[],10,FALSE)</f>
        <v>Bronze</v>
      </c>
      <c r="S1262" t="str">
        <f>IF(ESales_DB[[#This Row],[Quantity1]]&gt;3,"Bulk order","Normal order")</f>
        <v>Normal order</v>
      </c>
    </row>
    <row r="1263" spans="1:19" x14ac:dyDescent="0.3">
      <c r="A1263" t="s">
        <v>2159</v>
      </c>
      <c r="B1263" s="4">
        <v>45891</v>
      </c>
      <c r="C1263" s="4" t="str">
        <f>TEXT(ESales_DB[[#This Row],[Order_Date]],"mmm")</f>
        <v>Aug</v>
      </c>
      <c r="D1263" t="s">
        <v>307</v>
      </c>
      <c r="E1263" t="s">
        <v>1610</v>
      </c>
      <c r="F1263" t="s">
        <v>1813</v>
      </c>
      <c r="G1263">
        <v>3</v>
      </c>
      <c r="H1263" s="10">
        <f>IF(ISBLANK(ESales_DB[[#This Row],[Quantity]]),AVERAGEIF(ESales_DB[Product_ID],ESales_DB[[#This Row],[Product_ID]],ESales_DB[Quantity]),ESales_DB[[#This Row],[Quantity]])</f>
        <v>3</v>
      </c>
      <c r="I1263" s="2">
        <v>455.82</v>
      </c>
      <c r="J1263">
        <v>0.01</v>
      </c>
      <c r="K1263" t="s">
        <v>1826</v>
      </c>
      <c r="L1263" s="2">
        <v>1353.7854</v>
      </c>
      <c r="M1263" s="2" t="str">
        <f>IF(ESales_DB[[#This Row],[Total_Amount]]&gt;1000,"High","Low")</f>
        <v>High</v>
      </c>
      <c r="N1263" s="2" t="str">
        <f>VLOOKUP(ESales_DB[[#This Row],[Customer_ID]],Ecustom_DB[],3,FALSE)</f>
        <v>Richard Delgado</v>
      </c>
      <c r="O1263" s="2" t="str">
        <f>_xlfn.XLOOKUP(ESales_DB[[#This Row],[Product_ID]],Eproduct_DB[Product_ID],Eproduct_DB[Category])</f>
        <v>Sports</v>
      </c>
      <c r="P1263" s="2" t="str">
        <f>_xlfn.XLOOKUP(ESales_DB[[#This Row],[Product_ID]],Eproduct_DB[Product_ID],Eproduct_DB[Product_Name])</f>
        <v>Basketball</v>
      </c>
      <c r="Q1263" s="2" t="str">
        <f>_xlfn.XLOOKUP(ESales_DB[[#This Row],[Store_ID]],Estore_DB[Store_ID],Estore_DB[Region])</f>
        <v>East</v>
      </c>
      <c r="R1263" t="str">
        <f>VLOOKUP(ESales_DB[[#This Row],[Customer_ID]],Ecustom_DB[],10,FALSE)</f>
        <v>Silver</v>
      </c>
      <c r="S1263" t="str">
        <f>IF(ESales_DB[[#This Row],[Quantity1]]&gt;3,"Bulk order","Normal order")</f>
        <v>Normal order</v>
      </c>
    </row>
    <row r="1264" spans="1:19" x14ac:dyDescent="0.3">
      <c r="A1264" t="s">
        <v>2160</v>
      </c>
      <c r="B1264" s="4">
        <v>45609</v>
      </c>
      <c r="C1264" s="4" t="str">
        <f>TEXT(ESales_DB[[#This Row],[Order_Date]],"mmm")</f>
        <v>Nov</v>
      </c>
      <c r="D1264" t="s">
        <v>1095</v>
      </c>
      <c r="E1264" t="s">
        <v>1648</v>
      </c>
      <c r="F1264" t="s">
        <v>1773</v>
      </c>
      <c r="G1264">
        <v>2</v>
      </c>
      <c r="H1264" s="10">
        <f>IF(ISBLANK(ESales_DB[[#This Row],[Quantity]]),AVERAGEIF(ESales_DB[Product_ID],ESales_DB[[#This Row],[Product_ID]],ESales_DB[Quantity]),ESales_DB[[#This Row],[Quantity]])</f>
        <v>2</v>
      </c>
      <c r="I1264" s="2">
        <v>613.23</v>
      </c>
      <c r="J1264">
        <v>0.15</v>
      </c>
      <c r="K1264" t="s">
        <v>1826</v>
      </c>
      <c r="L1264" s="2">
        <v>1042.491</v>
      </c>
      <c r="M1264" s="2" t="str">
        <f>IF(ESales_DB[[#This Row],[Total_Amount]]&gt;1000,"High","Low")</f>
        <v>High</v>
      </c>
      <c r="N1264" s="2" t="str">
        <f>VLOOKUP(ESales_DB[[#This Row],[Customer_ID]],Ecustom_DB[],3,FALSE)</f>
        <v>Heather Valenzuela</v>
      </c>
      <c r="O1264" s="2" t="str">
        <f>_xlfn.XLOOKUP(ESales_DB[[#This Row],[Product_ID]],Eproduct_DB[Product_ID],Eproduct_DB[Category])</f>
        <v>Sports</v>
      </c>
      <c r="P1264" s="2" t="str">
        <f>_xlfn.XLOOKUP(ESales_DB[[#This Row],[Product_ID]],Eproduct_DB[Product_ID],Eproduct_DB[Product_Name])</f>
        <v>Boxing Hand Wraps</v>
      </c>
      <c r="Q1264" s="2" t="str">
        <f>_xlfn.XLOOKUP(ESales_DB[[#This Row],[Store_ID]],Estore_DB[Store_ID],Estore_DB[Region])</f>
        <v>North</v>
      </c>
      <c r="R1264" t="str">
        <f>VLOOKUP(ESales_DB[[#This Row],[Customer_ID]],Ecustom_DB[],10,FALSE)</f>
        <v>Bronze</v>
      </c>
      <c r="S1264" t="str">
        <f>IF(ESales_DB[[#This Row],[Quantity1]]&gt;3,"Bulk order","Normal order")</f>
        <v>Normal order</v>
      </c>
    </row>
    <row r="1265" spans="1:19" x14ac:dyDescent="0.3">
      <c r="A1265" t="s">
        <v>2161</v>
      </c>
      <c r="B1265" s="4">
        <v>45309</v>
      </c>
      <c r="C1265" s="4" t="str">
        <f>TEXT(ESales_DB[[#This Row],[Order_Date]],"mmm")</f>
        <v>Jan</v>
      </c>
      <c r="D1265" t="s">
        <v>1414</v>
      </c>
      <c r="E1265" t="s">
        <v>1549</v>
      </c>
      <c r="F1265" t="s">
        <v>1799</v>
      </c>
      <c r="G1265">
        <v>4</v>
      </c>
      <c r="H1265" s="10">
        <f>IF(ISBLANK(ESales_DB[[#This Row],[Quantity]]),AVERAGEIF(ESales_DB[Product_ID],ESales_DB[[#This Row],[Product_ID]],ESales_DB[Quantity]),ESales_DB[[#This Row],[Quantity]])</f>
        <v>4</v>
      </c>
      <c r="I1265" s="2">
        <v>971.9</v>
      </c>
      <c r="J1265">
        <v>0.28000000000000003</v>
      </c>
      <c r="K1265" t="s">
        <v>1826</v>
      </c>
      <c r="L1265" s="2">
        <v>2799.0720000000001</v>
      </c>
      <c r="M1265" s="2" t="str">
        <f>IF(ESales_DB[[#This Row],[Total_Amount]]&gt;1000,"High","Low")</f>
        <v>High</v>
      </c>
      <c r="N1265" s="2" t="str">
        <f>VLOOKUP(ESales_DB[[#This Row],[Customer_ID]],Ecustom_DB[],3,FALSE)</f>
        <v>Kelly Garrett</v>
      </c>
      <c r="O1265" s="2" t="str">
        <f>_xlfn.XLOOKUP(ESales_DB[[#This Row],[Product_ID]],Eproduct_DB[Product_ID],Eproduct_DB[Category])</f>
        <v>Clothing</v>
      </c>
      <c r="P1265" s="2" t="str">
        <f>_xlfn.XLOOKUP(ESales_DB[[#This Row],[Product_ID]],Eproduct_DB[Product_ID],Eproduct_DB[Product_Name])</f>
        <v>Women's Casual Hoodie</v>
      </c>
      <c r="Q1265" s="2" t="str">
        <f>_xlfn.XLOOKUP(ESales_DB[[#This Row],[Store_ID]],Estore_DB[Store_ID],Estore_DB[Region])</f>
        <v>South</v>
      </c>
      <c r="R1265" t="str">
        <f>VLOOKUP(ESales_DB[[#This Row],[Customer_ID]],Ecustom_DB[],10,FALSE)</f>
        <v>Silver</v>
      </c>
      <c r="S1265" t="str">
        <f>IF(ESales_DB[[#This Row],[Quantity1]]&gt;3,"Bulk order","Normal order")</f>
        <v>Bulk order</v>
      </c>
    </row>
    <row r="1266" spans="1:19" x14ac:dyDescent="0.3">
      <c r="A1266" t="s">
        <v>2162</v>
      </c>
      <c r="B1266" s="4">
        <v>45519</v>
      </c>
      <c r="C1266" s="4" t="str">
        <f>TEXT(ESales_DB[[#This Row],[Order_Date]],"mmm")</f>
        <v>Aug</v>
      </c>
      <c r="D1266" t="s">
        <v>137</v>
      </c>
      <c r="E1266" t="s">
        <v>1604</v>
      </c>
      <c r="F1266" t="s">
        <v>1779</v>
      </c>
      <c r="G1266">
        <v>3</v>
      </c>
      <c r="H1266" s="10">
        <f>IF(ISBLANK(ESales_DB[[#This Row],[Quantity]]),AVERAGEIF(ESales_DB[Product_ID],ESales_DB[[#This Row],[Product_ID]],ESales_DB[Quantity]),ESales_DB[[#This Row],[Quantity]])</f>
        <v>3</v>
      </c>
      <c r="I1266" s="2">
        <v>884.92</v>
      </c>
      <c r="J1266">
        <v>0.06</v>
      </c>
      <c r="K1266" t="s">
        <v>1826</v>
      </c>
      <c r="L1266" s="2">
        <v>2495.4744000000001</v>
      </c>
      <c r="M1266" s="2" t="str">
        <f>IF(ESales_DB[[#This Row],[Total_Amount]]&gt;1000,"High","Low")</f>
        <v>High</v>
      </c>
      <c r="N1266" s="2" t="str">
        <f>VLOOKUP(ESales_DB[[#This Row],[Customer_ID]],Ecustom_DB[],3,FALSE)</f>
        <v>Christopher Olson</v>
      </c>
      <c r="O1266" s="2" t="str">
        <f>_xlfn.XLOOKUP(ESales_DB[[#This Row],[Product_ID]],Eproduct_DB[Product_ID],Eproduct_DB[Category])</f>
        <v>Sports</v>
      </c>
      <c r="P1266" s="2" t="str">
        <f>_xlfn.XLOOKUP(ESales_DB[[#This Row],[Product_ID]],Eproduct_DB[Product_ID],Eproduct_DB[Product_Name])</f>
        <v>Sports Stopwatch Timer</v>
      </c>
      <c r="Q1266" s="2" t="str">
        <f>_xlfn.XLOOKUP(ESales_DB[[#This Row],[Store_ID]],Estore_DB[Store_ID],Estore_DB[Region])</f>
        <v>South</v>
      </c>
      <c r="R1266" t="str">
        <f>VLOOKUP(ESales_DB[[#This Row],[Customer_ID]],Ecustom_DB[],10,FALSE)</f>
        <v>Platinum</v>
      </c>
      <c r="S1266" t="str">
        <f>IF(ESales_DB[[#This Row],[Quantity1]]&gt;3,"Bulk order","Normal order")</f>
        <v>Normal order</v>
      </c>
    </row>
    <row r="1267" spans="1:19" x14ac:dyDescent="0.3">
      <c r="A1267" t="s">
        <v>2163</v>
      </c>
      <c r="B1267" s="4">
        <v>45921</v>
      </c>
      <c r="C1267" s="4" t="str">
        <f>TEXT(ESales_DB[[#This Row],[Order_Date]],"mmm")</f>
        <v>Sep</v>
      </c>
      <c r="D1267" t="s">
        <v>314</v>
      </c>
      <c r="E1267" t="s">
        <v>1562</v>
      </c>
      <c r="F1267" t="s">
        <v>1786</v>
      </c>
      <c r="G1267">
        <v>1</v>
      </c>
      <c r="H1267" s="10">
        <f>IF(ISBLANK(ESales_DB[[#This Row],[Quantity]]),AVERAGEIF(ESales_DB[Product_ID],ESales_DB[[#This Row],[Product_ID]],ESales_DB[Quantity]),ESales_DB[[#This Row],[Quantity]])</f>
        <v>1</v>
      </c>
      <c r="I1267" s="2">
        <v>125</v>
      </c>
      <c r="J1267">
        <v>0.23</v>
      </c>
      <c r="K1267" t="s">
        <v>1824</v>
      </c>
      <c r="L1267" s="2">
        <v>96.25</v>
      </c>
      <c r="M1267" s="2" t="str">
        <f>IF(ESales_DB[[#This Row],[Total_Amount]]&gt;1000,"High","Low")</f>
        <v>Low</v>
      </c>
      <c r="N1267" s="2" t="str">
        <f>VLOOKUP(ESales_DB[[#This Row],[Customer_ID]],Ecustom_DB[],3,FALSE)</f>
        <v>Melissa Duffy Md</v>
      </c>
      <c r="O1267" s="2" t="str">
        <f>_xlfn.XLOOKUP(ESales_DB[[#This Row],[Product_ID]],Eproduct_DB[Product_ID],Eproduct_DB[Category])</f>
        <v>Electronics</v>
      </c>
      <c r="P1267" s="2" t="str">
        <f>_xlfn.XLOOKUP(ESales_DB[[#This Row],[Product_ID]],Eproduct_DB[Product_ID],Eproduct_DB[Product_Name])</f>
        <v>Wireless Bluetooth Earbuds</v>
      </c>
      <c r="Q1267" s="2" t="str">
        <f>_xlfn.XLOOKUP(ESales_DB[[#This Row],[Store_ID]],Estore_DB[Store_ID],Estore_DB[Region])</f>
        <v>South</v>
      </c>
      <c r="R1267" t="str">
        <f>VLOOKUP(ESales_DB[[#This Row],[Customer_ID]],Ecustom_DB[],10,FALSE)</f>
        <v>Bronze</v>
      </c>
      <c r="S1267" t="str">
        <f>IF(ESales_DB[[#This Row],[Quantity1]]&gt;3,"Bulk order","Normal order")</f>
        <v>Normal order</v>
      </c>
    </row>
    <row r="1268" spans="1:19" x14ac:dyDescent="0.3">
      <c r="A1268" t="s">
        <v>2164</v>
      </c>
      <c r="B1268" s="4">
        <v>45465</v>
      </c>
      <c r="C1268" s="4" t="str">
        <f>TEXT(ESales_DB[[#This Row],[Order_Date]],"mmm")</f>
        <v>Jun</v>
      </c>
      <c r="D1268" t="s">
        <v>441</v>
      </c>
      <c r="E1268" t="s">
        <v>1568</v>
      </c>
      <c r="F1268" t="s">
        <v>1801</v>
      </c>
      <c r="G1268">
        <v>2</v>
      </c>
      <c r="H1268" s="10">
        <f>IF(ISBLANK(ESales_DB[[#This Row],[Quantity]]),AVERAGEIF(ESales_DB[Product_ID],ESales_DB[[#This Row],[Product_ID]],ESales_DB[Quantity]),ESales_DB[[#This Row],[Quantity]])</f>
        <v>2</v>
      </c>
      <c r="I1268" s="2">
        <v>188.25</v>
      </c>
      <c r="J1268">
        <v>0.08</v>
      </c>
      <c r="K1268" t="s">
        <v>1826</v>
      </c>
      <c r="L1268" s="2">
        <v>346.38</v>
      </c>
      <c r="M1268" s="2" t="str">
        <f>IF(ESales_DB[[#This Row],[Total_Amount]]&gt;1000,"High","Low")</f>
        <v>Low</v>
      </c>
      <c r="N1268" s="2" t="str">
        <f>VLOOKUP(ESales_DB[[#This Row],[Customer_ID]],Ecustom_DB[],3,FALSE)</f>
        <v>Susan Mcdonald</v>
      </c>
      <c r="O1268" s="2" t="str">
        <f>_xlfn.XLOOKUP(ESales_DB[[#This Row],[Product_ID]],Eproduct_DB[Product_ID],Eproduct_DB[Category])</f>
        <v>Home</v>
      </c>
      <c r="P1268" s="2" t="str">
        <f>_xlfn.XLOOKUP(ESales_DB[[#This Row],[Product_ID]],Eproduct_DB[Product_ID],Eproduct_DB[Product_Name])</f>
        <v>Ceramic Kitchen Bowl Set</v>
      </c>
      <c r="Q1268" s="2" t="str">
        <f>_xlfn.XLOOKUP(ESales_DB[[#This Row],[Store_ID]],Estore_DB[Store_ID],Estore_DB[Region])</f>
        <v>North</v>
      </c>
      <c r="R1268" t="str">
        <f>VLOOKUP(ESales_DB[[#This Row],[Customer_ID]],Ecustom_DB[],10,FALSE)</f>
        <v>Silver</v>
      </c>
      <c r="S1268" t="str">
        <f>IF(ESales_DB[[#This Row],[Quantity1]]&gt;3,"Bulk order","Normal order")</f>
        <v>Normal order</v>
      </c>
    </row>
    <row r="1269" spans="1:19" x14ac:dyDescent="0.3">
      <c r="A1269" t="s">
        <v>2165</v>
      </c>
      <c r="B1269" s="4">
        <v>45303</v>
      </c>
      <c r="C1269" s="4" t="str">
        <f>TEXT(ESales_DB[[#This Row],[Order_Date]],"mmm")</f>
        <v>Jan</v>
      </c>
      <c r="D1269" t="s">
        <v>719</v>
      </c>
      <c r="E1269" t="s">
        <v>1640</v>
      </c>
      <c r="F1269" t="s">
        <v>1776</v>
      </c>
      <c r="G1269">
        <v>4</v>
      </c>
      <c r="H1269" s="10">
        <f>IF(ISBLANK(ESales_DB[[#This Row],[Quantity]]),AVERAGEIF(ESales_DB[Product_ID],ESales_DB[[#This Row],[Product_ID]],ESales_DB[Quantity]),ESales_DB[[#This Row],[Quantity]])</f>
        <v>4</v>
      </c>
      <c r="I1269" s="2">
        <v>344.12</v>
      </c>
      <c r="J1269">
        <v>0.25</v>
      </c>
      <c r="K1269" t="s">
        <v>1826</v>
      </c>
      <c r="L1269" s="2">
        <v>1032.3599999999999</v>
      </c>
      <c r="M1269" s="2" t="str">
        <f>IF(ESales_DB[[#This Row],[Total_Amount]]&gt;1000,"High","Low")</f>
        <v>High</v>
      </c>
      <c r="N1269" s="2" t="str">
        <f>VLOOKUP(ESales_DB[[#This Row],[Customer_ID]],Ecustom_DB[],3,FALSE)</f>
        <v>Alejandro Doyle</v>
      </c>
      <c r="O1269" s="2" t="str">
        <f>_xlfn.XLOOKUP(ESales_DB[[#This Row],[Product_ID]],Eproduct_DB[Product_ID],Eproduct_DB[Category])</f>
        <v>Clothing</v>
      </c>
      <c r="P1269" s="2" t="str">
        <f>_xlfn.XLOOKUP(ESales_DB[[#This Row],[Product_ID]],Eproduct_DB[Product_ID],Eproduct_DB[Product_Name])</f>
        <v>Men's Winter Jacket</v>
      </c>
      <c r="Q1269" s="2" t="str">
        <f>_xlfn.XLOOKUP(ESales_DB[[#This Row],[Store_ID]],Estore_DB[Store_ID],Estore_DB[Region])</f>
        <v>East</v>
      </c>
      <c r="R1269" t="str">
        <f>VLOOKUP(ESales_DB[[#This Row],[Customer_ID]],Ecustom_DB[],10,FALSE)</f>
        <v>Platinum</v>
      </c>
      <c r="S1269" t="str">
        <f>IF(ESales_DB[[#This Row],[Quantity1]]&gt;3,"Bulk order","Normal order")</f>
        <v>Bulk order</v>
      </c>
    </row>
    <row r="1270" spans="1:19" x14ac:dyDescent="0.3">
      <c r="A1270" t="s">
        <v>1860</v>
      </c>
      <c r="B1270" s="4">
        <v>45215</v>
      </c>
      <c r="C1270" s="4" t="str">
        <f>TEXT(ESales_DB[[#This Row],[Order_Date]],"mmm")</f>
        <v>Oct</v>
      </c>
      <c r="D1270" t="s">
        <v>1080</v>
      </c>
      <c r="E1270" t="s">
        <v>1706</v>
      </c>
      <c r="F1270" t="s">
        <v>1757</v>
      </c>
      <c r="H1270" s="10">
        <f>IF(ISBLANK(ESales_DB[[#This Row],[Quantity]]),AVERAGEIF(ESales_DB[Product_ID],ESales_DB[[#This Row],[Product_ID]],ESales_DB[Quantity]),ESales_DB[[#This Row],[Quantity]])</f>
        <v>2.2105263157894739</v>
      </c>
      <c r="I1270" s="2">
        <v>873.22</v>
      </c>
      <c r="J1270">
        <v>0.18</v>
      </c>
      <c r="K1270" t="s">
        <v>1824</v>
      </c>
      <c r="L1270" s="2">
        <v>2148.1212</v>
      </c>
      <c r="M1270" s="2" t="str">
        <f>IF(ESales_DB[[#This Row],[Total_Amount]]&gt;1000,"High","Low")</f>
        <v>High</v>
      </c>
      <c r="N1270" s="2" t="str">
        <f>VLOOKUP(ESales_DB[[#This Row],[Customer_ID]],Ecustom_DB[],3,FALSE)</f>
        <v>Evelyn Brown</v>
      </c>
      <c r="O1270" s="2" t="str">
        <f>_xlfn.XLOOKUP(ESales_DB[[#This Row],[Product_ID]],Eproduct_DB[Product_ID],Eproduct_DB[Category])</f>
        <v>Home</v>
      </c>
      <c r="P1270" s="2" t="str">
        <f>_xlfn.XLOOKUP(ESales_DB[[#This Row],[Product_ID]],Eproduct_DB[Product_ID],Eproduct_DB[Product_Name])</f>
        <v>Decorative Lamp Shade</v>
      </c>
      <c r="Q1270" s="2" t="str">
        <f>_xlfn.XLOOKUP(ESales_DB[[#This Row],[Store_ID]],Estore_DB[Store_ID],Estore_DB[Region])</f>
        <v>North</v>
      </c>
      <c r="R1270" t="str">
        <f>VLOOKUP(ESales_DB[[#This Row],[Customer_ID]],Ecustom_DB[],10,FALSE)</f>
        <v>Gold</v>
      </c>
      <c r="S1270" t="str">
        <f>IF(ESales_DB[[#This Row],[Quantity1]]&gt;3,"Bulk order","Normal order")</f>
        <v>Normal order</v>
      </c>
    </row>
    <row r="1271" spans="1:19" x14ac:dyDescent="0.3">
      <c r="A1271" t="s">
        <v>2166</v>
      </c>
      <c r="B1271" s="4">
        <v>45218</v>
      </c>
      <c r="C1271" s="4" t="str">
        <f>TEXT(ESales_DB[[#This Row],[Order_Date]],"mmm")</f>
        <v>Oct</v>
      </c>
      <c r="D1271" t="s">
        <v>181</v>
      </c>
      <c r="E1271" t="s">
        <v>1582</v>
      </c>
      <c r="F1271" t="s">
        <v>1813</v>
      </c>
      <c r="G1271">
        <v>3</v>
      </c>
      <c r="H1271" s="10">
        <f>IF(ISBLANK(ESales_DB[[#This Row],[Quantity]]),AVERAGEIF(ESales_DB[Product_ID],ESales_DB[[#This Row],[Product_ID]],ESales_DB[Quantity]),ESales_DB[[#This Row],[Quantity]])</f>
        <v>3</v>
      </c>
      <c r="I1271" s="2">
        <v>997.95</v>
      </c>
      <c r="J1271">
        <v>0.09</v>
      </c>
      <c r="K1271" t="s">
        <v>1829</v>
      </c>
      <c r="L1271" s="2">
        <v>2724.4034999999999</v>
      </c>
      <c r="M1271" s="2" t="str">
        <f>IF(ESales_DB[[#This Row],[Total_Amount]]&gt;1000,"High","Low")</f>
        <v>High</v>
      </c>
      <c r="N1271" s="2" t="str">
        <f>VLOOKUP(ESales_DB[[#This Row],[Customer_ID]],Ecustom_DB[],3,FALSE)</f>
        <v>Gina Knight</v>
      </c>
      <c r="O1271" s="2" t="str">
        <f>_xlfn.XLOOKUP(ESales_DB[[#This Row],[Product_ID]],Eproduct_DB[Product_ID],Eproduct_DB[Category])</f>
        <v>Sports</v>
      </c>
      <c r="P1271" s="2" t="str">
        <f>_xlfn.XLOOKUP(ESales_DB[[#This Row],[Product_ID]],Eproduct_DB[Product_ID],Eproduct_DB[Product_Name])</f>
        <v>Soccer Training Cone Set</v>
      </c>
      <c r="Q1271" s="2" t="str">
        <f>_xlfn.XLOOKUP(ESales_DB[[#This Row],[Store_ID]],Estore_DB[Store_ID],Estore_DB[Region])</f>
        <v>East</v>
      </c>
      <c r="R1271" t="str">
        <f>VLOOKUP(ESales_DB[[#This Row],[Customer_ID]],Ecustom_DB[],10,FALSE)</f>
        <v>Silver</v>
      </c>
      <c r="S1271" t="str">
        <f>IF(ESales_DB[[#This Row],[Quantity1]]&gt;3,"Bulk order","Normal order")</f>
        <v>Normal order</v>
      </c>
    </row>
    <row r="1272" spans="1:19" x14ac:dyDescent="0.3">
      <c r="A1272" t="s">
        <v>2167</v>
      </c>
      <c r="B1272" s="4">
        <v>45727</v>
      </c>
      <c r="C1272" s="4" t="str">
        <f>TEXT(ESales_DB[[#This Row],[Order_Date]],"mmm")</f>
        <v>Mar</v>
      </c>
      <c r="D1272" t="s">
        <v>505</v>
      </c>
      <c r="E1272" t="s">
        <v>1570</v>
      </c>
      <c r="F1272" t="s">
        <v>1801</v>
      </c>
      <c r="G1272">
        <v>3</v>
      </c>
      <c r="H1272" s="10">
        <f>IF(ISBLANK(ESales_DB[[#This Row],[Quantity]]),AVERAGEIF(ESales_DB[Product_ID],ESales_DB[[#This Row],[Product_ID]],ESales_DB[Quantity]),ESales_DB[[#This Row],[Quantity]])</f>
        <v>3</v>
      </c>
      <c r="I1272" s="2">
        <v>121.64</v>
      </c>
      <c r="J1272">
        <v>7.0000000000000007E-2</v>
      </c>
      <c r="K1272" t="s">
        <v>1826</v>
      </c>
      <c r="L1272" s="2">
        <v>339.37560000000002</v>
      </c>
      <c r="M1272" s="2" t="str">
        <f>IF(ESales_DB[[#This Row],[Total_Amount]]&gt;1000,"High","Low")</f>
        <v>Low</v>
      </c>
      <c r="N1272" s="2" t="str">
        <f>VLOOKUP(ESales_DB[[#This Row],[Customer_ID]],Ecustom_DB[],3,FALSE)</f>
        <v>Stephanie Conway</v>
      </c>
      <c r="O1272" s="2" t="str">
        <f>_xlfn.XLOOKUP(ESales_DB[[#This Row],[Product_ID]],Eproduct_DB[Product_ID],Eproduct_DB[Category])</f>
        <v>Electronics</v>
      </c>
      <c r="P1272" s="2" t="str">
        <f>_xlfn.XLOOKUP(ESales_DB[[#This Row],[Product_ID]],Eproduct_DB[Product_ID],Eproduct_DB[Product_Name])</f>
        <v>HD Smart TV Stick</v>
      </c>
      <c r="Q1272" s="2" t="str">
        <f>_xlfn.XLOOKUP(ESales_DB[[#This Row],[Store_ID]],Estore_DB[Store_ID],Estore_DB[Region])</f>
        <v>North</v>
      </c>
      <c r="R1272" t="str">
        <f>VLOOKUP(ESales_DB[[#This Row],[Customer_ID]],Ecustom_DB[],10,FALSE)</f>
        <v>Gold</v>
      </c>
      <c r="S1272" t="str">
        <f>IF(ESales_DB[[#This Row],[Quantity1]]&gt;3,"Bulk order","Normal order")</f>
        <v>Normal order</v>
      </c>
    </row>
    <row r="1273" spans="1:19" x14ac:dyDescent="0.3">
      <c r="A1273" t="s">
        <v>2168</v>
      </c>
      <c r="B1273" s="4">
        <v>45557</v>
      </c>
      <c r="C1273" s="4" t="str">
        <f>TEXT(ESales_DB[[#This Row],[Order_Date]],"mmm")</f>
        <v>Sep</v>
      </c>
      <c r="D1273" t="s">
        <v>716</v>
      </c>
      <c r="E1273" t="s">
        <v>1684</v>
      </c>
      <c r="F1273" t="s">
        <v>1789</v>
      </c>
      <c r="G1273">
        <v>2</v>
      </c>
      <c r="H1273" s="10">
        <f>IF(ISBLANK(ESales_DB[[#This Row],[Quantity]]),AVERAGEIF(ESales_DB[Product_ID],ESales_DB[[#This Row],[Product_ID]],ESales_DB[Quantity]),ESales_DB[[#This Row],[Quantity]])</f>
        <v>2</v>
      </c>
      <c r="I1273" s="2">
        <v>692.72</v>
      </c>
      <c r="J1273">
        <v>0.13</v>
      </c>
      <c r="K1273" t="s">
        <v>1826</v>
      </c>
      <c r="L1273" s="2">
        <v>1205.3327999999999</v>
      </c>
      <c r="M1273" s="2" t="str">
        <f>IF(ESales_DB[[#This Row],[Total_Amount]]&gt;1000,"High","Low")</f>
        <v>High</v>
      </c>
      <c r="N1273" s="2" t="str">
        <f>VLOOKUP(ESales_DB[[#This Row],[Customer_ID]],Ecustom_DB[],3,FALSE)</f>
        <v>Lisa Young</v>
      </c>
      <c r="O1273" s="2" t="str">
        <f>_xlfn.XLOOKUP(ESales_DB[[#This Row],[Product_ID]],Eproduct_DB[Product_ID],Eproduct_DB[Category])</f>
        <v>Home</v>
      </c>
      <c r="P1273" s="2" t="str">
        <f>_xlfn.XLOOKUP(ESales_DB[[#This Row],[Product_ID]],Eproduct_DB[Product_ID],Eproduct_DB[Product_Name])</f>
        <v>Wooden Nightstand</v>
      </c>
      <c r="Q1273" s="2" t="str">
        <f>_xlfn.XLOOKUP(ESales_DB[[#This Row],[Store_ID]],Estore_DB[Store_ID],Estore_DB[Region])</f>
        <v>East</v>
      </c>
      <c r="R1273" t="str">
        <f>VLOOKUP(ESales_DB[[#This Row],[Customer_ID]],Ecustom_DB[],10,FALSE)</f>
        <v>Platinum</v>
      </c>
      <c r="S1273" t="str">
        <f>IF(ESales_DB[[#This Row],[Quantity1]]&gt;3,"Bulk order","Normal order")</f>
        <v>Normal order</v>
      </c>
    </row>
    <row r="1274" spans="1:19" x14ac:dyDescent="0.3">
      <c r="A1274" t="s">
        <v>2169</v>
      </c>
      <c r="B1274" s="4">
        <v>45623</v>
      </c>
      <c r="C1274" s="4" t="str">
        <f>TEXT(ESales_DB[[#This Row],[Order_Date]],"mmm")</f>
        <v>Nov</v>
      </c>
      <c r="D1274" t="s">
        <v>114</v>
      </c>
      <c r="E1274" t="s">
        <v>1596</v>
      </c>
      <c r="F1274" t="s">
        <v>1813</v>
      </c>
      <c r="G1274">
        <v>3</v>
      </c>
      <c r="H1274" s="10">
        <f>IF(ISBLANK(ESales_DB[[#This Row],[Quantity]]),AVERAGEIF(ESales_DB[Product_ID],ESales_DB[[#This Row],[Product_ID]],ESales_DB[Quantity]),ESales_DB[[#This Row],[Quantity]])</f>
        <v>3</v>
      </c>
      <c r="I1274" s="2">
        <v>794.59</v>
      </c>
      <c r="J1274">
        <v>0.03</v>
      </c>
      <c r="K1274" t="s">
        <v>1826</v>
      </c>
      <c r="L1274" s="2">
        <v>2312.2568999999999</v>
      </c>
      <c r="M1274" s="2" t="str">
        <f>IF(ESales_DB[[#This Row],[Total_Amount]]&gt;1000,"High","Low")</f>
        <v>High</v>
      </c>
      <c r="N1274" s="2" t="str">
        <f>VLOOKUP(ESales_DB[[#This Row],[Customer_ID]],Ecustom_DB[],3,FALSE)</f>
        <v>Leslie Johnson</v>
      </c>
      <c r="O1274" s="2" t="str">
        <f>_xlfn.XLOOKUP(ESales_DB[[#This Row],[Product_ID]],Eproduct_DB[Product_ID],Eproduct_DB[Category])</f>
        <v>Sports</v>
      </c>
      <c r="P1274" s="2" t="str">
        <f>_xlfn.XLOOKUP(ESales_DB[[#This Row],[Product_ID]],Eproduct_DB[Product_ID],Eproduct_DB[Product_Name])</f>
        <v>Foldable Camping Chair</v>
      </c>
      <c r="Q1274" s="2" t="str">
        <f>_xlfn.XLOOKUP(ESales_DB[[#This Row],[Store_ID]],Estore_DB[Store_ID],Estore_DB[Region])</f>
        <v>East</v>
      </c>
      <c r="R1274" t="str">
        <f>VLOOKUP(ESales_DB[[#This Row],[Customer_ID]],Ecustom_DB[],10,FALSE)</f>
        <v>Uncategorized</v>
      </c>
      <c r="S1274" t="str">
        <f>IF(ESales_DB[[#This Row],[Quantity1]]&gt;3,"Bulk order","Normal order")</f>
        <v>Normal order</v>
      </c>
    </row>
    <row r="1275" spans="1:19" x14ac:dyDescent="0.3">
      <c r="A1275" t="s">
        <v>2170</v>
      </c>
      <c r="B1275" s="4">
        <v>45224</v>
      </c>
      <c r="C1275" s="4" t="str">
        <f>TEXT(ESales_DB[[#This Row],[Order_Date]],"mmm")</f>
        <v>Oct</v>
      </c>
      <c r="D1275" t="s">
        <v>67</v>
      </c>
      <c r="E1275" t="s">
        <v>1600</v>
      </c>
      <c r="F1275" t="s">
        <v>1786</v>
      </c>
      <c r="G1275">
        <v>1</v>
      </c>
      <c r="H1275" s="10">
        <f>IF(ISBLANK(ESales_DB[[#This Row],[Quantity]]),AVERAGEIF(ESales_DB[Product_ID],ESales_DB[[#This Row],[Product_ID]],ESales_DB[Quantity]),ESales_DB[[#This Row],[Quantity]])</f>
        <v>1</v>
      </c>
      <c r="I1275" s="2">
        <v>907.95</v>
      </c>
      <c r="J1275">
        <v>0.1</v>
      </c>
      <c r="K1275" t="s">
        <v>1826</v>
      </c>
      <c r="L1275" s="2">
        <v>817.15500000000009</v>
      </c>
      <c r="M1275" s="2" t="str">
        <f>IF(ESales_DB[[#This Row],[Total_Amount]]&gt;1000,"High","Low")</f>
        <v>Low</v>
      </c>
      <c r="N1275" s="2" t="str">
        <f>VLOOKUP(ESales_DB[[#This Row],[Customer_ID]],Ecustom_DB[],3,FALSE)</f>
        <v>Ashley Cohen</v>
      </c>
      <c r="O1275" s="2" t="str">
        <f>_xlfn.XLOOKUP(ESales_DB[[#This Row],[Product_ID]],Eproduct_DB[Product_ID],Eproduct_DB[Category])</f>
        <v>Electronics</v>
      </c>
      <c r="P1275" s="2" t="str">
        <f>_xlfn.XLOOKUP(ESales_DB[[#This Row],[Product_ID]],Eproduct_DB[Product_ID],Eproduct_DB[Product_Name])</f>
        <v>Wireless Bluetooth Speaker</v>
      </c>
      <c r="Q1275" s="2" t="str">
        <f>_xlfn.XLOOKUP(ESales_DB[[#This Row],[Store_ID]],Estore_DB[Store_ID],Estore_DB[Region])</f>
        <v>South</v>
      </c>
      <c r="R1275" t="str">
        <f>VLOOKUP(ESales_DB[[#This Row],[Customer_ID]],Ecustom_DB[],10,FALSE)</f>
        <v>Silver</v>
      </c>
      <c r="S1275" t="str">
        <f>IF(ESales_DB[[#This Row],[Quantity1]]&gt;3,"Bulk order","Normal order")</f>
        <v>Normal order</v>
      </c>
    </row>
    <row r="1276" spans="1:19" x14ac:dyDescent="0.3">
      <c r="A1276" t="s">
        <v>2171</v>
      </c>
      <c r="B1276" s="4">
        <v>45940</v>
      </c>
      <c r="C1276" s="4" t="str">
        <f>TEXT(ESales_DB[[#This Row],[Order_Date]],"mmm")</f>
        <v>Oct</v>
      </c>
      <c r="D1276" t="s">
        <v>911</v>
      </c>
      <c r="E1276" t="s">
        <v>1648</v>
      </c>
      <c r="F1276" t="s">
        <v>1752</v>
      </c>
      <c r="G1276">
        <v>2</v>
      </c>
      <c r="H1276" s="10">
        <f>IF(ISBLANK(ESales_DB[[#This Row],[Quantity]]),AVERAGEIF(ESales_DB[Product_ID],ESales_DB[[#This Row],[Product_ID]],ESales_DB[Quantity]),ESales_DB[[#This Row],[Quantity]])</f>
        <v>2</v>
      </c>
      <c r="I1276" s="2">
        <v>660.81</v>
      </c>
      <c r="J1276">
        <v>0.18</v>
      </c>
      <c r="K1276" t="s">
        <v>1824</v>
      </c>
      <c r="L1276" s="2">
        <v>1083.7284</v>
      </c>
      <c r="M1276" s="2" t="str">
        <f>IF(ESales_DB[[#This Row],[Total_Amount]]&gt;1000,"High","Low")</f>
        <v>High</v>
      </c>
      <c r="N1276" s="2" t="str">
        <f>VLOOKUP(ESales_DB[[#This Row],[Customer_ID]],Ecustom_DB[],3,FALSE)</f>
        <v>Cynthia Roberts</v>
      </c>
      <c r="O1276" s="2" t="str">
        <f>_xlfn.XLOOKUP(ESales_DB[[#This Row],[Product_ID]],Eproduct_DB[Product_ID],Eproduct_DB[Category])</f>
        <v>Sports</v>
      </c>
      <c r="P1276" s="2" t="str">
        <f>_xlfn.XLOOKUP(ESales_DB[[#This Row],[Product_ID]],Eproduct_DB[Product_ID],Eproduct_DB[Product_Name])</f>
        <v>Boxing Hand Wraps</v>
      </c>
      <c r="Q1276" s="2" t="str">
        <f>_xlfn.XLOOKUP(ESales_DB[[#This Row],[Store_ID]],Estore_DB[Store_ID],Estore_DB[Region])</f>
        <v>East</v>
      </c>
      <c r="R1276" t="str">
        <f>VLOOKUP(ESales_DB[[#This Row],[Customer_ID]],Ecustom_DB[],10,FALSE)</f>
        <v>Gold</v>
      </c>
      <c r="S1276" t="str">
        <f>IF(ESales_DB[[#This Row],[Quantity1]]&gt;3,"Bulk order","Normal order")</f>
        <v>Normal order</v>
      </c>
    </row>
    <row r="1277" spans="1:19" x14ac:dyDescent="0.3">
      <c r="A1277" t="s">
        <v>2172</v>
      </c>
      <c r="B1277" s="4">
        <v>45915</v>
      </c>
      <c r="C1277" s="4" t="str">
        <f>TEXT(ESales_DB[[#This Row],[Order_Date]],"mmm")</f>
        <v>Sep</v>
      </c>
      <c r="D1277" t="s">
        <v>227</v>
      </c>
      <c r="E1277" t="s">
        <v>1650</v>
      </c>
      <c r="F1277" t="s">
        <v>1782</v>
      </c>
      <c r="G1277">
        <v>3</v>
      </c>
      <c r="H1277" s="10">
        <f>IF(ISBLANK(ESales_DB[[#This Row],[Quantity]]),AVERAGEIF(ESales_DB[Product_ID],ESales_DB[[#This Row],[Product_ID]],ESales_DB[Quantity]),ESales_DB[[#This Row],[Quantity]])</f>
        <v>3</v>
      </c>
      <c r="I1277" s="2">
        <v>564.94000000000005</v>
      </c>
      <c r="J1277">
        <v>0.22</v>
      </c>
      <c r="K1277" t="s">
        <v>1829</v>
      </c>
      <c r="L1277" s="2">
        <v>1321.9595999999999</v>
      </c>
      <c r="M1277" s="2" t="str">
        <f>IF(ESales_DB[[#This Row],[Total_Amount]]&gt;1000,"High","Low")</f>
        <v>High</v>
      </c>
      <c r="N1277" s="2" t="str">
        <f>VLOOKUP(ESales_DB[[#This Row],[Customer_ID]],Ecustom_DB[],3,FALSE)</f>
        <v>Kristin Stein</v>
      </c>
      <c r="O1277" s="2" t="str">
        <f>_xlfn.XLOOKUP(ESales_DB[[#This Row],[Product_ID]],Eproduct_DB[Product_ID],Eproduct_DB[Category])</f>
        <v>Electronics</v>
      </c>
      <c r="P1277" s="2" t="str">
        <f>_xlfn.XLOOKUP(ESales_DB[[#This Row],[Product_ID]],Eproduct_DB[Product_ID],Eproduct_DB[Product_Name])</f>
        <v>HDMI Cable – 2m</v>
      </c>
      <c r="Q1277" s="2" t="str">
        <f>_xlfn.XLOOKUP(ESales_DB[[#This Row],[Store_ID]],Estore_DB[Store_ID],Estore_DB[Region])</f>
        <v>West</v>
      </c>
      <c r="R1277" t="str">
        <f>VLOOKUP(ESales_DB[[#This Row],[Customer_ID]],Ecustom_DB[],10,FALSE)</f>
        <v>Silver</v>
      </c>
      <c r="S1277" t="str">
        <f>IF(ESales_DB[[#This Row],[Quantity1]]&gt;3,"Bulk order","Normal order")</f>
        <v>Normal order</v>
      </c>
    </row>
    <row r="1278" spans="1:19" x14ac:dyDescent="0.3">
      <c r="A1278" t="s">
        <v>2173</v>
      </c>
      <c r="B1278" s="4">
        <v>45541</v>
      </c>
      <c r="C1278" s="4" t="str">
        <f>TEXT(ESales_DB[[#This Row],[Order_Date]],"mmm")</f>
        <v>Sep</v>
      </c>
      <c r="D1278" t="s">
        <v>205</v>
      </c>
      <c r="E1278" t="s">
        <v>1578</v>
      </c>
      <c r="F1278" t="s">
        <v>1801</v>
      </c>
      <c r="G1278">
        <v>2</v>
      </c>
      <c r="H1278" s="10">
        <f>IF(ISBLANK(ESales_DB[[#This Row],[Quantity]]),AVERAGEIF(ESales_DB[Product_ID],ESales_DB[[#This Row],[Product_ID]],ESales_DB[Quantity]),ESales_DB[[#This Row],[Quantity]])</f>
        <v>2</v>
      </c>
      <c r="I1278" s="2">
        <v>280.37</v>
      </c>
      <c r="J1278">
        <v>0.22</v>
      </c>
      <c r="K1278" t="s">
        <v>1829</v>
      </c>
      <c r="L1278" s="2">
        <v>437.37720000000002</v>
      </c>
      <c r="M1278" s="2" t="str">
        <f>IF(ESales_DB[[#This Row],[Total_Amount]]&gt;1000,"High","Low")</f>
        <v>Low</v>
      </c>
      <c r="N1278" s="2" t="str">
        <f>VLOOKUP(ESales_DB[[#This Row],[Customer_ID]],Ecustom_DB[],3,FALSE)</f>
        <v>Katherine Dorsey</v>
      </c>
      <c r="O1278" s="2" t="str">
        <f>_xlfn.XLOOKUP(ESales_DB[[#This Row],[Product_ID]],Eproduct_DB[Product_ID],Eproduct_DB[Category])</f>
        <v>Electronics</v>
      </c>
      <c r="P1278" s="2" t="str">
        <f>_xlfn.XLOOKUP(ESales_DB[[#This Row],[Product_ID]],Eproduct_DB[Product_ID],Eproduct_DB[Product_Name])</f>
        <v>4K Home Projector</v>
      </c>
      <c r="Q1278" s="2" t="str">
        <f>_xlfn.XLOOKUP(ESales_DB[[#This Row],[Store_ID]],Estore_DB[Store_ID],Estore_DB[Region])</f>
        <v>North</v>
      </c>
      <c r="R1278" t="str">
        <f>VLOOKUP(ESales_DB[[#This Row],[Customer_ID]],Ecustom_DB[],10,FALSE)</f>
        <v>Platinum</v>
      </c>
      <c r="S1278" t="str">
        <f>IF(ESales_DB[[#This Row],[Quantity1]]&gt;3,"Bulk order","Normal order")</f>
        <v>Normal order</v>
      </c>
    </row>
    <row r="1279" spans="1:19" x14ac:dyDescent="0.3">
      <c r="A1279" t="s">
        <v>2174</v>
      </c>
      <c r="B1279" s="4">
        <v>45489</v>
      </c>
      <c r="C1279" s="4" t="str">
        <f>TEXT(ESales_DB[[#This Row],[Order_Date]],"mmm")</f>
        <v>Jul</v>
      </c>
      <c r="D1279" t="s">
        <v>1163</v>
      </c>
      <c r="E1279" t="s">
        <v>1648</v>
      </c>
      <c r="F1279" t="s">
        <v>1766</v>
      </c>
      <c r="G1279">
        <v>2</v>
      </c>
      <c r="H1279" s="10">
        <f>IF(ISBLANK(ESales_DB[[#This Row],[Quantity]]),AVERAGEIF(ESales_DB[Product_ID],ESales_DB[[#This Row],[Product_ID]],ESales_DB[Quantity]),ESales_DB[[#This Row],[Quantity]])</f>
        <v>2</v>
      </c>
      <c r="I1279" s="2">
        <v>85.23</v>
      </c>
      <c r="J1279">
        <v>0.13</v>
      </c>
      <c r="K1279" t="s">
        <v>1824</v>
      </c>
      <c r="L1279" s="2">
        <v>148.30019999999999</v>
      </c>
      <c r="M1279" s="2" t="str">
        <f>IF(ESales_DB[[#This Row],[Total_Amount]]&gt;1000,"High","Low")</f>
        <v>Low</v>
      </c>
      <c r="N1279" s="2" t="str">
        <f>VLOOKUP(ESales_DB[[#This Row],[Customer_ID]],Ecustom_DB[],3,FALSE)</f>
        <v>Jacqueline Anthony</v>
      </c>
      <c r="O1279" s="2" t="str">
        <f>_xlfn.XLOOKUP(ESales_DB[[#This Row],[Product_ID]],Eproduct_DB[Product_ID],Eproduct_DB[Category])</f>
        <v>Sports</v>
      </c>
      <c r="P1279" s="2" t="str">
        <f>_xlfn.XLOOKUP(ESales_DB[[#This Row],[Product_ID]],Eproduct_DB[Product_ID],Eproduct_DB[Product_Name])</f>
        <v>Boxing Hand Wraps</v>
      </c>
      <c r="Q1279" s="2" t="str">
        <f>_xlfn.XLOOKUP(ESales_DB[[#This Row],[Store_ID]],Estore_DB[Store_ID],Estore_DB[Region])</f>
        <v>North</v>
      </c>
      <c r="R1279" t="str">
        <f>VLOOKUP(ESales_DB[[#This Row],[Customer_ID]],Ecustom_DB[],10,FALSE)</f>
        <v>Bronze</v>
      </c>
      <c r="S1279" t="str">
        <f>IF(ESales_DB[[#This Row],[Quantity1]]&gt;3,"Bulk order","Normal order")</f>
        <v>Normal order</v>
      </c>
    </row>
    <row r="1280" spans="1:19" x14ac:dyDescent="0.3">
      <c r="A1280" t="s">
        <v>2175</v>
      </c>
      <c r="B1280" s="4">
        <v>45748</v>
      </c>
      <c r="C1280" s="4" t="str">
        <f>TEXT(ESales_DB[[#This Row],[Order_Date]],"mmm")</f>
        <v>Apr</v>
      </c>
      <c r="D1280" t="s">
        <v>984</v>
      </c>
      <c r="E1280" t="s">
        <v>1602</v>
      </c>
      <c r="F1280" t="s">
        <v>1797</v>
      </c>
      <c r="G1280">
        <v>2</v>
      </c>
      <c r="H1280" s="10">
        <f>IF(ISBLANK(ESales_DB[[#This Row],[Quantity]]),AVERAGEIF(ESales_DB[Product_ID],ESales_DB[[#This Row],[Product_ID]],ESales_DB[Quantity]),ESales_DB[[#This Row],[Quantity]])</f>
        <v>2</v>
      </c>
      <c r="I1280" s="2">
        <v>563.29999999999995</v>
      </c>
      <c r="J1280">
        <v>0.26</v>
      </c>
      <c r="K1280" t="s">
        <v>1824</v>
      </c>
      <c r="L1280" s="2">
        <v>833.68399999999997</v>
      </c>
      <c r="M1280" s="2" t="str">
        <f>IF(ESales_DB[[#This Row],[Total_Amount]]&gt;1000,"High","Low")</f>
        <v>Low</v>
      </c>
      <c r="N1280" s="2" t="str">
        <f>VLOOKUP(ESales_DB[[#This Row],[Customer_ID]],Ecustom_DB[],3,FALSE)</f>
        <v>Jason Mullins</v>
      </c>
      <c r="O1280" s="2" t="str">
        <f>_xlfn.XLOOKUP(ESales_DB[[#This Row],[Product_ID]],Eproduct_DB[Product_ID],Eproduct_DB[Category])</f>
        <v>Home</v>
      </c>
      <c r="P1280" s="2" t="str">
        <f>_xlfn.XLOOKUP(ESales_DB[[#This Row],[Product_ID]],Eproduct_DB[Product_ID],Eproduct_DB[Product_Name])</f>
        <v>Decorative Floor Vase</v>
      </c>
      <c r="Q1280" s="2" t="str">
        <f>_xlfn.XLOOKUP(ESales_DB[[#This Row],[Store_ID]],Estore_DB[Store_ID],Estore_DB[Region])</f>
        <v>East</v>
      </c>
      <c r="R1280" t="str">
        <f>VLOOKUP(ESales_DB[[#This Row],[Customer_ID]],Ecustom_DB[],10,FALSE)</f>
        <v>Silver</v>
      </c>
      <c r="S1280" t="str">
        <f>IF(ESales_DB[[#This Row],[Quantity1]]&gt;3,"Bulk order","Normal order")</f>
        <v>Normal order</v>
      </c>
    </row>
    <row r="1281" spans="1:19" x14ac:dyDescent="0.3">
      <c r="A1281" t="s">
        <v>1861</v>
      </c>
      <c r="B1281" s="4">
        <v>45878</v>
      </c>
      <c r="C1281" s="4" t="str">
        <f>TEXT(ESales_DB[[#This Row],[Order_Date]],"mmm")</f>
        <v>Aug</v>
      </c>
      <c r="D1281" t="s">
        <v>708</v>
      </c>
      <c r="E1281" t="s">
        <v>1580</v>
      </c>
      <c r="F1281" t="s">
        <v>1766</v>
      </c>
      <c r="G1281">
        <v>4</v>
      </c>
      <c r="H1281" s="10">
        <f>IF(ISBLANK(ESales_DB[[#This Row],[Quantity]]),AVERAGEIF(ESales_DB[Product_ID],ESales_DB[[#This Row],[Product_ID]],ESales_DB[Quantity]),ESales_DB[[#This Row],[Quantity]])</f>
        <v>4</v>
      </c>
      <c r="I1281" s="2">
        <v>109.36</v>
      </c>
      <c r="J1281">
        <v>0.19</v>
      </c>
      <c r="K1281" t="s">
        <v>1829</v>
      </c>
      <c r="L1281" s="2">
        <v>354.32639999999998</v>
      </c>
      <c r="M1281" s="2" t="str">
        <f>IF(ESales_DB[[#This Row],[Total_Amount]]&gt;1000,"High","Low")</f>
        <v>Low</v>
      </c>
      <c r="N1281" s="2" t="str">
        <f>VLOOKUP(ESales_DB[[#This Row],[Customer_ID]],Ecustom_DB[],3,FALSE)</f>
        <v>Julia Jackson</v>
      </c>
      <c r="O1281" s="2" t="str">
        <f>_xlfn.XLOOKUP(ESales_DB[[#This Row],[Product_ID]],Eproduct_DB[Product_ID],Eproduct_DB[Category])</f>
        <v>Beauty</v>
      </c>
      <c r="P1281" s="2" t="str">
        <f>_xlfn.XLOOKUP(ESales_DB[[#This Row],[Product_ID]],Eproduct_DB[Product_ID],Eproduct_DB[Product_Name])</f>
        <v>Beard Grooming Kit</v>
      </c>
      <c r="Q1281" s="2" t="str">
        <f>_xlfn.XLOOKUP(ESales_DB[[#This Row],[Store_ID]],Estore_DB[Store_ID],Estore_DB[Region])</f>
        <v>North</v>
      </c>
      <c r="R1281" t="str">
        <f>VLOOKUP(ESales_DB[[#This Row],[Customer_ID]],Ecustom_DB[],10,FALSE)</f>
        <v>Platinum</v>
      </c>
      <c r="S1281" t="str">
        <f>IF(ESales_DB[[#This Row],[Quantity1]]&gt;3,"Bulk order","Normal order")</f>
        <v>Bulk order</v>
      </c>
    </row>
    <row r="1282" spans="1:19" x14ac:dyDescent="0.3">
      <c r="A1282" t="s">
        <v>2176</v>
      </c>
      <c r="B1282" s="4">
        <v>45309</v>
      </c>
      <c r="C1282" s="4" t="str">
        <f>TEXT(ESales_DB[[#This Row],[Order_Date]],"mmm")</f>
        <v>Jan</v>
      </c>
      <c r="D1282" t="s">
        <v>134</v>
      </c>
      <c r="E1282" t="s">
        <v>1708</v>
      </c>
      <c r="F1282" t="s">
        <v>1810</v>
      </c>
      <c r="G1282">
        <v>2</v>
      </c>
      <c r="H1282" s="10">
        <f>IF(ISBLANK(ESales_DB[[#This Row],[Quantity]]),AVERAGEIF(ESales_DB[Product_ID],ESales_DB[[#This Row],[Product_ID]],ESales_DB[Quantity]),ESales_DB[[#This Row],[Quantity]])</f>
        <v>2</v>
      </c>
      <c r="I1282" s="2">
        <v>827.81</v>
      </c>
      <c r="J1282">
        <v>0.04</v>
      </c>
      <c r="K1282" t="s">
        <v>1826</v>
      </c>
      <c r="L1282" s="2">
        <v>1589.3951999999999</v>
      </c>
      <c r="M1282" s="2" t="str">
        <f>IF(ESales_DB[[#This Row],[Total_Amount]]&gt;1000,"High","Low")</f>
        <v>High</v>
      </c>
      <c r="N1282" s="2" t="str">
        <f>VLOOKUP(ESales_DB[[#This Row],[Customer_ID]],Ecustom_DB[],3,FALSE)</f>
        <v>Robert Jones Dds</v>
      </c>
      <c r="O1282" s="2" t="str">
        <f>_xlfn.XLOOKUP(ESales_DB[[#This Row],[Product_ID]],Eproduct_DB[Product_ID],Eproduct_DB[Category])</f>
        <v>Home</v>
      </c>
      <c r="P1282" s="2" t="str">
        <f>_xlfn.XLOOKUP(ESales_DB[[#This Row],[Product_ID]],Eproduct_DB[Product_ID],Eproduct_DB[Product_Name])</f>
        <v>Wall-Mounted Spice Rack</v>
      </c>
      <c r="Q1282" s="2" t="str">
        <f>_xlfn.XLOOKUP(ESales_DB[[#This Row],[Store_ID]],Estore_DB[Store_ID],Estore_DB[Region])</f>
        <v>East</v>
      </c>
      <c r="R1282" t="str">
        <f>VLOOKUP(ESales_DB[[#This Row],[Customer_ID]],Ecustom_DB[],10,FALSE)</f>
        <v>Platinum</v>
      </c>
      <c r="S1282" t="str">
        <f>IF(ESales_DB[[#This Row],[Quantity1]]&gt;3,"Bulk order","Normal order")</f>
        <v>Normal order</v>
      </c>
    </row>
    <row r="1283" spans="1:19" x14ac:dyDescent="0.3">
      <c r="A1283" t="s">
        <v>2177</v>
      </c>
      <c r="B1283" s="4">
        <v>45621</v>
      </c>
      <c r="C1283" s="4" t="str">
        <f>TEXT(ESales_DB[[#This Row],[Order_Date]],"mmm")</f>
        <v>Nov</v>
      </c>
      <c r="D1283" t="s">
        <v>696</v>
      </c>
      <c r="E1283" t="s">
        <v>1572</v>
      </c>
      <c r="F1283" t="s">
        <v>1810</v>
      </c>
      <c r="G1283">
        <v>3</v>
      </c>
      <c r="H1283" s="10">
        <f>IF(ISBLANK(ESales_DB[[#This Row],[Quantity]]),AVERAGEIF(ESales_DB[Product_ID],ESales_DB[[#This Row],[Product_ID]],ESales_DB[Quantity]),ESales_DB[[#This Row],[Quantity]])</f>
        <v>3</v>
      </c>
      <c r="I1283" s="2">
        <v>877.71</v>
      </c>
      <c r="J1283">
        <v>0.12</v>
      </c>
      <c r="K1283" t="s">
        <v>1826</v>
      </c>
      <c r="L1283" s="2">
        <v>2317.1543999999999</v>
      </c>
      <c r="M1283" s="2" t="str">
        <f>IF(ESales_DB[[#This Row],[Total_Amount]]&gt;1000,"High","Low")</f>
        <v>High</v>
      </c>
      <c r="N1283" s="2" t="str">
        <f>VLOOKUP(ESales_DB[[#This Row],[Customer_ID]],Ecustom_DB[],3,FALSE)</f>
        <v>Eric Todd</v>
      </c>
      <c r="O1283" s="2" t="str">
        <f>_xlfn.XLOOKUP(ESales_DB[[#This Row],[Product_ID]],Eproduct_DB[Product_ID],Eproduct_DB[Category])</f>
        <v>Beauty</v>
      </c>
      <c r="P1283" s="2" t="str">
        <f>_xlfn.XLOOKUP(ESales_DB[[#This Row],[Product_ID]],Eproduct_DB[Product_ID],Eproduct_DB[Product_Name])</f>
        <v>Hair Strengthening Shampoo</v>
      </c>
      <c r="Q1283" s="2" t="str">
        <f>_xlfn.XLOOKUP(ESales_DB[[#This Row],[Store_ID]],Estore_DB[Store_ID],Estore_DB[Region])</f>
        <v>East</v>
      </c>
      <c r="R1283" t="str">
        <f>VLOOKUP(ESales_DB[[#This Row],[Customer_ID]],Ecustom_DB[],10,FALSE)</f>
        <v>Gold</v>
      </c>
      <c r="S1283" t="str">
        <f>IF(ESales_DB[[#This Row],[Quantity1]]&gt;3,"Bulk order","Normal order")</f>
        <v>Normal order</v>
      </c>
    </row>
    <row r="1284" spans="1:19" x14ac:dyDescent="0.3">
      <c r="A1284" t="s">
        <v>2178</v>
      </c>
      <c r="B1284" s="4">
        <v>45603</v>
      </c>
      <c r="C1284" s="4" t="str">
        <f>TEXT(ESales_DB[[#This Row],[Order_Date]],"mmm")</f>
        <v>Nov</v>
      </c>
      <c r="D1284" t="s">
        <v>821</v>
      </c>
      <c r="E1284" t="s">
        <v>1662</v>
      </c>
      <c r="F1284" t="s">
        <v>1786</v>
      </c>
      <c r="G1284">
        <v>4</v>
      </c>
      <c r="H1284" s="10">
        <f>IF(ISBLANK(ESales_DB[[#This Row],[Quantity]]),AVERAGEIF(ESales_DB[Product_ID],ESales_DB[[#This Row],[Product_ID]],ESales_DB[Quantity]),ESales_DB[[#This Row],[Quantity]])</f>
        <v>4</v>
      </c>
      <c r="I1284" s="2">
        <v>488.56</v>
      </c>
      <c r="J1284">
        <v>0.26</v>
      </c>
      <c r="K1284" t="s">
        <v>1829</v>
      </c>
      <c r="L1284" s="2">
        <v>1446.1376</v>
      </c>
      <c r="M1284" s="2" t="str">
        <f>IF(ESales_DB[[#This Row],[Total_Amount]]&gt;1000,"High","Low")</f>
        <v>High</v>
      </c>
      <c r="N1284" s="2" t="str">
        <f>VLOOKUP(ESales_DB[[#This Row],[Customer_ID]],Ecustom_DB[],3,FALSE)</f>
        <v>Christopher David</v>
      </c>
      <c r="O1284" s="2" t="str">
        <f>_xlfn.XLOOKUP(ESales_DB[[#This Row],[Product_ID]],Eproduct_DB[Product_ID],Eproduct_DB[Category])</f>
        <v>Sports</v>
      </c>
      <c r="P1284" s="2" t="str">
        <f>_xlfn.XLOOKUP(ESales_DB[[#This Row],[Product_ID]],Eproduct_DB[Product_ID],Eproduct_DB[Product_Name])</f>
        <v>Foam Roller</v>
      </c>
      <c r="Q1284" s="2" t="str">
        <f>_xlfn.XLOOKUP(ESales_DB[[#This Row],[Store_ID]],Estore_DB[Store_ID],Estore_DB[Region])</f>
        <v>South</v>
      </c>
      <c r="R1284" t="str">
        <f>VLOOKUP(ESales_DB[[#This Row],[Customer_ID]],Ecustom_DB[],10,FALSE)</f>
        <v>Silver</v>
      </c>
      <c r="S1284" t="str">
        <f>IF(ESales_DB[[#This Row],[Quantity1]]&gt;3,"Bulk order","Normal order")</f>
        <v>Bulk order</v>
      </c>
    </row>
    <row r="1285" spans="1:19" x14ac:dyDescent="0.3">
      <c r="A1285" t="s">
        <v>2179</v>
      </c>
      <c r="B1285" s="4">
        <v>45501</v>
      </c>
      <c r="C1285" s="4" t="str">
        <f>TEXT(ESales_DB[[#This Row],[Order_Date]],"mmm")</f>
        <v>Jul</v>
      </c>
      <c r="D1285" t="s">
        <v>369</v>
      </c>
      <c r="E1285" t="s">
        <v>1598</v>
      </c>
      <c r="F1285" t="s">
        <v>1794</v>
      </c>
      <c r="G1285">
        <v>4</v>
      </c>
      <c r="H1285" s="10">
        <f>IF(ISBLANK(ESales_DB[[#This Row],[Quantity]]),AVERAGEIF(ESales_DB[Product_ID],ESales_DB[[#This Row],[Product_ID]],ESales_DB[Quantity]),ESales_DB[[#This Row],[Quantity]])</f>
        <v>4</v>
      </c>
      <c r="I1285" s="2">
        <v>175.91</v>
      </c>
      <c r="J1285">
        <v>0.13</v>
      </c>
      <c r="K1285" t="s">
        <v>1826</v>
      </c>
      <c r="L1285" s="2">
        <v>612.16679999999997</v>
      </c>
      <c r="M1285" s="2" t="str">
        <f>IF(ESales_DB[[#This Row],[Total_Amount]]&gt;1000,"High","Low")</f>
        <v>Low</v>
      </c>
      <c r="N1285" s="2" t="str">
        <f>VLOOKUP(ESales_DB[[#This Row],[Customer_ID]],Ecustom_DB[],3,FALSE)</f>
        <v>Christopher Lester</v>
      </c>
      <c r="O1285" s="2" t="str">
        <f>_xlfn.XLOOKUP(ESales_DB[[#This Row],[Product_ID]],Eproduct_DB[Product_ID],Eproduct_DB[Category])</f>
        <v>Clothing</v>
      </c>
      <c r="P1285" s="2" t="str">
        <f>_xlfn.XLOOKUP(ESales_DB[[#This Row],[Product_ID]],Eproduct_DB[Product_ID],Eproduct_DB[Product_Name])</f>
        <v>Women's Scarf Set</v>
      </c>
      <c r="Q1285" s="2" t="str">
        <f>_xlfn.XLOOKUP(ESales_DB[[#This Row],[Store_ID]],Estore_DB[Store_ID],Estore_DB[Region])</f>
        <v>North</v>
      </c>
      <c r="R1285" t="str">
        <f>VLOOKUP(ESales_DB[[#This Row],[Customer_ID]],Ecustom_DB[],10,FALSE)</f>
        <v>Silver</v>
      </c>
      <c r="S1285" t="str">
        <f>IF(ESales_DB[[#This Row],[Quantity1]]&gt;3,"Bulk order","Normal order")</f>
        <v>Bulk order</v>
      </c>
    </row>
    <row r="1286" spans="1:19" x14ac:dyDescent="0.3">
      <c r="A1286" t="s">
        <v>2180</v>
      </c>
      <c r="B1286" s="4">
        <v>45398</v>
      </c>
      <c r="C1286" s="4" t="str">
        <f>TEXT(ESales_DB[[#This Row],[Order_Date]],"mmm")</f>
        <v>Apr</v>
      </c>
      <c r="D1286" t="s">
        <v>794</v>
      </c>
      <c r="E1286" t="s">
        <v>1722</v>
      </c>
      <c r="F1286" t="s">
        <v>1782</v>
      </c>
      <c r="G1286">
        <v>4</v>
      </c>
      <c r="H1286" s="10">
        <f>IF(ISBLANK(ESales_DB[[#This Row],[Quantity]]),AVERAGEIF(ESales_DB[Product_ID],ESales_DB[[#This Row],[Product_ID]],ESales_DB[Quantity]),ESales_DB[[#This Row],[Quantity]])</f>
        <v>4</v>
      </c>
      <c r="I1286" s="2">
        <v>289.66000000000003</v>
      </c>
      <c r="J1286">
        <v>0.25</v>
      </c>
      <c r="K1286" t="s">
        <v>1829</v>
      </c>
      <c r="L1286" s="2">
        <v>868.98</v>
      </c>
      <c r="M1286" s="2" t="str">
        <f>IF(ESales_DB[[#This Row],[Total_Amount]]&gt;1000,"High","Low")</f>
        <v>Low</v>
      </c>
      <c r="N1286" s="2" t="str">
        <f>VLOOKUP(ESales_DB[[#This Row],[Customer_ID]],Ecustom_DB[],3,FALSE)</f>
        <v>Nicholas Webb</v>
      </c>
      <c r="O1286" s="2" t="str">
        <f>_xlfn.XLOOKUP(ESales_DB[[#This Row],[Product_ID]],Eproduct_DB[Product_ID],Eproduct_DB[Category])</f>
        <v>Home</v>
      </c>
      <c r="P1286" s="2" t="str">
        <f>_xlfn.XLOOKUP(ESales_DB[[#This Row],[Product_ID]],Eproduct_DB[Product_ID],Eproduct_DB[Product_Name])</f>
        <v>LED Bedside Lamp</v>
      </c>
      <c r="Q1286" s="2" t="str">
        <f>_xlfn.XLOOKUP(ESales_DB[[#This Row],[Store_ID]],Estore_DB[Store_ID],Estore_DB[Region])</f>
        <v>West</v>
      </c>
      <c r="R1286" t="str">
        <f>VLOOKUP(ESales_DB[[#This Row],[Customer_ID]],Ecustom_DB[],10,FALSE)</f>
        <v>Gold</v>
      </c>
      <c r="S1286" t="str">
        <f>IF(ESales_DB[[#This Row],[Quantity1]]&gt;3,"Bulk order","Normal order")</f>
        <v>Bulk order</v>
      </c>
    </row>
    <row r="1287" spans="1:19" x14ac:dyDescent="0.3">
      <c r="A1287" t="s">
        <v>2181</v>
      </c>
      <c r="B1287" s="4">
        <v>45304</v>
      </c>
      <c r="C1287" s="4" t="str">
        <f>TEXT(ESales_DB[[#This Row],[Order_Date]],"mmm")</f>
        <v>Jan</v>
      </c>
      <c r="D1287" t="s">
        <v>773</v>
      </c>
      <c r="E1287" t="s">
        <v>1578</v>
      </c>
      <c r="F1287" t="s">
        <v>1801</v>
      </c>
      <c r="G1287">
        <v>2</v>
      </c>
      <c r="H1287" s="10">
        <f>IF(ISBLANK(ESales_DB[[#This Row],[Quantity]]),AVERAGEIF(ESales_DB[Product_ID],ESales_DB[[#This Row],[Product_ID]],ESales_DB[Quantity]),ESales_DB[[#This Row],[Quantity]])</f>
        <v>2</v>
      </c>
      <c r="I1287" s="2">
        <v>899.27</v>
      </c>
      <c r="J1287">
        <v>0.17</v>
      </c>
      <c r="K1287" t="s">
        <v>1824</v>
      </c>
      <c r="L1287" s="2">
        <v>1492.7882</v>
      </c>
      <c r="M1287" s="2" t="str">
        <f>IF(ESales_DB[[#This Row],[Total_Amount]]&gt;1000,"High","Low")</f>
        <v>High</v>
      </c>
      <c r="N1287" s="2" t="str">
        <f>VLOOKUP(ESales_DB[[#This Row],[Customer_ID]],Ecustom_DB[],3,FALSE)</f>
        <v>Mr. William Horton</v>
      </c>
      <c r="O1287" s="2" t="str">
        <f>_xlfn.XLOOKUP(ESales_DB[[#This Row],[Product_ID]],Eproduct_DB[Product_ID],Eproduct_DB[Category])</f>
        <v>Electronics</v>
      </c>
      <c r="P1287" s="2" t="str">
        <f>_xlfn.XLOOKUP(ESales_DB[[#This Row],[Product_ID]],Eproduct_DB[Product_ID],Eproduct_DB[Product_Name])</f>
        <v>4K Home Projector</v>
      </c>
      <c r="Q1287" s="2" t="str">
        <f>_xlfn.XLOOKUP(ESales_DB[[#This Row],[Store_ID]],Estore_DB[Store_ID],Estore_DB[Region])</f>
        <v>North</v>
      </c>
      <c r="R1287" t="str">
        <f>VLOOKUP(ESales_DB[[#This Row],[Customer_ID]],Ecustom_DB[],10,FALSE)</f>
        <v>Platinum</v>
      </c>
      <c r="S1287" t="str">
        <f>IF(ESales_DB[[#This Row],[Quantity1]]&gt;3,"Bulk order","Normal order")</f>
        <v>Normal order</v>
      </c>
    </row>
    <row r="1288" spans="1:19" x14ac:dyDescent="0.3">
      <c r="A1288" t="s">
        <v>2182</v>
      </c>
      <c r="B1288" s="4">
        <v>45299</v>
      </c>
      <c r="C1288" s="4" t="str">
        <f>TEXT(ESales_DB[[#This Row],[Order_Date]],"mmm")</f>
        <v>Jan</v>
      </c>
      <c r="D1288" t="s">
        <v>241</v>
      </c>
      <c r="E1288" t="s">
        <v>1584</v>
      </c>
      <c r="F1288" t="s">
        <v>1757</v>
      </c>
      <c r="G1288">
        <v>1</v>
      </c>
      <c r="H1288" s="10">
        <f>IF(ISBLANK(ESales_DB[[#This Row],[Quantity]]),AVERAGEIF(ESales_DB[Product_ID],ESales_DB[[#This Row],[Product_ID]],ESales_DB[Quantity]),ESales_DB[[#This Row],[Quantity]])</f>
        <v>1</v>
      </c>
      <c r="I1288" s="2">
        <v>691.38</v>
      </c>
      <c r="J1288">
        <v>0.11</v>
      </c>
      <c r="K1288" t="s">
        <v>1829</v>
      </c>
      <c r="L1288" s="2">
        <v>615.32820000000004</v>
      </c>
      <c r="M1288" s="2" t="str">
        <f>IF(ESales_DB[[#This Row],[Total_Amount]]&gt;1000,"High","Low")</f>
        <v>Low</v>
      </c>
      <c r="N1288" s="2" t="str">
        <f>VLOOKUP(ESales_DB[[#This Row],[Customer_ID]],Ecustom_DB[],3,FALSE)</f>
        <v>Michael Thomas</v>
      </c>
      <c r="O1288" s="2" t="str">
        <f>_xlfn.XLOOKUP(ESales_DB[[#This Row],[Product_ID]],Eproduct_DB[Product_ID],Eproduct_DB[Category])</f>
        <v>Clothing</v>
      </c>
      <c r="P1288" s="2" t="str">
        <f>_xlfn.XLOOKUP(ESales_DB[[#This Row],[Product_ID]],Eproduct_DB[Product_ID],Eproduct_DB[Product_Name])</f>
        <v>Women's Denim Jeans</v>
      </c>
      <c r="Q1288" s="2" t="str">
        <f>_xlfn.XLOOKUP(ESales_DB[[#This Row],[Store_ID]],Estore_DB[Store_ID],Estore_DB[Region])</f>
        <v>North</v>
      </c>
      <c r="R1288" t="str">
        <f>VLOOKUP(ESales_DB[[#This Row],[Customer_ID]],Ecustom_DB[],10,FALSE)</f>
        <v>Silver</v>
      </c>
      <c r="S1288" t="str">
        <f>IF(ESales_DB[[#This Row],[Quantity1]]&gt;3,"Bulk order","Normal order")</f>
        <v>Normal order</v>
      </c>
    </row>
    <row r="1289" spans="1:19" x14ac:dyDescent="0.3">
      <c r="A1289" t="s">
        <v>2183</v>
      </c>
      <c r="B1289" s="4">
        <v>45564</v>
      </c>
      <c r="C1289" s="4" t="str">
        <f>TEXT(ESales_DB[[#This Row],[Order_Date]],"mmm")</f>
        <v>Sep</v>
      </c>
      <c r="D1289" t="s">
        <v>550</v>
      </c>
      <c r="E1289" t="s">
        <v>1602</v>
      </c>
      <c r="F1289" t="s">
        <v>1752</v>
      </c>
      <c r="G1289">
        <v>3</v>
      </c>
      <c r="H1289" s="10">
        <f>IF(ISBLANK(ESales_DB[[#This Row],[Quantity]]),AVERAGEIF(ESales_DB[Product_ID],ESales_DB[[#This Row],[Product_ID]],ESales_DB[Quantity]),ESales_DB[[#This Row],[Quantity]])</f>
        <v>3</v>
      </c>
      <c r="I1289" s="2">
        <v>158.72</v>
      </c>
      <c r="J1289">
        <v>0.13</v>
      </c>
      <c r="K1289" t="s">
        <v>1824</v>
      </c>
      <c r="L1289" s="2">
        <v>414.25920000000002</v>
      </c>
      <c r="M1289" s="2" t="str">
        <f>IF(ESales_DB[[#This Row],[Total_Amount]]&gt;1000,"High","Low")</f>
        <v>Low</v>
      </c>
      <c r="N1289" s="2" t="str">
        <f>VLOOKUP(ESales_DB[[#This Row],[Customer_ID]],Ecustom_DB[],3,FALSE)</f>
        <v>Jason Wheeler</v>
      </c>
      <c r="O1289" s="2" t="str">
        <f>_xlfn.XLOOKUP(ESales_DB[[#This Row],[Product_ID]],Eproduct_DB[Product_ID],Eproduct_DB[Category])</f>
        <v>Home</v>
      </c>
      <c r="P1289" s="2" t="str">
        <f>_xlfn.XLOOKUP(ESales_DB[[#This Row],[Product_ID]],Eproduct_DB[Product_ID],Eproduct_DB[Product_Name])</f>
        <v>Decorative Floor Vase</v>
      </c>
      <c r="Q1289" s="2" t="str">
        <f>_xlfn.XLOOKUP(ESales_DB[[#This Row],[Store_ID]],Estore_DB[Store_ID],Estore_DB[Region])</f>
        <v>East</v>
      </c>
      <c r="R1289" t="str">
        <f>VLOOKUP(ESales_DB[[#This Row],[Customer_ID]],Ecustom_DB[],10,FALSE)</f>
        <v>Platinum</v>
      </c>
      <c r="S1289" t="str">
        <f>IF(ESales_DB[[#This Row],[Quantity1]]&gt;3,"Bulk order","Normal order")</f>
        <v>Normal order</v>
      </c>
    </row>
    <row r="1290" spans="1:19" x14ac:dyDescent="0.3">
      <c r="A1290" t="s">
        <v>2184</v>
      </c>
      <c r="B1290" s="4">
        <v>45413</v>
      </c>
      <c r="C1290" s="4" t="str">
        <f>TEXT(ESales_DB[[#This Row],[Order_Date]],"mmm")</f>
        <v>May</v>
      </c>
      <c r="D1290" t="s">
        <v>684</v>
      </c>
      <c r="E1290" t="s">
        <v>1668</v>
      </c>
      <c r="F1290" t="s">
        <v>1804</v>
      </c>
      <c r="G1290">
        <v>4</v>
      </c>
      <c r="H1290" s="10">
        <f>IF(ISBLANK(ESales_DB[[#This Row],[Quantity]]),AVERAGEIF(ESales_DB[Product_ID],ESales_DB[[#This Row],[Product_ID]],ESales_DB[Quantity]),ESales_DB[[#This Row],[Quantity]])</f>
        <v>4</v>
      </c>
      <c r="I1290" s="2">
        <v>537.15</v>
      </c>
      <c r="J1290">
        <v>0.06</v>
      </c>
      <c r="K1290" t="s">
        <v>1829</v>
      </c>
      <c r="L1290" s="2">
        <v>2019.684</v>
      </c>
      <c r="M1290" s="2" t="str">
        <f>IF(ESales_DB[[#This Row],[Total_Amount]]&gt;1000,"High","Low")</f>
        <v>High</v>
      </c>
      <c r="N1290" s="2" t="str">
        <f>VLOOKUP(ESales_DB[[#This Row],[Customer_ID]],Ecustom_DB[],3,FALSE)</f>
        <v>Antonio Jones</v>
      </c>
      <c r="O1290" s="2" t="str">
        <f>_xlfn.XLOOKUP(ESales_DB[[#This Row],[Product_ID]],Eproduct_DB[Product_ID],Eproduct_DB[Category])</f>
        <v>Beauty</v>
      </c>
      <c r="P1290" s="2" t="str">
        <f>_xlfn.XLOOKUP(ESales_DB[[#This Row],[Product_ID]],Eproduct_DB[Product_ID],Eproduct_DB[Product_Name])</f>
        <v>Luxury Perfume Spray</v>
      </c>
      <c r="Q1290" s="2" t="str">
        <f>_xlfn.XLOOKUP(ESales_DB[[#This Row],[Store_ID]],Estore_DB[Store_ID],Estore_DB[Region])</f>
        <v>West</v>
      </c>
      <c r="R1290" t="str">
        <f>VLOOKUP(ESales_DB[[#This Row],[Customer_ID]],Ecustom_DB[],10,FALSE)</f>
        <v>Silver</v>
      </c>
      <c r="S1290" t="str">
        <f>IF(ESales_DB[[#This Row],[Quantity1]]&gt;3,"Bulk order","Normal order")</f>
        <v>Bulk order</v>
      </c>
    </row>
    <row r="1291" spans="1:19" x14ac:dyDescent="0.3">
      <c r="A1291" t="s">
        <v>2185</v>
      </c>
      <c r="B1291" s="4">
        <v>45480</v>
      </c>
      <c r="C1291" s="4" t="str">
        <f>TEXT(ESales_DB[[#This Row],[Order_Date]],"mmm")</f>
        <v>Jul</v>
      </c>
      <c r="D1291" t="s">
        <v>1295</v>
      </c>
      <c r="E1291" t="s">
        <v>1630</v>
      </c>
      <c r="F1291" t="s">
        <v>1786</v>
      </c>
      <c r="G1291">
        <v>3</v>
      </c>
      <c r="H1291" s="10">
        <f>IF(ISBLANK(ESales_DB[[#This Row],[Quantity]]),AVERAGEIF(ESales_DB[Product_ID],ESales_DB[[#This Row],[Product_ID]],ESales_DB[Quantity]),ESales_DB[[#This Row],[Quantity]])</f>
        <v>3</v>
      </c>
      <c r="I1291" s="2">
        <v>771.7</v>
      </c>
      <c r="J1291">
        <v>0.05</v>
      </c>
      <c r="K1291" t="s">
        <v>1829</v>
      </c>
      <c r="L1291" s="2">
        <v>2199.3449999999998</v>
      </c>
      <c r="M1291" s="2" t="str">
        <f>IF(ESales_DB[[#This Row],[Total_Amount]]&gt;1000,"High","Low")</f>
        <v>High</v>
      </c>
      <c r="N1291" s="2" t="str">
        <f>VLOOKUP(ESales_DB[[#This Row],[Customer_ID]],Ecustom_DB[],3,FALSE)</f>
        <v>Karen King</v>
      </c>
      <c r="O1291" s="2" t="str">
        <f>_xlfn.XLOOKUP(ESales_DB[[#This Row],[Product_ID]],Eproduct_DB[Product_ID],Eproduct_DB[Category])</f>
        <v>Sports</v>
      </c>
      <c r="P1291" s="2" t="str">
        <f>_xlfn.XLOOKUP(ESales_DB[[#This Row],[Product_ID]],Eproduct_DB[Product_ID],Eproduct_DB[Product_Name])</f>
        <v>Yoga Exercise Mat</v>
      </c>
      <c r="Q1291" s="2" t="str">
        <f>_xlfn.XLOOKUP(ESales_DB[[#This Row],[Store_ID]],Estore_DB[Store_ID],Estore_DB[Region])</f>
        <v>South</v>
      </c>
      <c r="R1291" t="str">
        <f>VLOOKUP(ESales_DB[[#This Row],[Customer_ID]],Ecustom_DB[],10,FALSE)</f>
        <v>Bronze</v>
      </c>
      <c r="S1291" t="str">
        <f>IF(ESales_DB[[#This Row],[Quantity1]]&gt;3,"Bulk order","Normal order")</f>
        <v>Normal order</v>
      </c>
    </row>
    <row r="1292" spans="1:19" x14ac:dyDescent="0.3">
      <c r="A1292" t="s">
        <v>1862</v>
      </c>
      <c r="B1292" s="4">
        <v>45635</v>
      </c>
      <c r="C1292" s="4" t="str">
        <f>TEXT(ESales_DB[[#This Row],[Order_Date]],"mmm")</f>
        <v>Dec</v>
      </c>
      <c r="D1292" t="s">
        <v>310</v>
      </c>
      <c r="E1292" t="s">
        <v>1555</v>
      </c>
      <c r="F1292" t="s">
        <v>1779</v>
      </c>
      <c r="G1292">
        <v>3</v>
      </c>
      <c r="H1292" s="10">
        <f>IF(ISBLANK(ESales_DB[[#This Row],[Quantity]]),AVERAGEIF(ESales_DB[Product_ID],ESales_DB[[#This Row],[Product_ID]],ESales_DB[Quantity]),ESales_DB[[#This Row],[Quantity]])</f>
        <v>3</v>
      </c>
      <c r="I1292" s="2">
        <v>559.52</v>
      </c>
      <c r="J1292">
        <v>0.16</v>
      </c>
      <c r="K1292" t="s">
        <v>1826</v>
      </c>
      <c r="L1292" s="2">
        <v>1409.9903999999999</v>
      </c>
      <c r="M1292" s="2" t="str">
        <f>IF(ESales_DB[[#This Row],[Total_Amount]]&gt;1000,"High","Low")</f>
        <v>High</v>
      </c>
      <c r="N1292" s="2" t="str">
        <f>VLOOKUP(ESales_DB[[#This Row],[Customer_ID]],Ecustom_DB[],3,FALSE)</f>
        <v>Tammy Miller Md</v>
      </c>
      <c r="O1292" s="2" t="str">
        <f>_xlfn.XLOOKUP(ESales_DB[[#This Row],[Product_ID]],Eproduct_DB[Product_ID],Eproduct_DB[Category])</f>
        <v>Clothing</v>
      </c>
      <c r="P1292" s="2" t="str">
        <f>_xlfn.XLOOKUP(ESales_DB[[#This Row],[Product_ID]],Eproduct_DB[Product_ID],Eproduct_DB[Product_Name])</f>
        <v>Men's Leather Belt</v>
      </c>
      <c r="Q1292" s="2" t="str">
        <f>_xlfn.XLOOKUP(ESales_DB[[#This Row],[Store_ID]],Estore_DB[Store_ID],Estore_DB[Region])</f>
        <v>South</v>
      </c>
      <c r="R1292" t="str">
        <f>VLOOKUP(ESales_DB[[#This Row],[Customer_ID]],Ecustom_DB[],10,FALSE)</f>
        <v>Gold</v>
      </c>
      <c r="S1292" t="str">
        <f>IF(ESales_DB[[#This Row],[Quantity1]]&gt;3,"Bulk order","Normal order")</f>
        <v>Normal order</v>
      </c>
    </row>
    <row r="1293" spans="1:19" x14ac:dyDescent="0.3">
      <c r="A1293" t="s">
        <v>2186</v>
      </c>
      <c r="B1293" s="4">
        <v>45610</v>
      </c>
      <c r="C1293" s="4" t="str">
        <f>TEXT(ESales_DB[[#This Row],[Order_Date]],"mmm")</f>
        <v>Nov</v>
      </c>
      <c r="D1293" t="s">
        <v>381</v>
      </c>
      <c r="E1293" t="s">
        <v>1724</v>
      </c>
      <c r="F1293" t="s">
        <v>1757</v>
      </c>
      <c r="G1293">
        <v>4</v>
      </c>
      <c r="H1293" s="10">
        <f>IF(ISBLANK(ESales_DB[[#This Row],[Quantity]]),AVERAGEIF(ESales_DB[Product_ID],ESales_DB[[#This Row],[Product_ID]],ESales_DB[Quantity]),ESales_DB[[#This Row],[Quantity]])</f>
        <v>4</v>
      </c>
      <c r="I1293" s="2">
        <v>677.25</v>
      </c>
      <c r="J1293">
        <v>0.14000000000000001</v>
      </c>
      <c r="K1293" t="s">
        <v>1826</v>
      </c>
      <c r="L1293" s="2">
        <v>2329.7399999999998</v>
      </c>
      <c r="M1293" s="2" t="str">
        <f>IF(ESales_DB[[#This Row],[Total_Amount]]&gt;1000,"High","Low")</f>
        <v>High</v>
      </c>
      <c r="N1293" s="2" t="str">
        <f>VLOOKUP(ESales_DB[[#This Row],[Customer_ID]],Ecustom_DB[],3,FALSE)</f>
        <v>Travis Holland</v>
      </c>
      <c r="O1293" s="2" t="str">
        <f>_xlfn.XLOOKUP(ESales_DB[[#This Row],[Product_ID]],Eproduct_DB[Product_ID],Eproduct_DB[Category])</f>
        <v>Sports</v>
      </c>
      <c r="P1293" s="2" t="str">
        <f>_xlfn.XLOOKUP(ESales_DB[[#This Row],[Product_ID]],Eproduct_DB[Product_ID],Eproduct_DB[Product_Name])</f>
        <v>Sports Wrist Sweatbands</v>
      </c>
      <c r="Q1293" s="2" t="str">
        <f>_xlfn.XLOOKUP(ESales_DB[[#This Row],[Store_ID]],Estore_DB[Store_ID],Estore_DB[Region])</f>
        <v>North</v>
      </c>
      <c r="R1293" t="str">
        <f>VLOOKUP(ESales_DB[[#This Row],[Customer_ID]],Ecustom_DB[],10,FALSE)</f>
        <v>Bronze</v>
      </c>
      <c r="S1293" t="str">
        <f>IF(ESales_DB[[#This Row],[Quantity1]]&gt;3,"Bulk order","Normal order")</f>
        <v>Bulk order</v>
      </c>
    </row>
    <row r="1294" spans="1:19" x14ac:dyDescent="0.3">
      <c r="A1294" t="s">
        <v>2187</v>
      </c>
      <c r="B1294" s="4">
        <v>45763</v>
      </c>
      <c r="C1294" s="4" t="str">
        <f>TEXT(ESales_DB[[#This Row],[Order_Date]],"mmm")</f>
        <v>Apr</v>
      </c>
      <c r="D1294" t="s">
        <v>363</v>
      </c>
      <c r="E1294" t="s">
        <v>1744</v>
      </c>
      <c r="F1294" t="s">
        <v>1792</v>
      </c>
      <c r="G1294">
        <v>1</v>
      </c>
      <c r="H1294" s="10">
        <f>IF(ISBLANK(ESales_DB[[#This Row],[Quantity]]),AVERAGEIF(ESales_DB[Product_ID],ESales_DB[[#This Row],[Product_ID]],ESales_DB[Quantity]),ESales_DB[[#This Row],[Quantity]])</f>
        <v>1</v>
      </c>
      <c r="I1294" s="2">
        <v>645.48</v>
      </c>
      <c r="J1294">
        <v>0.26</v>
      </c>
      <c r="K1294" t="s">
        <v>1829</v>
      </c>
      <c r="L1294" s="2">
        <v>477.65519999999998</v>
      </c>
      <c r="M1294" s="2" t="str">
        <f>IF(ESales_DB[[#This Row],[Total_Amount]]&gt;1000,"High","Low")</f>
        <v>Low</v>
      </c>
      <c r="N1294" s="2" t="str">
        <f>VLOOKUP(ESales_DB[[#This Row],[Customer_ID]],Ecustom_DB[],3,FALSE)</f>
        <v>Sarah Schneider</v>
      </c>
      <c r="O1294" s="2" t="str">
        <f>_xlfn.XLOOKUP(ESales_DB[[#This Row],[Product_ID]],Eproduct_DB[Product_ID],Eproduct_DB[Category])</f>
        <v>Electronics</v>
      </c>
      <c r="P1294" s="2" t="str">
        <f>_xlfn.XLOOKUP(ESales_DB[[#This Row],[Product_ID]],Eproduct_DB[Product_ID],Eproduct_DB[Product_Name])</f>
        <v>Portable Bluetooth Speaker</v>
      </c>
      <c r="Q1294" s="2" t="str">
        <f>_xlfn.XLOOKUP(ESales_DB[[#This Row],[Store_ID]],Estore_DB[Store_ID],Estore_DB[Region])</f>
        <v>South</v>
      </c>
      <c r="R1294" t="str">
        <f>VLOOKUP(ESales_DB[[#This Row],[Customer_ID]],Ecustom_DB[],10,FALSE)</f>
        <v>Bronze</v>
      </c>
      <c r="S1294" t="str">
        <f>IF(ESales_DB[[#This Row],[Quantity1]]&gt;3,"Bulk order","Normal order")</f>
        <v>Normal order</v>
      </c>
    </row>
    <row r="1295" spans="1:19" x14ac:dyDescent="0.3">
      <c r="A1295" t="s">
        <v>2188</v>
      </c>
      <c r="B1295" s="4">
        <v>45856</v>
      </c>
      <c r="C1295" s="4" t="str">
        <f>TEXT(ESales_DB[[#This Row],[Order_Date]],"mmm")</f>
        <v>Jul</v>
      </c>
      <c r="D1295" t="s">
        <v>1127</v>
      </c>
      <c r="E1295" t="s">
        <v>1694</v>
      </c>
      <c r="F1295" t="s">
        <v>1761</v>
      </c>
      <c r="G1295">
        <v>2</v>
      </c>
      <c r="H1295" s="10">
        <f>IF(ISBLANK(ESales_DB[[#This Row],[Quantity]]),AVERAGEIF(ESales_DB[Product_ID],ESales_DB[[#This Row],[Product_ID]],ESales_DB[Quantity]),ESales_DB[[#This Row],[Quantity]])</f>
        <v>2</v>
      </c>
      <c r="I1295" s="2">
        <v>934</v>
      </c>
      <c r="J1295">
        <v>0.3</v>
      </c>
      <c r="K1295" t="s">
        <v>1829</v>
      </c>
      <c r="L1295" s="2">
        <v>1307.5999999999999</v>
      </c>
      <c r="M1295" s="2" t="str">
        <f>IF(ESales_DB[[#This Row],[Total_Amount]]&gt;1000,"High","Low")</f>
        <v>High</v>
      </c>
      <c r="N1295" s="2" t="str">
        <f>VLOOKUP(ESales_DB[[#This Row],[Customer_ID]],Ecustom_DB[],3,FALSE)</f>
        <v>Denise Tate</v>
      </c>
      <c r="O1295" s="2" t="str">
        <f>_xlfn.XLOOKUP(ESales_DB[[#This Row],[Product_ID]],Eproduct_DB[Product_ID],Eproduct_DB[Category])</f>
        <v>Sports</v>
      </c>
      <c r="P1295" s="2" t="str">
        <f>_xlfn.XLOOKUP(ESales_DB[[#This Row],[Product_ID]],Eproduct_DB[Product_ID],Eproduct_DB[Product_Name])</f>
        <v>Shin Guards – Adult</v>
      </c>
      <c r="Q1295" s="2" t="str">
        <f>_xlfn.XLOOKUP(ESales_DB[[#This Row],[Store_ID]],Estore_DB[Store_ID],Estore_DB[Region])</f>
        <v>South</v>
      </c>
      <c r="R1295" t="str">
        <f>VLOOKUP(ESales_DB[[#This Row],[Customer_ID]],Ecustom_DB[],10,FALSE)</f>
        <v>Platinum</v>
      </c>
      <c r="S1295" t="str">
        <f>IF(ESales_DB[[#This Row],[Quantity1]]&gt;3,"Bulk order","Normal order")</f>
        <v>Normal order</v>
      </c>
    </row>
    <row r="1296" spans="1:19" x14ac:dyDescent="0.3">
      <c r="A1296" t="s">
        <v>2189</v>
      </c>
      <c r="B1296" s="4">
        <v>45712</v>
      </c>
      <c r="C1296" s="4" t="str">
        <f>TEXT(ESales_DB[[#This Row],[Order_Date]],"mmm")</f>
        <v>Feb</v>
      </c>
      <c r="D1296" t="s">
        <v>1050</v>
      </c>
      <c r="E1296" t="s">
        <v>1640</v>
      </c>
      <c r="F1296" t="s">
        <v>1761</v>
      </c>
      <c r="G1296">
        <v>1</v>
      </c>
      <c r="H1296" s="10">
        <f>IF(ISBLANK(ESales_DB[[#This Row],[Quantity]]),AVERAGEIF(ESales_DB[Product_ID],ESales_DB[[#This Row],[Product_ID]],ESales_DB[Quantity]),ESales_DB[[#This Row],[Quantity]])</f>
        <v>1</v>
      </c>
      <c r="I1296" s="2">
        <v>669.53</v>
      </c>
      <c r="J1296">
        <v>0.2</v>
      </c>
      <c r="K1296" t="s">
        <v>1824</v>
      </c>
      <c r="L1296" s="2">
        <v>535.62400000000002</v>
      </c>
      <c r="M1296" s="2" t="str">
        <f>IF(ESales_DB[[#This Row],[Total_Amount]]&gt;1000,"High","Low")</f>
        <v>Low</v>
      </c>
      <c r="N1296" s="2" t="str">
        <f>VLOOKUP(ESales_DB[[#This Row],[Customer_ID]],Ecustom_DB[],3,FALSE)</f>
        <v>Mr. Christopher Sims</v>
      </c>
      <c r="O1296" s="2" t="str">
        <f>_xlfn.XLOOKUP(ESales_DB[[#This Row],[Product_ID]],Eproduct_DB[Product_ID],Eproduct_DB[Category])</f>
        <v>Clothing</v>
      </c>
      <c r="P1296" s="2" t="str">
        <f>_xlfn.XLOOKUP(ESales_DB[[#This Row],[Product_ID]],Eproduct_DB[Product_ID],Eproduct_DB[Product_Name])</f>
        <v>Men's Winter Jacket</v>
      </c>
      <c r="Q1296" s="2" t="str">
        <f>_xlfn.XLOOKUP(ESales_DB[[#This Row],[Store_ID]],Estore_DB[Store_ID],Estore_DB[Region])</f>
        <v>South</v>
      </c>
      <c r="R1296" t="str">
        <f>VLOOKUP(ESales_DB[[#This Row],[Customer_ID]],Ecustom_DB[],10,FALSE)</f>
        <v>Silver</v>
      </c>
      <c r="S1296" t="str">
        <f>IF(ESales_DB[[#This Row],[Quantity1]]&gt;3,"Bulk order","Normal order")</f>
        <v>Normal order</v>
      </c>
    </row>
    <row r="1297" spans="1:19" x14ac:dyDescent="0.3">
      <c r="A1297" t="s">
        <v>2190</v>
      </c>
      <c r="B1297" s="4">
        <v>45723</v>
      </c>
      <c r="C1297" s="4" t="str">
        <f>TEXT(ESales_DB[[#This Row],[Order_Date]],"mmm")</f>
        <v>Mar</v>
      </c>
      <c r="D1297" t="s">
        <v>702</v>
      </c>
      <c r="E1297" t="s">
        <v>1618</v>
      </c>
      <c r="F1297" t="s">
        <v>1810</v>
      </c>
      <c r="G1297">
        <v>1</v>
      </c>
      <c r="H1297" s="10">
        <f>IF(ISBLANK(ESales_DB[[#This Row],[Quantity]]),AVERAGEIF(ESales_DB[Product_ID],ESales_DB[[#This Row],[Product_ID]],ESales_DB[Quantity]),ESales_DB[[#This Row],[Quantity]])</f>
        <v>1</v>
      </c>
      <c r="I1297" s="2">
        <v>213.69</v>
      </c>
      <c r="J1297">
        <v>0.28000000000000003</v>
      </c>
      <c r="K1297" t="s">
        <v>1829</v>
      </c>
      <c r="L1297" s="2">
        <v>153.85679999999999</v>
      </c>
      <c r="M1297" s="2" t="str">
        <f>IF(ESales_DB[[#This Row],[Total_Amount]]&gt;1000,"High","Low")</f>
        <v>Low</v>
      </c>
      <c r="N1297" s="2" t="str">
        <f>VLOOKUP(ESales_DB[[#This Row],[Customer_ID]],Ecustom_DB[],3,FALSE)</f>
        <v>Kathryn Garcia</v>
      </c>
      <c r="O1297" s="2" t="str">
        <f>_xlfn.XLOOKUP(ESales_DB[[#This Row],[Product_ID]],Eproduct_DB[Product_ID],Eproduct_DB[Category])</f>
        <v>Home</v>
      </c>
      <c r="P1297" s="2" t="str">
        <f>_xlfn.XLOOKUP(ESales_DB[[#This Row],[Product_ID]],Eproduct_DB[Product_ID],Eproduct_DB[Product_Name])</f>
        <v>Bedroom Table Lamp</v>
      </c>
      <c r="Q1297" s="2" t="str">
        <f>_xlfn.XLOOKUP(ESales_DB[[#This Row],[Store_ID]],Estore_DB[Store_ID],Estore_DB[Region])</f>
        <v>East</v>
      </c>
      <c r="R1297" t="str">
        <f>VLOOKUP(ESales_DB[[#This Row],[Customer_ID]],Ecustom_DB[],10,FALSE)</f>
        <v>Platinum</v>
      </c>
      <c r="S1297" t="str">
        <f>IF(ESales_DB[[#This Row],[Quantity1]]&gt;3,"Bulk order","Normal order")</f>
        <v>Normal order</v>
      </c>
    </row>
    <row r="1298" spans="1:19" x14ac:dyDescent="0.3">
      <c r="A1298" t="s">
        <v>2191</v>
      </c>
      <c r="B1298" s="4">
        <v>45706</v>
      </c>
      <c r="C1298" s="4" t="str">
        <f>TEXT(ESales_DB[[#This Row],[Order_Date]],"mmm")</f>
        <v>Feb</v>
      </c>
      <c r="D1298" t="s">
        <v>281</v>
      </c>
      <c r="E1298" t="s">
        <v>1590</v>
      </c>
      <c r="F1298" t="s">
        <v>1813</v>
      </c>
      <c r="G1298">
        <v>2</v>
      </c>
      <c r="H1298" s="10">
        <f>IF(ISBLANK(ESales_DB[[#This Row],[Quantity]]),AVERAGEIF(ESales_DB[Product_ID],ESales_DB[[#This Row],[Product_ID]],ESales_DB[Quantity]),ESales_DB[[#This Row],[Quantity]])</f>
        <v>2</v>
      </c>
      <c r="I1298" s="2">
        <v>99.1</v>
      </c>
      <c r="J1298">
        <v>0.2</v>
      </c>
      <c r="K1298" t="s">
        <v>1826</v>
      </c>
      <c r="L1298" s="2">
        <v>158.56</v>
      </c>
      <c r="M1298" s="2" t="str">
        <f>IF(ESales_DB[[#This Row],[Total_Amount]]&gt;1000,"High","Low")</f>
        <v>Low</v>
      </c>
      <c r="N1298" s="2" t="str">
        <f>VLOOKUP(ESales_DB[[#This Row],[Customer_ID]],Ecustom_DB[],3,FALSE)</f>
        <v>Katherine Young</v>
      </c>
      <c r="O1298" s="2" t="str">
        <f>_xlfn.XLOOKUP(ESales_DB[[#This Row],[Product_ID]],Eproduct_DB[Product_ID],Eproduct_DB[Category])</f>
        <v>Home</v>
      </c>
      <c r="P1298" s="2" t="str">
        <f>_xlfn.XLOOKUP(ESales_DB[[#This Row],[Product_ID]],Eproduct_DB[Product_ID],Eproduct_DB[Product_Name])</f>
        <v>Multi-Purpose Storage Box</v>
      </c>
      <c r="Q1298" s="2" t="str">
        <f>_xlfn.XLOOKUP(ESales_DB[[#This Row],[Store_ID]],Estore_DB[Store_ID],Estore_DB[Region])</f>
        <v>East</v>
      </c>
      <c r="R1298" t="str">
        <f>VLOOKUP(ESales_DB[[#This Row],[Customer_ID]],Ecustom_DB[],10,FALSE)</f>
        <v>Gold</v>
      </c>
      <c r="S1298" t="str">
        <f>IF(ESales_DB[[#This Row],[Quantity1]]&gt;3,"Bulk order","Normal order")</f>
        <v>Normal order</v>
      </c>
    </row>
    <row r="1299" spans="1:19" x14ac:dyDescent="0.3">
      <c r="A1299" t="s">
        <v>2192</v>
      </c>
      <c r="B1299" s="4">
        <v>45469</v>
      </c>
      <c r="C1299" s="4" t="str">
        <f>TEXT(ESales_DB[[#This Row],[Order_Date]],"mmm")</f>
        <v>Jun</v>
      </c>
      <c r="D1299" t="s">
        <v>1157</v>
      </c>
      <c r="E1299" t="s">
        <v>1622</v>
      </c>
      <c r="F1299" t="s">
        <v>1804</v>
      </c>
      <c r="G1299">
        <v>1</v>
      </c>
      <c r="H1299" s="10">
        <f>IF(ISBLANK(ESales_DB[[#This Row],[Quantity]]),AVERAGEIF(ESales_DB[Product_ID],ESales_DB[[#This Row],[Product_ID]],ESales_DB[Quantity]),ESales_DB[[#This Row],[Quantity]])</f>
        <v>1</v>
      </c>
      <c r="I1299" s="2">
        <v>628.98</v>
      </c>
      <c r="J1299">
        <v>0.03</v>
      </c>
      <c r="K1299" t="s">
        <v>1829</v>
      </c>
      <c r="L1299" s="2">
        <v>610.11059999999998</v>
      </c>
      <c r="M1299" s="2" t="str">
        <f>IF(ESales_DB[[#This Row],[Total_Amount]]&gt;1000,"High","Low")</f>
        <v>Low</v>
      </c>
      <c r="N1299" s="2" t="str">
        <f>VLOOKUP(ESales_DB[[#This Row],[Customer_ID]],Ecustom_DB[],3,FALSE)</f>
        <v>James Holloway Jr.</v>
      </c>
      <c r="O1299" s="2" t="str">
        <f>_xlfn.XLOOKUP(ESales_DB[[#This Row],[Product_ID]],Eproduct_DB[Product_ID],Eproduct_DB[Category])</f>
        <v>Clothing</v>
      </c>
      <c r="P1299" s="2" t="str">
        <f>_xlfn.XLOOKUP(ESales_DB[[#This Row],[Product_ID]],Eproduct_DB[Product_ID],Eproduct_DB[Product_Name])</f>
        <v>Men's Casual Sneakers</v>
      </c>
      <c r="Q1299" s="2" t="str">
        <f>_xlfn.XLOOKUP(ESales_DB[[#This Row],[Store_ID]],Estore_DB[Store_ID],Estore_DB[Region])</f>
        <v>West</v>
      </c>
      <c r="R1299" t="str">
        <f>VLOOKUP(ESales_DB[[#This Row],[Customer_ID]],Ecustom_DB[],10,FALSE)</f>
        <v>Silver</v>
      </c>
      <c r="S1299" t="str">
        <f>IF(ESales_DB[[#This Row],[Quantity1]]&gt;3,"Bulk order","Normal order")</f>
        <v>Normal order</v>
      </c>
    </row>
    <row r="1300" spans="1:19" x14ac:dyDescent="0.3">
      <c r="A1300" t="s">
        <v>2193</v>
      </c>
      <c r="B1300" s="4">
        <v>45711</v>
      </c>
      <c r="C1300" s="4" t="str">
        <f>TEXT(ESales_DB[[#This Row],[Order_Date]],"mmm")</f>
        <v>Feb</v>
      </c>
      <c r="D1300" t="s">
        <v>307</v>
      </c>
      <c r="E1300" t="s">
        <v>1716</v>
      </c>
      <c r="F1300" t="s">
        <v>1769</v>
      </c>
      <c r="G1300">
        <v>3</v>
      </c>
      <c r="H1300" s="10">
        <f>IF(ISBLANK(ESales_DB[[#This Row],[Quantity]]),AVERAGEIF(ESales_DB[Product_ID],ESales_DB[[#This Row],[Product_ID]],ESales_DB[Quantity]),ESales_DB[[#This Row],[Quantity]])</f>
        <v>3</v>
      </c>
      <c r="I1300" s="2">
        <v>944.64</v>
      </c>
      <c r="J1300">
        <v>0.26</v>
      </c>
      <c r="K1300" t="s">
        <v>1824</v>
      </c>
      <c r="L1300" s="2">
        <v>2097.1008000000002</v>
      </c>
      <c r="M1300" s="2" t="str">
        <f>IF(ESales_DB[[#This Row],[Total_Amount]]&gt;1000,"High","Low")</f>
        <v>High</v>
      </c>
      <c r="N1300" s="2" t="str">
        <f>VLOOKUP(ESales_DB[[#This Row],[Customer_ID]],Ecustom_DB[],3,FALSE)</f>
        <v>Richard Delgado</v>
      </c>
      <c r="O1300" s="2" t="str">
        <f>_xlfn.XLOOKUP(ESales_DB[[#This Row],[Product_ID]],Eproduct_DB[Product_ID],Eproduct_DB[Category])</f>
        <v>Home</v>
      </c>
      <c r="P1300" s="2" t="str">
        <f>_xlfn.XLOOKUP(ESales_DB[[#This Row],[Product_ID]],Eproduct_DB[Product_ID],Eproduct_DB[Product_Name])</f>
        <v>Wooden Bookshelf</v>
      </c>
      <c r="Q1300" s="2" t="str">
        <f>_xlfn.XLOOKUP(ESales_DB[[#This Row],[Store_ID]],Estore_DB[Store_ID],Estore_DB[Region])</f>
        <v>South</v>
      </c>
      <c r="R1300" t="str">
        <f>VLOOKUP(ESales_DB[[#This Row],[Customer_ID]],Ecustom_DB[],10,FALSE)</f>
        <v>Silver</v>
      </c>
      <c r="S1300" t="str">
        <f>IF(ESales_DB[[#This Row],[Quantity1]]&gt;3,"Bulk order","Normal order")</f>
        <v>Normal order</v>
      </c>
    </row>
    <row r="1301" spans="1:19" x14ac:dyDescent="0.3">
      <c r="A1301" t="s">
        <v>2194</v>
      </c>
      <c r="B1301" s="4">
        <v>45823</v>
      </c>
      <c r="C1301" s="4" t="str">
        <f>TEXT(ESales_DB[[#This Row],[Order_Date]],"mmm")</f>
        <v>Jun</v>
      </c>
      <c r="D1301" t="s">
        <v>1452</v>
      </c>
      <c r="E1301" t="s">
        <v>1734</v>
      </c>
      <c r="F1301" t="s">
        <v>1794</v>
      </c>
      <c r="G1301">
        <v>2</v>
      </c>
      <c r="H1301" s="10">
        <f>IF(ISBLANK(ESales_DB[[#This Row],[Quantity]]),AVERAGEIF(ESales_DB[Product_ID],ESales_DB[[#This Row],[Product_ID]],ESales_DB[Quantity]),ESales_DB[[#This Row],[Quantity]])</f>
        <v>2</v>
      </c>
      <c r="I1301" s="2">
        <v>121.7</v>
      </c>
      <c r="J1301">
        <v>0.06</v>
      </c>
      <c r="K1301" t="s">
        <v>1829</v>
      </c>
      <c r="L1301" s="2">
        <v>228.79599999999999</v>
      </c>
      <c r="M1301" s="2" t="str">
        <f>IF(ESales_DB[[#This Row],[Total_Amount]]&gt;1000,"High","Low")</f>
        <v>Low</v>
      </c>
      <c r="N1301" s="2" t="str">
        <f>VLOOKUP(ESales_DB[[#This Row],[Customer_ID]],Ecustom_DB[],3,FALSE)</f>
        <v>Debra Mccullough</v>
      </c>
      <c r="O1301" s="2" t="str">
        <f>_xlfn.XLOOKUP(ESales_DB[[#This Row],[Product_ID]],Eproduct_DB[Product_ID],Eproduct_DB[Category])</f>
        <v>Electronics</v>
      </c>
      <c r="P1301" s="2" t="str">
        <f>_xlfn.XLOOKUP(ESales_DB[[#This Row],[Product_ID]],Eproduct_DB[Product_ID],Eproduct_DB[Product_Name])</f>
        <v>USB-C Laptop Charger</v>
      </c>
      <c r="Q1301" s="2" t="str">
        <f>_xlfn.XLOOKUP(ESales_DB[[#This Row],[Store_ID]],Estore_DB[Store_ID],Estore_DB[Region])</f>
        <v>North</v>
      </c>
      <c r="R1301" t="str">
        <f>VLOOKUP(ESales_DB[[#This Row],[Customer_ID]],Ecustom_DB[],10,FALSE)</f>
        <v>Platinum</v>
      </c>
      <c r="S1301" t="str">
        <f>IF(ESales_DB[[#This Row],[Quantity1]]&gt;3,"Bulk order","Normal order")</f>
        <v>Normal order</v>
      </c>
    </row>
    <row r="1302" spans="1:19" x14ac:dyDescent="0.3">
      <c r="A1302" t="s">
        <v>2195</v>
      </c>
      <c r="B1302" s="4">
        <v>45217</v>
      </c>
      <c r="C1302" s="4" t="str">
        <f>TEXT(ESales_DB[[#This Row],[Order_Date]],"mmm")</f>
        <v>Oct</v>
      </c>
      <c r="D1302" t="s">
        <v>1386</v>
      </c>
      <c r="E1302" t="s">
        <v>1678</v>
      </c>
      <c r="F1302" t="s">
        <v>1766</v>
      </c>
      <c r="G1302">
        <v>4</v>
      </c>
      <c r="H1302" s="10">
        <f>IF(ISBLANK(ESales_DB[[#This Row],[Quantity]]),AVERAGEIF(ESales_DB[Product_ID],ESales_DB[[#This Row],[Product_ID]],ESales_DB[Quantity]),ESales_DB[[#This Row],[Quantity]])</f>
        <v>4</v>
      </c>
      <c r="I1302" s="2">
        <v>269.49</v>
      </c>
      <c r="J1302">
        <v>7.0000000000000007E-2</v>
      </c>
      <c r="K1302" t="s">
        <v>1826</v>
      </c>
      <c r="L1302" s="2">
        <v>1002.5028</v>
      </c>
      <c r="M1302" s="2" t="str">
        <f>IF(ESales_DB[[#This Row],[Total_Amount]]&gt;1000,"High","Low")</f>
        <v>High</v>
      </c>
      <c r="N1302" s="2" t="str">
        <f>VLOOKUP(ESales_DB[[#This Row],[Customer_ID]],Ecustom_DB[],3,FALSE)</f>
        <v>Eric Holmes</v>
      </c>
      <c r="O1302" s="2" t="str">
        <f>_xlfn.XLOOKUP(ESales_DB[[#This Row],[Product_ID]],Eproduct_DB[Product_ID],Eproduct_DB[Category])</f>
        <v>Sports</v>
      </c>
      <c r="P1302" s="2" t="str">
        <f>_xlfn.XLOOKUP(ESales_DB[[#This Row],[Product_ID]],Eproduct_DB[Product_ID],Eproduct_DB[Product_Name])</f>
        <v>Adjustable Dumbbells 20kg</v>
      </c>
      <c r="Q1302" s="2" t="str">
        <f>_xlfn.XLOOKUP(ESales_DB[[#This Row],[Store_ID]],Estore_DB[Store_ID],Estore_DB[Region])</f>
        <v>North</v>
      </c>
      <c r="R1302" t="str">
        <f>VLOOKUP(ESales_DB[[#This Row],[Customer_ID]],Ecustom_DB[],10,FALSE)</f>
        <v>Bronze</v>
      </c>
      <c r="S1302" t="str">
        <f>IF(ESales_DB[[#This Row],[Quantity1]]&gt;3,"Bulk order","Normal order")</f>
        <v>Bulk order</v>
      </c>
    </row>
    <row r="1303" spans="1:19" x14ac:dyDescent="0.3">
      <c r="A1303" t="s">
        <v>1863</v>
      </c>
      <c r="B1303" s="4">
        <v>45329</v>
      </c>
      <c r="C1303" s="4" t="str">
        <f>TEXT(ESales_DB[[#This Row],[Order_Date]],"mmm")</f>
        <v>Feb</v>
      </c>
      <c r="D1303" t="s">
        <v>1513</v>
      </c>
      <c r="E1303" t="s">
        <v>1568</v>
      </c>
      <c r="F1303" t="s">
        <v>1807</v>
      </c>
      <c r="G1303">
        <v>3</v>
      </c>
      <c r="H1303" s="10">
        <f>IF(ISBLANK(ESales_DB[[#This Row],[Quantity]]),AVERAGEIF(ESales_DB[Product_ID],ESales_DB[[#This Row],[Product_ID]],ESales_DB[Quantity]),ESales_DB[[#This Row],[Quantity]])</f>
        <v>3</v>
      </c>
      <c r="I1303" s="2">
        <v>121.76</v>
      </c>
      <c r="J1303">
        <v>0.27</v>
      </c>
      <c r="K1303" t="s">
        <v>1826</v>
      </c>
      <c r="L1303" s="2">
        <v>266.65440000000001</v>
      </c>
      <c r="M1303" s="2" t="str">
        <f>IF(ESales_DB[[#This Row],[Total_Amount]]&gt;1000,"High","Low")</f>
        <v>Low</v>
      </c>
      <c r="N1303" s="2" t="str">
        <f>VLOOKUP(ESales_DB[[#This Row],[Customer_ID]],Ecustom_DB[],3,FALSE)</f>
        <v>Darrell Miller</v>
      </c>
      <c r="O1303" s="2" t="str">
        <f>_xlfn.XLOOKUP(ESales_DB[[#This Row],[Product_ID]],Eproduct_DB[Product_ID],Eproduct_DB[Category])</f>
        <v>Home</v>
      </c>
      <c r="P1303" s="2" t="str">
        <f>_xlfn.XLOOKUP(ESales_DB[[#This Row],[Product_ID]],Eproduct_DB[Product_ID],Eproduct_DB[Product_Name])</f>
        <v>Ceramic Kitchen Bowl Set</v>
      </c>
      <c r="Q1303" s="2" t="str">
        <f>_xlfn.XLOOKUP(ESales_DB[[#This Row],[Store_ID]],Estore_DB[Store_ID],Estore_DB[Region])</f>
        <v>North</v>
      </c>
      <c r="R1303" t="str">
        <f>VLOOKUP(ESales_DB[[#This Row],[Customer_ID]],Ecustom_DB[],10,FALSE)</f>
        <v>Platinum</v>
      </c>
      <c r="S1303" t="str">
        <f>IF(ESales_DB[[#This Row],[Quantity1]]&gt;3,"Bulk order","Normal order")</f>
        <v>Normal order</v>
      </c>
    </row>
    <row r="1304" spans="1:19" x14ac:dyDescent="0.3">
      <c r="A1304" t="s">
        <v>2196</v>
      </c>
      <c r="B1304" s="4">
        <v>45733</v>
      </c>
      <c r="C1304" s="4" t="str">
        <f>TEXT(ESales_DB[[#This Row],[Order_Date]],"mmm")</f>
        <v>Mar</v>
      </c>
      <c r="D1304" t="s">
        <v>353</v>
      </c>
      <c r="E1304" t="s">
        <v>1592</v>
      </c>
      <c r="F1304" t="s">
        <v>1810</v>
      </c>
      <c r="G1304">
        <v>1</v>
      </c>
      <c r="H1304" s="10">
        <f>IF(ISBLANK(ESales_DB[[#This Row],[Quantity]]),AVERAGEIF(ESales_DB[Product_ID],ESales_DB[[#This Row],[Product_ID]],ESales_DB[Quantity]),ESales_DB[[#This Row],[Quantity]])</f>
        <v>1</v>
      </c>
      <c r="I1304" s="2">
        <v>678.2</v>
      </c>
      <c r="J1304">
        <v>0.14000000000000001</v>
      </c>
      <c r="K1304" t="s">
        <v>1824</v>
      </c>
      <c r="L1304" s="2">
        <v>583.25200000000007</v>
      </c>
      <c r="M1304" s="2" t="str">
        <f>IF(ESales_DB[[#This Row],[Total_Amount]]&gt;1000,"High","Low")</f>
        <v>Low</v>
      </c>
      <c r="N1304" s="2" t="str">
        <f>VLOOKUP(ESales_DB[[#This Row],[Customer_ID]],Ecustom_DB[],3,FALSE)</f>
        <v>Sheila Wilson</v>
      </c>
      <c r="O1304" s="2" t="str">
        <f>_xlfn.XLOOKUP(ESales_DB[[#This Row],[Product_ID]],Eproduct_DB[Product_ID],Eproduct_DB[Category])</f>
        <v>Sports</v>
      </c>
      <c r="P1304" s="2" t="str">
        <f>_xlfn.XLOOKUP(ESales_DB[[#This Row],[Product_ID]],Eproduct_DB[Product_ID],Eproduct_DB[Product_Name])</f>
        <v>Carbon Fiber Tennis Racket</v>
      </c>
      <c r="Q1304" s="2" t="str">
        <f>_xlfn.XLOOKUP(ESales_DB[[#This Row],[Store_ID]],Estore_DB[Store_ID],Estore_DB[Region])</f>
        <v>East</v>
      </c>
      <c r="R1304" t="str">
        <f>VLOOKUP(ESales_DB[[#This Row],[Customer_ID]],Ecustom_DB[],10,FALSE)</f>
        <v>Silver</v>
      </c>
      <c r="S1304" t="str">
        <f>IF(ESales_DB[[#This Row],[Quantity1]]&gt;3,"Bulk order","Normal order")</f>
        <v>Normal order</v>
      </c>
    </row>
    <row r="1305" spans="1:19" x14ac:dyDescent="0.3">
      <c r="A1305" t="s">
        <v>2197</v>
      </c>
      <c r="B1305" s="4">
        <v>45520</v>
      </c>
      <c r="C1305" s="4" t="str">
        <f>TEXT(ESales_DB[[#This Row],[Order_Date]],"mmm")</f>
        <v>Aug</v>
      </c>
      <c r="D1305" t="s">
        <v>743</v>
      </c>
      <c r="E1305" t="s">
        <v>1728</v>
      </c>
      <c r="F1305" t="s">
        <v>1797</v>
      </c>
      <c r="G1305">
        <v>1</v>
      </c>
      <c r="H1305" s="10">
        <f>IF(ISBLANK(ESales_DB[[#This Row],[Quantity]]),AVERAGEIF(ESales_DB[Product_ID],ESales_DB[[#This Row],[Product_ID]],ESales_DB[Quantity]),ESales_DB[[#This Row],[Quantity]])</f>
        <v>1</v>
      </c>
      <c r="I1305" s="2">
        <v>752.45</v>
      </c>
      <c r="J1305">
        <v>0.21</v>
      </c>
      <c r="K1305" t="s">
        <v>1829</v>
      </c>
      <c r="L1305" s="2">
        <v>594.43550000000005</v>
      </c>
      <c r="M1305" s="2" t="str">
        <f>IF(ESales_DB[[#This Row],[Total_Amount]]&gt;1000,"High","Low")</f>
        <v>Low</v>
      </c>
      <c r="N1305" s="2" t="str">
        <f>VLOOKUP(ESales_DB[[#This Row],[Customer_ID]],Ecustom_DB[],3,FALSE)</f>
        <v>Timothy Juarez</v>
      </c>
      <c r="O1305" s="2" t="str">
        <f>_xlfn.XLOOKUP(ESales_DB[[#This Row],[Product_ID]],Eproduct_DB[Product_ID],Eproduct_DB[Category])</f>
        <v>Electronics</v>
      </c>
      <c r="P1305" s="2" t="str">
        <f>_xlfn.XLOOKUP(ESales_DB[[#This Row],[Product_ID]],Eproduct_DB[Product_ID],Eproduct_DB[Product_Name])</f>
        <v>Gaming Mouse Pad XL</v>
      </c>
      <c r="Q1305" s="2" t="str">
        <f>_xlfn.XLOOKUP(ESales_DB[[#This Row],[Store_ID]],Estore_DB[Store_ID],Estore_DB[Region])</f>
        <v>East</v>
      </c>
      <c r="R1305" t="str">
        <f>VLOOKUP(ESales_DB[[#This Row],[Customer_ID]],Ecustom_DB[],10,FALSE)</f>
        <v>Bronze</v>
      </c>
      <c r="S1305" t="str">
        <f>IF(ESales_DB[[#This Row],[Quantity1]]&gt;3,"Bulk order","Normal order")</f>
        <v>Normal order</v>
      </c>
    </row>
    <row r="1306" spans="1:19" x14ac:dyDescent="0.3">
      <c r="A1306" t="s">
        <v>2198</v>
      </c>
      <c r="B1306" s="4">
        <v>45373</v>
      </c>
      <c r="C1306" s="4" t="str">
        <f>TEXT(ESales_DB[[#This Row],[Order_Date]],"mmm")</f>
        <v>Mar</v>
      </c>
      <c r="D1306" t="s">
        <v>147</v>
      </c>
      <c r="E1306" t="s">
        <v>1736</v>
      </c>
      <c r="F1306" t="s">
        <v>1797</v>
      </c>
      <c r="G1306">
        <v>2</v>
      </c>
      <c r="H1306" s="10">
        <f>IF(ISBLANK(ESales_DB[[#This Row],[Quantity]]),AVERAGEIF(ESales_DB[Product_ID],ESales_DB[[#This Row],[Product_ID]],ESales_DB[Quantity]),ESales_DB[[#This Row],[Quantity]])</f>
        <v>2</v>
      </c>
      <c r="I1306" s="2">
        <v>209.66</v>
      </c>
      <c r="J1306">
        <v>0.21</v>
      </c>
      <c r="K1306" t="s">
        <v>1824</v>
      </c>
      <c r="L1306" s="2">
        <v>331.26280000000003</v>
      </c>
      <c r="M1306" s="2" t="str">
        <f>IF(ESales_DB[[#This Row],[Total_Amount]]&gt;1000,"High","Low")</f>
        <v>Low</v>
      </c>
      <c r="N1306" s="2" t="str">
        <f>VLOOKUP(ESales_DB[[#This Row],[Customer_ID]],Ecustom_DB[],3,FALSE)</f>
        <v>Christopher Carter</v>
      </c>
      <c r="O1306" s="2" t="str">
        <f>_xlfn.XLOOKUP(ESales_DB[[#This Row],[Product_ID]],Eproduct_DB[Product_ID],Eproduct_DB[Category])</f>
        <v>Beauty</v>
      </c>
      <c r="P1306" s="2" t="str">
        <f>_xlfn.XLOOKUP(ESales_DB[[#This Row],[Product_ID]],Eproduct_DB[Product_ID],Eproduct_DB[Product_Name])</f>
        <v>Vitamin E Body Lotion</v>
      </c>
      <c r="Q1306" s="2" t="str">
        <f>_xlfn.XLOOKUP(ESales_DB[[#This Row],[Store_ID]],Estore_DB[Store_ID],Estore_DB[Region])</f>
        <v>East</v>
      </c>
      <c r="R1306" t="str">
        <f>VLOOKUP(ESales_DB[[#This Row],[Customer_ID]],Ecustom_DB[],10,FALSE)</f>
        <v>Uncategorized</v>
      </c>
      <c r="S1306" t="str">
        <f>IF(ESales_DB[[#This Row],[Quantity1]]&gt;3,"Bulk order","Normal order")</f>
        <v>Normal order</v>
      </c>
    </row>
    <row r="1307" spans="1:19" x14ac:dyDescent="0.3">
      <c r="A1307" t="s">
        <v>2199</v>
      </c>
      <c r="B1307" s="4">
        <v>45688</v>
      </c>
      <c r="C1307" s="4" t="str">
        <f>TEXT(ESales_DB[[#This Row],[Order_Date]],"mmm")</f>
        <v>Jan</v>
      </c>
      <c r="D1307" t="s">
        <v>538</v>
      </c>
      <c r="E1307" t="s">
        <v>1742</v>
      </c>
      <c r="F1307" t="s">
        <v>1813</v>
      </c>
      <c r="G1307">
        <v>2</v>
      </c>
      <c r="H1307" s="10">
        <f>IF(ISBLANK(ESales_DB[[#This Row],[Quantity]]),AVERAGEIF(ESales_DB[Product_ID],ESales_DB[[#This Row],[Product_ID]],ESales_DB[Quantity]),ESales_DB[[#This Row],[Quantity]])</f>
        <v>2</v>
      </c>
      <c r="I1307" s="2">
        <v>739.95</v>
      </c>
      <c r="J1307">
        <v>0.1</v>
      </c>
      <c r="K1307" t="s">
        <v>1829</v>
      </c>
      <c r="L1307" s="2">
        <v>1331.91</v>
      </c>
      <c r="M1307" s="2" t="str">
        <f>IF(ESales_DB[[#This Row],[Total_Amount]]&gt;1000,"High","Low")</f>
        <v>High</v>
      </c>
      <c r="N1307" s="2" t="str">
        <f>VLOOKUP(ESales_DB[[#This Row],[Customer_ID]],Ecustom_DB[],3,FALSE)</f>
        <v>Cynthia Morris</v>
      </c>
      <c r="O1307" s="2" t="str">
        <f>_xlfn.XLOOKUP(ESales_DB[[#This Row],[Product_ID]],Eproduct_DB[Product_ID],Eproduct_DB[Category])</f>
        <v>Sports</v>
      </c>
      <c r="P1307" s="2" t="str">
        <f>_xlfn.XLOOKUP(ESales_DB[[#This Row],[Product_ID]],Eproduct_DB[Product_ID],Eproduct_DB[Product_Name])</f>
        <v>Cricket Bat</v>
      </c>
      <c r="Q1307" s="2" t="str">
        <f>_xlfn.XLOOKUP(ESales_DB[[#This Row],[Store_ID]],Estore_DB[Store_ID],Estore_DB[Region])</f>
        <v>East</v>
      </c>
      <c r="R1307" t="str">
        <f>VLOOKUP(ESales_DB[[#This Row],[Customer_ID]],Ecustom_DB[],10,FALSE)</f>
        <v>Silver</v>
      </c>
      <c r="S1307" t="str">
        <f>IF(ESales_DB[[#This Row],[Quantity1]]&gt;3,"Bulk order","Normal order")</f>
        <v>Normal order</v>
      </c>
    </row>
    <row r="1308" spans="1:19" x14ac:dyDescent="0.3">
      <c r="A1308" t="s">
        <v>2200</v>
      </c>
      <c r="B1308" s="4">
        <v>45276</v>
      </c>
      <c r="C1308" s="4" t="str">
        <f>TEXT(ESales_DB[[#This Row],[Order_Date]],"mmm")</f>
        <v>Dec</v>
      </c>
      <c r="D1308" t="s">
        <v>1446</v>
      </c>
      <c r="E1308" t="s">
        <v>1638</v>
      </c>
      <c r="F1308" t="s">
        <v>1801</v>
      </c>
      <c r="G1308">
        <v>1</v>
      </c>
      <c r="H1308" s="10">
        <f>IF(ISBLANK(ESales_DB[[#This Row],[Quantity]]),AVERAGEIF(ESales_DB[Product_ID],ESales_DB[[#This Row],[Product_ID]],ESales_DB[Quantity]),ESales_DB[[#This Row],[Quantity]])</f>
        <v>1</v>
      </c>
      <c r="I1308" s="2">
        <v>496.19</v>
      </c>
      <c r="J1308">
        <v>0.08</v>
      </c>
      <c r="K1308" t="s">
        <v>1829</v>
      </c>
      <c r="L1308" s="2">
        <v>456.4948</v>
      </c>
      <c r="M1308" s="2" t="str">
        <f>IF(ESales_DB[[#This Row],[Total_Amount]]&gt;1000,"High","Low")</f>
        <v>Low</v>
      </c>
      <c r="N1308" s="2" t="str">
        <f>VLOOKUP(ESales_DB[[#This Row],[Customer_ID]],Ecustom_DB[],3,FALSE)</f>
        <v>James Foster</v>
      </c>
      <c r="O1308" s="2" t="str">
        <f>_xlfn.XLOOKUP(ESales_DB[[#This Row],[Product_ID]],Eproduct_DB[Product_ID],Eproduct_DB[Category])</f>
        <v>Sports</v>
      </c>
      <c r="P1308" s="2" t="str">
        <f>_xlfn.XLOOKUP(ESales_DB[[#This Row],[Product_ID]],Eproduct_DB[Product_ID],Eproduct_DB[Product_Name])</f>
        <v>High-Grip Football</v>
      </c>
      <c r="Q1308" s="2" t="str">
        <f>_xlfn.XLOOKUP(ESales_DB[[#This Row],[Store_ID]],Estore_DB[Store_ID],Estore_DB[Region])</f>
        <v>North</v>
      </c>
      <c r="R1308" t="str">
        <f>VLOOKUP(ESales_DB[[#This Row],[Customer_ID]],Ecustom_DB[],10,FALSE)</f>
        <v>Gold</v>
      </c>
      <c r="S1308" t="str">
        <f>IF(ESales_DB[[#This Row],[Quantity1]]&gt;3,"Bulk order","Normal order")</f>
        <v>Normal order</v>
      </c>
    </row>
    <row r="1309" spans="1:19" x14ac:dyDescent="0.3">
      <c r="A1309" t="s">
        <v>2201</v>
      </c>
      <c r="B1309" s="4">
        <v>45756</v>
      </c>
      <c r="C1309" s="4" t="str">
        <f>TEXT(ESales_DB[[#This Row],[Order_Date]],"mmm")</f>
        <v>Apr</v>
      </c>
      <c r="D1309" t="s">
        <v>172</v>
      </c>
      <c r="E1309" t="s">
        <v>1565</v>
      </c>
      <c r="F1309" t="s">
        <v>1794</v>
      </c>
      <c r="G1309">
        <v>1</v>
      </c>
      <c r="H1309" s="10">
        <f>IF(ISBLANK(ESales_DB[[#This Row],[Quantity]]),AVERAGEIF(ESales_DB[Product_ID],ESales_DB[[#This Row],[Product_ID]],ESales_DB[Quantity]),ESales_DB[[#This Row],[Quantity]])</f>
        <v>1</v>
      </c>
      <c r="I1309" s="2">
        <v>306.36</v>
      </c>
      <c r="J1309">
        <v>0.01</v>
      </c>
      <c r="K1309" t="s">
        <v>1826</v>
      </c>
      <c r="L1309" s="2">
        <v>303.29640000000001</v>
      </c>
      <c r="M1309" s="2" t="str">
        <f>IF(ESales_DB[[#This Row],[Total_Amount]]&gt;1000,"High","Low")</f>
        <v>Low</v>
      </c>
      <c r="N1309" s="2" t="str">
        <f>VLOOKUP(ESales_DB[[#This Row],[Customer_ID]],Ecustom_DB[],3,FALSE)</f>
        <v>Denise Williams</v>
      </c>
      <c r="O1309" s="2" t="str">
        <f>_xlfn.XLOOKUP(ESales_DB[[#This Row],[Product_ID]],Eproduct_DB[Product_ID],Eproduct_DB[Category])</f>
        <v>Sports</v>
      </c>
      <c r="P1309" s="2" t="str">
        <f>_xlfn.XLOOKUP(ESales_DB[[#This Row],[Product_ID]],Eproduct_DB[Product_ID],Eproduct_DB[Product_Name])</f>
        <v>Adjustable Dumbbell Set</v>
      </c>
      <c r="Q1309" s="2" t="str">
        <f>_xlfn.XLOOKUP(ESales_DB[[#This Row],[Store_ID]],Estore_DB[Store_ID],Estore_DB[Region])</f>
        <v>North</v>
      </c>
      <c r="R1309" t="str">
        <f>VLOOKUP(ESales_DB[[#This Row],[Customer_ID]],Ecustom_DB[],10,FALSE)</f>
        <v>Bronze</v>
      </c>
      <c r="S1309" t="str">
        <f>IF(ESales_DB[[#This Row],[Quantity1]]&gt;3,"Bulk order","Normal order")</f>
        <v>Normal order</v>
      </c>
    </row>
    <row r="1310" spans="1:19" x14ac:dyDescent="0.3">
      <c r="A1310" t="s">
        <v>2202</v>
      </c>
      <c r="B1310" s="4">
        <v>45309</v>
      </c>
      <c r="C1310" s="4" t="str">
        <f>TEXT(ESales_DB[[#This Row],[Order_Date]],"mmm")</f>
        <v>Jan</v>
      </c>
      <c r="D1310" t="s">
        <v>417</v>
      </c>
      <c r="E1310" t="s">
        <v>1694</v>
      </c>
      <c r="F1310" t="s">
        <v>1769</v>
      </c>
      <c r="G1310">
        <v>4</v>
      </c>
      <c r="H1310" s="10">
        <f>IF(ISBLANK(ESales_DB[[#This Row],[Quantity]]),AVERAGEIF(ESales_DB[Product_ID],ESales_DB[[#This Row],[Product_ID]],ESales_DB[Quantity]),ESales_DB[[#This Row],[Quantity]])</f>
        <v>4</v>
      </c>
      <c r="I1310" s="2">
        <v>693.16</v>
      </c>
      <c r="J1310">
        <v>0.05</v>
      </c>
      <c r="K1310" t="s">
        <v>1826</v>
      </c>
      <c r="L1310" s="2">
        <v>2634.0079999999998</v>
      </c>
      <c r="M1310" s="2" t="str">
        <f>IF(ESales_DB[[#This Row],[Total_Amount]]&gt;1000,"High","Low")</f>
        <v>High</v>
      </c>
      <c r="N1310" s="2" t="str">
        <f>VLOOKUP(ESales_DB[[#This Row],[Customer_ID]],Ecustom_DB[],3,FALSE)</f>
        <v>Jacob Hopkins</v>
      </c>
      <c r="O1310" s="2" t="str">
        <f>_xlfn.XLOOKUP(ESales_DB[[#This Row],[Product_ID]],Eproduct_DB[Product_ID],Eproduct_DB[Category])</f>
        <v>Sports</v>
      </c>
      <c r="P1310" s="2" t="str">
        <f>_xlfn.XLOOKUP(ESales_DB[[#This Row],[Product_ID]],Eproduct_DB[Product_ID],Eproduct_DB[Product_Name])</f>
        <v>Shin Guards – Adult</v>
      </c>
      <c r="Q1310" s="2" t="str">
        <f>_xlfn.XLOOKUP(ESales_DB[[#This Row],[Store_ID]],Estore_DB[Store_ID],Estore_DB[Region])</f>
        <v>South</v>
      </c>
      <c r="R1310" t="str">
        <f>VLOOKUP(ESales_DB[[#This Row],[Customer_ID]],Ecustom_DB[],10,FALSE)</f>
        <v>Platinum</v>
      </c>
      <c r="S1310" t="str">
        <f>IF(ESales_DB[[#This Row],[Quantity1]]&gt;3,"Bulk order","Normal order")</f>
        <v>Bulk order</v>
      </c>
    </row>
    <row r="1311" spans="1:19" x14ac:dyDescent="0.3">
      <c r="A1311" t="s">
        <v>2203</v>
      </c>
      <c r="B1311" s="4">
        <v>45744</v>
      </c>
      <c r="C1311" s="4" t="str">
        <f>TEXT(ESales_DB[[#This Row],[Order_Date]],"mmm")</f>
        <v>Mar</v>
      </c>
      <c r="D1311" t="s">
        <v>1405</v>
      </c>
      <c r="E1311" t="s">
        <v>1714</v>
      </c>
      <c r="F1311" t="s">
        <v>1789</v>
      </c>
      <c r="G1311">
        <v>1</v>
      </c>
      <c r="H1311" s="10">
        <f>IF(ISBLANK(ESales_DB[[#This Row],[Quantity]]),AVERAGEIF(ESales_DB[Product_ID],ESales_DB[[#This Row],[Product_ID]],ESales_DB[Quantity]),ESales_DB[[#This Row],[Quantity]])</f>
        <v>1</v>
      </c>
      <c r="I1311" s="2">
        <v>995.52</v>
      </c>
      <c r="J1311">
        <v>0.22</v>
      </c>
      <c r="K1311" t="s">
        <v>1826</v>
      </c>
      <c r="L1311" s="2">
        <v>776.50559999999996</v>
      </c>
      <c r="M1311" s="2" t="str">
        <f>IF(ESales_DB[[#This Row],[Total_Amount]]&gt;1000,"High","Low")</f>
        <v>Low</v>
      </c>
      <c r="N1311" s="2" t="str">
        <f>VLOOKUP(ESales_DB[[#This Row],[Customer_ID]],Ecustom_DB[],3,FALSE)</f>
        <v>Tyler Weber</v>
      </c>
      <c r="O1311" s="2" t="str">
        <f>_xlfn.XLOOKUP(ESales_DB[[#This Row],[Product_ID]],Eproduct_DB[Product_ID],Eproduct_DB[Category])</f>
        <v>Beauty</v>
      </c>
      <c r="P1311" s="2" t="str">
        <f>_xlfn.XLOOKUP(ESales_DB[[#This Row],[Product_ID]],Eproduct_DB[Product_ID],Eproduct_DB[Product_Name])</f>
        <v>Hydrating Face Cleanser</v>
      </c>
      <c r="Q1311" s="2" t="str">
        <f>_xlfn.XLOOKUP(ESales_DB[[#This Row],[Store_ID]],Estore_DB[Store_ID],Estore_DB[Region])</f>
        <v>East</v>
      </c>
      <c r="R1311" t="str">
        <f>VLOOKUP(ESales_DB[[#This Row],[Customer_ID]],Ecustom_DB[],10,FALSE)</f>
        <v>Gold</v>
      </c>
      <c r="S1311" t="str">
        <f>IF(ESales_DB[[#This Row],[Quantity1]]&gt;3,"Bulk order","Normal order")</f>
        <v>Normal order</v>
      </c>
    </row>
    <row r="1312" spans="1:19" x14ac:dyDescent="0.3">
      <c r="A1312" t="s">
        <v>2204</v>
      </c>
      <c r="B1312" s="4">
        <v>45535</v>
      </c>
      <c r="C1312" s="4" t="str">
        <f>TEXT(ESales_DB[[#This Row],[Order_Date]],"mmm")</f>
        <v>Aug</v>
      </c>
      <c r="D1312" t="s">
        <v>431</v>
      </c>
      <c r="E1312" t="s">
        <v>1560</v>
      </c>
      <c r="F1312" t="s">
        <v>1810</v>
      </c>
      <c r="G1312">
        <v>4</v>
      </c>
      <c r="H1312" s="10">
        <f>IF(ISBLANK(ESales_DB[[#This Row],[Quantity]]),AVERAGEIF(ESales_DB[Product_ID],ESales_DB[[#This Row],[Product_ID]],ESales_DB[Quantity]),ESales_DB[[#This Row],[Quantity]])</f>
        <v>4</v>
      </c>
      <c r="I1312" s="2">
        <v>241.32</v>
      </c>
      <c r="J1312">
        <v>0.28999999999999998</v>
      </c>
      <c r="K1312" t="s">
        <v>1829</v>
      </c>
      <c r="L1312" s="2">
        <v>685.34879999999998</v>
      </c>
      <c r="M1312" s="2" t="str">
        <f>IF(ESales_DB[[#This Row],[Total_Amount]]&gt;1000,"High","Low")</f>
        <v>Low</v>
      </c>
      <c r="N1312" s="2" t="str">
        <f>VLOOKUP(ESales_DB[[#This Row],[Customer_ID]],Ecustom_DB[],3,FALSE)</f>
        <v>Keith Miller</v>
      </c>
      <c r="O1312" s="2" t="str">
        <f>_xlfn.XLOOKUP(ESales_DB[[#This Row],[Product_ID]],Eproduct_DB[Product_ID],Eproduct_DB[Category])</f>
        <v>Home</v>
      </c>
      <c r="P1312" s="2" t="str">
        <f>_xlfn.XLOOKUP(ESales_DB[[#This Row],[Product_ID]],Eproduct_DB[Product_ID],Eproduct_DB[Product_Name])</f>
        <v>LED Table Lamp</v>
      </c>
      <c r="Q1312" s="2" t="str">
        <f>_xlfn.XLOOKUP(ESales_DB[[#This Row],[Store_ID]],Estore_DB[Store_ID],Estore_DB[Region])</f>
        <v>East</v>
      </c>
      <c r="R1312" t="str">
        <f>VLOOKUP(ESales_DB[[#This Row],[Customer_ID]],Ecustom_DB[],10,FALSE)</f>
        <v>Platinum</v>
      </c>
      <c r="S1312" t="str">
        <f>IF(ESales_DB[[#This Row],[Quantity1]]&gt;3,"Bulk order","Normal order")</f>
        <v>Bulk order</v>
      </c>
    </row>
    <row r="1313" spans="1:19" x14ac:dyDescent="0.3">
      <c r="A1313" t="s">
        <v>2205</v>
      </c>
      <c r="B1313" s="4">
        <v>45240</v>
      </c>
      <c r="C1313" s="4" t="str">
        <f>TEXT(ESales_DB[[#This Row],[Order_Date]],"mmm")</f>
        <v>Nov</v>
      </c>
      <c r="D1313" t="s">
        <v>767</v>
      </c>
      <c r="E1313" t="s">
        <v>1704</v>
      </c>
      <c r="F1313" t="s">
        <v>1757</v>
      </c>
      <c r="G1313">
        <v>3</v>
      </c>
      <c r="H1313" s="10">
        <f>IF(ISBLANK(ESales_DB[[#This Row],[Quantity]]),AVERAGEIF(ESales_DB[Product_ID],ESales_DB[[#This Row],[Product_ID]],ESales_DB[Quantity]),ESales_DB[[#This Row],[Quantity]])</f>
        <v>3</v>
      </c>
      <c r="I1313" s="2">
        <v>636.03</v>
      </c>
      <c r="J1313">
        <v>0.06</v>
      </c>
      <c r="K1313" t="s">
        <v>1829</v>
      </c>
      <c r="L1313" s="2">
        <v>1793.6045999999999</v>
      </c>
      <c r="M1313" s="2" t="str">
        <f>IF(ESales_DB[[#This Row],[Total_Amount]]&gt;1000,"High","Low")</f>
        <v>High</v>
      </c>
      <c r="N1313" s="2" t="str">
        <f>VLOOKUP(ESales_DB[[#This Row],[Customer_ID]],Ecustom_DB[],3,FALSE)</f>
        <v>Maria Hill</v>
      </c>
      <c r="O1313" s="2" t="str">
        <f>_xlfn.XLOOKUP(ESales_DB[[#This Row],[Product_ID]],Eproduct_DB[Product_ID],Eproduct_DB[Category])</f>
        <v>Home</v>
      </c>
      <c r="P1313" s="2" t="str">
        <f>_xlfn.XLOOKUP(ESales_DB[[#This Row],[Product_ID]],Eproduct_DB[Product_ID],Eproduct_DB[Product_Name])</f>
        <v>Essential Oil Diffuser</v>
      </c>
      <c r="Q1313" s="2" t="str">
        <f>_xlfn.XLOOKUP(ESales_DB[[#This Row],[Store_ID]],Estore_DB[Store_ID],Estore_DB[Region])</f>
        <v>North</v>
      </c>
      <c r="R1313" t="str">
        <f>VLOOKUP(ESales_DB[[#This Row],[Customer_ID]],Ecustom_DB[],10,FALSE)</f>
        <v>Platinum</v>
      </c>
      <c r="S1313" t="str">
        <f>IF(ESales_DB[[#This Row],[Quantity1]]&gt;3,"Bulk order","Normal order")</f>
        <v>Normal order</v>
      </c>
    </row>
    <row r="1314" spans="1:19" x14ac:dyDescent="0.3">
      <c r="A1314" t="s">
        <v>1864</v>
      </c>
      <c r="B1314" s="4">
        <v>45378</v>
      </c>
      <c r="C1314" s="4" t="str">
        <f>TEXT(ESales_DB[[#This Row],[Order_Date]],"mmm")</f>
        <v>Mar</v>
      </c>
      <c r="D1314" t="s">
        <v>622</v>
      </c>
      <c r="E1314" t="s">
        <v>1614</v>
      </c>
      <c r="F1314" t="s">
        <v>1797</v>
      </c>
      <c r="G1314">
        <v>4</v>
      </c>
      <c r="H1314" s="10">
        <f>IF(ISBLANK(ESales_DB[[#This Row],[Quantity]]),AVERAGEIF(ESales_DB[Product_ID],ESales_DB[[#This Row],[Product_ID]],ESales_DB[Quantity]),ESales_DB[[#This Row],[Quantity]])</f>
        <v>4</v>
      </c>
      <c r="I1314" s="2">
        <v>735.32</v>
      </c>
      <c r="J1314">
        <v>0.06</v>
      </c>
      <c r="K1314" t="s">
        <v>1829</v>
      </c>
      <c r="L1314" s="2">
        <v>2764.8031999999998</v>
      </c>
      <c r="M1314" s="2" t="str">
        <f>IF(ESales_DB[[#This Row],[Total_Amount]]&gt;1000,"High","Low")</f>
        <v>High</v>
      </c>
      <c r="N1314" s="2" t="str">
        <f>VLOOKUP(ESales_DB[[#This Row],[Customer_ID]],Ecustom_DB[],3,FALSE)</f>
        <v>Daniel Austin</v>
      </c>
      <c r="O1314" s="2" t="str">
        <f>_xlfn.XLOOKUP(ESales_DB[[#This Row],[Product_ID]],Eproduct_DB[Product_ID],Eproduct_DB[Category])</f>
        <v>Home</v>
      </c>
      <c r="P1314" s="2" t="str">
        <f>_xlfn.XLOOKUP(ESales_DB[[#This Row],[Product_ID]],Eproduct_DB[Product_ID],Eproduct_DB[Product_Name])</f>
        <v>Modern Wall Clock</v>
      </c>
      <c r="Q1314" s="2" t="str">
        <f>_xlfn.XLOOKUP(ESales_DB[[#This Row],[Store_ID]],Estore_DB[Store_ID],Estore_DB[Region])</f>
        <v>East</v>
      </c>
      <c r="R1314" t="str">
        <f>VLOOKUP(ESales_DB[[#This Row],[Customer_ID]],Ecustom_DB[],10,FALSE)</f>
        <v>Gold</v>
      </c>
      <c r="S1314" t="str">
        <f>IF(ESales_DB[[#This Row],[Quantity1]]&gt;3,"Bulk order","Normal order")</f>
        <v>Bulk order</v>
      </c>
    </row>
    <row r="1315" spans="1:19" x14ac:dyDescent="0.3">
      <c r="A1315" t="s">
        <v>2206</v>
      </c>
      <c r="B1315" s="4">
        <v>45275</v>
      </c>
      <c r="C1315" s="4" t="str">
        <f>TEXT(ESales_DB[[#This Row],[Order_Date]],"mmm")</f>
        <v>Dec</v>
      </c>
      <c r="D1315" t="s">
        <v>344</v>
      </c>
      <c r="E1315" t="s">
        <v>1553</v>
      </c>
      <c r="F1315" t="s">
        <v>1813</v>
      </c>
      <c r="G1315">
        <v>4</v>
      </c>
      <c r="H1315" s="10">
        <f>IF(ISBLANK(ESales_DB[[#This Row],[Quantity]]),AVERAGEIF(ESales_DB[Product_ID],ESales_DB[[#This Row],[Product_ID]],ESales_DB[Quantity]),ESales_DB[[#This Row],[Quantity]])</f>
        <v>4</v>
      </c>
      <c r="I1315" s="2">
        <v>603.30999999999995</v>
      </c>
      <c r="J1315">
        <v>0.15</v>
      </c>
      <c r="K1315" t="s">
        <v>1824</v>
      </c>
      <c r="L1315" s="2">
        <v>2051.2539999999999</v>
      </c>
      <c r="M1315" s="2" t="str">
        <f>IF(ESales_DB[[#This Row],[Total_Amount]]&gt;1000,"High","Low")</f>
        <v>High</v>
      </c>
      <c r="N1315" s="2" t="str">
        <f>VLOOKUP(ESales_DB[[#This Row],[Customer_ID]],Ecustom_DB[],3,FALSE)</f>
        <v>Samantha Walker</v>
      </c>
      <c r="O1315" s="2" t="str">
        <f>_xlfn.XLOOKUP(ESales_DB[[#This Row],[Product_ID]],Eproduct_DB[Product_ID],Eproduct_DB[Category])</f>
        <v>Clothing</v>
      </c>
      <c r="P1315" s="2" t="str">
        <f>_xlfn.XLOOKUP(ESales_DB[[#This Row],[Product_ID]],Eproduct_DB[Product_ID],Eproduct_DB[Product_Name])</f>
        <v>Women's Yoga Pants</v>
      </c>
      <c r="Q1315" s="2" t="str">
        <f>_xlfn.XLOOKUP(ESales_DB[[#This Row],[Store_ID]],Estore_DB[Store_ID],Estore_DB[Region])</f>
        <v>East</v>
      </c>
      <c r="R1315" t="str">
        <f>VLOOKUP(ESales_DB[[#This Row],[Customer_ID]],Ecustom_DB[],10,FALSE)</f>
        <v>Platinum</v>
      </c>
      <c r="S1315" t="str">
        <f>IF(ESales_DB[[#This Row],[Quantity1]]&gt;3,"Bulk order","Normal order")</f>
        <v>Bulk order</v>
      </c>
    </row>
    <row r="1316" spans="1:19" x14ac:dyDescent="0.3">
      <c r="A1316" t="s">
        <v>2207</v>
      </c>
      <c r="B1316" s="4">
        <v>45427</v>
      </c>
      <c r="C1316" s="4" t="str">
        <f>TEXT(ESales_DB[[#This Row],[Order_Date]],"mmm")</f>
        <v>May</v>
      </c>
      <c r="D1316" t="s">
        <v>275</v>
      </c>
      <c r="E1316" t="s">
        <v>1726</v>
      </c>
      <c r="F1316" t="s">
        <v>1789</v>
      </c>
      <c r="G1316">
        <v>3</v>
      </c>
      <c r="H1316" s="10">
        <f>IF(ISBLANK(ESales_DB[[#This Row],[Quantity]]),AVERAGEIF(ESales_DB[Product_ID],ESales_DB[[#This Row],[Product_ID]],ESales_DB[Quantity]),ESales_DB[[#This Row],[Quantity]])</f>
        <v>3</v>
      </c>
      <c r="I1316" s="2">
        <v>437.96</v>
      </c>
      <c r="J1316">
        <v>0.27</v>
      </c>
      <c r="K1316" t="s">
        <v>1829</v>
      </c>
      <c r="L1316" s="2">
        <v>959.13239999999985</v>
      </c>
      <c r="M1316" s="2" t="str">
        <f>IF(ESales_DB[[#This Row],[Total_Amount]]&gt;1000,"High","Low")</f>
        <v>Low</v>
      </c>
      <c r="N1316" s="2" t="str">
        <f>VLOOKUP(ESales_DB[[#This Row],[Customer_ID]],Ecustom_DB[],3,FALSE)</f>
        <v>Rhonda Morales</v>
      </c>
      <c r="O1316" s="2" t="str">
        <f>_xlfn.XLOOKUP(ESales_DB[[#This Row],[Product_ID]],Eproduct_DB[Product_ID],Eproduct_DB[Category])</f>
        <v>Beauty</v>
      </c>
      <c r="P1316" s="2" t="str">
        <f>_xlfn.XLOOKUP(ESales_DB[[#This Row],[Product_ID]],Eproduct_DB[Product_ID],Eproduct_DB[Product_Name])</f>
        <v>Face Foundation Kit</v>
      </c>
      <c r="Q1316" s="2" t="str">
        <f>_xlfn.XLOOKUP(ESales_DB[[#This Row],[Store_ID]],Estore_DB[Store_ID],Estore_DB[Region])</f>
        <v>East</v>
      </c>
      <c r="R1316" t="str">
        <f>VLOOKUP(ESales_DB[[#This Row],[Customer_ID]],Ecustom_DB[],10,FALSE)</f>
        <v>Gold</v>
      </c>
      <c r="S1316" t="str">
        <f>IF(ESales_DB[[#This Row],[Quantity1]]&gt;3,"Bulk order","Normal order")</f>
        <v>Normal order</v>
      </c>
    </row>
    <row r="1317" spans="1:19" x14ac:dyDescent="0.3">
      <c r="A1317" t="s">
        <v>2208</v>
      </c>
      <c r="B1317" s="4">
        <v>45322</v>
      </c>
      <c r="C1317" s="4" t="str">
        <f>TEXT(ESales_DB[[#This Row],[Order_Date]],"mmm")</f>
        <v>Jan</v>
      </c>
      <c r="D1317" t="s">
        <v>678</v>
      </c>
      <c r="E1317" t="s">
        <v>1616</v>
      </c>
      <c r="F1317" t="s">
        <v>1769</v>
      </c>
      <c r="G1317">
        <v>2</v>
      </c>
      <c r="H1317" s="10">
        <f>IF(ISBLANK(ESales_DB[[#This Row],[Quantity]]),AVERAGEIF(ESales_DB[Product_ID],ESales_DB[[#This Row],[Product_ID]],ESales_DB[Quantity]),ESales_DB[[#This Row],[Quantity]])</f>
        <v>2</v>
      </c>
      <c r="I1317" s="2">
        <v>56.91</v>
      </c>
      <c r="J1317">
        <v>0.08</v>
      </c>
      <c r="K1317" t="s">
        <v>1829</v>
      </c>
      <c r="L1317" s="2">
        <v>104.7144</v>
      </c>
      <c r="M1317" s="2" t="str">
        <f>IF(ESales_DB[[#This Row],[Total_Amount]]&gt;1000,"High","Low")</f>
        <v>Low</v>
      </c>
      <c r="N1317" s="2" t="str">
        <f>VLOOKUP(ESales_DB[[#This Row],[Customer_ID]],Ecustom_DB[],3,FALSE)</f>
        <v>John Perez</v>
      </c>
      <c r="O1317" s="2" t="str">
        <f>_xlfn.XLOOKUP(ESales_DB[[#This Row],[Product_ID]],Eproduct_DB[Product_ID],Eproduct_DB[Category])</f>
        <v>Electronics</v>
      </c>
      <c r="P1317" s="2" t="str">
        <f>_xlfn.XLOOKUP(ESales_DB[[#This Row],[Product_ID]],Eproduct_DB[Product_ID],Eproduct_DB[Product_Name])</f>
        <v>Gaming Mechanical Keyboard</v>
      </c>
      <c r="Q1317" s="2" t="str">
        <f>_xlfn.XLOOKUP(ESales_DB[[#This Row],[Store_ID]],Estore_DB[Store_ID],Estore_DB[Region])</f>
        <v>South</v>
      </c>
      <c r="R1317" t="str">
        <f>VLOOKUP(ESales_DB[[#This Row],[Customer_ID]],Ecustom_DB[],10,FALSE)</f>
        <v>Platinum</v>
      </c>
      <c r="S1317" t="str">
        <f>IF(ESales_DB[[#This Row],[Quantity1]]&gt;3,"Bulk order","Normal order")</f>
        <v>Normal order</v>
      </c>
    </row>
    <row r="1318" spans="1:19" x14ac:dyDescent="0.3">
      <c r="A1318" t="s">
        <v>2209</v>
      </c>
      <c r="B1318" s="4">
        <v>45266</v>
      </c>
      <c r="C1318" s="4" t="str">
        <f>TEXT(ESales_DB[[#This Row],[Order_Date]],"mmm")</f>
        <v>Dec</v>
      </c>
      <c r="D1318" t="s">
        <v>1050</v>
      </c>
      <c r="E1318" t="s">
        <v>1700</v>
      </c>
      <c r="F1318" t="s">
        <v>1776</v>
      </c>
      <c r="G1318">
        <v>1</v>
      </c>
      <c r="H1318" s="10">
        <f>IF(ISBLANK(ESales_DB[[#This Row],[Quantity]]),AVERAGEIF(ESales_DB[Product_ID],ESales_DB[[#This Row],[Product_ID]],ESales_DB[Quantity]),ESales_DB[[#This Row],[Quantity]])</f>
        <v>1</v>
      </c>
      <c r="I1318" s="2">
        <v>141.79</v>
      </c>
      <c r="J1318">
        <v>0.1</v>
      </c>
      <c r="K1318" t="s">
        <v>1824</v>
      </c>
      <c r="L1318" s="2">
        <v>127.611</v>
      </c>
      <c r="M1318" s="2" t="str">
        <f>IF(ESales_DB[[#This Row],[Total_Amount]]&gt;1000,"High","Low")</f>
        <v>Low</v>
      </c>
      <c r="N1318" s="2" t="str">
        <f>VLOOKUP(ESales_DB[[#This Row],[Customer_ID]],Ecustom_DB[],3,FALSE)</f>
        <v>Mr. Christopher Sims</v>
      </c>
      <c r="O1318" s="2" t="str">
        <f>_xlfn.XLOOKUP(ESales_DB[[#This Row],[Product_ID]],Eproduct_DB[Product_ID],Eproduct_DB[Category])</f>
        <v>Electronics</v>
      </c>
      <c r="P1318" s="2" t="str">
        <f>_xlfn.XLOOKUP(ESales_DB[[#This Row],[Product_ID]],Eproduct_DB[Product_ID],Eproduct_DB[Product_Name])</f>
        <v>Wireless Mouse</v>
      </c>
      <c r="Q1318" s="2" t="str">
        <f>_xlfn.XLOOKUP(ESales_DB[[#This Row],[Store_ID]],Estore_DB[Store_ID],Estore_DB[Region])</f>
        <v>East</v>
      </c>
      <c r="R1318" t="str">
        <f>VLOOKUP(ESales_DB[[#This Row],[Customer_ID]],Ecustom_DB[],10,FALSE)</f>
        <v>Silver</v>
      </c>
      <c r="S1318" t="str">
        <f>IF(ESales_DB[[#This Row],[Quantity1]]&gt;3,"Bulk order","Normal order")</f>
        <v>Normal order</v>
      </c>
    </row>
    <row r="1319" spans="1:19" x14ac:dyDescent="0.3">
      <c r="A1319" t="s">
        <v>2210</v>
      </c>
      <c r="B1319" s="4">
        <v>45302</v>
      </c>
      <c r="C1319" s="4" t="str">
        <f>TEXT(ESales_DB[[#This Row],[Order_Date]],"mmm")</f>
        <v>Jan</v>
      </c>
      <c r="D1319" t="s">
        <v>1487</v>
      </c>
      <c r="E1319" t="s">
        <v>1565</v>
      </c>
      <c r="F1319" t="s">
        <v>1801</v>
      </c>
      <c r="G1319">
        <v>4</v>
      </c>
      <c r="H1319" s="10">
        <f>IF(ISBLANK(ESales_DB[[#This Row],[Quantity]]),AVERAGEIF(ESales_DB[Product_ID],ESales_DB[[#This Row],[Product_ID]],ESales_DB[Quantity]),ESales_DB[[#This Row],[Quantity]])</f>
        <v>4</v>
      </c>
      <c r="I1319" s="2">
        <v>355.14</v>
      </c>
      <c r="J1319">
        <v>0.16</v>
      </c>
      <c r="K1319" t="s">
        <v>1829</v>
      </c>
      <c r="L1319" s="2">
        <v>1193.2704000000001</v>
      </c>
      <c r="M1319" s="2" t="str">
        <f>IF(ESales_DB[[#This Row],[Total_Amount]]&gt;1000,"High","Low")</f>
        <v>High</v>
      </c>
      <c r="N1319" s="2" t="str">
        <f>VLOOKUP(ESales_DB[[#This Row],[Customer_ID]],Ecustom_DB[],3,FALSE)</f>
        <v>Sarah Smith</v>
      </c>
      <c r="O1319" s="2" t="str">
        <f>_xlfn.XLOOKUP(ESales_DB[[#This Row],[Product_ID]],Eproduct_DB[Product_ID],Eproduct_DB[Category])</f>
        <v>Sports</v>
      </c>
      <c r="P1319" s="2" t="str">
        <f>_xlfn.XLOOKUP(ESales_DB[[#This Row],[Product_ID]],Eproduct_DB[Product_ID],Eproduct_DB[Product_Name])</f>
        <v>Adjustable Dumbbell Set</v>
      </c>
      <c r="Q1319" s="2" t="str">
        <f>_xlfn.XLOOKUP(ESales_DB[[#This Row],[Store_ID]],Estore_DB[Store_ID],Estore_DB[Region])</f>
        <v>North</v>
      </c>
      <c r="R1319" t="str">
        <f>VLOOKUP(ESales_DB[[#This Row],[Customer_ID]],Ecustom_DB[],10,FALSE)</f>
        <v>Gold</v>
      </c>
      <c r="S1319" t="str">
        <f>IF(ESales_DB[[#This Row],[Quantity1]]&gt;3,"Bulk order","Normal order")</f>
        <v>Bulk order</v>
      </c>
    </row>
    <row r="1320" spans="1:19" x14ac:dyDescent="0.3">
      <c r="A1320" t="s">
        <v>2211</v>
      </c>
      <c r="B1320" s="4">
        <v>45907</v>
      </c>
      <c r="C1320" s="4" t="str">
        <f>TEXT(ESales_DB[[#This Row],[Order_Date]],"mmm")</f>
        <v>Sep</v>
      </c>
      <c r="D1320" t="s">
        <v>687</v>
      </c>
      <c r="E1320" t="s">
        <v>1624</v>
      </c>
      <c r="F1320" t="s">
        <v>1776</v>
      </c>
      <c r="G1320">
        <v>4</v>
      </c>
      <c r="H1320" s="10">
        <f>IF(ISBLANK(ESales_DB[[#This Row],[Quantity]]),AVERAGEIF(ESales_DB[Product_ID],ESales_DB[[#This Row],[Product_ID]],ESales_DB[Quantity]),ESales_DB[[#This Row],[Quantity]])</f>
        <v>4</v>
      </c>
      <c r="I1320" s="2">
        <v>960.38</v>
      </c>
      <c r="J1320">
        <v>0.15</v>
      </c>
      <c r="K1320" t="s">
        <v>1829</v>
      </c>
      <c r="L1320" s="2">
        <v>3265.2919999999999</v>
      </c>
      <c r="M1320" s="2" t="str">
        <f>IF(ESales_DB[[#This Row],[Total_Amount]]&gt;1000,"High","Low")</f>
        <v>High</v>
      </c>
      <c r="N1320" s="2" t="str">
        <f>VLOOKUP(ESales_DB[[#This Row],[Customer_ID]],Ecustom_DB[],3,FALSE)</f>
        <v>Rodney Huffman</v>
      </c>
      <c r="O1320" s="2" t="str">
        <f>_xlfn.XLOOKUP(ESales_DB[[#This Row],[Product_ID]],Eproduct_DB[Product_ID],Eproduct_DB[Category])</f>
        <v>Sports</v>
      </c>
      <c r="P1320" s="2" t="str">
        <f>_xlfn.XLOOKUP(ESales_DB[[#This Row],[Product_ID]],Eproduct_DB[Product_ID],Eproduct_DB[Product_Name])</f>
        <v>Sports Water Hydration Pack</v>
      </c>
      <c r="Q1320" s="2" t="str">
        <f>_xlfn.XLOOKUP(ESales_DB[[#This Row],[Store_ID]],Estore_DB[Store_ID],Estore_DB[Region])</f>
        <v>East</v>
      </c>
      <c r="R1320" t="str">
        <f>VLOOKUP(ESales_DB[[#This Row],[Customer_ID]],Ecustom_DB[],10,FALSE)</f>
        <v>Silver</v>
      </c>
      <c r="S1320" t="str">
        <f>IF(ESales_DB[[#This Row],[Quantity1]]&gt;3,"Bulk order","Normal order")</f>
        <v>Bulk order</v>
      </c>
    </row>
    <row r="1321" spans="1:19" x14ac:dyDescent="0.3">
      <c r="A1321" t="s">
        <v>2212</v>
      </c>
      <c r="B1321" s="4">
        <v>45433</v>
      </c>
      <c r="C1321" s="4" t="str">
        <f>TEXT(ESales_DB[[#This Row],[Order_Date]],"mmm")</f>
        <v>May</v>
      </c>
      <c r="D1321" t="s">
        <v>1304</v>
      </c>
      <c r="E1321" t="s">
        <v>1686</v>
      </c>
      <c r="F1321" t="s">
        <v>1804</v>
      </c>
      <c r="G1321">
        <v>3</v>
      </c>
      <c r="H1321" s="10">
        <f>IF(ISBLANK(ESales_DB[[#This Row],[Quantity]]),AVERAGEIF(ESales_DB[Product_ID],ESales_DB[[#This Row],[Product_ID]],ESales_DB[Quantity]),ESales_DB[[#This Row],[Quantity]])</f>
        <v>3</v>
      </c>
      <c r="I1321" s="2">
        <v>847.21</v>
      </c>
      <c r="J1321">
        <v>0.06</v>
      </c>
      <c r="K1321" t="s">
        <v>1826</v>
      </c>
      <c r="L1321" s="2">
        <v>2389.1322</v>
      </c>
      <c r="M1321" s="2" t="str">
        <f>IF(ESales_DB[[#This Row],[Total_Amount]]&gt;1000,"High","Low")</f>
        <v>High</v>
      </c>
      <c r="N1321" s="2" t="str">
        <f>VLOOKUP(ESales_DB[[#This Row],[Customer_ID]],Ecustom_DB[],3,FALSE)</f>
        <v>Dr. Tamara White Md</v>
      </c>
      <c r="O1321" s="2" t="str">
        <f>_xlfn.XLOOKUP(ESales_DB[[#This Row],[Product_ID]],Eproduct_DB[Product_ID],Eproduct_DB[Category])</f>
        <v>Clothing</v>
      </c>
      <c r="P1321" s="2" t="str">
        <f>_xlfn.XLOOKUP(ESales_DB[[#This Row],[Product_ID]],Eproduct_DB[Product_ID],Eproduct_DB[Product_Name])</f>
        <v>Men's Sports Shorts</v>
      </c>
      <c r="Q1321" s="2" t="str">
        <f>_xlfn.XLOOKUP(ESales_DB[[#This Row],[Store_ID]],Estore_DB[Store_ID],Estore_DB[Region])</f>
        <v>West</v>
      </c>
      <c r="R1321" t="str">
        <f>VLOOKUP(ESales_DB[[#This Row],[Customer_ID]],Ecustom_DB[],10,FALSE)</f>
        <v>Bronze</v>
      </c>
      <c r="S1321" t="str">
        <f>IF(ESales_DB[[#This Row],[Quantity1]]&gt;3,"Bulk order","Normal order")</f>
        <v>Normal order</v>
      </c>
    </row>
    <row r="1322" spans="1:19" x14ac:dyDescent="0.3">
      <c r="A1322" t="s">
        <v>2213</v>
      </c>
      <c r="B1322" s="4">
        <v>45892</v>
      </c>
      <c r="C1322" s="4" t="str">
        <f>TEXT(ESales_DB[[#This Row],[Order_Date]],"mmm")</f>
        <v>Aug</v>
      </c>
      <c r="D1322" t="s">
        <v>244</v>
      </c>
      <c r="E1322" t="s">
        <v>1708</v>
      </c>
      <c r="F1322" t="s">
        <v>1789</v>
      </c>
      <c r="G1322">
        <v>4</v>
      </c>
      <c r="H1322" s="10">
        <f>IF(ISBLANK(ESales_DB[[#This Row],[Quantity]]),AVERAGEIF(ESales_DB[Product_ID],ESales_DB[[#This Row],[Product_ID]],ESales_DB[Quantity]),ESales_DB[[#This Row],[Quantity]])</f>
        <v>4</v>
      </c>
      <c r="I1322" s="2">
        <v>773.81</v>
      </c>
      <c r="J1322">
        <v>0.08</v>
      </c>
      <c r="K1322" t="s">
        <v>1829</v>
      </c>
      <c r="L1322" s="2">
        <v>2847.6208000000001</v>
      </c>
      <c r="M1322" s="2" t="str">
        <f>IF(ESales_DB[[#This Row],[Total_Amount]]&gt;1000,"High","Low")</f>
        <v>High</v>
      </c>
      <c r="N1322" s="2" t="str">
        <f>VLOOKUP(ESales_DB[[#This Row],[Customer_ID]],Ecustom_DB[],3,FALSE)</f>
        <v>Cody Diaz</v>
      </c>
      <c r="O1322" s="2" t="str">
        <f>_xlfn.XLOOKUP(ESales_DB[[#This Row],[Product_ID]],Eproduct_DB[Product_ID],Eproduct_DB[Category])</f>
        <v>Home</v>
      </c>
      <c r="P1322" s="2" t="str">
        <f>_xlfn.XLOOKUP(ESales_DB[[#This Row],[Product_ID]],Eproduct_DB[Product_ID],Eproduct_DB[Product_Name])</f>
        <v>Wall-Mounted Spice Rack</v>
      </c>
      <c r="Q1322" s="2" t="str">
        <f>_xlfn.XLOOKUP(ESales_DB[[#This Row],[Store_ID]],Estore_DB[Store_ID],Estore_DB[Region])</f>
        <v>East</v>
      </c>
      <c r="R1322" t="str">
        <f>VLOOKUP(ESales_DB[[#This Row],[Customer_ID]],Ecustom_DB[],10,FALSE)</f>
        <v>Silver</v>
      </c>
      <c r="S1322" t="str">
        <f>IF(ESales_DB[[#This Row],[Quantity1]]&gt;3,"Bulk order","Normal order")</f>
        <v>Bulk order</v>
      </c>
    </row>
    <row r="1323" spans="1:19" x14ac:dyDescent="0.3">
      <c r="A1323" t="s">
        <v>2214</v>
      </c>
      <c r="B1323" s="4">
        <v>45780</v>
      </c>
      <c r="C1323" s="4" t="str">
        <f>TEXT(ESales_DB[[#This Row],[Order_Date]],"mmm")</f>
        <v>May</v>
      </c>
      <c r="D1323" t="s">
        <v>8</v>
      </c>
      <c r="E1323" t="s">
        <v>1674</v>
      </c>
      <c r="F1323" t="s">
        <v>1804</v>
      </c>
      <c r="G1323">
        <v>1</v>
      </c>
      <c r="H1323" s="10">
        <f>IF(ISBLANK(ESales_DB[[#This Row],[Quantity]]),AVERAGEIF(ESales_DB[Product_ID],ESales_DB[[#This Row],[Product_ID]],ESales_DB[Quantity]),ESales_DB[[#This Row],[Quantity]])</f>
        <v>1</v>
      </c>
      <c r="I1323" s="2">
        <v>664.71</v>
      </c>
      <c r="J1323">
        <v>0.1</v>
      </c>
      <c r="K1323" t="s">
        <v>1826</v>
      </c>
      <c r="L1323" s="2">
        <v>598.23900000000003</v>
      </c>
      <c r="M1323" s="2" t="str">
        <f>IF(ESales_DB[[#This Row],[Total_Amount]]&gt;1000,"High","Low")</f>
        <v>Low</v>
      </c>
      <c r="N1323" s="2" t="str">
        <f>VLOOKUP(ESales_DB[[#This Row],[Customer_ID]],Ecustom_DB[],3,FALSE)</f>
        <v>Sheena Bonilla</v>
      </c>
      <c r="O1323" s="2" t="str">
        <f>_xlfn.XLOOKUP(ESales_DB[[#This Row],[Product_ID]],Eproduct_DB[Product_ID],Eproduct_DB[Category])</f>
        <v>Beauty</v>
      </c>
      <c r="P1323" s="2" t="str">
        <f>_xlfn.XLOOKUP(ESales_DB[[#This Row],[Product_ID]],Eproduct_DB[Product_ID],Eproduct_DB[Product_Name])</f>
        <v>Organic Sunscreen Lotion</v>
      </c>
      <c r="Q1323" s="2" t="str">
        <f>_xlfn.XLOOKUP(ESales_DB[[#This Row],[Store_ID]],Estore_DB[Store_ID],Estore_DB[Region])</f>
        <v>West</v>
      </c>
      <c r="R1323" t="str">
        <f>VLOOKUP(ESales_DB[[#This Row],[Customer_ID]],Ecustom_DB[],10,FALSE)</f>
        <v>Uncategorized</v>
      </c>
      <c r="S1323" t="str">
        <f>IF(ESales_DB[[#This Row],[Quantity1]]&gt;3,"Bulk order","Normal order")</f>
        <v>Normal order</v>
      </c>
    </row>
    <row r="1324" spans="1:19" x14ac:dyDescent="0.3">
      <c r="A1324" t="s">
        <v>2215</v>
      </c>
      <c r="B1324" s="4">
        <v>45233</v>
      </c>
      <c r="C1324" s="4" t="str">
        <f>TEXT(ESales_DB[[#This Row],[Order_Date]],"mmm")</f>
        <v>Nov</v>
      </c>
      <c r="D1324" t="s">
        <v>1089</v>
      </c>
      <c r="E1324" t="s">
        <v>1622</v>
      </c>
      <c r="F1324" t="s">
        <v>1779</v>
      </c>
      <c r="G1324">
        <v>4</v>
      </c>
      <c r="H1324" s="10">
        <f>IF(ISBLANK(ESales_DB[[#This Row],[Quantity]]),AVERAGEIF(ESales_DB[Product_ID],ESales_DB[[#This Row],[Product_ID]],ESales_DB[Quantity]),ESales_DB[[#This Row],[Quantity]])</f>
        <v>4</v>
      </c>
      <c r="I1324" s="2">
        <v>482.06</v>
      </c>
      <c r="J1324">
        <v>7.0000000000000007E-2</v>
      </c>
      <c r="K1324" t="s">
        <v>1826</v>
      </c>
      <c r="L1324" s="2">
        <v>1793.2632000000001</v>
      </c>
      <c r="M1324" s="2" t="str">
        <f>IF(ESales_DB[[#This Row],[Total_Amount]]&gt;1000,"High","Low")</f>
        <v>High</v>
      </c>
      <c r="N1324" s="2" t="str">
        <f>VLOOKUP(ESales_DB[[#This Row],[Customer_ID]],Ecustom_DB[],3,FALSE)</f>
        <v>Justin Mason Dds</v>
      </c>
      <c r="O1324" s="2" t="str">
        <f>_xlfn.XLOOKUP(ESales_DB[[#This Row],[Product_ID]],Eproduct_DB[Product_ID],Eproduct_DB[Category])</f>
        <v>Clothing</v>
      </c>
      <c r="P1324" s="2" t="str">
        <f>_xlfn.XLOOKUP(ESales_DB[[#This Row],[Product_ID]],Eproduct_DB[Product_ID],Eproduct_DB[Product_Name])</f>
        <v>Men's Casual Sneakers</v>
      </c>
      <c r="Q1324" s="2" t="str">
        <f>_xlfn.XLOOKUP(ESales_DB[[#This Row],[Store_ID]],Estore_DB[Store_ID],Estore_DB[Region])</f>
        <v>South</v>
      </c>
      <c r="R1324" t="str">
        <f>VLOOKUP(ESales_DB[[#This Row],[Customer_ID]],Ecustom_DB[],10,FALSE)</f>
        <v>Gold</v>
      </c>
      <c r="S1324" t="str">
        <f>IF(ESales_DB[[#This Row],[Quantity1]]&gt;3,"Bulk order","Normal order")</f>
        <v>Bulk order</v>
      </c>
    </row>
    <row r="1325" spans="1:19" x14ac:dyDescent="0.3">
      <c r="A1325" t="s">
        <v>1865</v>
      </c>
      <c r="B1325" s="4">
        <v>45264</v>
      </c>
      <c r="C1325" s="4" t="str">
        <f>TEXT(ESales_DB[[#This Row],[Order_Date]],"mmm")</f>
        <v>Dec</v>
      </c>
      <c r="D1325" t="s">
        <v>1337</v>
      </c>
      <c r="E1325" t="s">
        <v>1736</v>
      </c>
      <c r="F1325" t="s">
        <v>1766</v>
      </c>
      <c r="G1325">
        <v>2</v>
      </c>
      <c r="H1325" s="10">
        <f>IF(ISBLANK(ESales_DB[[#This Row],[Quantity]]),AVERAGEIF(ESales_DB[Product_ID],ESales_DB[[#This Row],[Product_ID]],ESales_DB[Quantity]),ESales_DB[[#This Row],[Quantity]])</f>
        <v>2</v>
      </c>
      <c r="I1325" s="2">
        <v>600.73</v>
      </c>
      <c r="J1325">
        <v>0.08</v>
      </c>
      <c r="K1325" t="s">
        <v>1824</v>
      </c>
      <c r="L1325" s="2">
        <v>1105.3432</v>
      </c>
      <c r="M1325" s="2" t="str">
        <f>IF(ESales_DB[[#This Row],[Total_Amount]]&gt;1000,"High","Low")</f>
        <v>High</v>
      </c>
      <c r="N1325" s="2" t="str">
        <f>VLOOKUP(ESales_DB[[#This Row],[Customer_ID]],Ecustom_DB[],3,FALSE)</f>
        <v>John Smith</v>
      </c>
      <c r="O1325" s="2" t="str">
        <f>_xlfn.XLOOKUP(ESales_DB[[#This Row],[Product_ID]],Eproduct_DB[Product_ID],Eproduct_DB[Category])</f>
        <v>Beauty</v>
      </c>
      <c r="P1325" s="2" t="str">
        <f>_xlfn.XLOOKUP(ESales_DB[[#This Row],[Product_ID]],Eproduct_DB[Product_ID],Eproduct_DB[Product_Name])</f>
        <v>Vitamin E Body Lotion</v>
      </c>
      <c r="Q1325" s="2" t="str">
        <f>_xlfn.XLOOKUP(ESales_DB[[#This Row],[Store_ID]],Estore_DB[Store_ID],Estore_DB[Region])</f>
        <v>North</v>
      </c>
      <c r="R1325" t="str">
        <f>VLOOKUP(ESales_DB[[#This Row],[Customer_ID]],Ecustom_DB[],10,FALSE)</f>
        <v>Platinum</v>
      </c>
      <c r="S1325" t="str">
        <f>IF(ESales_DB[[#This Row],[Quantity1]]&gt;3,"Bulk order","Normal order")</f>
        <v>Normal order</v>
      </c>
    </row>
    <row r="1326" spans="1:19" x14ac:dyDescent="0.3">
      <c r="A1326" t="s">
        <v>2216</v>
      </c>
      <c r="B1326" s="4">
        <v>45742</v>
      </c>
      <c r="C1326" s="4" t="str">
        <f>TEXT(ESales_DB[[#This Row],[Order_Date]],"mmm")</f>
        <v>Mar</v>
      </c>
      <c r="D1326" t="s">
        <v>321</v>
      </c>
      <c r="E1326" t="s">
        <v>1662</v>
      </c>
      <c r="F1326" t="s">
        <v>1766</v>
      </c>
      <c r="G1326">
        <v>4</v>
      </c>
      <c r="H1326" s="10">
        <f>IF(ISBLANK(ESales_DB[[#This Row],[Quantity]]),AVERAGEIF(ESales_DB[Product_ID],ESales_DB[[#This Row],[Product_ID]],ESales_DB[Quantity]),ESales_DB[[#This Row],[Quantity]])</f>
        <v>4</v>
      </c>
      <c r="I1326" s="2">
        <v>995.55</v>
      </c>
      <c r="J1326">
        <v>0.19</v>
      </c>
      <c r="K1326" t="s">
        <v>1826</v>
      </c>
      <c r="L1326" s="2">
        <v>3225.5819999999999</v>
      </c>
      <c r="M1326" s="2" t="str">
        <f>IF(ESales_DB[[#This Row],[Total_Amount]]&gt;1000,"High","Low")</f>
        <v>High</v>
      </c>
      <c r="N1326" s="2" t="str">
        <f>VLOOKUP(ESales_DB[[#This Row],[Customer_ID]],Ecustom_DB[],3,FALSE)</f>
        <v>Jamie Yoder</v>
      </c>
      <c r="O1326" s="2" t="str">
        <f>_xlfn.XLOOKUP(ESales_DB[[#This Row],[Product_ID]],Eproduct_DB[Product_ID],Eproduct_DB[Category])</f>
        <v>Sports</v>
      </c>
      <c r="P1326" s="2" t="str">
        <f>_xlfn.XLOOKUP(ESales_DB[[#This Row],[Product_ID]],Eproduct_DB[Product_ID],Eproduct_DB[Product_Name])</f>
        <v>Foam Roller</v>
      </c>
      <c r="Q1326" s="2" t="str">
        <f>_xlfn.XLOOKUP(ESales_DB[[#This Row],[Store_ID]],Estore_DB[Store_ID],Estore_DB[Region])</f>
        <v>North</v>
      </c>
      <c r="R1326" t="str">
        <f>VLOOKUP(ESales_DB[[#This Row],[Customer_ID]],Ecustom_DB[],10,FALSE)</f>
        <v>Platinum</v>
      </c>
      <c r="S1326" t="str">
        <f>IF(ESales_DB[[#This Row],[Quantity1]]&gt;3,"Bulk order","Normal order")</f>
        <v>Bulk order</v>
      </c>
    </row>
    <row r="1327" spans="1:19" x14ac:dyDescent="0.3">
      <c r="A1327" t="s">
        <v>2217</v>
      </c>
      <c r="B1327" s="4">
        <v>45478</v>
      </c>
      <c r="C1327" s="4" t="str">
        <f>TEXT(ESales_DB[[#This Row],[Order_Date]],"mmm")</f>
        <v>Jul</v>
      </c>
      <c r="D1327" t="s">
        <v>478</v>
      </c>
      <c r="E1327" t="s">
        <v>1734</v>
      </c>
      <c r="F1327" t="s">
        <v>1797</v>
      </c>
      <c r="G1327">
        <v>2</v>
      </c>
      <c r="H1327" s="10">
        <f>IF(ISBLANK(ESales_DB[[#This Row],[Quantity]]),AVERAGEIF(ESales_DB[Product_ID],ESales_DB[[#This Row],[Product_ID]],ESales_DB[Quantity]),ESales_DB[[#This Row],[Quantity]])</f>
        <v>2</v>
      </c>
      <c r="I1327" s="2">
        <v>153.84</v>
      </c>
      <c r="J1327">
        <v>0.27</v>
      </c>
      <c r="K1327" t="s">
        <v>1826</v>
      </c>
      <c r="L1327" s="2">
        <v>224.60640000000001</v>
      </c>
      <c r="M1327" s="2" t="str">
        <f>IF(ESales_DB[[#This Row],[Total_Amount]]&gt;1000,"High","Low")</f>
        <v>Low</v>
      </c>
      <c r="N1327" s="2" t="str">
        <f>VLOOKUP(ESales_DB[[#This Row],[Customer_ID]],Ecustom_DB[],3,FALSE)</f>
        <v>Cristian Wright</v>
      </c>
      <c r="O1327" s="2" t="str">
        <f>_xlfn.XLOOKUP(ESales_DB[[#This Row],[Product_ID]],Eproduct_DB[Product_ID],Eproduct_DB[Category])</f>
        <v>Electronics</v>
      </c>
      <c r="P1327" s="2" t="str">
        <f>_xlfn.XLOOKUP(ESales_DB[[#This Row],[Product_ID]],Eproduct_DB[Product_ID],Eproduct_DB[Product_Name])</f>
        <v>USB-C Laptop Charger</v>
      </c>
      <c r="Q1327" s="2" t="str">
        <f>_xlfn.XLOOKUP(ESales_DB[[#This Row],[Store_ID]],Estore_DB[Store_ID],Estore_DB[Region])</f>
        <v>East</v>
      </c>
      <c r="R1327" t="str">
        <f>VLOOKUP(ESales_DB[[#This Row],[Customer_ID]],Ecustom_DB[],10,FALSE)</f>
        <v>Bronze</v>
      </c>
      <c r="S1327" t="str">
        <f>IF(ESales_DB[[#This Row],[Quantity1]]&gt;3,"Bulk order","Normal order")</f>
        <v>Normal order</v>
      </c>
    </row>
    <row r="1328" spans="1:19" x14ac:dyDescent="0.3">
      <c r="A1328" t="s">
        <v>2218</v>
      </c>
      <c r="B1328" s="4">
        <v>45789</v>
      </c>
      <c r="C1328" s="4" t="str">
        <f>TEXT(ESales_DB[[#This Row],[Order_Date]],"mmm")</f>
        <v>May</v>
      </c>
      <c r="D1328" t="s">
        <v>514</v>
      </c>
      <c r="E1328" t="s">
        <v>1704</v>
      </c>
      <c r="F1328" t="s">
        <v>1776</v>
      </c>
      <c r="G1328">
        <v>3</v>
      </c>
      <c r="H1328" s="10">
        <f>IF(ISBLANK(ESales_DB[[#This Row],[Quantity]]),AVERAGEIF(ESales_DB[Product_ID],ESales_DB[[#This Row],[Product_ID]],ESales_DB[Quantity]),ESales_DB[[#This Row],[Quantity]])</f>
        <v>3</v>
      </c>
      <c r="I1328" s="2">
        <v>362.11</v>
      </c>
      <c r="J1328">
        <v>0.23</v>
      </c>
      <c r="K1328" t="s">
        <v>1829</v>
      </c>
      <c r="L1328" s="2">
        <v>836.47409999999991</v>
      </c>
      <c r="M1328" s="2" t="str">
        <f>IF(ESales_DB[[#This Row],[Total_Amount]]&gt;1000,"High","Low")</f>
        <v>Low</v>
      </c>
      <c r="N1328" s="2" t="str">
        <f>VLOOKUP(ESales_DB[[#This Row],[Customer_ID]],Ecustom_DB[],3,FALSE)</f>
        <v>Joseph Faulkner</v>
      </c>
      <c r="O1328" s="2" t="str">
        <f>_xlfn.XLOOKUP(ESales_DB[[#This Row],[Product_ID]],Eproduct_DB[Product_ID],Eproduct_DB[Category])</f>
        <v>Home</v>
      </c>
      <c r="P1328" s="2" t="str">
        <f>_xlfn.XLOOKUP(ESales_DB[[#This Row],[Product_ID]],Eproduct_DB[Product_ID],Eproduct_DB[Product_Name])</f>
        <v>Essential Oil Diffuser</v>
      </c>
      <c r="Q1328" s="2" t="str">
        <f>_xlfn.XLOOKUP(ESales_DB[[#This Row],[Store_ID]],Estore_DB[Store_ID],Estore_DB[Region])</f>
        <v>East</v>
      </c>
      <c r="R1328" t="str">
        <f>VLOOKUP(ESales_DB[[#This Row],[Customer_ID]],Ecustom_DB[],10,FALSE)</f>
        <v>Bronze</v>
      </c>
      <c r="S1328" t="str">
        <f>IF(ESales_DB[[#This Row],[Quantity1]]&gt;3,"Bulk order","Normal order")</f>
        <v>Normal order</v>
      </c>
    </row>
    <row r="1329" spans="1:19" x14ac:dyDescent="0.3">
      <c r="A1329" t="s">
        <v>2219</v>
      </c>
      <c r="B1329" s="4">
        <v>45561</v>
      </c>
      <c r="C1329" s="4" t="str">
        <f>TEXT(ESales_DB[[#This Row],[Order_Date]],"mmm")</f>
        <v>Sep</v>
      </c>
      <c r="D1329" t="s">
        <v>1455</v>
      </c>
      <c r="E1329" t="s">
        <v>1634</v>
      </c>
      <c r="F1329" t="s">
        <v>1782</v>
      </c>
      <c r="G1329">
        <v>3</v>
      </c>
      <c r="H1329" s="10">
        <f>IF(ISBLANK(ESales_DB[[#This Row],[Quantity]]),AVERAGEIF(ESales_DB[Product_ID],ESales_DB[[#This Row],[Product_ID]],ESales_DB[Quantity]),ESales_DB[[#This Row],[Quantity]])</f>
        <v>3</v>
      </c>
      <c r="I1329" s="2">
        <v>112.26</v>
      </c>
      <c r="J1329">
        <v>0.11</v>
      </c>
      <c r="K1329" t="s">
        <v>1824</v>
      </c>
      <c r="L1329" s="2">
        <v>299.73419999999999</v>
      </c>
      <c r="M1329" s="2" t="str">
        <f>IF(ESales_DB[[#This Row],[Total_Amount]]&gt;1000,"High","Low")</f>
        <v>Low</v>
      </c>
      <c r="N1329" s="2" t="str">
        <f>VLOOKUP(ESales_DB[[#This Row],[Customer_ID]],Ecustom_DB[],3,FALSE)</f>
        <v>Philip Mendoza</v>
      </c>
      <c r="O1329" s="2" t="str">
        <f>_xlfn.XLOOKUP(ESales_DB[[#This Row],[Product_ID]],Eproduct_DB[Product_ID],Eproduct_DB[Category])</f>
        <v>Electronics</v>
      </c>
      <c r="P1329" s="2" t="str">
        <f>_xlfn.XLOOKUP(ESales_DB[[#This Row],[Product_ID]],Eproduct_DB[Product_ID],Eproduct_DB[Product_Name])</f>
        <v>USB External Hard Drive</v>
      </c>
      <c r="Q1329" s="2" t="str">
        <f>_xlfn.XLOOKUP(ESales_DB[[#This Row],[Store_ID]],Estore_DB[Store_ID],Estore_DB[Region])</f>
        <v>West</v>
      </c>
      <c r="R1329" t="str">
        <f>VLOOKUP(ESales_DB[[#This Row],[Customer_ID]],Ecustom_DB[],10,FALSE)</f>
        <v>Silver</v>
      </c>
      <c r="S1329" t="str">
        <f>IF(ESales_DB[[#This Row],[Quantity1]]&gt;3,"Bulk order","Normal order")</f>
        <v>Normal order</v>
      </c>
    </row>
    <row r="1330" spans="1:19" x14ac:dyDescent="0.3">
      <c r="A1330" t="s">
        <v>2220</v>
      </c>
      <c r="B1330" s="4">
        <v>45378</v>
      </c>
      <c r="C1330" s="4" t="str">
        <f>TEXT(ESales_DB[[#This Row],[Order_Date]],"mmm")</f>
        <v>Mar</v>
      </c>
      <c r="D1330" t="s">
        <v>663</v>
      </c>
      <c r="E1330" t="s">
        <v>1736</v>
      </c>
      <c r="F1330" t="s">
        <v>1813</v>
      </c>
      <c r="G1330">
        <v>2</v>
      </c>
      <c r="H1330" s="10">
        <f>IF(ISBLANK(ESales_DB[[#This Row],[Quantity]]),AVERAGEIF(ESales_DB[Product_ID],ESales_DB[[#This Row],[Product_ID]],ESales_DB[Quantity]),ESales_DB[[#This Row],[Quantity]])</f>
        <v>2</v>
      </c>
      <c r="I1330" s="2">
        <v>962.81</v>
      </c>
      <c r="J1330">
        <v>0.06</v>
      </c>
      <c r="K1330" t="s">
        <v>1829</v>
      </c>
      <c r="L1330" s="2">
        <v>1810.0827999999999</v>
      </c>
      <c r="M1330" s="2" t="str">
        <f>IF(ESales_DB[[#This Row],[Total_Amount]]&gt;1000,"High","Low")</f>
        <v>High</v>
      </c>
      <c r="N1330" s="2" t="str">
        <f>VLOOKUP(ESales_DB[[#This Row],[Customer_ID]],Ecustom_DB[],3,FALSE)</f>
        <v>Sarah Brady</v>
      </c>
      <c r="O1330" s="2" t="str">
        <f>_xlfn.XLOOKUP(ESales_DB[[#This Row],[Product_ID]],Eproduct_DB[Product_ID],Eproduct_DB[Category])</f>
        <v>Beauty</v>
      </c>
      <c r="P1330" s="2" t="str">
        <f>_xlfn.XLOOKUP(ESales_DB[[#This Row],[Product_ID]],Eproduct_DB[Product_ID],Eproduct_DB[Product_Name])</f>
        <v>Vitamin E Body Lotion</v>
      </c>
      <c r="Q1330" s="2" t="str">
        <f>_xlfn.XLOOKUP(ESales_DB[[#This Row],[Store_ID]],Estore_DB[Store_ID],Estore_DB[Region])</f>
        <v>East</v>
      </c>
      <c r="R1330" t="str">
        <f>VLOOKUP(ESales_DB[[#This Row],[Customer_ID]],Ecustom_DB[],10,FALSE)</f>
        <v>Platinum</v>
      </c>
      <c r="S1330" t="str">
        <f>IF(ESales_DB[[#This Row],[Quantity1]]&gt;3,"Bulk order","Normal order")</f>
        <v>Normal order</v>
      </c>
    </row>
    <row r="1331" spans="1:19" x14ac:dyDescent="0.3">
      <c r="A1331" t="s">
        <v>2221</v>
      </c>
      <c r="B1331" s="4">
        <v>45308</v>
      </c>
      <c r="C1331" s="4" t="str">
        <f>TEXT(ESales_DB[[#This Row],[Order_Date]],"mmm")</f>
        <v>Jan</v>
      </c>
      <c r="D1331" t="s">
        <v>693</v>
      </c>
      <c r="E1331" t="s">
        <v>1590</v>
      </c>
      <c r="F1331" t="s">
        <v>1752</v>
      </c>
      <c r="G1331">
        <v>4</v>
      </c>
      <c r="H1331" s="10">
        <f>IF(ISBLANK(ESales_DB[[#This Row],[Quantity]]),AVERAGEIF(ESales_DB[Product_ID],ESales_DB[[#This Row],[Product_ID]],ESales_DB[Quantity]),ESales_DB[[#This Row],[Quantity]])</f>
        <v>4</v>
      </c>
      <c r="I1331" s="2">
        <v>276.23</v>
      </c>
      <c r="J1331">
        <v>0.12</v>
      </c>
      <c r="K1331" t="s">
        <v>1824</v>
      </c>
      <c r="L1331" s="2">
        <v>972.32960000000003</v>
      </c>
      <c r="M1331" s="2" t="str">
        <f>IF(ESales_DB[[#This Row],[Total_Amount]]&gt;1000,"High","Low")</f>
        <v>Low</v>
      </c>
      <c r="N1331" s="2" t="str">
        <f>VLOOKUP(ESales_DB[[#This Row],[Customer_ID]],Ecustom_DB[],3,FALSE)</f>
        <v>Stuart Johnson</v>
      </c>
      <c r="O1331" s="2" t="str">
        <f>_xlfn.XLOOKUP(ESales_DB[[#This Row],[Product_ID]],Eproduct_DB[Product_ID],Eproduct_DB[Category])</f>
        <v>Home</v>
      </c>
      <c r="P1331" s="2" t="str">
        <f>_xlfn.XLOOKUP(ESales_DB[[#This Row],[Product_ID]],Eproduct_DB[Product_ID],Eproduct_DB[Product_Name])</f>
        <v>Multi-Purpose Storage Box</v>
      </c>
      <c r="Q1331" s="2" t="str">
        <f>_xlfn.XLOOKUP(ESales_DB[[#This Row],[Store_ID]],Estore_DB[Store_ID],Estore_DB[Region])</f>
        <v>East</v>
      </c>
      <c r="R1331" t="str">
        <f>VLOOKUP(ESales_DB[[#This Row],[Customer_ID]],Ecustom_DB[],10,FALSE)</f>
        <v>Platinum</v>
      </c>
      <c r="S1331" t="str">
        <f>IF(ESales_DB[[#This Row],[Quantity1]]&gt;3,"Bulk order","Normal order")</f>
        <v>Bulk order</v>
      </c>
    </row>
    <row r="1332" spans="1:19" x14ac:dyDescent="0.3">
      <c r="A1332" t="s">
        <v>2222</v>
      </c>
      <c r="B1332" s="4">
        <v>45407</v>
      </c>
      <c r="C1332" s="4" t="str">
        <f>TEXT(ESales_DB[[#This Row],[Order_Date]],"mmm")</f>
        <v>Apr</v>
      </c>
      <c r="D1332" t="s">
        <v>71</v>
      </c>
      <c r="E1332" t="s">
        <v>1584</v>
      </c>
      <c r="F1332" t="s">
        <v>1799</v>
      </c>
      <c r="G1332">
        <v>3</v>
      </c>
      <c r="H1332" s="10">
        <f>IF(ISBLANK(ESales_DB[[#This Row],[Quantity]]),AVERAGEIF(ESales_DB[Product_ID],ESales_DB[[#This Row],[Product_ID]],ESales_DB[Quantity]),ESales_DB[[#This Row],[Quantity]])</f>
        <v>3</v>
      </c>
      <c r="I1332" s="2">
        <v>991.37</v>
      </c>
      <c r="J1332">
        <v>0.1</v>
      </c>
      <c r="K1332" t="s">
        <v>1826</v>
      </c>
      <c r="L1332" s="2">
        <v>2676.6990000000001</v>
      </c>
      <c r="M1332" s="2" t="str">
        <f>IF(ESales_DB[[#This Row],[Total_Amount]]&gt;1000,"High","Low")</f>
        <v>High</v>
      </c>
      <c r="N1332" s="2" t="str">
        <f>VLOOKUP(ESales_DB[[#This Row],[Customer_ID]],Ecustom_DB[],3,FALSE)</f>
        <v>Laura Alvarez</v>
      </c>
      <c r="O1332" s="2" t="str">
        <f>_xlfn.XLOOKUP(ESales_DB[[#This Row],[Product_ID]],Eproduct_DB[Product_ID],Eproduct_DB[Category])</f>
        <v>Clothing</v>
      </c>
      <c r="P1332" s="2" t="str">
        <f>_xlfn.XLOOKUP(ESales_DB[[#This Row],[Product_ID]],Eproduct_DB[Product_ID],Eproduct_DB[Product_Name])</f>
        <v>Women's Denim Jeans</v>
      </c>
      <c r="Q1332" s="2" t="str">
        <f>_xlfn.XLOOKUP(ESales_DB[[#This Row],[Store_ID]],Estore_DB[Store_ID],Estore_DB[Region])</f>
        <v>South</v>
      </c>
      <c r="R1332" t="str">
        <f>VLOOKUP(ESales_DB[[#This Row],[Customer_ID]],Ecustom_DB[],10,FALSE)</f>
        <v>Platinum</v>
      </c>
      <c r="S1332" t="str">
        <f>IF(ESales_DB[[#This Row],[Quantity1]]&gt;3,"Bulk order","Normal order")</f>
        <v>Normal order</v>
      </c>
    </row>
    <row r="1333" spans="1:19" x14ac:dyDescent="0.3">
      <c r="A1333" t="s">
        <v>2223</v>
      </c>
      <c r="B1333" s="4">
        <v>45929</v>
      </c>
      <c r="C1333" s="4" t="str">
        <f>TEXT(ESales_DB[[#This Row],[Order_Date]],"mmm")</f>
        <v>Sep</v>
      </c>
      <c r="D1333" t="s">
        <v>559</v>
      </c>
      <c r="E1333" t="s">
        <v>1590</v>
      </c>
      <c r="F1333" t="s">
        <v>1797</v>
      </c>
      <c r="G1333">
        <v>3</v>
      </c>
      <c r="H1333" s="10">
        <f>IF(ISBLANK(ESales_DB[[#This Row],[Quantity]]),AVERAGEIF(ESales_DB[Product_ID],ESales_DB[[#This Row],[Product_ID]],ESales_DB[Quantity]),ESales_DB[[#This Row],[Quantity]])</f>
        <v>3</v>
      </c>
      <c r="I1333" s="2">
        <v>977.47</v>
      </c>
      <c r="J1333">
        <v>0.05</v>
      </c>
      <c r="K1333" t="s">
        <v>1824</v>
      </c>
      <c r="L1333" s="2">
        <v>2785.7894999999999</v>
      </c>
      <c r="M1333" s="2" t="str">
        <f>IF(ESales_DB[[#This Row],[Total_Amount]]&gt;1000,"High","Low")</f>
        <v>High</v>
      </c>
      <c r="N1333" s="2" t="str">
        <f>VLOOKUP(ESales_DB[[#This Row],[Customer_ID]],Ecustom_DB[],3,FALSE)</f>
        <v>Daniel Contreras</v>
      </c>
      <c r="O1333" s="2" t="str">
        <f>_xlfn.XLOOKUP(ESales_DB[[#This Row],[Product_ID]],Eproduct_DB[Product_ID],Eproduct_DB[Category])</f>
        <v>Home</v>
      </c>
      <c r="P1333" s="2" t="str">
        <f>_xlfn.XLOOKUP(ESales_DB[[#This Row],[Product_ID]],Eproduct_DB[Product_ID],Eproduct_DB[Product_Name])</f>
        <v>Multi-Purpose Storage Box</v>
      </c>
      <c r="Q1333" s="2" t="str">
        <f>_xlfn.XLOOKUP(ESales_DB[[#This Row],[Store_ID]],Estore_DB[Store_ID],Estore_DB[Region])</f>
        <v>East</v>
      </c>
      <c r="R1333" t="str">
        <f>VLOOKUP(ESales_DB[[#This Row],[Customer_ID]],Ecustom_DB[],10,FALSE)</f>
        <v>Platinum</v>
      </c>
      <c r="S1333" t="str">
        <f>IF(ESales_DB[[#This Row],[Quantity1]]&gt;3,"Bulk order","Normal order")</f>
        <v>Normal order</v>
      </c>
    </row>
    <row r="1334" spans="1:19" x14ac:dyDescent="0.3">
      <c r="A1334" t="s">
        <v>2224</v>
      </c>
      <c r="B1334" s="4">
        <v>45844</v>
      </c>
      <c r="C1334" s="4" t="str">
        <f>TEXT(ESales_DB[[#This Row],[Order_Date]],"mmm")</f>
        <v>Jul</v>
      </c>
      <c r="D1334" t="s">
        <v>672</v>
      </c>
      <c r="E1334" t="s">
        <v>1736</v>
      </c>
      <c r="F1334" t="s">
        <v>1794</v>
      </c>
      <c r="G1334">
        <v>2</v>
      </c>
      <c r="H1334" s="10">
        <f>IF(ISBLANK(ESales_DB[[#This Row],[Quantity]]),AVERAGEIF(ESales_DB[Product_ID],ESales_DB[[#This Row],[Product_ID]],ESales_DB[Quantity]),ESales_DB[[#This Row],[Quantity]])</f>
        <v>2</v>
      </c>
      <c r="I1334" s="2">
        <v>308.7</v>
      </c>
      <c r="J1334">
        <v>0.2</v>
      </c>
      <c r="K1334" t="s">
        <v>1826</v>
      </c>
      <c r="L1334" s="2">
        <v>493.92</v>
      </c>
      <c r="M1334" s="2" t="str">
        <f>IF(ESales_DB[[#This Row],[Total_Amount]]&gt;1000,"High","Low")</f>
        <v>Low</v>
      </c>
      <c r="N1334" s="2" t="str">
        <f>VLOOKUP(ESales_DB[[#This Row],[Customer_ID]],Ecustom_DB[],3,FALSE)</f>
        <v>Ronald Jones</v>
      </c>
      <c r="O1334" s="2" t="str">
        <f>_xlfn.XLOOKUP(ESales_DB[[#This Row],[Product_ID]],Eproduct_DB[Product_ID],Eproduct_DB[Category])</f>
        <v>Beauty</v>
      </c>
      <c r="P1334" s="2" t="str">
        <f>_xlfn.XLOOKUP(ESales_DB[[#This Row],[Product_ID]],Eproduct_DB[Product_ID],Eproduct_DB[Product_Name])</f>
        <v>Vitamin E Body Lotion</v>
      </c>
      <c r="Q1334" s="2" t="str">
        <f>_xlfn.XLOOKUP(ESales_DB[[#This Row],[Store_ID]],Estore_DB[Store_ID],Estore_DB[Region])</f>
        <v>North</v>
      </c>
      <c r="R1334" t="str">
        <f>VLOOKUP(ESales_DB[[#This Row],[Customer_ID]],Ecustom_DB[],10,FALSE)</f>
        <v>Silver</v>
      </c>
      <c r="S1334" t="str">
        <f>IF(ESales_DB[[#This Row],[Quantity1]]&gt;3,"Bulk order","Normal order")</f>
        <v>Normal order</v>
      </c>
    </row>
    <row r="1335" spans="1:19" x14ac:dyDescent="0.3">
      <c r="A1335" t="s">
        <v>2225</v>
      </c>
      <c r="B1335" s="4">
        <v>45579</v>
      </c>
      <c r="C1335" s="4" t="str">
        <f>TEXT(ESales_DB[[#This Row],[Order_Date]],"mmm")</f>
        <v>Oct</v>
      </c>
      <c r="D1335" t="s">
        <v>147</v>
      </c>
      <c r="E1335" t="s">
        <v>1557</v>
      </c>
      <c r="F1335" t="s">
        <v>1804</v>
      </c>
      <c r="G1335">
        <v>2</v>
      </c>
      <c r="H1335" s="10">
        <f>IF(ISBLANK(ESales_DB[[#This Row],[Quantity]]),AVERAGEIF(ESales_DB[Product_ID],ESales_DB[[#This Row],[Product_ID]],ESales_DB[Quantity]),ESales_DB[[#This Row],[Quantity]])</f>
        <v>2</v>
      </c>
      <c r="I1335" s="2">
        <v>733.87</v>
      </c>
      <c r="J1335">
        <v>0.1</v>
      </c>
      <c r="K1335" t="s">
        <v>1826</v>
      </c>
      <c r="L1335" s="2">
        <v>1320.9659999999999</v>
      </c>
      <c r="M1335" s="2" t="str">
        <f>IF(ESales_DB[[#This Row],[Total_Amount]]&gt;1000,"High","Low")</f>
        <v>High</v>
      </c>
      <c r="N1335" s="2" t="str">
        <f>VLOOKUP(ESales_DB[[#This Row],[Customer_ID]],Ecustom_DB[],3,FALSE)</f>
        <v>Christopher Carter</v>
      </c>
      <c r="O1335" s="2" t="str">
        <f>_xlfn.XLOOKUP(ESales_DB[[#This Row],[Product_ID]],Eproduct_DB[Product_ID],Eproduct_DB[Category])</f>
        <v>Beauty</v>
      </c>
      <c r="P1335" s="2" t="str">
        <f>_xlfn.XLOOKUP(ESales_DB[[#This Row],[Product_ID]],Eproduct_DB[Product_ID],Eproduct_DB[Product_Name])</f>
        <v>Herbal Face Moisturizer</v>
      </c>
      <c r="Q1335" s="2" t="str">
        <f>_xlfn.XLOOKUP(ESales_DB[[#This Row],[Store_ID]],Estore_DB[Store_ID],Estore_DB[Region])</f>
        <v>West</v>
      </c>
      <c r="R1335" t="str">
        <f>VLOOKUP(ESales_DB[[#This Row],[Customer_ID]],Ecustom_DB[],10,FALSE)</f>
        <v>Uncategorized</v>
      </c>
      <c r="S1335" t="str">
        <f>IF(ESales_DB[[#This Row],[Quantity1]]&gt;3,"Bulk order","Normal order")</f>
        <v>Normal order</v>
      </c>
    </row>
    <row r="1336" spans="1:19" x14ac:dyDescent="0.3">
      <c r="A1336" t="s">
        <v>1830</v>
      </c>
      <c r="B1336" s="4">
        <v>45297</v>
      </c>
      <c r="C1336" s="4" t="str">
        <f>TEXT(ESales_DB[[#This Row],[Order_Date]],"mmm")</f>
        <v>Jan</v>
      </c>
      <c r="D1336" t="s">
        <v>1516</v>
      </c>
      <c r="E1336" t="s">
        <v>1666</v>
      </c>
      <c r="F1336" t="s">
        <v>1773</v>
      </c>
      <c r="G1336">
        <v>3</v>
      </c>
      <c r="H1336" s="10">
        <f>IF(ISBLANK(ESales_DB[[#This Row],[Quantity]]),AVERAGEIF(ESales_DB[Product_ID],ESales_DB[[#This Row],[Product_ID]],ESales_DB[Quantity]),ESales_DB[[#This Row],[Quantity]])</f>
        <v>3</v>
      </c>
      <c r="I1336" s="2">
        <v>745.3</v>
      </c>
      <c r="J1336">
        <v>0.18</v>
      </c>
      <c r="K1336" t="s">
        <v>1824</v>
      </c>
      <c r="L1336" s="2">
        <v>1833.4380000000001</v>
      </c>
      <c r="M1336" s="2" t="str">
        <f>IF(ESales_DB[[#This Row],[Total_Amount]]&gt;1000,"High","Low")</f>
        <v>High</v>
      </c>
      <c r="N1336" s="2" t="str">
        <f>VLOOKUP(ESales_DB[[#This Row],[Customer_ID]],Ecustom_DB[],3,FALSE)</f>
        <v>Amanda Powell</v>
      </c>
      <c r="O1336" s="2" t="str">
        <f>_xlfn.XLOOKUP(ESales_DB[[#This Row],[Product_ID]],Eproduct_DB[Product_ID],Eproduct_DB[Category])</f>
        <v>Beauty</v>
      </c>
      <c r="P1336" s="2" t="str">
        <f>_xlfn.XLOOKUP(ESales_DB[[#This Row],[Product_ID]],Eproduct_DB[Product_ID],Eproduct_DB[Product_Name])</f>
        <v>Men's Hair Styling Gel</v>
      </c>
      <c r="Q1336" s="2" t="str">
        <f>_xlfn.XLOOKUP(ESales_DB[[#This Row],[Store_ID]],Estore_DB[Store_ID],Estore_DB[Region])</f>
        <v>North</v>
      </c>
      <c r="R1336" t="str">
        <f>VLOOKUP(ESales_DB[[#This Row],[Customer_ID]],Ecustom_DB[],10,FALSE)</f>
        <v>Silver</v>
      </c>
      <c r="S1336" t="str">
        <f>IF(ESales_DB[[#This Row],[Quantity1]]&gt;3,"Bulk order","Normal order")</f>
        <v>Normal order</v>
      </c>
    </row>
    <row r="1337" spans="1:19" x14ac:dyDescent="0.3">
      <c r="A1337" t="s">
        <v>1866</v>
      </c>
      <c r="B1337" s="4">
        <v>45486</v>
      </c>
      <c r="C1337" s="4" t="str">
        <f>TEXT(ESales_DB[[#This Row],[Order_Date]],"mmm")</f>
        <v>Jul</v>
      </c>
      <c r="D1337" t="s">
        <v>264</v>
      </c>
      <c r="E1337" t="s">
        <v>1600</v>
      </c>
      <c r="F1337" t="s">
        <v>1813</v>
      </c>
      <c r="G1337">
        <v>2</v>
      </c>
      <c r="H1337" s="10">
        <f>IF(ISBLANK(ESales_DB[[#This Row],[Quantity]]),AVERAGEIF(ESales_DB[Product_ID],ESales_DB[[#This Row],[Product_ID]],ESales_DB[Quantity]),ESales_DB[[#This Row],[Quantity]])</f>
        <v>2</v>
      </c>
      <c r="I1337" s="2">
        <v>873.86</v>
      </c>
      <c r="J1337">
        <v>7.0000000000000007E-2</v>
      </c>
      <c r="K1337" t="s">
        <v>1829</v>
      </c>
      <c r="L1337" s="2">
        <v>1625.3796</v>
      </c>
      <c r="M1337" s="2" t="str">
        <f>IF(ESales_DB[[#This Row],[Total_Amount]]&gt;1000,"High","Low")</f>
        <v>High</v>
      </c>
      <c r="N1337" s="2" t="str">
        <f>VLOOKUP(ESales_DB[[#This Row],[Customer_ID]],Ecustom_DB[],3,FALSE)</f>
        <v>Tonya Burch</v>
      </c>
      <c r="O1337" s="2" t="str">
        <f>_xlfn.XLOOKUP(ESales_DB[[#This Row],[Product_ID]],Eproduct_DB[Product_ID],Eproduct_DB[Category])</f>
        <v>Electronics</v>
      </c>
      <c r="P1337" s="2" t="str">
        <f>_xlfn.XLOOKUP(ESales_DB[[#This Row],[Product_ID]],Eproduct_DB[Product_ID],Eproduct_DB[Product_Name])</f>
        <v>Wireless Bluetooth Speaker</v>
      </c>
      <c r="Q1337" s="2" t="str">
        <f>_xlfn.XLOOKUP(ESales_DB[[#This Row],[Store_ID]],Estore_DB[Store_ID],Estore_DB[Region])</f>
        <v>East</v>
      </c>
      <c r="R1337" t="str">
        <f>VLOOKUP(ESales_DB[[#This Row],[Customer_ID]],Ecustom_DB[],10,FALSE)</f>
        <v>Gold</v>
      </c>
      <c r="S1337" t="str">
        <f>IF(ESales_DB[[#This Row],[Quantity1]]&gt;3,"Bulk order","Normal order")</f>
        <v>Normal order</v>
      </c>
    </row>
    <row r="1338" spans="1:19" x14ac:dyDescent="0.3">
      <c r="A1338" t="s">
        <v>2226</v>
      </c>
      <c r="B1338" s="4">
        <v>45227</v>
      </c>
      <c r="C1338" s="4" t="str">
        <f>TEXT(ESales_DB[[#This Row],[Order_Date]],"mmm")</f>
        <v>Oct</v>
      </c>
      <c r="D1338" t="s">
        <v>341</v>
      </c>
      <c r="E1338" t="s">
        <v>1586</v>
      </c>
      <c r="F1338" t="s">
        <v>1804</v>
      </c>
      <c r="G1338">
        <v>2</v>
      </c>
      <c r="H1338" s="10">
        <f>IF(ISBLANK(ESales_DB[[#This Row],[Quantity]]),AVERAGEIF(ESales_DB[Product_ID],ESales_DB[[#This Row],[Product_ID]],ESales_DB[Quantity]),ESales_DB[[#This Row],[Quantity]])</f>
        <v>2</v>
      </c>
      <c r="I1338" s="2">
        <v>22.47</v>
      </c>
      <c r="J1338">
        <v>0.22</v>
      </c>
      <c r="K1338" t="s">
        <v>1826</v>
      </c>
      <c r="L1338" s="2">
        <v>35.053199999999997</v>
      </c>
      <c r="M1338" s="2" t="str">
        <f>IF(ESales_DB[[#This Row],[Total_Amount]]&gt;1000,"High","Low")</f>
        <v>Low</v>
      </c>
      <c r="N1338" s="2" t="str">
        <f>VLOOKUP(ESales_DB[[#This Row],[Customer_ID]],Ecustom_DB[],3,FALSE)</f>
        <v>Amy Fowler</v>
      </c>
      <c r="O1338" s="2" t="str">
        <f>_xlfn.XLOOKUP(ESales_DB[[#This Row],[Product_ID]],Eproduct_DB[Product_ID],Eproduct_DB[Category])</f>
        <v>Sports</v>
      </c>
      <c r="P1338" s="2" t="str">
        <f>_xlfn.XLOOKUP(ESales_DB[[#This Row],[Product_ID]],Eproduct_DB[Product_ID],Eproduct_DB[Product_Name])</f>
        <v>Knee Support Brace</v>
      </c>
      <c r="Q1338" s="2" t="str">
        <f>_xlfn.XLOOKUP(ESales_DB[[#This Row],[Store_ID]],Estore_DB[Store_ID],Estore_DB[Region])</f>
        <v>West</v>
      </c>
      <c r="R1338" t="str">
        <f>VLOOKUP(ESales_DB[[#This Row],[Customer_ID]],Ecustom_DB[],10,FALSE)</f>
        <v>Platinum</v>
      </c>
      <c r="S1338" t="str">
        <f>IF(ESales_DB[[#This Row],[Quantity1]]&gt;3,"Bulk order","Normal order")</f>
        <v>Normal order</v>
      </c>
    </row>
    <row r="1339" spans="1:19" x14ac:dyDescent="0.3">
      <c r="A1339" t="s">
        <v>2227</v>
      </c>
      <c r="B1339" s="4">
        <v>45380</v>
      </c>
      <c r="C1339" s="4" t="str">
        <f>TEXT(ESales_DB[[#This Row],[Order_Date]],"mmm")</f>
        <v>Mar</v>
      </c>
      <c r="D1339" t="s">
        <v>1092</v>
      </c>
      <c r="E1339" t="s">
        <v>1662</v>
      </c>
      <c r="F1339" t="s">
        <v>1797</v>
      </c>
      <c r="G1339">
        <v>4</v>
      </c>
      <c r="H1339" s="10">
        <f>IF(ISBLANK(ESales_DB[[#This Row],[Quantity]]),AVERAGEIF(ESales_DB[Product_ID],ESales_DB[[#This Row],[Product_ID]],ESales_DB[Quantity]),ESales_DB[[#This Row],[Quantity]])</f>
        <v>4</v>
      </c>
      <c r="I1339" s="2">
        <v>651.36</v>
      </c>
      <c r="J1339">
        <v>0.13</v>
      </c>
      <c r="K1339" t="s">
        <v>1824</v>
      </c>
      <c r="L1339" s="2">
        <v>2266.7328000000002</v>
      </c>
      <c r="M1339" s="2" t="str">
        <f>IF(ESales_DB[[#This Row],[Total_Amount]]&gt;1000,"High","Low")</f>
        <v>High</v>
      </c>
      <c r="N1339" s="2" t="str">
        <f>VLOOKUP(ESales_DB[[#This Row],[Customer_ID]],Ecustom_DB[],3,FALSE)</f>
        <v>Sherry Cabrera</v>
      </c>
      <c r="O1339" s="2" t="str">
        <f>_xlfn.XLOOKUP(ESales_DB[[#This Row],[Product_ID]],Eproduct_DB[Product_ID],Eproduct_DB[Category])</f>
        <v>Sports</v>
      </c>
      <c r="P1339" s="2" t="str">
        <f>_xlfn.XLOOKUP(ESales_DB[[#This Row],[Product_ID]],Eproduct_DB[Product_ID],Eproduct_DB[Product_Name])</f>
        <v>Foam Roller</v>
      </c>
      <c r="Q1339" s="2" t="str">
        <f>_xlfn.XLOOKUP(ESales_DB[[#This Row],[Store_ID]],Estore_DB[Store_ID],Estore_DB[Region])</f>
        <v>East</v>
      </c>
      <c r="R1339" t="str">
        <f>VLOOKUP(ESales_DB[[#This Row],[Customer_ID]],Ecustom_DB[],10,FALSE)</f>
        <v>Silver</v>
      </c>
      <c r="S1339" t="str">
        <f>IF(ESales_DB[[#This Row],[Quantity1]]&gt;3,"Bulk order","Normal order")</f>
        <v>Bulk order</v>
      </c>
    </row>
    <row r="1340" spans="1:19" x14ac:dyDescent="0.3">
      <c r="A1340" t="s">
        <v>2228</v>
      </c>
      <c r="B1340" s="4">
        <v>45817</v>
      </c>
      <c r="C1340" s="4" t="str">
        <f>TEXT(ESales_DB[[#This Row],[Order_Date]],"mmm")</f>
        <v>Jun</v>
      </c>
      <c r="D1340" t="s">
        <v>937</v>
      </c>
      <c r="E1340" t="s">
        <v>1576</v>
      </c>
      <c r="F1340" t="s">
        <v>1789</v>
      </c>
      <c r="G1340">
        <v>1</v>
      </c>
      <c r="H1340" s="10">
        <f>IF(ISBLANK(ESales_DB[[#This Row],[Quantity]]),AVERAGEIF(ESales_DB[Product_ID],ESales_DB[[#This Row],[Product_ID]],ESales_DB[Quantity]),ESales_DB[[#This Row],[Quantity]])</f>
        <v>1</v>
      </c>
      <c r="I1340" s="2">
        <v>753.39</v>
      </c>
      <c r="J1340">
        <v>0.04</v>
      </c>
      <c r="K1340" t="s">
        <v>1829</v>
      </c>
      <c r="L1340" s="2">
        <v>723.25439999999992</v>
      </c>
      <c r="M1340" s="2" t="str">
        <f>IF(ESales_DB[[#This Row],[Total_Amount]]&gt;1000,"High","Low")</f>
        <v>Low</v>
      </c>
      <c r="N1340" s="2" t="str">
        <f>VLOOKUP(ESales_DB[[#This Row],[Customer_ID]],Ecustom_DB[],3,FALSE)</f>
        <v>Jared Moran</v>
      </c>
      <c r="O1340" s="2" t="str">
        <f>_xlfn.XLOOKUP(ESales_DB[[#This Row],[Product_ID]],Eproduct_DB[Product_ID],Eproduct_DB[Category])</f>
        <v>Home</v>
      </c>
      <c r="P1340" s="2" t="str">
        <f>_xlfn.XLOOKUP(ESales_DB[[#This Row],[Product_ID]],Eproduct_DB[Product_ID],Eproduct_DB[Product_Name])</f>
        <v>Decorative Wall Mirror</v>
      </c>
      <c r="Q1340" s="2" t="str">
        <f>_xlfn.XLOOKUP(ESales_DB[[#This Row],[Store_ID]],Estore_DB[Store_ID],Estore_DB[Region])</f>
        <v>East</v>
      </c>
      <c r="R1340" t="str">
        <f>VLOOKUP(ESales_DB[[#This Row],[Customer_ID]],Ecustom_DB[],10,FALSE)</f>
        <v>Bronze</v>
      </c>
      <c r="S1340" t="str">
        <f>IF(ESales_DB[[#This Row],[Quantity1]]&gt;3,"Bulk order","Normal order")</f>
        <v>Normal order</v>
      </c>
    </row>
    <row r="1341" spans="1:19" x14ac:dyDescent="0.3">
      <c r="A1341" t="s">
        <v>2229</v>
      </c>
      <c r="B1341" s="4">
        <v>45576</v>
      </c>
      <c r="C1341" s="4" t="str">
        <f>TEXT(ESales_DB[[#This Row],[Order_Date]],"mmm")</f>
        <v>Oct</v>
      </c>
      <c r="D1341" t="s">
        <v>657</v>
      </c>
      <c r="E1341" t="s">
        <v>1690</v>
      </c>
      <c r="F1341" t="s">
        <v>1794</v>
      </c>
      <c r="G1341">
        <v>4</v>
      </c>
      <c r="H1341" s="10">
        <f>IF(ISBLANK(ESales_DB[[#This Row],[Quantity]]),AVERAGEIF(ESales_DB[Product_ID],ESales_DB[[#This Row],[Product_ID]],ESales_DB[Quantity]),ESales_DB[[#This Row],[Quantity]])</f>
        <v>4</v>
      </c>
      <c r="I1341" s="2">
        <v>849.17</v>
      </c>
      <c r="J1341">
        <v>0.12</v>
      </c>
      <c r="K1341" t="s">
        <v>1829</v>
      </c>
      <c r="L1341" s="2">
        <v>2989.0783999999999</v>
      </c>
      <c r="M1341" s="2" t="str">
        <f>IF(ESales_DB[[#This Row],[Total_Amount]]&gt;1000,"High","Low")</f>
        <v>High</v>
      </c>
      <c r="N1341" s="2" t="str">
        <f>VLOOKUP(ESales_DB[[#This Row],[Customer_ID]],Ecustom_DB[],3,FALSE)</f>
        <v>Mary Boyd</v>
      </c>
      <c r="O1341" s="2" t="str">
        <f>_xlfn.XLOOKUP(ESales_DB[[#This Row],[Product_ID]],Eproduct_DB[Product_ID],Eproduct_DB[Category])</f>
        <v>Beauty</v>
      </c>
      <c r="P1341" s="2" t="str">
        <f>_xlfn.XLOOKUP(ESales_DB[[#This Row],[Product_ID]],Eproduct_DB[Product_ID],Eproduct_DB[Product_Name])</f>
        <v>Hair Repair Oil Treatment</v>
      </c>
      <c r="Q1341" s="2" t="str">
        <f>_xlfn.XLOOKUP(ESales_DB[[#This Row],[Store_ID]],Estore_DB[Store_ID],Estore_DB[Region])</f>
        <v>North</v>
      </c>
      <c r="R1341" t="str">
        <f>VLOOKUP(ESales_DB[[#This Row],[Customer_ID]],Ecustom_DB[],10,FALSE)</f>
        <v>Bronze</v>
      </c>
      <c r="S1341" t="str">
        <f>IF(ESales_DB[[#This Row],[Quantity1]]&gt;3,"Bulk order","Normal order")</f>
        <v>Bulk order</v>
      </c>
    </row>
    <row r="1342" spans="1:19" x14ac:dyDescent="0.3">
      <c r="A1342" t="s">
        <v>2230</v>
      </c>
      <c r="B1342" s="4">
        <v>45495</v>
      </c>
      <c r="C1342" s="4" t="str">
        <f>TEXT(ESales_DB[[#This Row],[Order_Date]],"mmm")</f>
        <v>Jul</v>
      </c>
      <c r="D1342" t="s">
        <v>1184</v>
      </c>
      <c r="E1342" t="s">
        <v>1588</v>
      </c>
      <c r="F1342" t="s">
        <v>1752</v>
      </c>
      <c r="G1342">
        <v>4</v>
      </c>
      <c r="H1342" s="10">
        <f>IF(ISBLANK(ESales_DB[[#This Row],[Quantity]]),AVERAGEIF(ESales_DB[Product_ID],ESales_DB[[#This Row],[Product_ID]],ESales_DB[Quantity]),ESales_DB[[#This Row],[Quantity]])</f>
        <v>4</v>
      </c>
      <c r="I1342" s="2">
        <v>585.45000000000005</v>
      </c>
      <c r="J1342">
        <v>0.25</v>
      </c>
      <c r="K1342" t="s">
        <v>1829</v>
      </c>
      <c r="L1342" s="2">
        <v>1756.35</v>
      </c>
      <c r="M1342" s="2" t="str">
        <f>IF(ESales_DB[[#This Row],[Total_Amount]]&gt;1000,"High","Low")</f>
        <v>High</v>
      </c>
      <c r="N1342" s="2" t="str">
        <f>VLOOKUP(ESales_DB[[#This Row],[Customer_ID]],Ecustom_DB[],3,FALSE)</f>
        <v>Tanya Lopez</v>
      </c>
      <c r="O1342" s="2" t="str">
        <f>_xlfn.XLOOKUP(ESales_DB[[#This Row],[Product_ID]],Eproduct_DB[Product_ID],Eproduct_DB[Category])</f>
        <v>Sports</v>
      </c>
      <c r="P1342" s="2" t="str">
        <f>_xlfn.XLOOKUP(ESales_DB[[#This Row],[Product_ID]],Eproduct_DB[Product_ID],Eproduct_DB[Product_Name])</f>
        <v>Outdoor Sports Water Bottle</v>
      </c>
      <c r="Q1342" s="2" t="str">
        <f>_xlfn.XLOOKUP(ESales_DB[[#This Row],[Store_ID]],Estore_DB[Store_ID],Estore_DB[Region])</f>
        <v>East</v>
      </c>
      <c r="R1342" t="str">
        <f>VLOOKUP(ESales_DB[[#This Row],[Customer_ID]],Ecustom_DB[],10,FALSE)</f>
        <v>Gold</v>
      </c>
      <c r="S1342" t="str">
        <f>IF(ESales_DB[[#This Row],[Quantity1]]&gt;3,"Bulk order","Normal order")</f>
        <v>Bulk order</v>
      </c>
    </row>
    <row r="1343" spans="1:19" x14ac:dyDescent="0.3">
      <c r="A1343" t="s">
        <v>2231</v>
      </c>
      <c r="B1343" s="4">
        <v>45628</v>
      </c>
      <c r="C1343" s="4" t="str">
        <f>TEXT(ESales_DB[[#This Row],[Order_Date]],"mmm")</f>
        <v>Dec</v>
      </c>
      <c r="D1343" t="s">
        <v>1466</v>
      </c>
      <c r="E1343" t="s">
        <v>1698</v>
      </c>
      <c r="F1343" t="s">
        <v>1804</v>
      </c>
      <c r="G1343">
        <v>1</v>
      </c>
      <c r="H1343" s="10">
        <f>IF(ISBLANK(ESales_DB[[#This Row],[Quantity]]),AVERAGEIF(ESales_DB[Product_ID],ESales_DB[[#This Row],[Product_ID]],ESales_DB[Quantity]),ESales_DB[[#This Row],[Quantity]])</f>
        <v>1</v>
      </c>
      <c r="I1343" s="2">
        <v>745.15</v>
      </c>
      <c r="J1343">
        <v>0.25</v>
      </c>
      <c r="K1343" t="s">
        <v>1829</v>
      </c>
      <c r="L1343" s="2">
        <v>558.86249999999995</v>
      </c>
      <c r="M1343" s="2" t="str">
        <f>IF(ESales_DB[[#This Row],[Total_Amount]]&gt;1000,"High","Low")</f>
        <v>Low</v>
      </c>
      <c r="N1343" s="2" t="str">
        <f>VLOOKUP(ESales_DB[[#This Row],[Customer_ID]],Ecustom_DB[],3,FALSE)</f>
        <v>Elizabeth Foster</v>
      </c>
      <c r="O1343" s="2" t="str">
        <f>_xlfn.XLOOKUP(ESales_DB[[#This Row],[Product_ID]],Eproduct_DB[Product_ID],Eproduct_DB[Category])</f>
        <v>Clothing</v>
      </c>
      <c r="P1343" s="2" t="str">
        <f>_xlfn.XLOOKUP(ESales_DB[[#This Row],[Product_ID]],Eproduct_DB[Product_ID],Eproduct_DB[Product_Name])</f>
        <v>Women's Ankle Boots</v>
      </c>
      <c r="Q1343" s="2" t="str">
        <f>_xlfn.XLOOKUP(ESales_DB[[#This Row],[Store_ID]],Estore_DB[Store_ID],Estore_DB[Region])</f>
        <v>West</v>
      </c>
      <c r="R1343" t="str">
        <f>VLOOKUP(ESales_DB[[#This Row],[Customer_ID]],Ecustom_DB[],10,FALSE)</f>
        <v>Gold</v>
      </c>
      <c r="S1343" t="str">
        <f>IF(ESales_DB[[#This Row],[Quantity1]]&gt;3,"Bulk order","Normal order")</f>
        <v>Normal order</v>
      </c>
    </row>
    <row r="1344" spans="1:19" x14ac:dyDescent="0.3">
      <c r="A1344" t="s">
        <v>2232</v>
      </c>
      <c r="B1344" s="4">
        <v>45244</v>
      </c>
      <c r="C1344" s="4" t="str">
        <f>TEXT(ESales_DB[[#This Row],[Order_Date]],"mmm")</f>
        <v>Nov</v>
      </c>
      <c r="D1344" t="s">
        <v>191</v>
      </c>
      <c r="E1344" t="s">
        <v>1746</v>
      </c>
      <c r="F1344" t="s">
        <v>1761</v>
      </c>
      <c r="G1344">
        <v>1</v>
      </c>
      <c r="H1344" s="10">
        <f>IF(ISBLANK(ESales_DB[[#This Row],[Quantity]]),AVERAGEIF(ESales_DB[Product_ID],ESales_DB[[#This Row],[Product_ID]],ESales_DB[Quantity]),ESales_DB[[#This Row],[Quantity]])</f>
        <v>1</v>
      </c>
      <c r="I1344" s="2">
        <v>848.69</v>
      </c>
      <c r="J1344">
        <v>0.04</v>
      </c>
      <c r="K1344" t="s">
        <v>1829</v>
      </c>
      <c r="L1344" s="2">
        <v>814.74239999999998</v>
      </c>
      <c r="M1344" s="2" t="str">
        <f>IF(ESales_DB[[#This Row],[Total_Amount]]&gt;1000,"High","Low")</f>
        <v>Low</v>
      </c>
      <c r="N1344" s="2" t="str">
        <f>VLOOKUP(ESales_DB[[#This Row],[Customer_ID]],Ecustom_DB[],3,FALSE)</f>
        <v>Matthew Hunter Jr.</v>
      </c>
      <c r="O1344" s="2" t="str">
        <f>_xlfn.XLOOKUP(ESales_DB[[#This Row],[Product_ID]],Eproduct_DB[Product_ID],Eproduct_DB[Category])</f>
        <v>Home</v>
      </c>
      <c r="P1344" s="2" t="str">
        <f>_xlfn.XLOOKUP(ESales_DB[[#This Row],[Product_ID]],Eproduct_DB[Product_ID],Eproduct_DB[Product_Name])</f>
        <v>Stainless Steel Cookware Set</v>
      </c>
      <c r="Q1344" s="2" t="str">
        <f>_xlfn.XLOOKUP(ESales_DB[[#This Row],[Store_ID]],Estore_DB[Store_ID],Estore_DB[Region])</f>
        <v>South</v>
      </c>
      <c r="R1344" t="str">
        <f>VLOOKUP(ESales_DB[[#This Row],[Customer_ID]],Ecustom_DB[],10,FALSE)</f>
        <v>Gold</v>
      </c>
      <c r="S1344" t="str">
        <f>IF(ESales_DB[[#This Row],[Quantity1]]&gt;3,"Bulk order","Normal order")</f>
        <v>Normal order</v>
      </c>
    </row>
    <row r="1345" spans="1:19" x14ac:dyDescent="0.3">
      <c r="A1345" t="s">
        <v>2233</v>
      </c>
      <c r="B1345" s="4">
        <v>45336</v>
      </c>
      <c r="C1345" s="4" t="str">
        <f>TEXT(ESales_DB[[#This Row],[Order_Date]],"mmm")</f>
        <v>Feb</v>
      </c>
      <c r="D1345" t="s">
        <v>1283</v>
      </c>
      <c r="E1345" t="s">
        <v>1688</v>
      </c>
      <c r="F1345" t="s">
        <v>1799</v>
      </c>
      <c r="G1345">
        <v>2</v>
      </c>
      <c r="H1345" s="10">
        <f>IF(ISBLANK(ESales_DB[[#This Row],[Quantity]]),AVERAGEIF(ESales_DB[Product_ID],ESales_DB[[#This Row],[Product_ID]],ESales_DB[Quantity]),ESales_DB[[#This Row],[Quantity]])</f>
        <v>2</v>
      </c>
      <c r="I1345" s="2">
        <v>247.67</v>
      </c>
      <c r="J1345">
        <v>0.1</v>
      </c>
      <c r="K1345" t="s">
        <v>1826</v>
      </c>
      <c r="L1345" s="2">
        <v>445.80599999999998</v>
      </c>
      <c r="M1345" s="2" t="str">
        <f>IF(ESales_DB[[#This Row],[Total_Amount]]&gt;1000,"High","Low")</f>
        <v>Low</v>
      </c>
      <c r="N1345" s="2" t="str">
        <f>VLOOKUP(ESales_DB[[#This Row],[Customer_ID]],Ecustom_DB[],3,FALSE)</f>
        <v>Megan Ryan</v>
      </c>
      <c r="O1345" s="2" t="str">
        <f>_xlfn.XLOOKUP(ESales_DB[[#This Row],[Product_ID]],Eproduct_DB[Product_ID],Eproduct_DB[Category])</f>
        <v>Home</v>
      </c>
      <c r="P1345" s="2" t="str">
        <f>_xlfn.XLOOKUP(ESales_DB[[#This Row],[Product_ID]],Eproduct_DB[Product_ID],Eproduct_DB[Product_Name])</f>
        <v>Kitchen Storage Rack</v>
      </c>
      <c r="Q1345" s="2" t="str">
        <f>_xlfn.XLOOKUP(ESales_DB[[#This Row],[Store_ID]],Estore_DB[Store_ID],Estore_DB[Region])</f>
        <v>South</v>
      </c>
      <c r="R1345" t="str">
        <f>VLOOKUP(ESales_DB[[#This Row],[Customer_ID]],Ecustom_DB[],10,FALSE)</f>
        <v>Bronze</v>
      </c>
      <c r="S1345" t="str">
        <f>IF(ESales_DB[[#This Row],[Quantity1]]&gt;3,"Bulk order","Normal order")</f>
        <v>Normal order</v>
      </c>
    </row>
    <row r="1346" spans="1:19" x14ac:dyDescent="0.3">
      <c r="A1346" t="s">
        <v>2234</v>
      </c>
      <c r="B1346" s="4">
        <v>45465</v>
      </c>
      <c r="C1346" s="4" t="str">
        <f>TEXT(ESales_DB[[#This Row],[Order_Date]],"mmm")</f>
        <v>Jun</v>
      </c>
      <c r="D1346" t="s">
        <v>153</v>
      </c>
      <c r="E1346" t="s">
        <v>1696</v>
      </c>
      <c r="F1346" t="s">
        <v>1766</v>
      </c>
      <c r="G1346">
        <v>3</v>
      </c>
      <c r="H1346" s="10">
        <f>IF(ISBLANK(ESales_DB[[#This Row],[Quantity]]),AVERAGEIF(ESales_DB[Product_ID],ESales_DB[[#This Row],[Product_ID]],ESales_DB[Quantity]),ESales_DB[[#This Row],[Quantity]])</f>
        <v>3</v>
      </c>
      <c r="I1346" s="2">
        <v>220.51</v>
      </c>
      <c r="J1346">
        <v>0.02</v>
      </c>
      <c r="K1346" t="s">
        <v>1826</v>
      </c>
      <c r="L1346" s="2">
        <v>648.29939999999999</v>
      </c>
      <c r="M1346" s="2" t="str">
        <f>IF(ESales_DB[[#This Row],[Total_Amount]]&gt;1000,"High","Low")</f>
        <v>Low</v>
      </c>
      <c r="N1346" s="2" t="str">
        <f>VLOOKUP(ESales_DB[[#This Row],[Customer_ID]],Ecustom_DB[],3,FALSE)</f>
        <v>Tonya Reynolds</v>
      </c>
      <c r="O1346" s="2" t="str">
        <f>_xlfn.XLOOKUP(ESales_DB[[#This Row],[Product_ID]],Eproduct_DB[Product_ID],Eproduct_DB[Category])</f>
        <v>Electronics</v>
      </c>
      <c r="P1346" s="2" t="str">
        <f>_xlfn.XLOOKUP(ESales_DB[[#This Row],[Product_ID]],Eproduct_DB[Product_ID],Eproduct_DB[Product_Name])</f>
        <v>Bluetooth Car Audio System</v>
      </c>
      <c r="Q1346" s="2" t="str">
        <f>_xlfn.XLOOKUP(ESales_DB[[#This Row],[Store_ID]],Estore_DB[Store_ID],Estore_DB[Region])</f>
        <v>North</v>
      </c>
      <c r="R1346" t="str">
        <f>VLOOKUP(ESales_DB[[#This Row],[Customer_ID]],Ecustom_DB[],10,FALSE)</f>
        <v>Gold</v>
      </c>
      <c r="S1346" t="str">
        <f>IF(ESales_DB[[#This Row],[Quantity1]]&gt;3,"Bulk order","Normal order")</f>
        <v>Normal order</v>
      </c>
    </row>
    <row r="1347" spans="1:19" x14ac:dyDescent="0.3">
      <c r="A1347" t="s">
        <v>2235</v>
      </c>
      <c r="B1347" s="4">
        <v>45837</v>
      </c>
      <c r="C1347" s="4" t="str">
        <f>TEXT(ESales_DB[[#This Row],[Order_Date]],"mmm")</f>
        <v>Jun</v>
      </c>
      <c r="D1347" t="s">
        <v>1029</v>
      </c>
      <c r="E1347" t="s">
        <v>1578</v>
      </c>
      <c r="F1347" t="s">
        <v>1804</v>
      </c>
      <c r="G1347">
        <v>4</v>
      </c>
      <c r="H1347" s="10">
        <f>IF(ISBLANK(ESales_DB[[#This Row],[Quantity]]),AVERAGEIF(ESales_DB[Product_ID],ESales_DB[[#This Row],[Product_ID]],ESales_DB[Quantity]),ESales_DB[[#This Row],[Quantity]])</f>
        <v>4</v>
      </c>
      <c r="I1347" s="2">
        <v>370.63</v>
      </c>
      <c r="J1347">
        <v>0.08</v>
      </c>
      <c r="K1347" t="s">
        <v>1824</v>
      </c>
      <c r="L1347" s="2">
        <v>1363.9184</v>
      </c>
      <c r="M1347" s="2" t="str">
        <f>IF(ESales_DB[[#This Row],[Total_Amount]]&gt;1000,"High","Low")</f>
        <v>High</v>
      </c>
      <c r="N1347" s="2" t="str">
        <f>VLOOKUP(ESales_DB[[#This Row],[Customer_ID]],Ecustom_DB[],3,FALSE)</f>
        <v>Reginald Willis</v>
      </c>
      <c r="O1347" s="2" t="str">
        <f>_xlfn.XLOOKUP(ESales_DB[[#This Row],[Product_ID]],Eproduct_DB[Product_ID],Eproduct_DB[Category])</f>
        <v>Electronics</v>
      </c>
      <c r="P1347" s="2" t="str">
        <f>_xlfn.XLOOKUP(ESales_DB[[#This Row],[Product_ID]],Eproduct_DB[Product_ID],Eproduct_DB[Product_Name])</f>
        <v>4K Home Projector</v>
      </c>
      <c r="Q1347" s="2" t="str">
        <f>_xlfn.XLOOKUP(ESales_DB[[#This Row],[Store_ID]],Estore_DB[Store_ID],Estore_DB[Region])</f>
        <v>West</v>
      </c>
      <c r="R1347" t="str">
        <f>VLOOKUP(ESales_DB[[#This Row],[Customer_ID]],Ecustom_DB[],10,FALSE)</f>
        <v>Bronze</v>
      </c>
      <c r="S1347" t="str">
        <f>IF(ESales_DB[[#This Row],[Quantity1]]&gt;3,"Bulk order","Normal order")</f>
        <v>Bulk order</v>
      </c>
    </row>
    <row r="1348" spans="1:19" x14ac:dyDescent="0.3">
      <c r="A1348" t="s">
        <v>1867</v>
      </c>
      <c r="B1348" s="4">
        <v>45241</v>
      </c>
      <c r="C1348" s="4" t="str">
        <f>TEXT(ESales_DB[[#This Row],[Order_Date]],"mmm")</f>
        <v>Nov</v>
      </c>
      <c r="D1348" t="s">
        <v>954</v>
      </c>
      <c r="E1348" t="s">
        <v>1594</v>
      </c>
      <c r="F1348" t="s">
        <v>1782</v>
      </c>
      <c r="G1348">
        <v>3</v>
      </c>
      <c r="H1348" s="10">
        <f>IF(ISBLANK(ESales_DB[[#This Row],[Quantity]]),AVERAGEIF(ESales_DB[Product_ID],ESales_DB[[#This Row],[Product_ID]],ESales_DB[Quantity]),ESales_DB[[#This Row],[Quantity]])</f>
        <v>3</v>
      </c>
      <c r="I1348" s="2">
        <v>342.47</v>
      </c>
      <c r="J1348">
        <v>0.08</v>
      </c>
      <c r="K1348" t="s">
        <v>1826</v>
      </c>
      <c r="L1348" s="2">
        <v>945.21720000000016</v>
      </c>
      <c r="M1348" s="2" t="str">
        <f>IF(ESales_DB[[#This Row],[Total_Amount]]&gt;1000,"High","Low")</f>
        <v>Low</v>
      </c>
      <c r="N1348" s="2" t="str">
        <f>VLOOKUP(ESales_DB[[#This Row],[Customer_ID]],Ecustom_DB[],3,FALSE)</f>
        <v>Edward Cole</v>
      </c>
      <c r="O1348" s="2" t="str">
        <f>_xlfn.XLOOKUP(ESales_DB[[#This Row],[Product_ID]],Eproduct_DB[Product_ID],Eproduct_DB[Category])</f>
        <v>Clothing</v>
      </c>
      <c r="P1348" s="2" t="str">
        <f>_xlfn.XLOOKUP(ESales_DB[[#This Row],[Product_ID]],Eproduct_DB[Product_ID],Eproduct_DB[Product_Name])</f>
        <v>Men's Formal Shirt</v>
      </c>
      <c r="Q1348" s="2" t="str">
        <f>_xlfn.XLOOKUP(ESales_DB[[#This Row],[Store_ID]],Estore_DB[Store_ID],Estore_DB[Region])</f>
        <v>West</v>
      </c>
      <c r="R1348" t="str">
        <f>VLOOKUP(ESales_DB[[#This Row],[Customer_ID]],Ecustom_DB[],10,FALSE)</f>
        <v>Gold</v>
      </c>
      <c r="S1348" t="str">
        <f>IF(ESales_DB[[#This Row],[Quantity1]]&gt;3,"Bulk order","Normal order")</f>
        <v>Normal order</v>
      </c>
    </row>
    <row r="1349" spans="1:19" x14ac:dyDescent="0.3">
      <c r="A1349" t="s">
        <v>2236</v>
      </c>
      <c r="B1349" s="4">
        <v>45706</v>
      </c>
      <c r="C1349" s="4" t="str">
        <f>TEXT(ESales_DB[[#This Row],[Order_Date]],"mmm")</f>
        <v>Feb</v>
      </c>
      <c r="D1349" t="s">
        <v>1220</v>
      </c>
      <c r="E1349" t="s">
        <v>1606</v>
      </c>
      <c r="F1349" t="s">
        <v>1813</v>
      </c>
      <c r="G1349">
        <v>4</v>
      </c>
      <c r="H1349" s="10">
        <f>IF(ISBLANK(ESales_DB[[#This Row],[Quantity]]),AVERAGEIF(ESales_DB[Product_ID],ESales_DB[[#This Row],[Product_ID]],ESales_DB[Quantity]),ESales_DB[[#This Row],[Quantity]])</f>
        <v>4</v>
      </c>
      <c r="I1349" s="2">
        <v>349.84</v>
      </c>
      <c r="J1349">
        <v>0.11</v>
      </c>
      <c r="K1349" t="s">
        <v>1824</v>
      </c>
      <c r="L1349" s="2">
        <v>1245.4304</v>
      </c>
      <c r="M1349" s="2" t="str">
        <f>IF(ESales_DB[[#This Row],[Total_Amount]]&gt;1000,"High","Low")</f>
        <v>High</v>
      </c>
      <c r="N1349" s="2" t="str">
        <f>VLOOKUP(ESales_DB[[#This Row],[Customer_ID]],Ecustom_DB[],3,FALSE)</f>
        <v>Heidi Tyler</v>
      </c>
      <c r="O1349" s="2" t="str">
        <f>_xlfn.XLOOKUP(ESales_DB[[#This Row],[Product_ID]],Eproduct_DB[Product_ID],Eproduct_DB[Category])</f>
        <v>Home</v>
      </c>
      <c r="P1349" s="2" t="str">
        <f>_xlfn.XLOOKUP(ESales_DB[[#This Row],[Product_ID]],Eproduct_DB[Product_ID],Eproduct_DB[Product_Name])</f>
        <v>Fabric Sofa Throw Blanket</v>
      </c>
      <c r="Q1349" s="2" t="str">
        <f>_xlfn.XLOOKUP(ESales_DB[[#This Row],[Store_ID]],Estore_DB[Store_ID],Estore_DB[Region])</f>
        <v>East</v>
      </c>
      <c r="R1349" t="str">
        <f>VLOOKUP(ESales_DB[[#This Row],[Customer_ID]],Ecustom_DB[],10,FALSE)</f>
        <v>Bronze</v>
      </c>
      <c r="S1349" t="str">
        <f>IF(ESales_DB[[#This Row],[Quantity1]]&gt;3,"Bulk order","Normal order")</f>
        <v>Bulk order</v>
      </c>
    </row>
    <row r="1350" spans="1:19" x14ac:dyDescent="0.3">
      <c r="A1350" t="s">
        <v>2237</v>
      </c>
      <c r="B1350" s="4">
        <v>45823</v>
      </c>
      <c r="C1350" s="4" t="str">
        <f>TEXT(ESales_DB[[#This Row],[Order_Date]],"mmm")</f>
        <v>Jun</v>
      </c>
      <c r="D1350" t="s">
        <v>168</v>
      </c>
      <c r="E1350" t="s">
        <v>1626</v>
      </c>
      <c r="F1350" t="s">
        <v>1794</v>
      </c>
      <c r="G1350">
        <v>1</v>
      </c>
      <c r="H1350" s="10">
        <f>IF(ISBLANK(ESales_DB[[#This Row],[Quantity]]),AVERAGEIF(ESales_DB[Product_ID],ESales_DB[[#This Row],[Product_ID]],ESales_DB[Quantity]),ESales_DB[[#This Row],[Quantity]])</f>
        <v>1</v>
      </c>
      <c r="I1350" s="2">
        <v>770.87</v>
      </c>
      <c r="J1350">
        <v>0.1</v>
      </c>
      <c r="K1350" t="s">
        <v>1829</v>
      </c>
      <c r="L1350" s="2">
        <v>693.78300000000002</v>
      </c>
      <c r="M1350" s="2" t="str">
        <f>IF(ESales_DB[[#This Row],[Total_Amount]]&gt;1000,"High","Low")</f>
        <v>Low</v>
      </c>
      <c r="N1350" s="2" t="str">
        <f>VLOOKUP(ESales_DB[[#This Row],[Customer_ID]],Ecustom_DB[],3,FALSE)</f>
        <v>Joseph Snow</v>
      </c>
      <c r="O1350" s="2" t="str">
        <f>_xlfn.XLOOKUP(ESales_DB[[#This Row],[Product_ID]],Eproduct_DB[Product_ID],Eproduct_DB[Category])</f>
        <v>Electronics</v>
      </c>
      <c r="P1350" s="2" t="str">
        <f>_xlfn.XLOOKUP(ESales_DB[[#This Row],[Product_ID]],Eproduct_DB[Product_ID],Eproduct_DB[Product_Name])</f>
        <v>Portable Power Bank</v>
      </c>
      <c r="Q1350" s="2" t="str">
        <f>_xlfn.XLOOKUP(ESales_DB[[#This Row],[Store_ID]],Estore_DB[Store_ID],Estore_DB[Region])</f>
        <v>North</v>
      </c>
      <c r="R1350" t="str">
        <f>VLOOKUP(ESales_DB[[#This Row],[Customer_ID]],Ecustom_DB[],10,FALSE)</f>
        <v>Gold</v>
      </c>
      <c r="S1350" t="str">
        <f>IF(ESales_DB[[#This Row],[Quantity1]]&gt;3,"Bulk order","Normal order")</f>
        <v>Normal order</v>
      </c>
    </row>
    <row r="1351" spans="1:19" x14ac:dyDescent="0.3">
      <c r="A1351" t="s">
        <v>2238</v>
      </c>
      <c r="B1351" s="4">
        <v>45518</v>
      </c>
      <c r="C1351" s="4" t="str">
        <f>TEXT(ESales_DB[[#This Row],[Order_Date]],"mmm")</f>
        <v>Aug</v>
      </c>
      <c r="D1351" t="s">
        <v>1475</v>
      </c>
      <c r="E1351" t="s">
        <v>1746</v>
      </c>
      <c r="F1351" t="s">
        <v>1807</v>
      </c>
      <c r="G1351">
        <v>3</v>
      </c>
      <c r="H1351" s="10">
        <f>IF(ISBLANK(ESales_DB[[#This Row],[Quantity]]),AVERAGEIF(ESales_DB[Product_ID],ESales_DB[[#This Row],[Product_ID]],ESales_DB[Quantity]),ESales_DB[[#This Row],[Quantity]])</f>
        <v>3</v>
      </c>
      <c r="I1351" s="2">
        <v>507.33</v>
      </c>
      <c r="J1351">
        <v>0.06</v>
      </c>
      <c r="K1351" t="s">
        <v>1826</v>
      </c>
      <c r="L1351" s="2">
        <v>1430.6705999999999</v>
      </c>
      <c r="M1351" s="2" t="str">
        <f>IF(ESales_DB[[#This Row],[Total_Amount]]&gt;1000,"High","Low")</f>
        <v>High</v>
      </c>
      <c r="N1351" s="2" t="str">
        <f>VLOOKUP(ESales_DB[[#This Row],[Customer_ID]],Ecustom_DB[],3,FALSE)</f>
        <v>Dylan Gutierrez</v>
      </c>
      <c r="O1351" s="2" t="str">
        <f>_xlfn.XLOOKUP(ESales_DB[[#This Row],[Product_ID]],Eproduct_DB[Product_ID],Eproduct_DB[Category])</f>
        <v>Home</v>
      </c>
      <c r="P1351" s="2" t="str">
        <f>_xlfn.XLOOKUP(ESales_DB[[#This Row],[Product_ID]],Eproduct_DB[Product_ID],Eproduct_DB[Product_Name])</f>
        <v>Stainless Steel Cookware Set</v>
      </c>
      <c r="Q1351" s="2" t="str">
        <f>_xlfn.XLOOKUP(ESales_DB[[#This Row],[Store_ID]],Estore_DB[Store_ID],Estore_DB[Region])</f>
        <v>North</v>
      </c>
      <c r="R1351" t="str">
        <f>VLOOKUP(ESales_DB[[#This Row],[Customer_ID]],Ecustom_DB[],10,FALSE)</f>
        <v>Bronze</v>
      </c>
      <c r="S1351" t="str">
        <f>IF(ESales_DB[[#This Row],[Quantity1]]&gt;3,"Bulk order","Normal order")</f>
        <v>Normal order</v>
      </c>
    </row>
    <row r="1352" spans="1:19" x14ac:dyDescent="0.3">
      <c r="A1352" t="s">
        <v>2239</v>
      </c>
      <c r="B1352" s="4">
        <v>45863</v>
      </c>
      <c r="C1352" s="4" t="str">
        <f>TEXT(ESales_DB[[#This Row],[Order_Date]],"mmm")</f>
        <v>Jul</v>
      </c>
      <c r="D1352" t="s">
        <v>610</v>
      </c>
      <c r="E1352" t="s">
        <v>1680</v>
      </c>
      <c r="F1352" t="s">
        <v>1786</v>
      </c>
      <c r="G1352">
        <v>1</v>
      </c>
      <c r="H1352" s="10">
        <f>IF(ISBLANK(ESales_DB[[#This Row],[Quantity]]),AVERAGEIF(ESales_DB[Product_ID],ESales_DB[[#This Row],[Product_ID]],ESales_DB[Quantity]),ESales_DB[[#This Row],[Quantity]])</f>
        <v>1</v>
      </c>
      <c r="I1352" s="2">
        <v>87.78</v>
      </c>
      <c r="J1352">
        <v>0.06</v>
      </c>
      <c r="K1352" t="s">
        <v>1824</v>
      </c>
      <c r="L1352" s="2">
        <v>82.513199999999998</v>
      </c>
      <c r="M1352" s="2" t="str">
        <f>IF(ESales_DB[[#This Row],[Total_Amount]]&gt;1000,"High","Low")</f>
        <v>Low</v>
      </c>
      <c r="N1352" s="2" t="str">
        <f>VLOOKUP(ESales_DB[[#This Row],[Customer_ID]],Ecustom_DB[],3,FALSE)</f>
        <v>Brent Rivas</v>
      </c>
      <c r="O1352" s="2" t="str">
        <f>_xlfn.XLOOKUP(ESales_DB[[#This Row],[Product_ID]],Eproduct_DB[Product_ID],Eproduct_DB[Category])</f>
        <v>Beauty</v>
      </c>
      <c r="P1352" s="2" t="str">
        <f>_xlfn.XLOOKUP(ESales_DB[[#This Row],[Product_ID]],Eproduct_DB[Product_ID],Eproduct_DB[Product_Name])</f>
        <v>Women's Hair Dryer Brush</v>
      </c>
      <c r="Q1352" s="2" t="str">
        <f>_xlfn.XLOOKUP(ESales_DB[[#This Row],[Store_ID]],Estore_DB[Store_ID],Estore_DB[Region])</f>
        <v>South</v>
      </c>
      <c r="R1352" t="str">
        <f>VLOOKUP(ESales_DB[[#This Row],[Customer_ID]],Ecustom_DB[],10,FALSE)</f>
        <v>Platinum</v>
      </c>
      <c r="S1352" t="str">
        <f>IF(ESales_DB[[#This Row],[Quantity1]]&gt;3,"Bulk order","Normal order")</f>
        <v>Normal order</v>
      </c>
    </row>
    <row r="1353" spans="1:19" x14ac:dyDescent="0.3">
      <c r="A1353" t="s">
        <v>2240</v>
      </c>
      <c r="B1353" s="4">
        <v>45666</v>
      </c>
      <c r="C1353" s="4" t="str">
        <f>TEXT(ESales_DB[[#This Row],[Order_Date]],"mmm")</f>
        <v>Jan</v>
      </c>
      <c r="D1353" t="s">
        <v>36</v>
      </c>
      <c r="E1353" t="s">
        <v>1734</v>
      </c>
      <c r="F1353" t="s">
        <v>1769</v>
      </c>
      <c r="G1353">
        <v>2</v>
      </c>
      <c r="H1353" s="10">
        <f>IF(ISBLANK(ESales_DB[[#This Row],[Quantity]]),AVERAGEIF(ESales_DB[Product_ID],ESales_DB[[#This Row],[Product_ID]],ESales_DB[Quantity]),ESales_DB[[#This Row],[Quantity]])</f>
        <v>2</v>
      </c>
      <c r="I1353" s="2">
        <v>772.24</v>
      </c>
      <c r="J1353">
        <v>0.22</v>
      </c>
      <c r="K1353" t="s">
        <v>1824</v>
      </c>
      <c r="L1353" s="2">
        <v>1204.6944000000001</v>
      </c>
      <c r="M1353" s="2" t="str">
        <f>IF(ESales_DB[[#This Row],[Total_Amount]]&gt;1000,"High","Low")</f>
        <v>High</v>
      </c>
      <c r="N1353" s="2" t="str">
        <f>VLOOKUP(ESales_DB[[#This Row],[Customer_ID]],Ecustom_DB[],3,FALSE)</f>
        <v>Amber Jackson</v>
      </c>
      <c r="O1353" s="2" t="str">
        <f>_xlfn.XLOOKUP(ESales_DB[[#This Row],[Product_ID]],Eproduct_DB[Product_ID],Eproduct_DB[Category])</f>
        <v>Electronics</v>
      </c>
      <c r="P1353" s="2" t="str">
        <f>_xlfn.XLOOKUP(ESales_DB[[#This Row],[Product_ID]],Eproduct_DB[Product_ID],Eproduct_DB[Product_Name])</f>
        <v>USB-C Laptop Charger</v>
      </c>
      <c r="Q1353" s="2" t="str">
        <f>_xlfn.XLOOKUP(ESales_DB[[#This Row],[Store_ID]],Estore_DB[Store_ID],Estore_DB[Region])</f>
        <v>South</v>
      </c>
      <c r="R1353" t="str">
        <f>VLOOKUP(ESales_DB[[#This Row],[Customer_ID]],Ecustom_DB[],10,FALSE)</f>
        <v>Platinum</v>
      </c>
      <c r="S1353" t="str">
        <f>IF(ESales_DB[[#This Row],[Quantity1]]&gt;3,"Bulk order","Normal order")</f>
        <v>Normal order</v>
      </c>
    </row>
    <row r="1354" spans="1:19" x14ac:dyDescent="0.3">
      <c r="A1354" t="s">
        <v>2241</v>
      </c>
      <c r="B1354" s="4">
        <v>45813</v>
      </c>
      <c r="C1354" s="4" t="str">
        <f>TEXT(ESales_DB[[#This Row],[Order_Date]],"mmm")</f>
        <v>Jun</v>
      </c>
      <c r="D1354" t="s">
        <v>181</v>
      </c>
      <c r="E1354" t="s">
        <v>1688</v>
      </c>
      <c r="F1354" t="s">
        <v>1799</v>
      </c>
      <c r="G1354">
        <v>1</v>
      </c>
      <c r="H1354" s="10">
        <f>IF(ISBLANK(ESales_DB[[#This Row],[Quantity]]),AVERAGEIF(ESales_DB[Product_ID],ESales_DB[[#This Row],[Product_ID]],ESales_DB[Quantity]),ESales_DB[[#This Row],[Quantity]])</f>
        <v>1</v>
      </c>
      <c r="I1354" s="2">
        <v>108.27</v>
      </c>
      <c r="J1354">
        <v>0.1</v>
      </c>
      <c r="K1354" t="s">
        <v>1829</v>
      </c>
      <c r="L1354" s="2">
        <v>97.442999999999998</v>
      </c>
      <c r="M1354" s="2" t="str">
        <f>IF(ESales_DB[[#This Row],[Total_Amount]]&gt;1000,"High","Low")</f>
        <v>Low</v>
      </c>
      <c r="N1354" s="2" t="str">
        <f>VLOOKUP(ESales_DB[[#This Row],[Customer_ID]],Ecustom_DB[],3,FALSE)</f>
        <v>Gina Knight</v>
      </c>
      <c r="O1354" s="2" t="str">
        <f>_xlfn.XLOOKUP(ESales_DB[[#This Row],[Product_ID]],Eproduct_DB[Product_ID],Eproduct_DB[Category])</f>
        <v>Home</v>
      </c>
      <c r="P1354" s="2" t="str">
        <f>_xlfn.XLOOKUP(ESales_DB[[#This Row],[Product_ID]],Eproduct_DB[Product_ID],Eproduct_DB[Product_Name])</f>
        <v>Kitchen Storage Rack</v>
      </c>
      <c r="Q1354" s="2" t="str">
        <f>_xlfn.XLOOKUP(ESales_DB[[#This Row],[Store_ID]],Estore_DB[Store_ID],Estore_DB[Region])</f>
        <v>South</v>
      </c>
      <c r="R1354" t="str">
        <f>VLOOKUP(ESales_DB[[#This Row],[Customer_ID]],Ecustom_DB[],10,FALSE)</f>
        <v>Silver</v>
      </c>
      <c r="S1354" t="str">
        <f>IF(ESales_DB[[#This Row],[Quantity1]]&gt;3,"Bulk order","Normal order")</f>
        <v>Normal order</v>
      </c>
    </row>
    <row r="1355" spans="1:19" x14ac:dyDescent="0.3">
      <c r="A1355" t="s">
        <v>2242</v>
      </c>
      <c r="B1355" s="4">
        <v>45633</v>
      </c>
      <c r="C1355" s="4" t="str">
        <f>TEXT(ESales_DB[[#This Row],[Order_Date]],"mmm")</f>
        <v>Dec</v>
      </c>
      <c r="D1355" t="s">
        <v>1089</v>
      </c>
      <c r="E1355" t="s">
        <v>1624</v>
      </c>
      <c r="F1355" t="s">
        <v>1807</v>
      </c>
      <c r="G1355">
        <v>2</v>
      </c>
      <c r="H1355" s="10">
        <f>IF(ISBLANK(ESales_DB[[#This Row],[Quantity]]),AVERAGEIF(ESales_DB[Product_ID],ESales_DB[[#This Row],[Product_ID]],ESales_DB[Quantity]),ESales_DB[[#This Row],[Quantity]])</f>
        <v>2</v>
      </c>
      <c r="I1355" s="2">
        <v>839.24</v>
      </c>
      <c r="J1355">
        <v>0.21</v>
      </c>
      <c r="K1355" t="s">
        <v>1826</v>
      </c>
      <c r="L1355" s="2">
        <v>1325.9992</v>
      </c>
      <c r="M1355" s="2" t="str">
        <f>IF(ESales_DB[[#This Row],[Total_Amount]]&gt;1000,"High","Low")</f>
        <v>High</v>
      </c>
      <c r="N1355" s="2" t="str">
        <f>VLOOKUP(ESales_DB[[#This Row],[Customer_ID]],Ecustom_DB[],3,FALSE)</f>
        <v>Justin Mason Dds</v>
      </c>
      <c r="O1355" s="2" t="str">
        <f>_xlfn.XLOOKUP(ESales_DB[[#This Row],[Product_ID]],Eproduct_DB[Product_ID],Eproduct_DB[Category])</f>
        <v>Sports</v>
      </c>
      <c r="P1355" s="2" t="str">
        <f>_xlfn.XLOOKUP(ESales_DB[[#This Row],[Product_ID]],Eproduct_DB[Product_ID],Eproduct_DB[Product_Name])</f>
        <v>Sports Water Hydration Pack</v>
      </c>
      <c r="Q1355" s="2" t="str">
        <f>_xlfn.XLOOKUP(ESales_DB[[#This Row],[Store_ID]],Estore_DB[Store_ID],Estore_DB[Region])</f>
        <v>North</v>
      </c>
      <c r="R1355" t="str">
        <f>VLOOKUP(ESales_DB[[#This Row],[Customer_ID]],Ecustom_DB[],10,FALSE)</f>
        <v>Gold</v>
      </c>
      <c r="S1355" t="str">
        <f>IF(ESales_DB[[#This Row],[Quantity1]]&gt;3,"Bulk order","Normal order")</f>
        <v>Normal order</v>
      </c>
    </row>
    <row r="1356" spans="1:19" x14ac:dyDescent="0.3">
      <c r="A1356" t="s">
        <v>2243</v>
      </c>
      <c r="B1356" s="4">
        <v>45331</v>
      </c>
      <c r="C1356" s="4" t="str">
        <f>TEXT(ESales_DB[[#This Row],[Order_Date]],"mmm")</f>
        <v>Feb</v>
      </c>
      <c r="D1356" t="s">
        <v>1196</v>
      </c>
      <c r="E1356" t="s">
        <v>1664</v>
      </c>
      <c r="F1356" t="s">
        <v>1789</v>
      </c>
      <c r="G1356">
        <v>2</v>
      </c>
      <c r="H1356" s="10">
        <f>IF(ISBLANK(ESales_DB[[#This Row],[Quantity]]),AVERAGEIF(ESales_DB[Product_ID],ESales_DB[[#This Row],[Product_ID]],ESales_DB[Quantity]),ESales_DB[[#This Row],[Quantity]])</f>
        <v>2</v>
      </c>
      <c r="I1356" s="2">
        <v>466.27</v>
      </c>
      <c r="J1356">
        <v>0.11</v>
      </c>
      <c r="K1356" t="s">
        <v>1826</v>
      </c>
      <c r="L1356" s="2">
        <v>829.9606</v>
      </c>
      <c r="M1356" s="2" t="str">
        <f>IF(ESales_DB[[#This Row],[Total_Amount]]&gt;1000,"High","Low")</f>
        <v>Low</v>
      </c>
      <c r="N1356" s="2" t="str">
        <f>VLOOKUP(ESales_DB[[#This Row],[Customer_ID]],Ecustom_DB[],3,FALSE)</f>
        <v>Kristine Higgins</v>
      </c>
      <c r="O1356" s="2" t="str">
        <f>_xlfn.XLOOKUP(ESales_DB[[#This Row],[Product_ID]],Eproduct_DB[Product_ID],Eproduct_DB[Category])</f>
        <v>Clothing</v>
      </c>
      <c r="P1356" s="2" t="str">
        <f>_xlfn.XLOOKUP(ESales_DB[[#This Row],[Product_ID]],Eproduct_DB[Product_ID],Eproduct_DB[Product_Name])</f>
        <v>Womens Cotton Scarf</v>
      </c>
      <c r="Q1356" s="2" t="str">
        <f>_xlfn.XLOOKUP(ESales_DB[[#This Row],[Store_ID]],Estore_DB[Store_ID],Estore_DB[Region])</f>
        <v>East</v>
      </c>
      <c r="R1356" t="str">
        <f>VLOOKUP(ESales_DB[[#This Row],[Customer_ID]],Ecustom_DB[],10,FALSE)</f>
        <v>Silver</v>
      </c>
      <c r="S1356" t="str">
        <f>IF(ESales_DB[[#This Row],[Quantity1]]&gt;3,"Bulk order","Normal order")</f>
        <v>Normal order</v>
      </c>
    </row>
    <row r="1357" spans="1:19" x14ac:dyDescent="0.3">
      <c r="A1357" t="s">
        <v>2244</v>
      </c>
      <c r="B1357" s="4">
        <v>45942</v>
      </c>
      <c r="C1357" s="4" t="str">
        <f>TEXT(ESales_DB[[#This Row],[Order_Date]],"mmm")</f>
        <v>Oct</v>
      </c>
      <c r="D1357" t="s">
        <v>1240</v>
      </c>
      <c r="E1357" t="s">
        <v>1672</v>
      </c>
      <c r="F1357" t="s">
        <v>1799</v>
      </c>
      <c r="G1357">
        <v>3</v>
      </c>
      <c r="H1357" s="10">
        <f>IF(ISBLANK(ESales_DB[[#This Row],[Quantity]]),AVERAGEIF(ESales_DB[Product_ID],ESales_DB[[#This Row],[Product_ID]],ESales_DB[Quantity]),ESales_DB[[#This Row],[Quantity]])</f>
        <v>3</v>
      </c>
      <c r="I1357" s="2">
        <v>969.83</v>
      </c>
      <c r="J1357">
        <v>0.02</v>
      </c>
      <c r="K1357" t="s">
        <v>1824</v>
      </c>
      <c r="L1357" s="2">
        <v>2851.3002000000001</v>
      </c>
      <c r="M1357" s="2" t="str">
        <f>IF(ESales_DB[[#This Row],[Total_Amount]]&gt;1000,"High","Low")</f>
        <v>High</v>
      </c>
      <c r="N1357" s="2" t="str">
        <f>VLOOKUP(ESales_DB[[#This Row],[Customer_ID]],Ecustom_DB[],3,FALSE)</f>
        <v>Jennifer Johnson</v>
      </c>
      <c r="O1357" s="2" t="str">
        <f>_xlfn.XLOOKUP(ESales_DB[[#This Row],[Product_ID]],Eproduct_DB[Product_ID],Eproduct_DB[Category])</f>
        <v>Electronics</v>
      </c>
      <c r="P1357" s="2" t="str">
        <f>_xlfn.XLOOKUP(ESales_DB[[#This Row],[Product_ID]],Eproduct_DB[Product_ID],Eproduct_DB[Product_Name])</f>
        <v>Laptop Cooling Pad</v>
      </c>
      <c r="Q1357" s="2" t="str">
        <f>_xlfn.XLOOKUP(ESales_DB[[#This Row],[Store_ID]],Estore_DB[Store_ID],Estore_DB[Region])</f>
        <v>South</v>
      </c>
      <c r="R1357" t="str">
        <f>VLOOKUP(ESales_DB[[#This Row],[Customer_ID]],Ecustom_DB[],10,FALSE)</f>
        <v>Bronze</v>
      </c>
      <c r="S1357" t="str">
        <f>IF(ESales_DB[[#This Row],[Quantity1]]&gt;3,"Bulk order","Normal order")</f>
        <v>Normal order</v>
      </c>
    </row>
    <row r="1358" spans="1:19" x14ac:dyDescent="0.3">
      <c r="A1358" t="s">
        <v>2245</v>
      </c>
      <c r="B1358" s="4">
        <v>45824</v>
      </c>
      <c r="C1358" s="4" t="str">
        <f>TEXT(ESales_DB[[#This Row],[Order_Date]],"mmm")</f>
        <v>Jun</v>
      </c>
      <c r="D1358" t="s">
        <v>1295</v>
      </c>
      <c r="E1358" t="s">
        <v>1730</v>
      </c>
      <c r="F1358" t="s">
        <v>1813</v>
      </c>
      <c r="G1358">
        <v>2</v>
      </c>
      <c r="H1358" s="10">
        <f>IF(ISBLANK(ESales_DB[[#This Row],[Quantity]]),AVERAGEIF(ESales_DB[Product_ID],ESales_DB[[#This Row],[Product_ID]],ESales_DB[Quantity]),ESales_DB[[#This Row],[Quantity]])</f>
        <v>2</v>
      </c>
      <c r="I1358" s="2">
        <v>782.11</v>
      </c>
      <c r="J1358">
        <v>0.17</v>
      </c>
      <c r="K1358" t="s">
        <v>1826</v>
      </c>
      <c r="L1358" s="2">
        <v>1298.3026</v>
      </c>
      <c r="M1358" s="2" t="str">
        <f>IF(ESales_DB[[#This Row],[Total_Amount]]&gt;1000,"High","Low")</f>
        <v>High</v>
      </c>
      <c r="N1358" s="2" t="str">
        <f>VLOOKUP(ESales_DB[[#This Row],[Customer_ID]],Ecustom_DB[],3,FALSE)</f>
        <v>Karen King</v>
      </c>
      <c r="O1358" s="2" t="str">
        <f>_xlfn.XLOOKUP(ESales_DB[[#This Row],[Product_ID]],Eproduct_DB[Product_ID],Eproduct_DB[Category])</f>
        <v>Clothing</v>
      </c>
      <c r="P1358" s="2" t="str">
        <f>_xlfn.XLOOKUP(ESales_DB[[#This Row],[Product_ID]],Eproduct_DB[Product_ID],Eproduct_DB[Product_Name])</f>
        <v>Women's High Heels</v>
      </c>
      <c r="Q1358" s="2" t="str">
        <f>_xlfn.XLOOKUP(ESales_DB[[#This Row],[Store_ID]],Estore_DB[Store_ID],Estore_DB[Region])</f>
        <v>East</v>
      </c>
      <c r="R1358" t="str">
        <f>VLOOKUP(ESales_DB[[#This Row],[Customer_ID]],Ecustom_DB[],10,FALSE)</f>
        <v>Bronze</v>
      </c>
      <c r="S1358" t="str">
        <f>IF(ESales_DB[[#This Row],[Quantity1]]&gt;3,"Bulk order","Normal order")</f>
        <v>Normal order</v>
      </c>
    </row>
    <row r="1359" spans="1:19" x14ac:dyDescent="0.3">
      <c r="A1359" t="s">
        <v>1868</v>
      </c>
      <c r="B1359" s="4">
        <v>45649</v>
      </c>
      <c r="C1359" s="4" t="str">
        <f>TEXT(ESales_DB[[#This Row],[Order_Date]],"mmm")</f>
        <v>Dec</v>
      </c>
      <c r="D1359" t="s">
        <v>1053</v>
      </c>
      <c r="E1359" t="s">
        <v>1606</v>
      </c>
      <c r="F1359" t="s">
        <v>1786</v>
      </c>
      <c r="G1359">
        <v>2</v>
      </c>
      <c r="H1359" s="10">
        <f>IF(ISBLANK(ESales_DB[[#This Row],[Quantity]]),AVERAGEIF(ESales_DB[Product_ID],ESales_DB[[#This Row],[Product_ID]],ESales_DB[Quantity]),ESales_DB[[#This Row],[Quantity]])</f>
        <v>2</v>
      </c>
      <c r="I1359" s="2">
        <v>915.15</v>
      </c>
      <c r="J1359">
        <v>0.16</v>
      </c>
      <c r="K1359" t="s">
        <v>1826</v>
      </c>
      <c r="L1359" s="2">
        <v>1537.452</v>
      </c>
      <c r="M1359" s="2" t="str">
        <f>IF(ESales_DB[[#This Row],[Total_Amount]]&gt;1000,"High","Low")</f>
        <v>High</v>
      </c>
      <c r="N1359" s="2" t="str">
        <f>VLOOKUP(ESales_DB[[#This Row],[Customer_ID]],Ecustom_DB[],3,FALSE)</f>
        <v>Jennifer Woods</v>
      </c>
      <c r="O1359" s="2" t="str">
        <f>_xlfn.XLOOKUP(ESales_DB[[#This Row],[Product_ID]],Eproduct_DB[Product_ID],Eproduct_DB[Category])</f>
        <v>Home</v>
      </c>
      <c r="P1359" s="2" t="str">
        <f>_xlfn.XLOOKUP(ESales_DB[[#This Row],[Product_ID]],Eproduct_DB[Product_ID],Eproduct_DB[Product_Name])</f>
        <v>Fabric Sofa Throw Blanket</v>
      </c>
      <c r="Q1359" s="2" t="str">
        <f>_xlfn.XLOOKUP(ESales_DB[[#This Row],[Store_ID]],Estore_DB[Store_ID],Estore_DB[Region])</f>
        <v>South</v>
      </c>
      <c r="R1359" t="str">
        <f>VLOOKUP(ESales_DB[[#This Row],[Customer_ID]],Ecustom_DB[],10,FALSE)</f>
        <v>Platinum</v>
      </c>
      <c r="S1359" t="str">
        <f>IF(ESales_DB[[#This Row],[Quantity1]]&gt;3,"Bulk order","Normal order")</f>
        <v>Normal order</v>
      </c>
    </row>
    <row r="1360" spans="1:19" x14ac:dyDescent="0.3">
      <c r="A1360" t="s">
        <v>2246</v>
      </c>
      <c r="B1360" s="4">
        <v>45921</v>
      </c>
      <c r="C1360" s="4" t="str">
        <f>TEXT(ESales_DB[[#This Row],[Order_Date]],"mmm")</f>
        <v>Sep</v>
      </c>
      <c r="D1360" t="s">
        <v>1395</v>
      </c>
      <c r="E1360" t="s">
        <v>1628</v>
      </c>
      <c r="F1360" t="s">
        <v>1792</v>
      </c>
      <c r="G1360">
        <v>2</v>
      </c>
      <c r="H1360" s="10">
        <f>IF(ISBLANK(ESales_DB[[#This Row],[Quantity]]),AVERAGEIF(ESales_DB[Product_ID],ESales_DB[[#This Row],[Product_ID]],ESales_DB[Quantity]),ESales_DB[[#This Row],[Quantity]])</f>
        <v>2</v>
      </c>
      <c r="I1360" s="2">
        <v>74.63</v>
      </c>
      <c r="J1360">
        <v>0.01</v>
      </c>
      <c r="K1360" t="s">
        <v>1826</v>
      </c>
      <c r="L1360" s="2">
        <v>147.76740000000001</v>
      </c>
      <c r="M1360" s="2" t="str">
        <f>IF(ESales_DB[[#This Row],[Total_Amount]]&gt;1000,"High","Low")</f>
        <v>Low</v>
      </c>
      <c r="N1360" s="2" t="str">
        <f>VLOOKUP(ESales_DB[[#This Row],[Customer_ID]],Ecustom_DB[],3,FALSE)</f>
        <v>Ashley Roberts</v>
      </c>
      <c r="O1360" s="2" t="str">
        <f>_xlfn.XLOOKUP(ESales_DB[[#This Row],[Product_ID]],Eproduct_DB[Product_ID],Eproduct_DB[Category])</f>
        <v>Electronics</v>
      </c>
      <c r="P1360" s="2" t="str">
        <f>_xlfn.XLOOKUP(ESales_DB[[#This Row],[Product_ID]],Eproduct_DB[Product_ID],Eproduct_DB[Product_Name])</f>
        <v>Noise-Canceling Headphones</v>
      </c>
      <c r="Q1360" s="2" t="str">
        <f>_xlfn.XLOOKUP(ESales_DB[[#This Row],[Store_ID]],Estore_DB[Store_ID],Estore_DB[Region])</f>
        <v>South</v>
      </c>
      <c r="R1360" t="str">
        <f>VLOOKUP(ESales_DB[[#This Row],[Customer_ID]],Ecustom_DB[],10,FALSE)</f>
        <v>Gold</v>
      </c>
      <c r="S1360" t="str">
        <f>IF(ESales_DB[[#This Row],[Quantity1]]&gt;3,"Bulk order","Normal order")</f>
        <v>Normal order</v>
      </c>
    </row>
    <row r="1361" spans="1:19" x14ac:dyDescent="0.3">
      <c r="A1361" t="s">
        <v>2247</v>
      </c>
      <c r="B1361" s="4">
        <v>45909</v>
      </c>
      <c r="C1361" s="4" t="str">
        <f>TEXT(ESales_DB[[#This Row],[Order_Date]],"mmm")</f>
        <v>Sep</v>
      </c>
      <c r="D1361" t="s">
        <v>160</v>
      </c>
      <c r="E1361" t="s">
        <v>1718</v>
      </c>
      <c r="F1361" t="s">
        <v>1776</v>
      </c>
      <c r="G1361">
        <v>3</v>
      </c>
      <c r="H1361" s="10">
        <f>IF(ISBLANK(ESales_DB[[#This Row],[Quantity]]),AVERAGEIF(ESales_DB[Product_ID],ESales_DB[[#This Row],[Product_ID]],ESales_DB[Quantity]),ESales_DB[[#This Row],[Quantity]])</f>
        <v>3</v>
      </c>
      <c r="I1361" s="2">
        <v>522.78</v>
      </c>
      <c r="J1361">
        <v>0.25</v>
      </c>
      <c r="K1361" t="s">
        <v>1826</v>
      </c>
      <c r="L1361" s="2">
        <v>1176.2550000000001</v>
      </c>
      <c r="M1361" s="2" t="str">
        <f>IF(ESales_DB[[#This Row],[Total_Amount]]&gt;1000,"High","Low")</f>
        <v>High</v>
      </c>
      <c r="N1361" s="2" t="str">
        <f>VLOOKUP(ESales_DB[[#This Row],[Customer_ID]],Ecustom_DB[],3,FALSE)</f>
        <v>James Gibbs</v>
      </c>
      <c r="O1361" s="2" t="str">
        <f>_xlfn.XLOOKUP(ESales_DB[[#This Row],[Product_ID]],Eproduct_DB[Product_ID],Eproduct_DB[Category])</f>
        <v>Clothing</v>
      </c>
      <c r="P1361" s="2" t="str">
        <f>_xlfn.XLOOKUP(ESales_DB[[#This Row],[Product_ID]],Eproduct_DB[Product_ID],Eproduct_DB[Product_Name])</f>
        <v>Women's Beanie Hat</v>
      </c>
      <c r="Q1361" s="2" t="str">
        <f>_xlfn.XLOOKUP(ESales_DB[[#This Row],[Store_ID]],Estore_DB[Store_ID],Estore_DB[Region])</f>
        <v>East</v>
      </c>
      <c r="R1361" t="str">
        <f>VLOOKUP(ESales_DB[[#This Row],[Customer_ID]],Ecustom_DB[],10,FALSE)</f>
        <v>Platinum</v>
      </c>
      <c r="S1361" t="str">
        <f>IF(ESales_DB[[#This Row],[Quantity1]]&gt;3,"Bulk order","Normal order")</f>
        <v>Normal order</v>
      </c>
    </row>
    <row r="1362" spans="1:19" x14ac:dyDescent="0.3">
      <c r="A1362" t="s">
        <v>2248</v>
      </c>
      <c r="B1362" s="4">
        <v>45853</v>
      </c>
      <c r="C1362" s="4" t="str">
        <f>TEXT(ESales_DB[[#This Row],[Order_Date]],"mmm")</f>
        <v>Jul</v>
      </c>
      <c r="D1362" t="s">
        <v>1062</v>
      </c>
      <c r="E1362" t="s">
        <v>1574</v>
      </c>
      <c r="F1362" t="s">
        <v>1801</v>
      </c>
      <c r="G1362">
        <v>1</v>
      </c>
      <c r="H1362" s="10">
        <f>IF(ISBLANK(ESales_DB[[#This Row],[Quantity]]),AVERAGEIF(ESales_DB[Product_ID],ESales_DB[[#This Row],[Product_ID]],ESales_DB[Quantity]),ESales_DB[[#This Row],[Quantity]])</f>
        <v>1</v>
      </c>
      <c r="I1362" s="2">
        <v>206.45</v>
      </c>
      <c r="J1362">
        <v>0.15</v>
      </c>
      <c r="K1362" t="s">
        <v>1826</v>
      </c>
      <c r="L1362" s="2">
        <v>175.48249999999999</v>
      </c>
      <c r="M1362" s="2" t="str">
        <f>IF(ESales_DB[[#This Row],[Total_Amount]]&gt;1000,"High","Low")</f>
        <v>Low</v>
      </c>
      <c r="N1362" s="2" t="str">
        <f>VLOOKUP(ESales_DB[[#This Row],[Customer_ID]],Ecustom_DB[],3,FALSE)</f>
        <v>Jasmine Snyder</v>
      </c>
      <c r="O1362" s="2" t="str">
        <f>_xlfn.XLOOKUP(ESales_DB[[#This Row],[Product_ID]],Eproduct_DB[Product_ID],Eproduct_DB[Category])</f>
        <v>Electronics</v>
      </c>
      <c r="P1362" s="2" t="str">
        <f>_xlfn.XLOOKUP(ESales_DB[[#This Row],[Product_ID]],Eproduct_DB[Product_ID],Eproduct_DB[Product_Name])</f>
        <v>USB-C Fast Charger</v>
      </c>
      <c r="Q1362" s="2" t="str">
        <f>_xlfn.XLOOKUP(ESales_DB[[#This Row],[Store_ID]],Estore_DB[Store_ID],Estore_DB[Region])</f>
        <v>North</v>
      </c>
      <c r="R1362" t="str">
        <f>VLOOKUP(ESales_DB[[#This Row],[Customer_ID]],Ecustom_DB[],10,FALSE)</f>
        <v>Silver</v>
      </c>
      <c r="S1362" t="str">
        <f>IF(ESales_DB[[#This Row],[Quantity1]]&gt;3,"Bulk order","Normal order")</f>
        <v>Normal order</v>
      </c>
    </row>
    <row r="1363" spans="1:19" x14ac:dyDescent="0.3">
      <c r="A1363" t="s">
        <v>2249</v>
      </c>
      <c r="B1363" s="4">
        <v>45580</v>
      </c>
      <c r="C1363" s="4" t="str">
        <f>TEXT(ESales_DB[[#This Row],[Order_Date]],"mmm")</f>
        <v>Oct</v>
      </c>
      <c r="D1363" t="s">
        <v>490</v>
      </c>
      <c r="E1363" t="s">
        <v>1686</v>
      </c>
      <c r="F1363" t="s">
        <v>1773</v>
      </c>
      <c r="G1363">
        <v>1</v>
      </c>
      <c r="H1363" s="10">
        <f>IF(ISBLANK(ESales_DB[[#This Row],[Quantity]]),AVERAGEIF(ESales_DB[Product_ID],ESales_DB[[#This Row],[Product_ID]],ESales_DB[Quantity]),ESales_DB[[#This Row],[Quantity]])</f>
        <v>1</v>
      </c>
      <c r="I1363" s="2">
        <v>815.53</v>
      </c>
      <c r="J1363">
        <v>0.3</v>
      </c>
      <c r="K1363" t="s">
        <v>1826</v>
      </c>
      <c r="L1363" s="2">
        <v>570.87099999999998</v>
      </c>
      <c r="M1363" s="2" t="str">
        <f>IF(ESales_DB[[#This Row],[Total_Amount]]&gt;1000,"High","Low")</f>
        <v>Low</v>
      </c>
      <c r="N1363" s="2" t="str">
        <f>VLOOKUP(ESales_DB[[#This Row],[Customer_ID]],Ecustom_DB[],3,FALSE)</f>
        <v>Cameron Simpson</v>
      </c>
      <c r="O1363" s="2" t="str">
        <f>_xlfn.XLOOKUP(ESales_DB[[#This Row],[Product_ID]],Eproduct_DB[Product_ID],Eproduct_DB[Category])</f>
        <v>Clothing</v>
      </c>
      <c r="P1363" s="2" t="str">
        <f>_xlfn.XLOOKUP(ESales_DB[[#This Row],[Product_ID]],Eproduct_DB[Product_ID],Eproduct_DB[Product_Name])</f>
        <v>Men's Sports Shorts</v>
      </c>
      <c r="Q1363" s="2" t="str">
        <f>_xlfn.XLOOKUP(ESales_DB[[#This Row],[Store_ID]],Estore_DB[Store_ID],Estore_DB[Region])</f>
        <v>North</v>
      </c>
      <c r="R1363" t="str">
        <f>VLOOKUP(ESales_DB[[#This Row],[Customer_ID]],Ecustom_DB[],10,FALSE)</f>
        <v>Platinum</v>
      </c>
      <c r="S1363" t="str">
        <f>IF(ESales_DB[[#This Row],[Quantity1]]&gt;3,"Bulk order","Normal order")</f>
        <v>Normal order</v>
      </c>
    </row>
    <row r="1364" spans="1:19" x14ac:dyDescent="0.3">
      <c r="A1364" t="s">
        <v>2250</v>
      </c>
      <c r="B1364" s="4">
        <v>45220</v>
      </c>
      <c r="C1364" s="4" t="str">
        <f>TEXT(ESales_DB[[#This Row],[Order_Date]],"mmm")</f>
        <v>Oct</v>
      </c>
      <c r="D1364" t="s">
        <v>147</v>
      </c>
      <c r="E1364" t="s">
        <v>1706</v>
      </c>
      <c r="F1364" t="s">
        <v>1797</v>
      </c>
      <c r="G1364">
        <v>1</v>
      </c>
      <c r="H1364" s="10">
        <f>IF(ISBLANK(ESales_DB[[#This Row],[Quantity]]),AVERAGEIF(ESales_DB[Product_ID],ESales_DB[[#This Row],[Product_ID]],ESales_DB[Quantity]),ESales_DB[[#This Row],[Quantity]])</f>
        <v>1</v>
      </c>
      <c r="I1364" s="2">
        <v>823.61</v>
      </c>
      <c r="J1364">
        <v>0.28000000000000003</v>
      </c>
      <c r="K1364" t="s">
        <v>1829</v>
      </c>
      <c r="L1364" s="2">
        <v>592.99919999999997</v>
      </c>
      <c r="M1364" s="2" t="str">
        <f>IF(ESales_DB[[#This Row],[Total_Amount]]&gt;1000,"High","Low")</f>
        <v>Low</v>
      </c>
      <c r="N1364" s="2" t="str">
        <f>VLOOKUP(ESales_DB[[#This Row],[Customer_ID]],Ecustom_DB[],3,FALSE)</f>
        <v>Christopher Carter</v>
      </c>
      <c r="O1364" s="2" t="str">
        <f>_xlfn.XLOOKUP(ESales_DB[[#This Row],[Product_ID]],Eproduct_DB[Product_ID],Eproduct_DB[Category])</f>
        <v>Home</v>
      </c>
      <c r="P1364" s="2" t="str">
        <f>_xlfn.XLOOKUP(ESales_DB[[#This Row],[Product_ID]],Eproduct_DB[Product_ID],Eproduct_DB[Product_Name])</f>
        <v>Decorative Lamp Shade</v>
      </c>
      <c r="Q1364" s="2" t="str">
        <f>_xlfn.XLOOKUP(ESales_DB[[#This Row],[Store_ID]],Estore_DB[Store_ID],Estore_DB[Region])</f>
        <v>East</v>
      </c>
      <c r="R1364" t="str">
        <f>VLOOKUP(ESales_DB[[#This Row],[Customer_ID]],Ecustom_DB[],10,FALSE)</f>
        <v>Uncategorized</v>
      </c>
      <c r="S1364" t="str">
        <f>IF(ESales_DB[[#This Row],[Quantity1]]&gt;3,"Bulk order","Normal order")</f>
        <v>Normal order</v>
      </c>
    </row>
    <row r="1365" spans="1:19" x14ac:dyDescent="0.3">
      <c r="A1365" t="s">
        <v>2251</v>
      </c>
      <c r="B1365" s="4">
        <v>45807</v>
      </c>
      <c r="C1365" s="4" t="str">
        <f>TEXT(ESales_DB[[#This Row],[Order_Date]],"mmm")</f>
        <v>May</v>
      </c>
      <c r="D1365" t="s">
        <v>1472</v>
      </c>
      <c r="E1365" t="s">
        <v>1722</v>
      </c>
      <c r="F1365" t="s">
        <v>1786</v>
      </c>
      <c r="G1365">
        <v>2</v>
      </c>
      <c r="H1365" s="10">
        <f>IF(ISBLANK(ESales_DB[[#This Row],[Quantity]]),AVERAGEIF(ESales_DB[Product_ID],ESales_DB[[#This Row],[Product_ID]],ESales_DB[Quantity]),ESales_DB[[#This Row],[Quantity]])</f>
        <v>2</v>
      </c>
      <c r="I1365" s="2">
        <v>209.96</v>
      </c>
      <c r="J1365">
        <v>0</v>
      </c>
      <c r="K1365" t="s">
        <v>1824</v>
      </c>
      <c r="L1365" s="2">
        <v>419.92</v>
      </c>
      <c r="M1365" s="2" t="str">
        <f>IF(ESales_DB[[#This Row],[Total_Amount]]&gt;1000,"High","Low")</f>
        <v>Low</v>
      </c>
      <c r="N1365" s="2" t="str">
        <f>VLOOKUP(ESales_DB[[#This Row],[Customer_ID]],Ecustom_DB[],3,FALSE)</f>
        <v>Earl Smith Dds</v>
      </c>
      <c r="O1365" s="2" t="str">
        <f>_xlfn.XLOOKUP(ESales_DB[[#This Row],[Product_ID]],Eproduct_DB[Product_ID],Eproduct_DB[Category])</f>
        <v>Home</v>
      </c>
      <c r="P1365" s="2" t="str">
        <f>_xlfn.XLOOKUP(ESales_DB[[#This Row],[Product_ID]],Eproduct_DB[Product_ID],Eproduct_DB[Product_Name])</f>
        <v>LED Bedside Lamp</v>
      </c>
      <c r="Q1365" s="2" t="str">
        <f>_xlfn.XLOOKUP(ESales_DB[[#This Row],[Store_ID]],Estore_DB[Store_ID],Estore_DB[Region])</f>
        <v>South</v>
      </c>
      <c r="R1365" t="str">
        <f>VLOOKUP(ESales_DB[[#This Row],[Customer_ID]],Ecustom_DB[],10,FALSE)</f>
        <v>Gold</v>
      </c>
      <c r="S1365" t="str">
        <f>IF(ESales_DB[[#This Row],[Quantity1]]&gt;3,"Bulk order","Normal order")</f>
        <v>Normal order</v>
      </c>
    </row>
    <row r="1366" spans="1:19" x14ac:dyDescent="0.3">
      <c r="A1366" t="s">
        <v>2252</v>
      </c>
      <c r="B1366" s="4">
        <v>45462</v>
      </c>
      <c r="C1366" s="4" t="str">
        <f>TEXT(ESales_DB[[#This Row],[Order_Date]],"mmm")</f>
        <v>Jun</v>
      </c>
      <c r="D1366" t="s">
        <v>579</v>
      </c>
      <c r="E1366" t="s">
        <v>1543</v>
      </c>
      <c r="F1366" t="s">
        <v>1804</v>
      </c>
      <c r="G1366">
        <v>4</v>
      </c>
      <c r="H1366" s="10">
        <f>IF(ISBLANK(ESales_DB[[#This Row],[Quantity]]),AVERAGEIF(ESales_DB[Product_ID],ESales_DB[[#This Row],[Product_ID]],ESales_DB[Quantity]),ESales_DB[[#This Row],[Quantity]])</f>
        <v>4</v>
      </c>
      <c r="I1366" s="2">
        <v>897.93</v>
      </c>
      <c r="J1366">
        <v>0.05</v>
      </c>
      <c r="K1366" t="s">
        <v>1829</v>
      </c>
      <c r="L1366" s="2">
        <v>3412.134</v>
      </c>
      <c r="M1366" s="2" t="str">
        <f>IF(ESales_DB[[#This Row],[Total_Amount]]&gt;1000,"High","Low")</f>
        <v>High</v>
      </c>
      <c r="N1366" s="2" t="str">
        <f>VLOOKUP(ESales_DB[[#This Row],[Customer_ID]],Ecustom_DB[],3,FALSE)</f>
        <v>Michelle Rogers</v>
      </c>
      <c r="O1366" s="2" t="str">
        <f>_xlfn.XLOOKUP(ESales_DB[[#This Row],[Product_ID]],Eproduct_DB[Product_ID],Eproduct_DB[Category])</f>
        <v>Electronics</v>
      </c>
      <c r="P1366" s="2" t="str">
        <f>_xlfn.XLOOKUP(ESales_DB[[#This Row],[Product_ID]],Eproduct_DB[Product_ID],Eproduct_DB[Product_Name])</f>
        <v>Brother Laser Printer</v>
      </c>
      <c r="Q1366" s="2" t="str">
        <f>_xlfn.XLOOKUP(ESales_DB[[#This Row],[Store_ID]],Estore_DB[Store_ID],Estore_DB[Region])</f>
        <v>West</v>
      </c>
      <c r="R1366" t="str">
        <f>VLOOKUP(ESales_DB[[#This Row],[Customer_ID]],Ecustom_DB[],10,FALSE)</f>
        <v>Platinum</v>
      </c>
      <c r="S1366" t="str">
        <f>IF(ESales_DB[[#This Row],[Quantity1]]&gt;3,"Bulk order","Normal order")</f>
        <v>Bulk order</v>
      </c>
    </row>
    <row r="1367" spans="1:19" x14ac:dyDescent="0.3">
      <c r="A1367" t="s">
        <v>2253</v>
      </c>
      <c r="B1367" s="4">
        <v>45646</v>
      </c>
      <c r="C1367" s="4" t="str">
        <f>TEXT(ESales_DB[[#This Row],[Order_Date]],"mmm")</f>
        <v>Dec</v>
      </c>
      <c r="D1367" t="s">
        <v>598</v>
      </c>
      <c r="E1367" t="s">
        <v>1674</v>
      </c>
      <c r="F1367" t="s">
        <v>1752</v>
      </c>
      <c r="G1367">
        <v>4</v>
      </c>
      <c r="H1367" s="10">
        <f>IF(ISBLANK(ESales_DB[[#This Row],[Quantity]]),AVERAGEIF(ESales_DB[Product_ID],ESales_DB[[#This Row],[Product_ID]],ESales_DB[Quantity]),ESales_DB[[#This Row],[Quantity]])</f>
        <v>4</v>
      </c>
      <c r="I1367" s="2">
        <v>925.95</v>
      </c>
      <c r="J1367">
        <v>0.16</v>
      </c>
      <c r="K1367" t="s">
        <v>1829</v>
      </c>
      <c r="L1367" s="2">
        <v>3111.192</v>
      </c>
      <c r="M1367" s="2" t="str">
        <f>IF(ESales_DB[[#This Row],[Total_Amount]]&gt;1000,"High","Low")</f>
        <v>High</v>
      </c>
      <c r="N1367" s="2" t="str">
        <f>VLOOKUP(ESales_DB[[#This Row],[Customer_ID]],Ecustom_DB[],3,FALSE)</f>
        <v>Erin Ward</v>
      </c>
      <c r="O1367" s="2" t="str">
        <f>_xlfn.XLOOKUP(ESales_DB[[#This Row],[Product_ID]],Eproduct_DB[Product_ID],Eproduct_DB[Category])</f>
        <v>Beauty</v>
      </c>
      <c r="P1367" s="2" t="str">
        <f>_xlfn.XLOOKUP(ESales_DB[[#This Row],[Product_ID]],Eproduct_DB[Product_ID],Eproduct_DB[Product_Name])</f>
        <v>Organic Sunscreen Lotion</v>
      </c>
      <c r="Q1367" s="2" t="str">
        <f>_xlfn.XLOOKUP(ESales_DB[[#This Row],[Store_ID]],Estore_DB[Store_ID],Estore_DB[Region])</f>
        <v>East</v>
      </c>
      <c r="R1367" t="str">
        <f>VLOOKUP(ESales_DB[[#This Row],[Customer_ID]],Ecustom_DB[],10,FALSE)</f>
        <v>Bronze</v>
      </c>
      <c r="S1367" t="str">
        <f>IF(ESales_DB[[#This Row],[Quantity1]]&gt;3,"Bulk order","Normal order")</f>
        <v>Bulk order</v>
      </c>
    </row>
    <row r="1368" spans="1:19" x14ac:dyDescent="0.3">
      <c r="A1368" t="s">
        <v>2254</v>
      </c>
      <c r="B1368" s="4">
        <v>45520</v>
      </c>
      <c r="C1368" s="4" t="str">
        <f>TEXT(ESales_DB[[#This Row],[Order_Date]],"mmm")</f>
        <v>Aug</v>
      </c>
      <c r="D1368" t="s">
        <v>304</v>
      </c>
      <c r="E1368" t="s">
        <v>1650</v>
      </c>
      <c r="F1368" t="s">
        <v>1776</v>
      </c>
      <c r="G1368">
        <v>2</v>
      </c>
      <c r="H1368" s="10">
        <f>IF(ISBLANK(ESales_DB[[#This Row],[Quantity]]),AVERAGEIF(ESales_DB[Product_ID],ESales_DB[[#This Row],[Product_ID]],ESales_DB[Quantity]),ESales_DB[[#This Row],[Quantity]])</f>
        <v>2</v>
      </c>
      <c r="I1368" s="2">
        <v>573.09</v>
      </c>
      <c r="J1368">
        <v>0.03</v>
      </c>
      <c r="K1368" t="s">
        <v>1829</v>
      </c>
      <c r="L1368" s="2">
        <v>1111.7945999999999</v>
      </c>
      <c r="M1368" s="2" t="str">
        <f>IF(ESales_DB[[#This Row],[Total_Amount]]&gt;1000,"High","Low")</f>
        <v>High</v>
      </c>
      <c r="N1368" s="2" t="str">
        <f>VLOOKUP(ESales_DB[[#This Row],[Customer_ID]],Ecustom_DB[],3,FALSE)</f>
        <v>Christy Hoffman</v>
      </c>
      <c r="O1368" s="2" t="str">
        <f>_xlfn.XLOOKUP(ESales_DB[[#This Row],[Product_ID]],Eproduct_DB[Product_ID],Eproduct_DB[Category])</f>
        <v>Electronics</v>
      </c>
      <c r="P1368" s="2" t="str">
        <f>_xlfn.XLOOKUP(ESales_DB[[#This Row],[Product_ID]],Eproduct_DB[Product_ID],Eproduct_DB[Product_Name])</f>
        <v>HDMI Cable – 2m</v>
      </c>
      <c r="Q1368" s="2" t="str">
        <f>_xlfn.XLOOKUP(ESales_DB[[#This Row],[Store_ID]],Estore_DB[Store_ID],Estore_DB[Region])</f>
        <v>East</v>
      </c>
      <c r="R1368" t="str">
        <f>VLOOKUP(ESales_DB[[#This Row],[Customer_ID]],Ecustom_DB[],10,FALSE)</f>
        <v>Platinum</v>
      </c>
      <c r="S1368" t="str">
        <f>IF(ESales_DB[[#This Row],[Quantity1]]&gt;3,"Bulk order","Normal order")</f>
        <v>Normal order</v>
      </c>
    </row>
    <row r="1369" spans="1:19" x14ac:dyDescent="0.3">
      <c r="A1369" t="s">
        <v>2255</v>
      </c>
      <c r="B1369" s="4">
        <v>45731</v>
      </c>
      <c r="C1369" s="4" t="str">
        <f>TEXT(ESales_DB[[#This Row],[Order_Date]],"mmm")</f>
        <v>Mar</v>
      </c>
      <c r="D1369" t="s">
        <v>604</v>
      </c>
      <c r="E1369" t="s">
        <v>1560</v>
      </c>
      <c r="F1369" t="s">
        <v>1769</v>
      </c>
      <c r="G1369">
        <v>4</v>
      </c>
      <c r="H1369" s="10">
        <f>IF(ISBLANK(ESales_DB[[#This Row],[Quantity]]),AVERAGEIF(ESales_DB[Product_ID],ESales_DB[[#This Row],[Product_ID]],ESales_DB[Quantity]),ESales_DB[[#This Row],[Quantity]])</f>
        <v>4</v>
      </c>
      <c r="I1369" s="2">
        <v>149.83000000000001</v>
      </c>
      <c r="J1369">
        <v>0.02</v>
      </c>
      <c r="K1369" t="s">
        <v>1824</v>
      </c>
      <c r="L1369" s="2">
        <v>587.33360000000005</v>
      </c>
      <c r="M1369" s="2" t="str">
        <f>IF(ESales_DB[[#This Row],[Total_Amount]]&gt;1000,"High","Low")</f>
        <v>Low</v>
      </c>
      <c r="N1369" s="2" t="str">
        <f>VLOOKUP(ESales_DB[[#This Row],[Customer_ID]],Ecustom_DB[],3,FALSE)</f>
        <v>Mario Jacobs</v>
      </c>
      <c r="O1369" s="2" t="str">
        <f>_xlfn.XLOOKUP(ESales_DB[[#This Row],[Product_ID]],Eproduct_DB[Product_ID],Eproduct_DB[Category])</f>
        <v>Home</v>
      </c>
      <c r="P1369" s="2" t="str">
        <f>_xlfn.XLOOKUP(ESales_DB[[#This Row],[Product_ID]],Eproduct_DB[Product_ID],Eproduct_DB[Product_Name])</f>
        <v>LED Table Lamp</v>
      </c>
      <c r="Q1369" s="2" t="str">
        <f>_xlfn.XLOOKUP(ESales_DB[[#This Row],[Store_ID]],Estore_DB[Store_ID],Estore_DB[Region])</f>
        <v>South</v>
      </c>
      <c r="R1369" t="str">
        <f>VLOOKUP(ESales_DB[[#This Row],[Customer_ID]],Ecustom_DB[],10,FALSE)</f>
        <v>Platinum</v>
      </c>
      <c r="S1369" t="str">
        <f>IF(ESales_DB[[#This Row],[Quantity1]]&gt;3,"Bulk order","Normal order")</f>
        <v>Bulk order</v>
      </c>
    </row>
    <row r="1370" spans="1:19" x14ac:dyDescent="0.3">
      <c r="A1370" t="s">
        <v>1869</v>
      </c>
      <c r="B1370" s="4">
        <v>45677</v>
      </c>
      <c r="C1370" s="4" t="str">
        <f>TEXT(ESales_DB[[#This Row],[Order_Date]],"mmm")</f>
        <v>Jan</v>
      </c>
      <c r="D1370" t="s">
        <v>304</v>
      </c>
      <c r="E1370" t="s">
        <v>1614</v>
      </c>
      <c r="F1370" t="s">
        <v>1807</v>
      </c>
      <c r="H1370" s="10">
        <f>IF(ISBLANK(ESales_DB[[#This Row],[Quantity]]),AVERAGEIF(ESales_DB[Product_ID],ESales_DB[[#This Row],[Product_ID]],ESales_DB[Quantity]),ESales_DB[[#This Row],[Quantity]])</f>
        <v>2.1818181818181817</v>
      </c>
      <c r="I1370" s="2">
        <v>863.11</v>
      </c>
      <c r="J1370">
        <v>0.28000000000000003</v>
      </c>
      <c r="K1370" t="s">
        <v>1826</v>
      </c>
      <c r="L1370" s="2">
        <v>1864.3176000000001</v>
      </c>
      <c r="M1370" s="2" t="str">
        <f>IF(ESales_DB[[#This Row],[Total_Amount]]&gt;1000,"High","Low")</f>
        <v>High</v>
      </c>
      <c r="N1370" s="2" t="str">
        <f>VLOOKUP(ESales_DB[[#This Row],[Customer_ID]],Ecustom_DB[],3,FALSE)</f>
        <v>Christy Hoffman</v>
      </c>
      <c r="O1370" s="2" t="str">
        <f>_xlfn.XLOOKUP(ESales_DB[[#This Row],[Product_ID]],Eproduct_DB[Product_ID],Eproduct_DB[Category])</f>
        <v>Home</v>
      </c>
      <c r="P1370" s="2" t="str">
        <f>_xlfn.XLOOKUP(ESales_DB[[#This Row],[Product_ID]],Eproduct_DB[Product_ID],Eproduct_DB[Product_Name])</f>
        <v>Modern Wall Clock</v>
      </c>
      <c r="Q1370" s="2" t="str">
        <f>_xlfn.XLOOKUP(ESales_DB[[#This Row],[Store_ID]],Estore_DB[Store_ID],Estore_DB[Region])</f>
        <v>North</v>
      </c>
      <c r="R1370" t="str">
        <f>VLOOKUP(ESales_DB[[#This Row],[Customer_ID]],Ecustom_DB[],10,FALSE)</f>
        <v>Platinum</v>
      </c>
      <c r="S1370" t="str">
        <f>IF(ESales_DB[[#This Row],[Quantity1]]&gt;3,"Bulk order","Normal order")</f>
        <v>Normal order</v>
      </c>
    </row>
    <row r="1371" spans="1:19" x14ac:dyDescent="0.3">
      <c r="A1371" t="s">
        <v>2256</v>
      </c>
      <c r="B1371" s="4">
        <v>45445</v>
      </c>
      <c r="C1371" s="4" t="str">
        <f>TEXT(ESales_DB[[#This Row],[Order_Date]],"mmm")</f>
        <v>Jun</v>
      </c>
      <c r="D1371" t="s">
        <v>14</v>
      </c>
      <c r="E1371" t="s">
        <v>1650</v>
      </c>
      <c r="F1371" t="s">
        <v>1799</v>
      </c>
      <c r="G1371">
        <v>3</v>
      </c>
      <c r="H1371" s="10">
        <f>IF(ISBLANK(ESales_DB[[#This Row],[Quantity]]),AVERAGEIF(ESales_DB[Product_ID],ESales_DB[[#This Row],[Product_ID]],ESales_DB[Quantity]),ESales_DB[[#This Row],[Quantity]])</f>
        <v>3</v>
      </c>
      <c r="I1371" s="2">
        <v>287.70999999999998</v>
      </c>
      <c r="J1371">
        <v>0.03</v>
      </c>
      <c r="K1371" t="s">
        <v>1829</v>
      </c>
      <c r="L1371" s="2">
        <v>837.23609999999985</v>
      </c>
      <c r="M1371" s="2" t="str">
        <f>IF(ESales_DB[[#This Row],[Total_Amount]]&gt;1000,"High","Low")</f>
        <v>Low</v>
      </c>
      <c r="N1371" s="2" t="str">
        <f>VLOOKUP(ESales_DB[[#This Row],[Customer_ID]],Ecustom_DB[],3,FALSE)</f>
        <v>Eugene Nelson</v>
      </c>
      <c r="O1371" s="2" t="str">
        <f>_xlfn.XLOOKUP(ESales_DB[[#This Row],[Product_ID]],Eproduct_DB[Product_ID],Eproduct_DB[Category])</f>
        <v>Electronics</v>
      </c>
      <c r="P1371" s="2" t="str">
        <f>_xlfn.XLOOKUP(ESales_DB[[#This Row],[Product_ID]],Eproduct_DB[Product_ID],Eproduct_DB[Product_Name])</f>
        <v>HDMI Cable – 2m</v>
      </c>
      <c r="Q1371" s="2" t="str">
        <f>_xlfn.XLOOKUP(ESales_DB[[#This Row],[Store_ID]],Estore_DB[Store_ID],Estore_DB[Region])</f>
        <v>South</v>
      </c>
      <c r="R1371" t="str">
        <f>VLOOKUP(ESales_DB[[#This Row],[Customer_ID]],Ecustom_DB[],10,FALSE)</f>
        <v>Platinum</v>
      </c>
      <c r="S1371" t="str">
        <f>IF(ESales_DB[[#This Row],[Quantity1]]&gt;3,"Bulk order","Normal order")</f>
        <v>Normal order</v>
      </c>
    </row>
    <row r="1372" spans="1:19" x14ac:dyDescent="0.3">
      <c r="A1372" t="s">
        <v>2257</v>
      </c>
      <c r="B1372" s="4">
        <v>45860</v>
      </c>
      <c r="C1372" s="4" t="str">
        <f>TEXT(ESales_DB[[#This Row],[Order_Date]],"mmm")</f>
        <v>Jul</v>
      </c>
      <c r="D1372" t="s">
        <v>338</v>
      </c>
      <c r="E1372" t="s">
        <v>1682</v>
      </c>
      <c r="F1372" t="s">
        <v>1776</v>
      </c>
      <c r="G1372">
        <v>2</v>
      </c>
      <c r="H1372" s="10">
        <f>IF(ISBLANK(ESales_DB[[#This Row],[Quantity]]),AVERAGEIF(ESales_DB[Product_ID],ESales_DB[[#This Row],[Product_ID]],ESales_DB[Quantity]),ESales_DB[[#This Row],[Quantity]])</f>
        <v>2</v>
      </c>
      <c r="I1372" s="2">
        <v>849.8</v>
      </c>
      <c r="J1372">
        <v>0.06</v>
      </c>
      <c r="K1372" t="s">
        <v>1829</v>
      </c>
      <c r="L1372" s="2">
        <v>1597.624</v>
      </c>
      <c r="M1372" s="2" t="str">
        <f>IF(ESales_DB[[#This Row],[Total_Amount]]&gt;1000,"High","Low")</f>
        <v>High</v>
      </c>
      <c r="N1372" s="2" t="str">
        <f>VLOOKUP(ESales_DB[[#This Row],[Customer_ID]],Ecustom_DB[],3,FALSE)</f>
        <v>David Patterson</v>
      </c>
      <c r="O1372" s="2" t="str">
        <f>_xlfn.XLOOKUP(ESales_DB[[#This Row],[Product_ID]],Eproduct_DB[Product_ID],Eproduct_DB[Category])</f>
        <v>Electronics</v>
      </c>
      <c r="P1372" s="2" t="str">
        <f>_xlfn.XLOOKUP(ESales_DB[[#This Row],[Product_ID]],Eproduct_DB[Product_ID],Eproduct_DB[Product_Name])</f>
        <v>Smart LED Light Strip</v>
      </c>
      <c r="Q1372" s="2" t="str">
        <f>_xlfn.XLOOKUP(ESales_DB[[#This Row],[Store_ID]],Estore_DB[Store_ID],Estore_DB[Region])</f>
        <v>East</v>
      </c>
      <c r="R1372" t="str">
        <f>VLOOKUP(ESales_DB[[#This Row],[Customer_ID]],Ecustom_DB[],10,FALSE)</f>
        <v>Gold</v>
      </c>
      <c r="S1372" t="str">
        <f>IF(ESales_DB[[#This Row],[Quantity1]]&gt;3,"Bulk order","Normal order")</f>
        <v>Normal order</v>
      </c>
    </row>
    <row r="1373" spans="1:19" x14ac:dyDescent="0.3">
      <c r="A1373" t="s">
        <v>2258</v>
      </c>
      <c r="B1373" s="4">
        <v>45725</v>
      </c>
      <c r="C1373" s="4" t="str">
        <f>TEXT(ESales_DB[[#This Row],[Order_Date]],"mmm")</f>
        <v>Mar</v>
      </c>
      <c r="D1373" t="s">
        <v>75</v>
      </c>
      <c r="E1373" t="s">
        <v>1630</v>
      </c>
      <c r="F1373" t="s">
        <v>1766</v>
      </c>
      <c r="G1373">
        <v>3</v>
      </c>
      <c r="H1373" s="10">
        <f>IF(ISBLANK(ESales_DB[[#This Row],[Quantity]]),AVERAGEIF(ESales_DB[Product_ID],ESales_DB[[#This Row],[Product_ID]],ESales_DB[Quantity]),ESales_DB[[#This Row],[Quantity]])</f>
        <v>3</v>
      </c>
      <c r="I1373" s="2">
        <v>482.58</v>
      </c>
      <c r="J1373">
        <v>0.28000000000000003</v>
      </c>
      <c r="K1373" t="s">
        <v>1826</v>
      </c>
      <c r="L1373" s="2">
        <v>1042.3728000000001</v>
      </c>
      <c r="M1373" s="2" t="str">
        <f>IF(ESales_DB[[#This Row],[Total_Amount]]&gt;1000,"High","Low")</f>
        <v>High</v>
      </c>
      <c r="N1373" s="2" t="str">
        <f>VLOOKUP(ESales_DB[[#This Row],[Customer_ID]],Ecustom_DB[],3,FALSE)</f>
        <v>John Scott</v>
      </c>
      <c r="O1373" s="2" t="str">
        <f>_xlfn.XLOOKUP(ESales_DB[[#This Row],[Product_ID]],Eproduct_DB[Product_ID],Eproduct_DB[Category])</f>
        <v>Sports</v>
      </c>
      <c r="P1373" s="2" t="str">
        <f>_xlfn.XLOOKUP(ESales_DB[[#This Row],[Product_ID]],Eproduct_DB[Product_ID],Eproduct_DB[Product_Name])</f>
        <v>Yoga Exercise Mat</v>
      </c>
      <c r="Q1373" s="2" t="str">
        <f>_xlfn.XLOOKUP(ESales_DB[[#This Row],[Store_ID]],Estore_DB[Store_ID],Estore_DB[Region])</f>
        <v>North</v>
      </c>
      <c r="R1373" t="str">
        <f>VLOOKUP(ESales_DB[[#This Row],[Customer_ID]],Ecustom_DB[],10,FALSE)</f>
        <v>Bronze</v>
      </c>
      <c r="S1373" t="str">
        <f>IF(ESales_DB[[#This Row],[Quantity1]]&gt;3,"Bulk order","Normal order")</f>
        <v>Normal order</v>
      </c>
    </row>
    <row r="1374" spans="1:19" x14ac:dyDescent="0.3">
      <c r="A1374" t="s">
        <v>2259</v>
      </c>
      <c r="B1374" s="4">
        <v>45699</v>
      </c>
      <c r="C1374" s="4" t="str">
        <f>TEXT(ESales_DB[[#This Row],[Order_Date]],"mmm")</f>
        <v>Feb</v>
      </c>
      <c r="D1374" t="s">
        <v>399</v>
      </c>
      <c r="E1374" t="s">
        <v>1666</v>
      </c>
      <c r="F1374" t="s">
        <v>1761</v>
      </c>
      <c r="G1374">
        <v>2</v>
      </c>
      <c r="H1374" s="10">
        <f>IF(ISBLANK(ESales_DB[[#This Row],[Quantity]]),AVERAGEIF(ESales_DB[Product_ID],ESales_DB[[#This Row],[Product_ID]],ESales_DB[Quantity]),ESales_DB[[#This Row],[Quantity]])</f>
        <v>2</v>
      </c>
      <c r="I1374" s="2">
        <v>64.7</v>
      </c>
      <c r="J1374">
        <v>0</v>
      </c>
      <c r="K1374" t="s">
        <v>1824</v>
      </c>
      <c r="L1374" s="2">
        <v>129.4</v>
      </c>
      <c r="M1374" s="2" t="str">
        <f>IF(ESales_DB[[#This Row],[Total_Amount]]&gt;1000,"High","Low")</f>
        <v>Low</v>
      </c>
      <c r="N1374" s="2" t="str">
        <f>VLOOKUP(ESales_DB[[#This Row],[Customer_ID]],Ecustom_DB[],3,FALSE)</f>
        <v>Ryan Hernandez</v>
      </c>
      <c r="O1374" s="2" t="str">
        <f>_xlfn.XLOOKUP(ESales_DB[[#This Row],[Product_ID]],Eproduct_DB[Product_ID],Eproduct_DB[Category])</f>
        <v>Beauty</v>
      </c>
      <c r="P1374" s="2" t="str">
        <f>_xlfn.XLOOKUP(ESales_DB[[#This Row],[Product_ID]],Eproduct_DB[Product_ID],Eproduct_DB[Product_Name])</f>
        <v>Men's Hair Styling Gel</v>
      </c>
      <c r="Q1374" s="2" t="str">
        <f>_xlfn.XLOOKUP(ESales_DB[[#This Row],[Store_ID]],Estore_DB[Store_ID],Estore_DB[Region])</f>
        <v>South</v>
      </c>
      <c r="R1374" t="str">
        <f>VLOOKUP(ESales_DB[[#This Row],[Customer_ID]],Ecustom_DB[],10,FALSE)</f>
        <v>Bronze</v>
      </c>
      <c r="S1374" t="str">
        <f>IF(ESales_DB[[#This Row],[Quantity1]]&gt;3,"Bulk order","Normal order")</f>
        <v>Normal order</v>
      </c>
    </row>
    <row r="1375" spans="1:19" x14ac:dyDescent="0.3">
      <c r="A1375" t="s">
        <v>2260</v>
      </c>
      <c r="B1375" s="4">
        <v>45266</v>
      </c>
      <c r="C1375" s="4" t="str">
        <f>TEXT(ESales_DB[[#This Row],[Order_Date]],"mmm")</f>
        <v>Dec</v>
      </c>
      <c r="D1375" t="s">
        <v>499</v>
      </c>
      <c r="E1375" t="s">
        <v>1555</v>
      </c>
      <c r="F1375" t="s">
        <v>1773</v>
      </c>
      <c r="G1375">
        <v>3</v>
      </c>
      <c r="H1375" s="10">
        <f>IF(ISBLANK(ESales_DB[[#This Row],[Quantity]]),AVERAGEIF(ESales_DB[Product_ID],ESales_DB[[#This Row],[Product_ID]],ESales_DB[Quantity]),ESales_DB[[#This Row],[Quantity]])</f>
        <v>3</v>
      </c>
      <c r="I1375" s="2">
        <v>589.83000000000004</v>
      </c>
      <c r="J1375">
        <v>0.26</v>
      </c>
      <c r="K1375" t="s">
        <v>1824</v>
      </c>
      <c r="L1375" s="2">
        <v>1309.4226000000001</v>
      </c>
      <c r="M1375" s="2" t="str">
        <f>IF(ESales_DB[[#This Row],[Total_Amount]]&gt;1000,"High","Low")</f>
        <v>High</v>
      </c>
      <c r="N1375" s="2" t="str">
        <f>VLOOKUP(ESales_DB[[#This Row],[Customer_ID]],Ecustom_DB[],3,FALSE)</f>
        <v>Theresa Campbell</v>
      </c>
      <c r="O1375" s="2" t="str">
        <f>_xlfn.XLOOKUP(ESales_DB[[#This Row],[Product_ID]],Eproduct_DB[Product_ID],Eproduct_DB[Category])</f>
        <v>Clothing</v>
      </c>
      <c r="P1375" s="2" t="str">
        <f>_xlfn.XLOOKUP(ESales_DB[[#This Row],[Product_ID]],Eproduct_DB[Product_ID],Eproduct_DB[Product_Name])</f>
        <v>Men's Leather Belt</v>
      </c>
      <c r="Q1375" s="2" t="str">
        <f>_xlfn.XLOOKUP(ESales_DB[[#This Row],[Store_ID]],Estore_DB[Store_ID],Estore_DB[Region])</f>
        <v>North</v>
      </c>
      <c r="R1375" t="str">
        <f>VLOOKUP(ESales_DB[[#This Row],[Customer_ID]],Ecustom_DB[],10,FALSE)</f>
        <v>Bronze</v>
      </c>
      <c r="S1375" t="str">
        <f>IF(ESales_DB[[#This Row],[Quantity1]]&gt;3,"Bulk order","Normal order")</f>
        <v>Normal order</v>
      </c>
    </row>
    <row r="1376" spans="1:19" x14ac:dyDescent="0.3">
      <c r="A1376" t="s">
        <v>2261</v>
      </c>
      <c r="B1376" s="4">
        <v>45889</v>
      </c>
      <c r="C1376" s="4" t="str">
        <f>TEXT(ESales_DB[[#This Row],[Order_Date]],"mmm")</f>
        <v>Aug</v>
      </c>
      <c r="D1376" t="s">
        <v>914</v>
      </c>
      <c r="E1376" t="s">
        <v>1551</v>
      </c>
      <c r="F1376" t="s">
        <v>1786</v>
      </c>
      <c r="G1376">
        <v>4</v>
      </c>
      <c r="H1376" s="10">
        <f>IF(ISBLANK(ESales_DB[[#This Row],[Quantity]]),AVERAGEIF(ESales_DB[Product_ID],ESales_DB[[#This Row],[Product_ID]],ESales_DB[Quantity]),ESales_DB[[#This Row],[Quantity]])</f>
        <v>4</v>
      </c>
      <c r="I1376" s="2">
        <v>758.49</v>
      </c>
      <c r="J1376">
        <v>0.16</v>
      </c>
      <c r="K1376" t="s">
        <v>1829</v>
      </c>
      <c r="L1376" s="2">
        <v>2548.5264000000002</v>
      </c>
      <c r="M1376" s="2" t="str">
        <f>IF(ESales_DB[[#This Row],[Total_Amount]]&gt;1000,"High","Low")</f>
        <v>High</v>
      </c>
      <c r="N1376" s="2" t="str">
        <f>VLOOKUP(ESales_DB[[#This Row],[Customer_ID]],Ecustom_DB[],3,FALSE)</f>
        <v>Misty Ferguson</v>
      </c>
      <c r="O1376" s="2" t="str">
        <f>_xlfn.XLOOKUP(ESales_DB[[#This Row],[Product_ID]],Eproduct_DB[Product_ID],Eproduct_DB[Category])</f>
        <v>Clothing</v>
      </c>
      <c r="P1376" s="2" t="str">
        <f>_xlfn.XLOOKUP(ESales_DB[[#This Row],[Product_ID]],Eproduct_DB[Product_ID],Eproduct_DB[Product_Name])</f>
        <v>Men's Running Jacket</v>
      </c>
      <c r="Q1376" s="2" t="str">
        <f>_xlfn.XLOOKUP(ESales_DB[[#This Row],[Store_ID]],Estore_DB[Store_ID],Estore_DB[Region])</f>
        <v>South</v>
      </c>
      <c r="R1376" t="str">
        <f>VLOOKUP(ESales_DB[[#This Row],[Customer_ID]],Ecustom_DB[],10,FALSE)</f>
        <v>Gold</v>
      </c>
      <c r="S1376" t="str">
        <f>IF(ESales_DB[[#This Row],[Quantity1]]&gt;3,"Bulk order","Normal order")</f>
        <v>Bulk order</v>
      </c>
    </row>
    <row r="1377" spans="1:19" x14ac:dyDescent="0.3">
      <c r="A1377" t="s">
        <v>2262</v>
      </c>
      <c r="B1377" s="4">
        <v>45555</v>
      </c>
      <c r="C1377" s="4" t="str">
        <f>TEXT(ESales_DB[[#This Row],[Order_Date]],"mmm")</f>
        <v>Sep</v>
      </c>
      <c r="D1377" t="s">
        <v>202</v>
      </c>
      <c r="E1377" t="s">
        <v>1622</v>
      </c>
      <c r="F1377" t="s">
        <v>1794</v>
      </c>
      <c r="G1377">
        <v>4</v>
      </c>
      <c r="H1377" s="10">
        <f>IF(ISBLANK(ESales_DB[[#This Row],[Quantity]]),AVERAGEIF(ESales_DB[Product_ID],ESales_DB[[#This Row],[Product_ID]],ESales_DB[Quantity]),ESales_DB[[#This Row],[Quantity]])</f>
        <v>4</v>
      </c>
      <c r="I1377" s="2">
        <v>747.56</v>
      </c>
      <c r="J1377">
        <v>0.09</v>
      </c>
      <c r="K1377" t="s">
        <v>1829</v>
      </c>
      <c r="L1377" s="2">
        <v>2721.1183999999998</v>
      </c>
      <c r="M1377" s="2" t="str">
        <f>IF(ESales_DB[[#This Row],[Total_Amount]]&gt;1000,"High","Low")</f>
        <v>High</v>
      </c>
      <c r="N1377" s="2" t="str">
        <f>VLOOKUP(ESales_DB[[#This Row],[Customer_ID]],Ecustom_DB[],3,FALSE)</f>
        <v>Sharon Brown</v>
      </c>
      <c r="O1377" s="2" t="str">
        <f>_xlfn.XLOOKUP(ESales_DB[[#This Row],[Product_ID]],Eproduct_DB[Product_ID],Eproduct_DB[Category])</f>
        <v>Clothing</v>
      </c>
      <c r="P1377" s="2" t="str">
        <f>_xlfn.XLOOKUP(ESales_DB[[#This Row],[Product_ID]],Eproduct_DB[Product_ID],Eproduct_DB[Product_Name])</f>
        <v>Men's Casual Sneakers</v>
      </c>
      <c r="Q1377" s="2" t="str">
        <f>_xlfn.XLOOKUP(ESales_DB[[#This Row],[Store_ID]],Estore_DB[Store_ID],Estore_DB[Region])</f>
        <v>North</v>
      </c>
      <c r="R1377" t="str">
        <f>VLOOKUP(ESales_DB[[#This Row],[Customer_ID]],Ecustom_DB[],10,FALSE)</f>
        <v>Gold</v>
      </c>
      <c r="S1377" t="str">
        <f>IF(ESales_DB[[#This Row],[Quantity1]]&gt;3,"Bulk order","Normal order")</f>
        <v>Bulk order</v>
      </c>
    </row>
    <row r="1378" spans="1:19" x14ac:dyDescent="0.3">
      <c r="A1378" t="s">
        <v>2263</v>
      </c>
      <c r="B1378" s="4">
        <v>45813</v>
      </c>
      <c r="C1378" s="4" t="str">
        <f>TEXT(ESales_DB[[#This Row],[Order_Date]],"mmm")</f>
        <v>Jun</v>
      </c>
      <c r="D1378" t="s">
        <v>809</v>
      </c>
      <c r="E1378" t="s">
        <v>1628</v>
      </c>
      <c r="F1378" t="s">
        <v>1807</v>
      </c>
      <c r="G1378">
        <v>3</v>
      </c>
      <c r="H1378" s="10">
        <f>IF(ISBLANK(ESales_DB[[#This Row],[Quantity]]),AVERAGEIF(ESales_DB[Product_ID],ESales_DB[[#This Row],[Product_ID]],ESales_DB[Quantity]),ESales_DB[[#This Row],[Quantity]])</f>
        <v>3</v>
      </c>
      <c r="I1378" s="2">
        <v>551.22</v>
      </c>
      <c r="J1378">
        <v>0.12</v>
      </c>
      <c r="K1378" t="s">
        <v>1826</v>
      </c>
      <c r="L1378" s="2">
        <v>1455.2208000000001</v>
      </c>
      <c r="M1378" s="2" t="str">
        <f>IF(ESales_DB[[#This Row],[Total_Amount]]&gt;1000,"High","Low")</f>
        <v>High</v>
      </c>
      <c r="N1378" s="2" t="str">
        <f>VLOOKUP(ESales_DB[[#This Row],[Customer_ID]],Ecustom_DB[],3,FALSE)</f>
        <v>Dr. Ashley Yates Md</v>
      </c>
      <c r="O1378" s="2" t="str">
        <f>_xlfn.XLOOKUP(ESales_DB[[#This Row],[Product_ID]],Eproduct_DB[Product_ID],Eproduct_DB[Category])</f>
        <v>Electronics</v>
      </c>
      <c r="P1378" s="2" t="str">
        <f>_xlfn.XLOOKUP(ESales_DB[[#This Row],[Product_ID]],Eproduct_DB[Product_ID],Eproduct_DB[Product_Name])</f>
        <v>Noise-Canceling Headphones</v>
      </c>
      <c r="Q1378" s="2" t="str">
        <f>_xlfn.XLOOKUP(ESales_DB[[#This Row],[Store_ID]],Estore_DB[Store_ID],Estore_DB[Region])</f>
        <v>North</v>
      </c>
      <c r="R1378" t="str">
        <f>VLOOKUP(ESales_DB[[#This Row],[Customer_ID]],Ecustom_DB[],10,FALSE)</f>
        <v>Bronze</v>
      </c>
      <c r="S1378" t="str">
        <f>IF(ESales_DB[[#This Row],[Quantity1]]&gt;3,"Bulk order","Normal order")</f>
        <v>Normal order</v>
      </c>
    </row>
    <row r="1379" spans="1:19" x14ac:dyDescent="0.3">
      <c r="A1379" t="s">
        <v>2264</v>
      </c>
      <c r="B1379" s="4">
        <v>45811</v>
      </c>
      <c r="C1379" s="4" t="str">
        <f>TEXT(ESales_DB[[#This Row],[Order_Date]],"mmm")</f>
        <v>Jun</v>
      </c>
      <c r="D1379" t="s">
        <v>532</v>
      </c>
      <c r="E1379" t="s">
        <v>1686</v>
      </c>
      <c r="F1379" t="s">
        <v>1799</v>
      </c>
      <c r="G1379">
        <v>2</v>
      </c>
      <c r="H1379" s="10">
        <f>IF(ISBLANK(ESales_DB[[#This Row],[Quantity]]),AVERAGEIF(ESales_DB[Product_ID],ESales_DB[[#This Row],[Product_ID]],ESales_DB[Quantity]),ESales_DB[[#This Row],[Quantity]])</f>
        <v>2</v>
      </c>
      <c r="I1379" s="2">
        <v>527.05999999999995</v>
      </c>
      <c r="J1379">
        <v>0.17</v>
      </c>
      <c r="K1379" t="s">
        <v>1826</v>
      </c>
      <c r="L1379" s="2">
        <v>874.91959999999983</v>
      </c>
      <c r="M1379" s="2" t="str">
        <f>IF(ESales_DB[[#This Row],[Total_Amount]]&gt;1000,"High","Low")</f>
        <v>Low</v>
      </c>
      <c r="N1379" s="2" t="str">
        <f>VLOOKUP(ESales_DB[[#This Row],[Customer_ID]],Ecustom_DB[],3,FALSE)</f>
        <v>Brian Choi</v>
      </c>
      <c r="O1379" s="2" t="str">
        <f>_xlfn.XLOOKUP(ESales_DB[[#This Row],[Product_ID]],Eproduct_DB[Product_ID],Eproduct_DB[Category])</f>
        <v>Clothing</v>
      </c>
      <c r="P1379" s="2" t="str">
        <f>_xlfn.XLOOKUP(ESales_DB[[#This Row],[Product_ID]],Eproduct_DB[Product_ID],Eproduct_DB[Product_Name])</f>
        <v>Men's Sports Shorts</v>
      </c>
      <c r="Q1379" s="2" t="str">
        <f>_xlfn.XLOOKUP(ESales_DB[[#This Row],[Store_ID]],Estore_DB[Store_ID],Estore_DB[Region])</f>
        <v>South</v>
      </c>
      <c r="R1379" t="str">
        <f>VLOOKUP(ESales_DB[[#This Row],[Customer_ID]],Ecustom_DB[],10,FALSE)</f>
        <v>Gold</v>
      </c>
      <c r="S1379" t="str">
        <f>IF(ESales_DB[[#This Row],[Quantity1]]&gt;3,"Bulk order","Normal order")</f>
        <v>Normal order</v>
      </c>
    </row>
    <row r="1380" spans="1:19" x14ac:dyDescent="0.3">
      <c r="A1380" t="s">
        <v>2265</v>
      </c>
      <c r="B1380" s="4">
        <v>45670</v>
      </c>
      <c r="C1380" s="4" t="str">
        <f>TEXT(ESales_DB[[#This Row],[Order_Date]],"mmm")</f>
        <v>Jan</v>
      </c>
      <c r="D1380" t="s">
        <v>350</v>
      </c>
      <c r="E1380" t="s">
        <v>1672</v>
      </c>
      <c r="F1380" t="s">
        <v>1773</v>
      </c>
      <c r="G1380">
        <v>4</v>
      </c>
      <c r="H1380" s="10">
        <f>IF(ISBLANK(ESales_DB[[#This Row],[Quantity]]),AVERAGEIF(ESales_DB[Product_ID],ESales_DB[[#This Row],[Product_ID]],ESales_DB[Quantity]),ESales_DB[[#This Row],[Quantity]])</f>
        <v>4</v>
      </c>
      <c r="I1380" s="2">
        <v>875.41</v>
      </c>
      <c r="J1380">
        <v>0.27</v>
      </c>
      <c r="K1380" t="s">
        <v>1824</v>
      </c>
      <c r="L1380" s="2">
        <v>2556.1972000000001</v>
      </c>
      <c r="M1380" s="2" t="str">
        <f>IF(ESales_DB[[#This Row],[Total_Amount]]&gt;1000,"High","Low")</f>
        <v>High</v>
      </c>
      <c r="N1380" s="2" t="str">
        <f>VLOOKUP(ESales_DB[[#This Row],[Customer_ID]],Ecustom_DB[],3,FALSE)</f>
        <v>Brittney Morgan</v>
      </c>
      <c r="O1380" s="2" t="str">
        <f>_xlfn.XLOOKUP(ESales_DB[[#This Row],[Product_ID]],Eproduct_DB[Product_ID],Eproduct_DB[Category])</f>
        <v>Electronics</v>
      </c>
      <c r="P1380" s="2" t="str">
        <f>_xlfn.XLOOKUP(ESales_DB[[#This Row],[Product_ID]],Eproduct_DB[Product_ID],Eproduct_DB[Product_Name])</f>
        <v>Laptop Cooling Pad</v>
      </c>
      <c r="Q1380" s="2" t="str">
        <f>_xlfn.XLOOKUP(ESales_DB[[#This Row],[Store_ID]],Estore_DB[Store_ID],Estore_DB[Region])</f>
        <v>North</v>
      </c>
      <c r="R1380" t="str">
        <f>VLOOKUP(ESales_DB[[#This Row],[Customer_ID]],Ecustom_DB[],10,FALSE)</f>
        <v>Gold</v>
      </c>
      <c r="S1380" t="str">
        <f>IF(ESales_DB[[#This Row],[Quantity1]]&gt;3,"Bulk order","Normal order")</f>
        <v>Bulk order</v>
      </c>
    </row>
    <row r="1381" spans="1:19" x14ac:dyDescent="0.3">
      <c r="A1381" t="s">
        <v>1870</v>
      </c>
      <c r="B1381" s="4">
        <v>45538</v>
      </c>
      <c r="C1381" s="4" t="str">
        <f>TEXT(ESales_DB[[#This Row],[Order_Date]],"mmm")</f>
        <v>Sep</v>
      </c>
      <c r="D1381" t="s">
        <v>663</v>
      </c>
      <c r="E1381" t="s">
        <v>1634</v>
      </c>
      <c r="F1381" t="s">
        <v>1794</v>
      </c>
      <c r="G1381">
        <v>2</v>
      </c>
      <c r="H1381" s="10">
        <f>IF(ISBLANK(ESales_DB[[#This Row],[Quantity]]),AVERAGEIF(ESales_DB[Product_ID],ESales_DB[[#This Row],[Product_ID]],ESales_DB[Quantity]),ESales_DB[[#This Row],[Quantity]])</f>
        <v>2</v>
      </c>
      <c r="I1381" s="2">
        <v>209.32</v>
      </c>
      <c r="J1381">
        <v>0.23</v>
      </c>
      <c r="K1381" t="s">
        <v>1829</v>
      </c>
      <c r="L1381" s="2">
        <v>322.3528</v>
      </c>
      <c r="M1381" s="2" t="str">
        <f>IF(ESales_DB[[#This Row],[Total_Amount]]&gt;1000,"High","Low")</f>
        <v>Low</v>
      </c>
      <c r="N1381" s="2" t="str">
        <f>VLOOKUP(ESales_DB[[#This Row],[Customer_ID]],Ecustom_DB[],3,FALSE)</f>
        <v>Sarah Brady</v>
      </c>
      <c r="O1381" s="2" t="str">
        <f>_xlfn.XLOOKUP(ESales_DB[[#This Row],[Product_ID]],Eproduct_DB[Product_ID],Eproduct_DB[Category])</f>
        <v>Electronics</v>
      </c>
      <c r="P1381" s="2" t="str">
        <f>_xlfn.XLOOKUP(ESales_DB[[#This Row],[Product_ID]],Eproduct_DB[Product_ID],Eproduct_DB[Product_Name])</f>
        <v>USB External Hard Drive</v>
      </c>
      <c r="Q1381" s="2" t="str">
        <f>_xlfn.XLOOKUP(ESales_DB[[#This Row],[Store_ID]],Estore_DB[Store_ID],Estore_DB[Region])</f>
        <v>North</v>
      </c>
      <c r="R1381" t="str">
        <f>VLOOKUP(ESales_DB[[#This Row],[Customer_ID]],Ecustom_DB[],10,FALSE)</f>
        <v>Platinum</v>
      </c>
      <c r="S1381" t="str">
        <f>IF(ESales_DB[[#This Row],[Quantity1]]&gt;3,"Bulk order","Normal order")</f>
        <v>Normal order</v>
      </c>
    </row>
    <row r="1382" spans="1:19" x14ac:dyDescent="0.3">
      <c r="A1382" t="s">
        <v>2266</v>
      </c>
      <c r="B1382" s="4">
        <v>45736</v>
      </c>
      <c r="C1382" s="4" t="str">
        <f>TEXT(ESales_DB[[#This Row],[Order_Date]],"mmm")</f>
        <v>Mar</v>
      </c>
      <c r="D1382" t="s">
        <v>40</v>
      </c>
      <c r="E1382" t="s">
        <v>1718</v>
      </c>
      <c r="F1382" t="s">
        <v>1752</v>
      </c>
      <c r="G1382">
        <v>2</v>
      </c>
      <c r="H1382" s="10">
        <f>IF(ISBLANK(ESales_DB[[#This Row],[Quantity]]),AVERAGEIF(ESales_DB[Product_ID],ESales_DB[[#This Row],[Product_ID]],ESales_DB[Quantity]),ESales_DB[[#This Row],[Quantity]])</f>
        <v>2</v>
      </c>
      <c r="I1382" s="2">
        <v>226.43</v>
      </c>
      <c r="J1382">
        <v>0.03</v>
      </c>
      <c r="K1382" t="s">
        <v>1824</v>
      </c>
      <c r="L1382" s="2">
        <v>439.27420000000001</v>
      </c>
      <c r="M1382" s="2" t="str">
        <f>IF(ESales_DB[[#This Row],[Total_Amount]]&gt;1000,"High","Low")</f>
        <v>Low</v>
      </c>
      <c r="N1382" s="2" t="str">
        <f>VLOOKUP(ESales_DB[[#This Row],[Customer_ID]],Ecustom_DB[],3,FALSE)</f>
        <v>Daniel Boyd</v>
      </c>
      <c r="O1382" s="2" t="str">
        <f>_xlfn.XLOOKUP(ESales_DB[[#This Row],[Product_ID]],Eproduct_DB[Product_ID],Eproduct_DB[Category])</f>
        <v>Clothing</v>
      </c>
      <c r="P1382" s="2" t="str">
        <f>_xlfn.XLOOKUP(ESales_DB[[#This Row],[Product_ID]],Eproduct_DB[Product_ID],Eproduct_DB[Product_Name])</f>
        <v>Women's Beanie Hat</v>
      </c>
      <c r="Q1382" s="2" t="str">
        <f>_xlfn.XLOOKUP(ESales_DB[[#This Row],[Store_ID]],Estore_DB[Store_ID],Estore_DB[Region])</f>
        <v>East</v>
      </c>
      <c r="R1382" t="str">
        <f>VLOOKUP(ESales_DB[[#This Row],[Customer_ID]],Ecustom_DB[],10,FALSE)</f>
        <v>Bronze</v>
      </c>
      <c r="S1382" t="str">
        <f>IF(ESales_DB[[#This Row],[Quantity1]]&gt;3,"Bulk order","Normal order")</f>
        <v>Normal order</v>
      </c>
    </row>
    <row r="1383" spans="1:19" x14ac:dyDescent="0.3">
      <c r="A1383" t="s">
        <v>2267</v>
      </c>
      <c r="B1383" s="4">
        <v>45480</v>
      </c>
      <c r="C1383" s="4" t="str">
        <f>TEXT(ESales_DB[[#This Row],[Order_Date]],"mmm")</f>
        <v>Jul</v>
      </c>
      <c r="D1383" t="s">
        <v>141</v>
      </c>
      <c r="E1383" t="s">
        <v>1706</v>
      </c>
      <c r="F1383" t="s">
        <v>1773</v>
      </c>
      <c r="G1383">
        <v>2</v>
      </c>
      <c r="H1383" s="10">
        <f>IF(ISBLANK(ESales_DB[[#This Row],[Quantity]]),AVERAGEIF(ESales_DB[Product_ID],ESales_DB[[#This Row],[Product_ID]],ESales_DB[Quantity]),ESales_DB[[#This Row],[Quantity]])</f>
        <v>2</v>
      </c>
      <c r="I1383" s="2">
        <v>285.39</v>
      </c>
      <c r="J1383">
        <v>0.1</v>
      </c>
      <c r="K1383" t="s">
        <v>1824</v>
      </c>
      <c r="L1383" s="2">
        <v>513.702</v>
      </c>
      <c r="M1383" s="2" t="str">
        <f>IF(ESales_DB[[#This Row],[Total_Amount]]&gt;1000,"High","Low")</f>
        <v>Low</v>
      </c>
      <c r="N1383" s="2" t="str">
        <f>VLOOKUP(ESales_DB[[#This Row],[Customer_ID]],Ecustom_DB[],3,FALSE)</f>
        <v>Rachel Myers</v>
      </c>
      <c r="O1383" s="2" t="str">
        <f>_xlfn.XLOOKUP(ESales_DB[[#This Row],[Product_ID]],Eproduct_DB[Product_ID],Eproduct_DB[Category])</f>
        <v>Home</v>
      </c>
      <c r="P1383" s="2" t="str">
        <f>_xlfn.XLOOKUP(ESales_DB[[#This Row],[Product_ID]],Eproduct_DB[Product_ID],Eproduct_DB[Product_Name])</f>
        <v>Decorative Lamp Shade</v>
      </c>
      <c r="Q1383" s="2" t="str">
        <f>_xlfn.XLOOKUP(ESales_DB[[#This Row],[Store_ID]],Estore_DB[Store_ID],Estore_DB[Region])</f>
        <v>North</v>
      </c>
      <c r="R1383" t="str">
        <f>VLOOKUP(ESales_DB[[#This Row],[Customer_ID]],Ecustom_DB[],10,FALSE)</f>
        <v>Silver</v>
      </c>
      <c r="S1383" t="str">
        <f>IF(ESales_DB[[#This Row],[Quantity1]]&gt;3,"Bulk order","Normal order")</f>
        <v>Normal order</v>
      </c>
    </row>
    <row r="1384" spans="1:19" x14ac:dyDescent="0.3">
      <c r="A1384" t="s">
        <v>2268</v>
      </c>
      <c r="B1384" s="4">
        <v>45929</v>
      </c>
      <c r="C1384" s="4" t="str">
        <f>TEXT(ESales_DB[[#This Row],[Order_Date]],"mmm")</f>
        <v>Sep</v>
      </c>
      <c r="D1384" t="s">
        <v>1050</v>
      </c>
      <c r="E1384" t="s">
        <v>1570</v>
      </c>
      <c r="F1384" t="s">
        <v>1801</v>
      </c>
      <c r="G1384">
        <v>2</v>
      </c>
      <c r="H1384" s="10">
        <f>IF(ISBLANK(ESales_DB[[#This Row],[Quantity]]),AVERAGEIF(ESales_DB[Product_ID],ESales_DB[[#This Row],[Product_ID]],ESales_DB[Quantity]),ESales_DB[[#This Row],[Quantity]])</f>
        <v>2</v>
      </c>
      <c r="I1384" s="2">
        <v>298.01</v>
      </c>
      <c r="J1384">
        <v>0.05</v>
      </c>
      <c r="K1384" t="s">
        <v>1824</v>
      </c>
      <c r="L1384" s="2">
        <v>566.21899999999994</v>
      </c>
      <c r="M1384" s="2" t="str">
        <f>IF(ESales_DB[[#This Row],[Total_Amount]]&gt;1000,"High","Low")</f>
        <v>Low</v>
      </c>
      <c r="N1384" s="2" t="str">
        <f>VLOOKUP(ESales_DB[[#This Row],[Customer_ID]],Ecustom_DB[],3,FALSE)</f>
        <v>Mr. Christopher Sims</v>
      </c>
      <c r="O1384" s="2" t="str">
        <f>_xlfn.XLOOKUP(ESales_DB[[#This Row],[Product_ID]],Eproduct_DB[Product_ID],Eproduct_DB[Category])</f>
        <v>Electronics</v>
      </c>
      <c r="P1384" s="2" t="str">
        <f>_xlfn.XLOOKUP(ESales_DB[[#This Row],[Product_ID]],Eproduct_DB[Product_ID],Eproduct_DB[Product_Name])</f>
        <v>HD Smart TV Stick</v>
      </c>
      <c r="Q1384" s="2" t="str">
        <f>_xlfn.XLOOKUP(ESales_DB[[#This Row],[Store_ID]],Estore_DB[Store_ID],Estore_DB[Region])</f>
        <v>North</v>
      </c>
      <c r="R1384" t="str">
        <f>VLOOKUP(ESales_DB[[#This Row],[Customer_ID]],Ecustom_DB[],10,FALSE)</f>
        <v>Silver</v>
      </c>
      <c r="S1384" t="str">
        <f>IF(ESales_DB[[#This Row],[Quantity1]]&gt;3,"Bulk order","Normal order")</f>
        <v>Normal order</v>
      </c>
    </row>
    <row r="1385" spans="1:19" x14ac:dyDescent="0.3">
      <c r="A1385" t="s">
        <v>2269</v>
      </c>
      <c r="B1385" s="4">
        <v>45626</v>
      </c>
      <c r="C1385" s="4" t="str">
        <f>TEXT(ESales_DB[[#This Row],[Order_Date]],"mmm")</f>
        <v>Nov</v>
      </c>
      <c r="D1385" t="s">
        <v>532</v>
      </c>
      <c r="E1385" t="s">
        <v>1628</v>
      </c>
      <c r="F1385" t="s">
        <v>1769</v>
      </c>
      <c r="G1385">
        <v>4</v>
      </c>
      <c r="H1385" s="10">
        <f>IF(ISBLANK(ESales_DB[[#This Row],[Quantity]]),AVERAGEIF(ESales_DB[Product_ID],ESales_DB[[#This Row],[Product_ID]],ESales_DB[Quantity]),ESales_DB[[#This Row],[Quantity]])</f>
        <v>4</v>
      </c>
      <c r="I1385" s="2">
        <v>753.49</v>
      </c>
      <c r="J1385">
        <v>0.26</v>
      </c>
      <c r="K1385" t="s">
        <v>1829</v>
      </c>
      <c r="L1385" s="2">
        <v>2230.3303999999998</v>
      </c>
      <c r="M1385" s="2" t="str">
        <f>IF(ESales_DB[[#This Row],[Total_Amount]]&gt;1000,"High","Low")</f>
        <v>High</v>
      </c>
      <c r="N1385" s="2" t="str">
        <f>VLOOKUP(ESales_DB[[#This Row],[Customer_ID]],Ecustom_DB[],3,FALSE)</f>
        <v>Brian Choi</v>
      </c>
      <c r="O1385" s="2" t="str">
        <f>_xlfn.XLOOKUP(ESales_DB[[#This Row],[Product_ID]],Eproduct_DB[Product_ID],Eproduct_DB[Category])</f>
        <v>Electronics</v>
      </c>
      <c r="P1385" s="2" t="str">
        <f>_xlfn.XLOOKUP(ESales_DB[[#This Row],[Product_ID]],Eproduct_DB[Product_ID],Eproduct_DB[Product_Name])</f>
        <v>Noise-Canceling Headphones</v>
      </c>
      <c r="Q1385" s="2" t="str">
        <f>_xlfn.XLOOKUP(ESales_DB[[#This Row],[Store_ID]],Estore_DB[Store_ID],Estore_DB[Region])</f>
        <v>South</v>
      </c>
      <c r="R1385" t="str">
        <f>VLOOKUP(ESales_DB[[#This Row],[Customer_ID]],Ecustom_DB[],10,FALSE)</f>
        <v>Gold</v>
      </c>
      <c r="S1385" t="str">
        <f>IF(ESales_DB[[#This Row],[Quantity1]]&gt;3,"Bulk order","Normal order")</f>
        <v>Bulk order</v>
      </c>
    </row>
    <row r="1386" spans="1:19" x14ac:dyDescent="0.3">
      <c r="A1386" t="s">
        <v>2270</v>
      </c>
      <c r="B1386" s="4">
        <v>45460</v>
      </c>
      <c r="C1386" s="4" t="str">
        <f>TEXT(ESales_DB[[#This Row],[Order_Date]],"mmm")</f>
        <v>Jun</v>
      </c>
      <c r="D1386" t="s">
        <v>1501</v>
      </c>
      <c r="E1386" t="s">
        <v>1704</v>
      </c>
      <c r="F1386" t="s">
        <v>1794</v>
      </c>
      <c r="G1386">
        <v>2</v>
      </c>
      <c r="H1386" s="10">
        <f>IF(ISBLANK(ESales_DB[[#This Row],[Quantity]]),AVERAGEIF(ESales_DB[Product_ID],ESales_DB[[#This Row],[Product_ID]],ESales_DB[Quantity]),ESales_DB[[#This Row],[Quantity]])</f>
        <v>2</v>
      </c>
      <c r="I1386" s="2">
        <v>130.38999999999999</v>
      </c>
      <c r="J1386">
        <v>0.17</v>
      </c>
      <c r="K1386" t="s">
        <v>1826</v>
      </c>
      <c r="L1386" s="2">
        <v>216.44739999999999</v>
      </c>
      <c r="M1386" s="2" t="str">
        <f>IF(ESales_DB[[#This Row],[Total_Amount]]&gt;1000,"High","Low")</f>
        <v>Low</v>
      </c>
      <c r="N1386" s="2" t="str">
        <f>VLOOKUP(ESales_DB[[#This Row],[Customer_ID]],Ecustom_DB[],3,FALSE)</f>
        <v>Zachary Andrade</v>
      </c>
      <c r="O1386" s="2" t="str">
        <f>_xlfn.XLOOKUP(ESales_DB[[#This Row],[Product_ID]],Eproduct_DB[Product_ID],Eproduct_DB[Category])</f>
        <v>Home</v>
      </c>
      <c r="P1386" s="2" t="str">
        <f>_xlfn.XLOOKUP(ESales_DB[[#This Row],[Product_ID]],Eproduct_DB[Product_ID],Eproduct_DB[Product_Name])</f>
        <v>Essential Oil Diffuser</v>
      </c>
      <c r="Q1386" s="2" t="str">
        <f>_xlfn.XLOOKUP(ESales_DB[[#This Row],[Store_ID]],Estore_DB[Store_ID],Estore_DB[Region])</f>
        <v>North</v>
      </c>
      <c r="R1386" t="str">
        <f>VLOOKUP(ESales_DB[[#This Row],[Customer_ID]],Ecustom_DB[],10,FALSE)</f>
        <v>Platinum</v>
      </c>
      <c r="S1386" t="str">
        <f>IF(ESales_DB[[#This Row],[Quantity1]]&gt;3,"Bulk order","Normal order")</f>
        <v>Normal order</v>
      </c>
    </row>
    <row r="1387" spans="1:19" x14ac:dyDescent="0.3">
      <c r="A1387" t="s">
        <v>2271</v>
      </c>
      <c r="B1387" s="4">
        <v>45709</v>
      </c>
      <c r="C1387" s="4" t="str">
        <f>TEXT(ESales_DB[[#This Row],[Order_Date]],"mmm")</f>
        <v>Feb</v>
      </c>
      <c r="D1387" t="s">
        <v>1083</v>
      </c>
      <c r="E1387" t="s">
        <v>1592</v>
      </c>
      <c r="F1387" t="s">
        <v>1786</v>
      </c>
      <c r="G1387">
        <v>4</v>
      </c>
      <c r="H1387" s="10">
        <f>IF(ISBLANK(ESales_DB[[#This Row],[Quantity]]),AVERAGEIF(ESales_DB[Product_ID],ESales_DB[[#This Row],[Product_ID]],ESales_DB[Quantity]),ESales_DB[[#This Row],[Quantity]])</f>
        <v>4</v>
      </c>
      <c r="I1387" s="2">
        <v>164.02</v>
      </c>
      <c r="J1387">
        <v>0.01</v>
      </c>
      <c r="K1387" t="s">
        <v>1826</v>
      </c>
      <c r="L1387" s="2">
        <v>649.51920000000007</v>
      </c>
      <c r="M1387" s="2" t="str">
        <f>IF(ESales_DB[[#This Row],[Total_Amount]]&gt;1000,"High","Low")</f>
        <v>Low</v>
      </c>
      <c r="N1387" s="2" t="str">
        <f>VLOOKUP(ESales_DB[[#This Row],[Customer_ID]],Ecustom_DB[],3,FALSE)</f>
        <v>Daniel Nelson</v>
      </c>
      <c r="O1387" s="2" t="str">
        <f>_xlfn.XLOOKUP(ESales_DB[[#This Row],[Product_ID]],Eproduct_DB[Product_ID],Eproduct_DB[Category])</f>
        <v>Sports</v>
      </c>
      <c r="P1387" s="2" t="str">
        <f>_xlfn.XLOOKUP(ESales_DB[[#This Row],[Product_ID]],Eproduct_DB[Product_ID],Eproduct_DB[Product_Name])</f>
        <v>Carbon Fiber Tennis Racket</v>
      </c>
      <c r="Q1387" s="2" t="str">
        <f>_xlfn.XLOOKUP(ESales_DB[[#This Row],[Store_ID]],Estore_DB[Store_ID],Estore_DB[Region])</f>
        <v>South</v>
      </c>
      <c r="R1387" t="str">
        <f>VLOOKUP(ESales_DB[[#This Row],[Customer_ID]],Ecustom_DB[],10,FALSE)</f>
        <v>Bronze</v>
      </c>
      <c r="S1387" t="str">
        <f>IF(ESales_DB[[#This Row],[Quantity1]]&gt;3,"Bulk order","Normal order")</f>
        <v>Bulk order</v>
      </c>
    </row>
    <row r="1388" spans="1:19" x14ac:dyDescent="0.3">
      <c r="A1388" t="s">
        <v>2272</v>
      </c>
      <c r="B1388" s="4">
        <v>45551</v>
      </c>
      <c r="C1388" s="4" t="str">
        <f>TEXT(ESales_DB[[#This Row],[Order_Date]],"mmm")</f>
        <v>Sep</v>
      </c>
      <c r="D1388" t="s">
        <v>547</v>
      </c>
      <c r="E1388" t="s">
        <v>1606</v>
      </c>
      <c r="F1388" t="s">
        <v>1769</v>
      </c>
      <c r="G1388">
        <v>2</v>
      </c>
      <c r="H1388" s="10">
        <f>IF(ISBLANK(ESales_DB[[#This Row],[Quantity]]),AVERAGEIF(ESales_DB[Product_ID],ESales_DB[[#This Row],[Product_ID]],ESales_DB[Quantity]),ESales_DB[[#This Row],[Quantity]])</f>
        <v>2</v>
      </c>
      <c r="I1388" s="2">
        <v>527.51</v>
      </c>
      <c r="J1388">
        <v>0.18</v>
      </c>
      <c r="K1388" t="s">
        <v>1826</v>
      </c>
      <c r="L1388" s="2">
        <v>865.1164</v>
      </c>
      <c r="M1388" s="2" t="str">
        <f>IF(ESales_DB[[#This Row],[Total_Amount]]&gt;1000,"High","Low")</f>
        <v>Low</v>
      </c>
      <c r="N1388" s="2" t="str">
        <f>VLOOKUP(ESales_DB[[#This Row],[Customer_ID]],Ecustom_DB[],3,FALSE)</f>
        <v>Daniel Rivas</v>
      </c>
      <c r="O1388" s="2" t="str">
        <f>_xlfn.XLOOKUP(ESales_DB[[#This Row],[Product_ID]],Eproduct_DB[Product_ID],Eproduct_DB[Category])</f>
        <v>Home</v>
      </c>
      <c r="P1388" s="2" t="str">
        <f>_xlfn.XLOOKUP(ESales_DB[[#This Row],[Product_ID]],Eproduct_DB[Product_ID],Eproduct_DB[Product_Name])</f>
        <v>Fabric Sofa Throw Blanket</v>
      </c>
      <c r="Q1388" s="2" t="str">
        <f>_xlfn.XLOOKUP(ESales_DB[[#This Row],[Store_ID]],Estore_DB[Store_ID],Estore_DB[Region])</f>
        <v>South</v>
      </c>
      <c r="R1388" t="str">
        <f>VLOOKUP(ESales_DB[[#This Row],[Customer_ID]],Ecustom_DB[],10,FALSE)</f>
        <v>Silver</v>
      </c>
      <c r="S1388" t="str">
        <f>IF(ESales_DB[[#This Row],[Quantity1]]&gt;3,"Bulk order","Normal order")</f>
        <v>Normal order</v>
      </c>
    </row>
    <row r="1389" spans="1:19" x14ac:dyDescent="0.3">
      <c r="A1389" t="s">
        <v>2273</v>
      </c>
      <c r="B1389" s="4">
        <v>45939</v>
      </c>
      <c r="C1389" s="4" t="str">
        <f>TEXT(ESales_DB[[#This Row],[Order_Date]],"mmm")</f>
        <v>Oct</v>
      </c>
      <c r="D1389" t="s">
        <v>809</v>
      </c>
      <c r="E1389" t="s">
        <v>1662</v>
      </c>
      <c r="F1389" t="s">
        <v>1797</v>
      </c>
      <c r="G1389">
        <v>3</v>
      </c>
      <c r="H1389" s="10">
        <f>IF(ISBLANK(ESales_DB[[#This Row],[Quantity]]),AVERAGEIF(ESales_DB[Product_ID],ESales_DB[[#This Row],[Product_ID]],ESales_DB[Quantity]),ESales_DB[[#This Row],[Quantity]])</f>
        <v>3</v>
      </c>
      <c r="I1389" s="2">
        <v>628.17999999999995</v>
      </c>
      <c r="J1389">
        <v>0.26</v>
      </c>
      <c r="K1389" t="s">
        <v>1824</v>
      </c>
      <c r="L1389" s="2">
        <v>1394.5596</v>
      </c>
      <c r="M1389" s="2" t="str">
        <f>IF(ESales_DB[[#This Row],[Total_Amount]]&gt;1000,"High","Low")</f>
        <v>High</v>
      </c>
      <c r="N1389" s="2" t="str">
        <f>VLOOKUP(ESales_DB[[#This Row],[Customer_ID]],Ecustom_DB[],3,FALSE)</f>
        <v>Dr. Ashley Yates Md</v>
      </c>
      <c r="O1389" s="2" t="str">
        <f>_xlfn.XLOOKUP(ESales_DB[[#This Row],[Product_ID]],Eproduct_DB[Product_ID],Eproduct_DB[Category])</f>
        <v>Sports</v>
      </c>
      <c r="P1389" s="2" t="str">
        <f>_xlfn.XLOOKUP(ESales_DB[[#This Row],[Product_ID]],Eproduct_DB[Product_ID],Eproduct_DB[Product_Name])</f>
        <v>Foam Roller</v>
      </c>
      <c r="Q1389" s="2" t="str">
        <f>_xlfn.XLOOKUP(ESales_DB[[#This Row],[Store_ID]],Estore_DB[Store_ID],Estore_DB[Region])</f>
        <v>East</v>
      </c>
      <c r="R1389" t="str">
        <f>VLOOKUP(ESales_DB[[#This Row],[Customer_ID]],Ecustom_DB[],10,FALSE)</f>
        <v>Bronze</v>
      </c>
      <c r="S1389" t="str">
        <f>IF(ESales_DB[[#This Row],[Quantity1]]&gt;3,"Bulk order","Normal order")</f>
        <v>Normal order</v>
      </c>
    </row>
    <row r="1390" spans="1:19" x14ac:dyDescent="0.3">
      <c r="A1390" t="s">
        <v>2274</v>
      </c>
      <c r="B1390" s="4">
        <v>45553</v>
      </c>
      <c r="C1390" s="4" t="str">
        <f>TEXT(ESales_DB[[#This Row],[Order_Date]],"mmm")</f>
        <v>Sep</v>
      </c>
      <c r="D1390" t="s">
        <v>857</v>
      </c>
      <c r="E1390" t="s">
        <v>1660</v>
      </c>
      <c r="F1390" t="s">
        <v>1766</v>
      </c>
      <c r="G1390">
        <v>1</v>
      </c>
      <c r="H1390" s="10">
        <f>IF(ISBLANK(ESales_DB[[#This Row],[Quantity]]),AVERAGEIF(ESales_DB[Product_ID],ESales_DB[[#This Row],[Product_ID]],ESales_DB[Quantity]),ESales_DB[[#This Row],[Quantity]])</f>
        <v>1</v>
      </c>
      <c r="I1390" s="2">
        <v>862.31</v>
      </c>
      <c r="J1390">
        <v>0.06</v>
      </c>
      <c r="K1390" t="s">
        <v>1824</v>
      </c>
      <c r="L1390" s="2">
        <v>810.57139999999993</v>
      </c>
      <c r="M1390" s="2" t="str">
        <f>IF(ESales_DB[[#This Row],[Total_Amount]]&gt;1000,"High","Low")</f>
        <v>Low</v>
      </c>
      <c r="N1390" s="2" t="str">
        <f>VLOOKUP(ESales_DB[[#This Row],[Customer_ID]],Ecustom_DB[],3,FALSE)</f>
        <v>Tyrone Olson</v>
      </c>
      <c r="O1390" s="2" t="str">
        <f>_xlfn.XLOOKUP(ESales_DB[[#This Row],[Product_ID]],Eproduct_DB[Product_ID],Eproduct_DB[Category])</f>
        <v>Home</v>
      </c>
      <c r="P1390" s="2" t="str">
        <f>_xlfn.XLOOKUP(ESales_DB[[#This Row],[Product_ID]],Eproduct_DB[Product_ID],Eproduct_DB[Product_Name])</f>
        <v>Premium Blanket Throw</v>
      </c>
      <c r="Q1390" s="2" t="str">
        <f>_xlfn.XLOOKUP(ESales_DB[[#This Row],[Store_ID]],Estore_DB[Store_ID],Estore_DB[Region])</f>
        <v>North</v>
      </c>
      <c r="R1390" t="str">
        <f>VLOOKUP(ESales_DB[[#This Row],[Customer_ID]],Ecustom_DB[],10,FALSE)</f>
        <v>Silver</v>
      </c>
      <c r="S1390" t="str">
        <f>IF(ESales_DB[[#This Row],[Quantity1]]&gt;3,"Bulk order","Normal order")</f>
        <v>Normal order</v>
      </c>
    </row>
    <row r="1391" spans="1:19" x14ac:dyDescent="0.3">
      <c r="A1391" t="s">
        <v>2275</v>
      </c>
      <c r="B1391" s="4">
        <v>45806</v>
      </c>
      <c r="C1391" s="4" t="str">
        <f>TEXT(ESales_DB[[#This Row],[Order_Date]],"mmm")</f>
        <v>May</v>
      </c>
      <c r="D1391" t="s">
        <v>261</v>
      </c>
      <c r="E1391" t="s">
        <v>1714</v>
      </c>
      <c r="F1391" t="s">
        <v>1799</v>
      </c>
      <c r="G1391">
        <v>2</v>
      </c>
      <c r="H1391" s="10">
        <f>IF(ISBLANK(ESales_DB[[#This Row],[Quantity]]),AVERAGEIF(ESales_DB[Product_ID],ESales_DB[[#This Row],[Product_ID]],ESales_DB[Quantity]),ESales_DB[[#This Row],[Quantity]])</f>
        <v>2</v>
      </c>
      <c r="I1391" s="2">
        <v>541.39</v>
      </c>
      <c r="J1391">
        <v>0.03</v>
      </c>
      <c r="K1391" t="s">
        <v>1829</v>
      </c>
      <c r="L1391" s="2">
        <v>1050.2965999999999</v>
      </c>
      <c r="M1391" s="2" t="str">
        <f>IF(ESales_DB[[#This Row],[Total_Amount]]&gt;1000,"High","Low")</f>
        <v>High</v>
      </c>
      <c r="N1391" s="2" t="str">
        <f>VLOOKUP(ESales_DB[[#This Row],[Customer_ID]],Ecustom_DB[],3,FALSE)</f>
        <v>Andrea Perez</v>
      </c>
      <c r="O1391" s="2" t="str">
        <f>_xlfn.XLOOKUP(ESales_DB[[#This Row],[Product_ID]],Eproduct_DB[Product_ID],Eproduct_DB[Category])</f>
        <v>Beauty</v>
      </c>
      <c r="P1391" s="2" t="str">
        <f>_xlfn.XLOOKUP(ESales_DB[[#This Row],[Product_ID]],Eproduct_DB[Product_ID],Eproduct_DB[Product_Name])</f>
        <v>Hydrating Face Cleanser</v>
      </c>
      <c r="Q1391" s="2" t="str">
        <f>_xlfn.XLOOKUP(ESales_DB[[#This Row],[Store_ID]],Estore_DB[Store_ID],Estore_DB[Region])</f>
        <v>South</v>
      </c>
      <c r="R1391" t="str">
        <f>VLOOKUP(ESales_DB[[#This Row],[Customer_ID]],Ecustom_DB[],10,FALSE)</f>
        <v>Gold</v>
      </c>
      <c r="S1391" t="str">
        <f>IF(ESales_DB[[#This Row],[Quantity1]]&gt;3,"Bulk order","Normal order")</f>
        <v>Normal order</v>
      </c>
    </row>
    <row r="1392" spans="1:19" x14ac:dyDescent="0.3">
      <c r="A1392" t="s">
        <v>1871</v>
      </c>
      <c r="B1392" s="4">
        <v>45606</v>
      </c>
      <c r="C1392" s="4" t="str">
        <f>TEXT(ESales_DB[[#This Row],[Order_Date]],"mmm")</f>
        <v>Nov</v>
      </c>
      <c r="D1392" t="s">
        <v>1449</v>
      </c>
      <c r="E1392" t="s">
        <v>1666</v>
      </c>
      <c r="F1392" t="s">
        <v>1782</v>
      </c>
      <c r="G1392">
        <v>4</v>
      </c>
      <c r="H1392" s="10">
        <f>IF(ISBLANK(ESales_DB[[#This Row],[Quantity]]),AVERAGEIF(ESales_DB[Product_ID],ESales_DB[[#This Row],[Product_ID]],ESales_DB[Quantity]),ESales_DB[[#This Row],[Quantity]])</f>
        <v>4</v>
      </c>
      <c r="I1392" s="2">
        <v>288.60000000000002</v>
      </c>
      <c r="J1392">
        <v>0.09</v>
      </c>
      <c r="K1392" t="s">
        <v>1826</v>
      </c>
      <c r="L1392" s="2">
        <v>1050.5039999999999</v>
      </c>
      <c r="M1392" s="2" t="str">
        <f>IF(ESales_DB[[#This Row],[Total_Amount]]&gt;1000,"High","Low")</f>
        <v>High</v>
      </c>
      <c r="N1392" s="2" t="str">
        <f>VLOOKUP(ESales_DB[[#This Row],[Customer_ID]],Ecustom_DB[],3,FALSE)</f>
        <v>Manuel Fisher</v>
      </c>
      <c r="O1392" s="2" t="str">
        <f>_xlfn.XLOOKUP(ESales_DB[[#This Row],[Product_ID]],Eproduct_DB[Product_ID],Eproduct_DB[Category])</f>
        <v>Beauty</v>
      </c>
      <c r="P1392" s="2" t="str">
        <f>_xlfn.XLOOKUP(ESales_DB[[#This Row],[Product_ID]],Eproduct_DB[Product_ID],Eproduct_DB[Product_Name])</f>
        <v>Men's Hair Styling Gel</v>
      </c>
      <c r="Q1392" s="2" t="str">
        <f>_xlfn.XLOOKUP(ESales_DB[[#This Row],[Store_ID]],Estore_DB[Store_ID],Estore_DB[Region])</f>
        <v>West</v>
      </c>
      <c r="R1392" t="str">
        <f>VLOOKUP(ESales_DB[[#This Row],[Customer_ID]],Ecustom_DB[],10,FALSE)</f>
        <v>Gold</v>
      </c>
      <c r="S1392" t="str">
        <f>IF(ESales_DB[[#This Row],[Quantity1]]&gt;3,"Bulk order","Normal order")</f>
        <v>Bulk order</v>
      </c>
    </row>
    <row r="1393" spans="1:19" x14ac:dyDescent="0.3">
      <c r="A1393" t="s">
        <v>2276</v>
      </c>
      <c r="B1393" s="4">
        <v>45811</v>
      </c>
      <c r="C1393" s="4" t="str">
        <f>TEXT(ESales_DB[[#This Row],[Order_Date]],"mmm")</f>
        <v>Jun</v>
      </c>
      <c r="D1393" t="s">
        <v>1469</v>
      </c>
      <c r="E1393" t="s">
        <v>1700</v>
      </c>
      <c r="F1393" t="s">
        <v>1804</v>
      </c>
      <c r="G1393">
        <v>3</v>
      </c>
      <c r="H1393" s="10">
        <f>IF(ISBLANK(ESales_DB[[#This Row],[Quantity]]),AVERAGEIF(ESales_DB[Product_ID],ESales_DB[[#This Row],[Product_ID]],ESales_DB[Quantity]),ESales_DB[[#This Row],[Quantity]])</f>
        <v>3</v>
      </c>
      <c r="I1393" s="2">
        <v>761.8</v>
      </c>
      <c r="J1393">
        <v>0.06</v>
      </c>
      <c r="K1393" t="s">
        <v>1829</v>
      </c>
      <c r="L1393" s="2">
        <v>2148.2759999999989</v>
      </c>
      <c r="M1393" s="2" t="str">
        <f>IF(ESales_DB[[#This Row],[Total_Amount]]&gt;1000,"High","Low")</f>
        <v>High</v>
      </c>
      <c r="N1393" s="2" t="str">
        <f>VLOOKUP(ESales_DB[[#This Row],[Customer_ID]],Ecustom_DB[],3,FALSE)</f>
        <v>Andrea Harris</v>
      </c>
      <c r="O1393" s="2" t="str">
        <f>_xlfn.XLOOKUP(ESales_DB[[#This Row],[Product_ID]],Eproduct_DB[Product_ID],Eproduct_DB[Category])</f>
        <v>Electronics</v>
      </c>
      <c r="P1393" s="2" t="str">
        <f>_xlfn.XLOOKUP(ESales_DB[[#This Row],[Product_ID]],Eproduct_DB[Product_ID],Eproduct_DB[Product_Name])</f>
        <v>Wireless Mouse</v>
      </c>
      <c r="Q1393" s="2" t="str">
        <f>_xlfn.XLOOKUP(ESales_DB[[#This Row],[Store_ID]],Estore_DB[Store_ID],Estore_DB[Region])</f>
        <v>West</v>
      </c>
      <c r="R1393" t="str">
        <f>VLOOKUP(ESales_DB[[#This Row],[Customer_ID]],Ecustom_DB[],10,FALSE)</f>
        <v>Platinum</v>
      </c>
      <c r="S1393" t="str">
        <f>IF(ESales_DB[[#This Row],[Quantity1]]&gt;3,"Bulk order","Normal order")</f>
        <v>Normal order</v>
      </c>
    </row>
    <row r="1394" spans="1:19" x14ac:dyDescent="0.3">
      <c r="A1394" t="s">
        <v>2277</v>
      </c>
      <c r="B1394" s="4">
        <v>45508</v>
      </c>
      <c r="C1394" s="4" t="str">
        <f>TEXT(ESales_DB[[#This Row],[Order_Date]],"mmm")</f>
        <v>Aug</v>
      </c>
      <c r="D1394" t="s">
        <v>1310</v>
      </c>
      <c r="E1394" t="s">
        <v>1646</v>
      </c>
      <c r="F1394" t="s">
        <v>1761</v>
      </c>
      <c r="G1394">
        <v>4</v>
      </c>
      <c r="H1394" s="10">
        <f>IF(ISBLANK(ESales_DB[[#This Row],[Quantity]]),AVERAGEIF(ESales_DB[Product_ID],ESales_DB[[#This Row],[Product_ID]],ESales_DB[Quantity]),ESales_DB[[#This Row],[Quantity]])</f>
        <v>4</v>
      </c>
      <c r="I1394" s="2">
        <v>829.36</v>
      </c>
      <c r="J1394">
        <v>0.11</v>
      </c>
      <c r="K1394" t="s">
        <v>1826</v>
      </c>
      <c r="L1394" s="2">
        <v>2952.5216</v>
      </c>
      <c r="M1394" s="2" t="str">
        <f>IF(ESales_DB[[#This Row],[Total_Amount]]&gt;1000,"High","Low")</f>
        <v>High</v>
      </c>
      <c r="N1394" s="2" t="str">
        <f>VLOOKUP(ESales_DB[[#This Row],[Customer_ID]],Ecustom_DB[],3,FALSE)</f>
        <v>Brittany Edwards Dds</v>
      </c>
      <c r="O1394" s="2" t="str">
        <f>_xlfn.XLOOKUP(ESales_DB[[#This Row],[Product_ID]],Eproduct_DB[Product_ID],Eproduct_DB[Category])</f>
        <v>Beauty</v>
      </c>
      <c r="P1394" s="2" t="str">
        <f>_xlfn.XLOOKUP(ESales_DB[[#This Row],[Product_ID]],Eproduct_DB[Product_ID],Eproduct_DB[Product_Name])</f>
        <v>Men's Roll-On Perfume</v>
      </c>
      <c r="Q1394" s="2" t="str">
        <f>_xlfn.XLOOKUP(ESales_DB[[#This Row],[Store_ID]],Estore_DB[Store_ID],Estore_DB[Region])</f>
        <v>South</v>
      </c>
      <c r="R1394" t="str">
        <f>VLOOKUP(ESales_DB[[#This Row],[Customer_ID]],Ecustom_DB[],10,FALSE)</f>
        <v>Platinum</v>
      </c>
      <c r="S1394" t="str">
        <f>IF(ESales_DB[[#This Row],[Quantity1]]&gt;3,"Bulk order","Normal order")</f>
        <v>Bulk order</v>
      </c>
    </row>
    <row r="1395" spans="1:19" x14ac:dyDescent="0.3">
      <c r="A1395" t="s">
        <v>2278</v>
      </c>
      <c r="B1395" s="4">
        <v>45460</v>
      </c>
      <c r="C1395" s="4" t="str">
        <f>TEXT(ESales_DB[[#This Row],[Order_Date]],"mmm")</f>
        <v>Jun</v>
      </c>
      <c r="D1395" t="s">
        <v>1257</v>
      </c>
      <c r="E1395" t="s">
        <v>1594</v>
      </c>
      <c r="F1395" t="s">
        <v>1804</v>
      </c>
      <c r="G1395">
        <v>2</v>
      </c>
      <c r="H1395" s="10">
        <f>IF(ISBLANK(ESales_DB[[#This Row],[Quantity]]),AVERAGEIF(ESales_DB[Product_ID],ESales_DB[[#This Row],[Product_ID]],ESales_DB[Quantity]),ESales_DB[[#This Row],[Quantity]])</f>
        <v>2</v>
      </c>
      <c r="I1395" s="2">
        <v>425.06</v>
      </c>
      <c r="J1395">
        <v>0.09</v>
      </c>
      <c r="K1395" t="s">
        <v>1826</v>
      </c>
      <c r="L1395" s="2">
        <v>773.60919999999999</v>
      </c>
      <c r="M1395" s="2" t="str">
        <f>IF(ESales_DB[[#This Row],[Total_Amount]]&gt;1000,"High","Low")</f>
        <v>Low</v>
      </c>
      <c r="N1395" s="2" t="str">
        <f>VLOOKUP(ESales_DB[[#This Row],[Customer_ID]],Ecustom_DB[],3,FALSE)</f>
        <v>David Ross</v>
      </c>
      <c r="O1395" s="2" t="str">
        <f>_xlfn.XLOOKUP(ESales_DB[[#This Row],[Product_ID]],Eproduct_DB[Product_ID],Eproduct_DB[Category])</f>
        <v>Clothing</v>
      </c>
      <c r="P1395" s="2" t="str">
        <f>_xlfn.XLOOKUP(ESales_DB[[#This Row],[Product_ID]],Eproduct_DB[Product_ID],Eproduct_DB[Product_Name])</f>
        <v>Men's Formal Shirt</v>
      </c>
      <c r="Q1395" s="2" t="str">
        <f>_xlfn.XLOOKUP(ESales_DB[[#This Row],[Store_ID]],Estore_DB[Store_ID],Estore_DB[Region])</f>
        <v>West</v>
      </c>
      <c r="R1395" t="str">
        <f>VLOOKUP(ESales_DB[[#This Row],[Customer_ID]],Ecustom_DB[],10,FALSE)</f>
        <v>Silver</v>
      </c>
      <c r="S1395" t="str">
        <f>IF(ESales_DB[[#This Row],[Quantity1]]&gt;3,"Bulk order","Normal order")</f>
        <v>Normal order</v>
      </c>
    </row>
    <row r="1396" spans="1:19" x14ac:dyDescent="0.3">
      <c r="A1396" t="s">
        <v>2279</v>
      </c>
      <c r="B1396" s="4">
        <v>45311</v>
      </c>
      <c r="C1396" s="4" t="str">
        <f>TEXT(ESales_DB[[#This Row],[Order_Date]],"mmm")</f>
        <v>Jan</v>
      </c>
      <c r="D1396" t="s">
        <v>438</v>
      </c>
      <c r="E1396" t="s">
        <v>1658</v>
      </c>
      <c r="F1396" t="s">
        <v>1752</v>
      </c>
      <c r="G1396">
        <v>2</v>
      </c>
      <c r="H1396" s="10">
        <f>IF(ISBLANK(ESales_DB[[#This Row],[Quantity]]),AVERAGEIF(ESales_DB[Product_ID],ESales_DB[[#This Row],[Product_ID]],ESales_DB[Quantity]),ESales_DB[[#This Row],[Quantity]])</f>
        <v>2</v>
      </c>
      <c r="I1396" s="2">
        <v>911.14</v>
      </c>
      <c r="J1396">
        <v>0.1</v>
      </c>
      <c r="K1396" t="s">
        <v>1824</v>
      </c>
      <c r="L1396" s="2">
        <v>1640.0519999999999</v>
      </c>
      <c r="M1396" s="2" t="str">
        <f>IF(ESales_DB[[#This Row],[Total_Amount]]&gt;1000,"High","Low")</f>
        <v>High</v>
      </c>
      <c r="N1396" s="2" t="str">
        <f>VLOOKUP(ESales_DB[[#This Row],[Customer_ID]],Ecustom_DB[],3,FALSE)</f>
        <v>John Mcknight</v>
      </c>
      <c r="O1396" s="2" t="str">
        <f>_xlfn.XLOOKUP(ESales_DB[[#This Row],[Product_ID]],Eproduct_DB[Product_ID],Eproduct_DB[Category])</f>
        <v>Home</v>
      </c>
      <c r="P1396" s="2" t="str">
        <f>_xlfn.XLOOKUP(ESales_DB[[#This Row],[Product_ID]],Eproduct_DB[Product_ID],Eproduct_DB[Product_Name])</f>
        <v>Ceramic Plant Pot</v>
      </c>
      <c r="Q1396" s="2" t="str">
        <f>_xlfn.XLOOKUP(ESales_DB[[#This Row],[Store_ID]],Estore_DB[Store_ID],Estore_DB[Region])</f>
        <v>East</v>
      </c>
      <c r="R1396" t="str">
        <f>VLOOKUP(ESales_DB[[#This Row],[Customer_ID]],Ecustom_DB[],10,FALSE)</f>
        <v>Platinum</v>
      </c>
      <c r="S1396" t="str">
        <f>IF(ESales_DB[[#This Row],[Quantity1]]&gt;3,"Bulk order","Normal order")</f>
        <v>Normal order</v>
      </c>
    </row>
    <row r="1397" spans="1:19" x14ac:dyDescent="0.3">
      <c r="A1397" t="s">
        <v>2280</v>
      </c>
      <c r="B1397" s="4">
        <v>45906</v>
      </c>
      <c r="C1397" s="4" t="str">
        <f>TEXT(ESales_DB[[#This Row],[Order_Date]],"mmm")</f>
        <v>Sep</v>
      </c>
      <c r="D1397" t="s">
        <v>304</v>
      </c>
      <c r="E1397" t="s">
        <v>1684</v>
      </c>
      <c r="F1397" t="s">
        <v>1782</v>
      </c>
      <c r="G1397">
        <v>3</v>
      </c>
      <c r="H1397" s="10">
        <f>IF(ISBLANK(ESales_DB[[#This Row],[Quantity]]),AVERAGEIF(ESales_DB[Product_ID],ESales_DB[[#This Row],[Product_ID]],ESales_DB[Quantity]),ESales_DB[[#This Row],[Quantity]])</f>
        <v>3</v>
      </c>
      <c r="I1397" s="2">
        <v>811.96</v>
      </c>
      <c r="J1397">
        <v>0.28999999999999998</v>
      </c>
      <c r="K1397" t="s">
        <v>1824</v>
      </c>
      <c r="L1397" s="2">
        <v>1729.4748</v>
      </c>
      <c r="M1397" s="2" t="str">
        <f>IF(ESales_DB[[#This Row],[Total_Amount]]&gt;1000,"High","Low")</f>
        <v>High</v>
      </c>
      <c r="N1397" s="2" t="str">
        <f>VLOOKUP(ESales_DB[[#This Row],[Customer_ID]],Ecustom_DB[],3,FALSE)</f>
        <v>Christy Hoffman</v>
      </c>
      <c r="O1397" s="2" t="str">
        <f>_xlfn.XLOOKUP(ESales_DB[[#This Row],[Product_ID]],Eproduct_DB[Product_ID],Eproduct_DB[Category])</f>
        <v>Home</v>
      </c>
      <c r="P1397" s="2" t="str">
        <f>_xlfn.XLOOKUP(ESales_DB[[#This Row],[Product_ID]],Eproduct_DB[Product_ID],Eproduct_DB[Product_Name])</f>
        <v>Wooden Nightstand</v>
      </c>
      <c r="Q1397" s="2" t="str">
        <f>_xlfn.XLOOKUP(ESales_DB[[#This Row],[Store_ID]],Estore_DB[Store_ID],Estore_DB[Region])</f>
        <v>West</v>
      </c>
      <c r="R1397" t="str">
        <f>VLOOKUP(ESales_DB[[#This Row],[Customer_ID]],Ecustom_DB[],10,FALSE)</f>
        <v>Platinum</v>
      </c>
      <c r="S1397" t="str">
        <f>IF(ESales_DB[[#This Row],[Quantity1]]&gt;3,"Bulk order","Normal order")</f>
        <v>Normal order</v>
      </c>
    </row>
    <row r="1398" spans="1:19" x14ac:dyDescent="0.3">
      <c r="A1398" t="s">
        <v>2281</v>
      </c>
      <c r="B1398" s="4">
        <v>45380</v>
      </c>
      <c r="C1398" s="4" t="str">
        <f>TEXT(ESales_DB[[#This Row],[Order_Date]],"mmm")</f>
        <v>Mar</v>
      </c>
      <c r="D1398" t="s">
        <v>869</v>
      </c>
      <c r="E1398" t="s">
        <v>1610</v>
      </c>
      <c r="F1398" t="s">
        <v>1789</v>
      </c>
      <c r="G1398">
        <v>2</v>
      </c>
      <c r="H1398" s="10">
        <f>IF(ISBLANK(ESales_DB[[#This Row],[Quantity]]),AVERAGEIF(ESales_DB[Product_ID],ESales_DB[[#This Row],[Product_ID]],ESales_DB[Quantity]),ESales_DB[[#This Row],[Quantity]])</f>
        <v>2</v>
      </c>
      <c r="I1398" s="2">
        <v>780.05</v>
      </c>
      <c r="J1398">
        <v>0.12</v>
      </c>
      <c r="K1398" t="s">
        <v>1829</v>
      </c>
      <c r="L1398" s="2">
        <v>1372.8879999999999</v>
      </c>
      <c r="M1398" s="2" t="str">
        <f>IF(ESales_DB[[#This Row],[Total_Amount]]&gt;1000,"High","Low")</f>
        <v>High</v>
      </c>
      <c r="N1398" s="2" t="str">
        <f>VLOOKUP(ESales_DB[[#This Row],[Customer_ID]],Ecustom_DB[],3,FALSE)</f>
        <v>Samantha Robinson</v>
      </c>
      <c r="O1398" s="2" t="str">
        <f>_xlfn.XLOOKUP(ESales_DB[[#This Row],[Product_ID]],Eproduct_DB[Product_ID],Eproduct_DB[Category])</f>
        <v>Sports</v>
      </c>
      <c r="P1398" s="2" t="str">
        <f>_xlfn.XLOOKUP(ESales_DB[[#This Row],[Product_ID]],Eproduct_DB[Product_ID],Eproduct_DB[Product_Name])</f>
        <v>Basketball</v>
      </c>
      <c r="Q1398" s="2" t="str">
        <f>_xlfn.XLOOKUP(ESales_DB[[#This Row],[Store_ID]],Estore_DB[Store_ID],Estore_DB[Region])</f>
        <v>East</v>
      </c>
      <c r="R1398" t="str">
        <f>VLOOKUP(ESales_DB[[#This Row],[Customer_ID]],Ecustom_DB[],10,FALSE)</f>
        <v>Bronze</v>
      </c>
      <c r="S1398" t="str">
        <f>IF(ESales_DB[[#This Row],[Quantity1]]&gt;3,"Bulk order","Normal order")</f>
        <v>Normal order</v>
      </c>
    </row>
    <row r="1399" spans="1:19" x14ac:dyDescent="0.3">
      <c r="A1399" t="s">
        <v>2282</v>
      </c>
      <c r="B1399" s="4">
        <v>45527</v>
      </c>
      <c r="C1399" s="4" t="str">
        <f>TEXT(ESales_DB[[#This Row],[Order_Date]],"mmm")</f>
        <v>Aug</v>
      </c>
      <c r="D1399" t="s">
        <v>699</v>
      </c>
      <c r="E1399" t="s">
        <v>1612</v>
      </c>
      <c r="F1399" t="s">
        <v>1786</v>
      </c>
      <c r="G1399">
        <v>4</v>
      </c>
      <c r="H1399" s="10">
        <f>IF(ISBLANK(ESales_DB[[#This Row],[Quantity]]),AVERAGEIF(ESales_DB[Product_ID],ESales_DB[[#This Row],[Product_ID]],ESales_DB[Quantity]),ESales_DB[[#This Row],[Quantity]])</f>
        <v>4</v>
      </c>
      <c r="I1399" s="2">
        <v>315.95</v>
      </c>
      <c r="J1399">
        <v>0.19</v>
      </c>
      <c r="K1399" t="s">
        <v>1829</v>
      </c>
      <c r="L1399" s="2">
        <v>1023.678</v>
      </c>
      <c r="M1399" s="2" t="str">
        <f>IF(ESales_DB[[#This Row],[Total_Amount]]&gt;1000,"High","Low")</f>
        <v>High</v>
      </c>
      <c r="N1399" s="2" t="str">
        <f>VLOOKUP(ESales_DB[[#This Row],[Customer_ID]],Ecustom_DB[],3,FALSE)</f>
        <v>Steve Medina</v>
      </c>
      <c r="O1399" s="2" t="str">
        <f>_xlfn.XLOOKUP(ESales_DB[[#This Row],[Product_ID]],Eproduct_DB[Product_ID],Eproduct_DB[Category])</f>
        <v>Beauty</v>
      </c>
      <c r="P1399" s="2" t="str">
        <f>_xlfn.XLOOKUP(ESales_DB[[#This Row],[Product_ID]],Eproduct_DB[Product_ID],Eproduct_DB[Product_Name])</f>
        <v>Vitamin C Face Serum</v>
      </c>
      <c r="Q1399" s="2" t="str">
        <f>_xlfn.XLOOKUP(ESales_DB[[#This Row],[Store_ID]],Estore_DB[Store_ID],Estore_DB[Region])</f>
        <v>South</v>
      </c>
      <c r="R1399" t="str">
        <f>VLOOKUP(ESales_DB[[#This Row],[Customer_ID]],Ecustom_DB[],10,FALSE)</f>
        <v>Gold</v>
      </c>
      <c r="S1399" t="str">
        <f>IF(ESales_DB[[#This Row],[Quantity1]]&gt;3,"Bulk order","Normal order")</f>
        <v>Bulk order</v>
      </c>
    </row>
    <row r="1400" spans="1:19" x14ac:dyDescent="0.3">
      <c r="A1400" t="s">
        <v>2283</v>
      </c>
      <c r="B1400" s="4">
        <v>45796</v>
      </c>
      <c r="C1400" s="4" t="str">
        <f>TEXT(ESales_DB[[#This Row],[Order_Date]],"mmm")</f>
        <v>May</v>
      </c>
      <c r="D1400" t="s">
        <v>737</v>
      </c>
      <c r="E1400" t="s">
        <v>1652</v>
      </c>
      <c r="F1400" t="s">
        <v>1786</v>
      </c>
      <c r="G1400">
        <v>2</v>
      </c>
      <c r="H1400" s="10">
        <f>IF(ISBLANK(ESales_DB[[#This Row],[Quantity]]),AVERAGEIF(ESales_DB[Product_ID],ESales_DB[[#This Row],[Product_ID]],ESales_DB[Quantity]),ESales_DB[[#This Row],[Quantity]])</f>
        <v>2</v>
      </c>
      <c r="I1400" s="2">
        <v>810.17</v>
      </c>
      <c r="J1400">
        <v>0.27</v>
      </c>
      <c r="K1400" t="s">
        <v>1824</v>
      </c>
      <c r="L1400" s="2">
        <v>1182.8481999999999</v>
      </c>
      <c r="M1400" s="2" t="str">
        <f>IF(ESales_DB[[#This Row],[Total_Amount]]&gt;1000,"High","Low")</f>
        <v>High</v>
      </c>
      <c r="N1400" s="2" t="str">
        <f>VLOOKUP(ESales_DB[[#This Row],[Customer_ID]],Ecustom_DB[],3,FALSE)</f>
        <v>Tanner Thompson</v>
      </c>
      <c r="O1400" s="2" t="str">
        <f>_xlfn.XLOOKUP(ESales_DB[[#This Row],[Product_ID]],Eproduct_DB[Product_ID],Eproduct_DB[Category])</f>
        <v>Sports</v>
      </c>
      <c r="P1400" s="2" t="str">
        <f>_xlfn.XLOOKUP(ESales_DB[[#This Row],[Product_ID]],Eproduct_DB[Product_ID],Eproduct_DB[Product_Name])</f>
        <v>Rugby Ball</v>
      </c>
      <c r="Q1400" s="2" t="str">
        <f>_xlfn.XLOOKUP(ESales_DB[[#This Row],[Store_ID]],Estore_DB[Store_ID],Estore_DB[Region])</f>
        <v>South</v>
      </c>
      <c r="R1400" t="str">
        <f>VLOOKUP(ESales_DB[[#This Row],[Customer_ID]],Ecustom_DB[],10,FALSE)</f>
        <v>Bronze</v>
      </c>
      <c r="S1400" t="str">
        <f>IF(ESales_DB[[#This Row],[Quantity1]]&gt;3,"Bulk order","Normal order")</f>
        <v>Normal order</v>
      </c>
    </row>
    <row r="1401" spans="1:19" x14ac:dyDescent="0.3">
      <c r="A1401" t="s">
        <v>2284</v>
      </c>
      <c r="B1401" s="4">
        <v>45389</v>
      </c>
      <c r="C1401" s="4" t="str">
        <f>TEXT(ESales_DB[[#This Row],[Order_Date]],"mmm")</f>
        <v>Apr</v>
      </c>
      <c r="D1401" t="s">
        <v>669</v>
      </c>
      <c r="E1401" t="s">
        <v>1716</v>
      </c>
      <c r="F1401" t="s">
        <v>1769</v>
      </c>
      <c r="G1401">
        <v>3</v>
      </c>
      <c r="H1401" s="10">
        <f>IF(ISBLANK(ESales_DB[[#This Row],[Quantity]]),AVERAGEIF(ESales_DB[Product_ID],ESales_DB[[#This Row],[Product_ID]],ESales_DB[Quantity]),ESales_DB[[#This Row],[Quantity]])</f>
        <v>3</v>
      </c>
      <c r="I1401" s="2">
        <v>505.01</v>
      </c>
      <c r="J1401">
        <v>0.02</v>
      </c>
      <c r="K1401" t="s">
        <v>1826</v>
      </c>
      <c r="L1401" s="2">
        <v>1484.7293999999999</v>
      </c>
      <c r="M1401" s="2" t="str">
        <f>IF(ESales_DB[[#This Row],[Total_Amount]]&gt;1000,"High","Low")</f>
        <v>High</v>
      </c>
      <c r="N1401" s="2" t="str">
        <f>VLOOKUP(ESales_DB[[#This Row],[Customer_ID]],Ecustom_DB[],3,FALSE)</f>
        <v>Michelle Carpenter</v>
      </c>
      <c r="O1401" s="2" t="str">
        <f>_xlfn.XLOOKUP(ESales_DB[[#This Row],[Product_ID]],Eproduct_DB[Product_ID],Eproduct_DB[Category])</f>
        <v>Home</v>
      </c>
      <c r="P1401" s="2" t="str">
        <f>_xlfn.XLOOKUP(ESales_DB[[#This Row],[Product_ID]],Eproduct_DB[Product_ID],Eproduct_DB[Product_Name])</f>
        <v>Wooden Bookshelf</v>
      </c>
      <c r="Q1401" s="2" t="str">
        <f>_xlfn.XLOOKUP(ESales_DB[[#This Row],[Store_ID]],Estore_DB[Store_ID],Estore_DB[Region])</f>
        <v>South</v>
      </c>
      <c r="R1401" t="str">
        <f>VLOOKUP(ESales_DB[[#This Row],[Customer_ID]],Ecustom_DB[],10,FALSE)</f>
        <v>Gold</v>
      </c>
      <c r="S1401" t="str">
        <f>IF(ESales_DB[[#This Row],[Quantity1]]&gt;3,"Bulk order","Normal order")</f>
        <v>Normal order</v>
      </c>
    </row>
    <row r="1402" spans="1:19" x14ac:dyDescent="0.3">
      <c r="A1402" t="s">
        <v>2285</v>
      </c>
      <c r="B1402" s="4">
        <v>45315</v>
      </c>
      <c r="C1402" s="4" t="str">
        <f>TEXT(ESales_DB[[#This Row],[Order_Date]],"mmm")</f>
        <v>Jan</v>
      </c>
      <c r="D1402" t="s">
        <v>1440</v>
      </c>
      <c r="E1402" t="s">
        <v>1692</v>
      </c>
      <c r="F1402" t="s">
        <v>1807</v>
      </c>
      <c r="G1402">
        <v>2</v>
      </c>
      <c r="H1402" s="10">
        <f>IF(ISBLANK(ESales_DB[[#This Row],[Quantity]]),AVERAGEIF(ESales_DB[Product_ID],ESales_DB[[#This Row],[Product_ID]],ESales_DB[Quantity]),ESales_DB[[#This Row],[Quantity]])</f>
        <v>2</v>
      </c>
      <c r="I1402" s="2">
        <v>736.75</v>
      </c>
      <c r="J1402">
        <v>0.18</v>
      </c>
      <c r="K1402" t="s">
        <v>1824</v>
      </c>
      <c r="L1402" s="2">
        <v>1208.27</v>
      </c>
      <c r="M1402" s="2" t="str">
        <f>IF(ESales_DB[[#This Row],[Total_Amount]]&gt;1000,"High","Low")</f>
        <v>High</v>
      </c>
      <c r="N1402" s="2" t="str">
        <f>VLOOKUP(ESales_DB[[#This Row],[Customer_ID]],Ecustom_DB[],3,FALSE)</f>
        <v>Michael Foley</v>
      </c>
      <c r="O1402" s="2" t="str">
        <f>_xlfn.XLOOKUP(ESales_DB[[#This Row],[Product_ID]],Eproduct_DB[Product_ID],Eproduct_DB[Category])</f>
        <v>Sports</v>
      </c>
      <c r="P1402" s="2" t="str">
        <f>_xlfn.XLOOKUP(ESales_DB[[#This Row],[Product_ID]],Eproduct_DB[Product_ID],Eproduct_DB[Product_Name])</f>
        <v>Professional Jump Rope</v>
      </c>
      <c r="Q1402" s="2" t="str">
        <f>_xlfn.XLOOKUP(ESales_DB[[#This Row],[Store_ID]],Estore_DB[Store_ID],Estore_DB[Region])</f>
        <v>North</v>
      </c>
      <c r="R1402" t="str">
        <f>VLOOKUP(ESales_DB[[#This Row],[Customer_ID]],Ecustom_DB[],10,FALSE)</f>
        <v>Gold</v>
      </c>
      <c r="S1402" t="str">
        <f>IF(ESales_DB[[#This Row],[Quantity1]]&gt;3,"Bulk order","Normal order")</f>
        <v>Normal order</v>
      </c>
    </row>
    <row r="1403" spans="1:19" x14ac:dyDescent="0.3">
      <c r="A1403" t="s">
        <v>1872</v>
      </c>
      <c r="B1403" s="4">
        <v>45570</v>
      </c>
      <c r="C1403" s="4" t="str">
        <f>TEXT(ESales_DB[[#This Row],[Order_Date]],"mmm")</f>
        <v>Oct</v>
      </c>
      <c r="D1403" t="s">
        <v>258</v>
      </c>
      <c r="E1403" t="s">
        <v>1704</v>
      </c>
      <c r="F1403" t="s">
        <v>1804</v>
      </c>
      <c r="G1403">
        <v>1</v>
      </c>
      <c r="H1403" s="10">
        <f>IF(ISBLANK(ESales_DB[[#This Row],[Quantity]]),AVERAGEIF(ESales_DB[Product_ID],ESales_DB[[#This Row],[Product_ID]],ESales_DB[Quantity]),ESales_DB[[#This Row],[Quantity]])</f>
        <v>1</v>
      </c>
      <c r="I1403" s="2">
        <v>418.69</v>
      </c>
      <c r="J1403">
        <v>0.06</v>
      </c>
      <c r="K1403" t="s">
        <v>1826</v>
      </c>
      <c r="L1403" s="2">
        <v>393.5686</v>
      </c>
      <c r="M1403" s="2" t="str">
        <f>IF(ESales_DB[[#This Row],[Total_Amount]]&gt;1000,"High","Low")</f>
        <v>Low</v>
      </c>
      <c r="N1403" s="2" t="str">
        <f>VLOOKUP(ESales_DB[[#This Row],[Customer_ID]],Ecustom_DB[],3,FALSE)</f>
        <v>Eric Singh</v>
      </c>
      <c r="O1403" s="2" t="str">
        <f>_xlfn.XLOOKUP(ESales_DB[[#This Row],[Product_ID]],Eproduct_DB[Product_ID],Eproduct_DB[Category])</f>
        <v>Home</v>
      </c>
      <c r="P1403" s="2" t="str">
        <f>_xlfn.XLOOKUP(ESales_DB[[#This Row],[Product_ID]],Eproduct_DB[Product_ID],Eproduct_DB[Product_Name])</f>
        <v>Essential Oil Diffuser</v>
      </c>
      <c r="Q1403" s="2" t="str">
        <f>_xlfn.XLOOKUP(ESales_DB[[#This Row],[Store_ID]],Estore_DB[Store_ID],Estore_DB[Region])</f>
        <v>West</v>
      </c>
      <c r="R1403" t="str">
        <f>VLOOKUP(ESales_DB[[#This Row],[Customer_ID]],Ecustom_DB[],10,FALSE)</f>
        <v>Gold</v>
      </c>
      <c r="S1403" t="str">
        <f>IF(ESales_DB[[#This Row],[Quantity1]]&gt;3,"Bulk order","Normal order")</f>
        <v>Normal order</v>
      </c>
    </row>
    <row r="1404" spans="1:19" x14ac:dyDescent="0.3">
      <c r="A1404" t="s">
        <v>2286</v>
      </c>
      <c r="B1404" s="4">
        <v>45311</v>
      </c>
      <c r="C1404" s="4" t="str">
        <f>TEXT(ESales_DB[[#This Row],[Order_Date]],"mmm")</f>
        <v>Jan</v>
      </c>
      <c r="D1404" t="s">
        <v>114</v>
      </c>
      <c r="E1404" t="s">
        <v>1702</v>
      </c>
      <c r="F1404" t="s">
        <v>1786</v>
      </c>
      <c r="G1404">
        <v>4</v>
      </c>
      <c r="H1404" s="10">
        <f>IF(ISBLANK(ESales_DB[[#This Row],[Quantity]]),AVERAGEIF(ESales_DB[Product_ID],ESales_DB[[#This Row],[Product_ID]],ESales_DB[Quantity]),ESales_DB[[#This Row],[Quantity]])</f>
        <v>4</v>
      </c>
      <c r="I1404" s="2">
        <v>700.31</v>
      </c>
      <c r="J1404">
        <v>0.2</v>
      </c>
      <c r="K1404" t="s">
        <v>1826</v>
      </c>
      <c r="L1404" s="2">
        <v>2240.9920000000002</v>
      </c>
      <c r="M1404" s="2" t="str">
        <f>IF(ESales_DB[[#This Row],[Total_Amount]]&gt;1000,"High","Low")</f>
        <v>High</v>
      </c>
      <c r="N1404" s="2" t="str">
        <f>VLOOKUP(ESales_DB[[#This Row],[Customer_ID]],Ecustom_DB[],3,FALSE)</f>
        <v>Leslie Johnson</v>
      </c>
      <c r="O1404" s="2" t="str">
        <f>_xlfn.XLOOKUP(ESales_DB[[#This Row],[Product_ID]],Eproduct_DB[Product_ID],Eproduct_DB[Category])</f>
        <v>Electronics</v>
      </c>
      <c r="P1404" s="2" t="str">
        <f>_xlfn.XLOOKUP(ESales_DB[[#This Row],[Product_ID]],Eproduct_DB[Product_ID],Eproduct_DB[Product_Name])</f>
        <v>WiFi Mesh Router</v>
      </c>
      <c r="Q1404" s="2" t="str">
        <f>_xlfn.XLOOKUP(ESales_DB[[#This Row],[Store_ID]],Estore_DB[Store_ID],Estore_DB[Region])</f>
        <v>South</v>
      </c>
      <c r="R1404" t="str">
        <f>VLOOKUP(ESales_DB[[#This Row],[Customer_ID]],Ecustom_DB[],10,FALSE)</f>
        <v>Uncategorized</v>
      </c>
      <c r="S1404" t="str">
        <f>IF(ESales_DB[[#This Row],[Quantity1]]&gt;3,"Bulk order","Normal order")</f>
        <v>Bulk order</v>
      </c>
    </row>
    <row r="1405" spans="1:19" x14ac:dyDescent="0.3">
      <c r="A1405" t="s">
        <v>2287</v>
      </c>
      <c r="B1405" s="4">
        <v>45270</v>
      </c>
      <c r="C1405" s="4" t="str">
        <f>TEXT(ESales_DB[[#This Row],[Order_Date]],"mmm")</f>
        <v>Dec</v>
      </c>
      <c r="D1405" t="s">
        <v>444</v>
      </c>
      <c r="E1405" t="s">
        <v>1730</v>
      </c>
      <c r="F1405" t="s">
        <v>1792</v>
      </c>
      <c r="G1405">
        <v>4</v>
      </c>
      <c r="H1405" s="10">
        <f>IF(ISBLANK(ESales_DB[[#This Row],[Quantity]]),AVERAGEIF(ESales_DB[Product_ID],ESales_DB[[#This Row],[Product_ID]],ESales_DB[Quantity]),ESales_DB[[#This Row],[Quantity]])</f>
        <v>4</v>
      </c>
      <c r="I1405" s="2">
        <v>202.46</v>
      </c>
      <c r="J1405">
        <v>0.24</v>
      </c>
      <c r="K1405" t="s">
        <v>1824</v>
      </c>
      <c r="L1405" s="2">
        <v>615.47840000000008</v>
      </c>
      <c r="M1405" s="2" t="str">
        <f>IF(ESales_DB[[#This Row],[Total_Amount]]&gt;1000,"High","Low")</f>
        <v>Low</v>
      </c>
      <c r="N1405" s="2" t="str">
        <f>VLOOKUP(ESales_DB[[#This Row],[Customer_ID]],Ecustom_DB[],3,FALSE)</f>
        <v>Jessica Mitchell</v>
      </c>
      <c r="O1405" s="2" t="str">
        <f>_xlfn.XLOOKUP(ESales_DB[[#This Row],[Product_ID]],Eproduct_DB[Product_ID],Eproduct_DB[Category])</f>
        <v>Clothing</v>
      </c>
      <c r="P1405" s="2" t="str">
        <f>_xlfn.XLOOKUP(ESales_DB[[#This Row],[Product_ID]],Eproduct_DB[Product_ID],Eproduct_DB[Product_Name])</f>
        <v>Women's High Heels</v>
      </c>
      <c r="Q1405" s="2" t="str">
        <f>_xlfn.XLOOKUP(ESales_DB[[#This Row],[Store_ID]],Estore_DB[Store_ID],Estore_DB[Region])</f>
        <v>South</v>
      </c>
      <c r="R1405" t="str">
        <f>VLOOKUP(ESales_DB[[#This Row],[Customer_ID]],Ecustom_DB[],10,FALSE)</f>
        <v>Silver</v>
      </c>
      <c r="S1405" t="str">
        <f>IF(ESales_DB[[#This Row],[Quantity1]]&gt;3,"Bulk order","Normal order")</f>
        <v>Bulk order</v>
      </c>
    </row>
    <row r="1406" spans="1:19" x14ac:dyDescent="0.3">
      <c r="A1406" t="s">
        <v>2288</v>
      </c>
      <c r="B1406" s="4">
        <v>45279</v>
      </c>
      <c r="C1406" s="4" t="str">
        <f>TEXT(ESales_DB[[#This Row],[Order_Date]],"mmm")</f>
        <v>Dec</v>
      </c>
      <c r="D1406" t="s">
        <v>846</v>
      </c>
      <c r="E1406" t="s">
        <v>1722</v>
      </c>
      <c r="F1406" t="s">
        <v>1757</v>
      </c>
      <c r="G1406">
        <v>2</v>
      </c>
      <c r="H1406" s="10">
        <f>IF(ISBLANK(ESales_DB[[#This Row],[Quantity]]),AVERAGEIF(ESales_DB[Product_ID],ESales_DB[[#This Row],[Product_ID]],ESales_DB[Quantity]),ESales_DB[[#This Row],[Quantity]])</f>
        <v>2</v>
      </c>
      <c r="I1406" s="2">
        <v>291.83999999999997</v>
      </c>
      <c r="J1406">
        <v>0.25</v>
      </c>
      <c r="K1406" t="s">
        <v>1826</v>
      </c>
      <c r="L1406" s="2">
        <v>437.76</v>
      </c>
      <c r="M1406" s="2" t="str">
        <f>IF(ESales_DB[[#This Row],[Total_Amount]]&gt;1000,"High","Low")</f>
        <v>Low</v>
      </c>
      <c r="N1406" s="2" t="str">
        <f>VLOOKUP(ESales_DB[[#This Row],[Customer_ID]],Ecustom_DB[],3,FALSE)</f>
        <v>Tracy Kelly</v>
      </c>
      <c r="O1406" s="2" t="str">
        <f>_xlfn.XLOOKUP(ESales_DB[[#This Row],[Product_ID]],Eproduct_DB[Product_ID],Eproduct_DB[Category])</f>
        <v>Home</v>
      </c>
      <c r="P1406" s="2" t="str">
        <f>_xlfn.XLOOKUP(ESales_DB[[#This Row],[Product_ID]],Eproduct_DB[Product_ID],Eproduct_DB[Product_Name])</f>
        <v>LED Bedside Lamp</v>
      </c>
      <c r="Q1406" s="2" t="str">
        <f>_xlfn.XLOOKUP(ESales_DB[[#This Row],[Store_ID]],Estore_DB[Store_ID],Estore_DB[Region])</f>
        <v>North</v>
      </c>
      <c r="R1406" t="str">
        <f>VLOOKUP(ESales_DB[[#This Row],[Customer_ID]],Ecustom_DB[],10,FALSE)</f>
        <v>Silver</v>
      </c>
      <c r="S1406" t="str">
        <f>IF(ESales_DB[[#This Row],[Quantity1]]&gt;3,"Bulk order","Normal order")</f>
        <v>Normal order</v>
      </c>
    </row>
    <row r="1407" spans="1:19" x14ac:dyDescent="0.3">
      <c r="A1407" t="s">
        <v>2289</v>
      </c>
      <c r="B1407" s="4">
        <v>45252</v>
      </c>
      <c r="C1407" s="4" t="str">
        <f>TEXT(ESales_DB[[#This Row],[Order_Date]],"mmm")</f>
        <v>Nov</v>
      </c>
      <c r="D1407" t="s">
        <v>544</v>
      </c>
      <c r="E1407" t="s">
        <v>1742</v>
      </c>
      <c r="F1407" t="s">
        <v>1773</v>
      </c>
      <c r="G1407">
        <v>2</v>
      </c>
      <c r="H1407" s="10">
        <f>IF(ISBLANK(ESales_DB[[#This Row],[Quantity]]),AVERAGEIF(ESales_DB[Product_ID],ESales_DB[[#This Row],[Product_ID]],ESales_DB[Quantity]),ESales_DB[[#This Row],[Quantity]])</f>
        <v>2</v>
      </c>
      <c r="I1407" s="2">
        <v>261.48</v>
      </c>
      <c r="J1407">
        <v>0.17</v>
      </c>
      <c r="K1407" t="s">
        <v>1824</v>
      </c>
      <c r="L1407" s="2">
        <v>434.05680000000001</v>
      </c>
      <c r="M1407" s="2" t="str">
        <f>IF(ESales_DB[[#This Row],[Total_Amount]]&gt;1000,"High","Low")</f>
        <v>Low</v>
      </c>
      <c r="N1407" s="2" t="str">
        <f>VLOOKUP(ESales_DB[[#This Row],[Customer_ID]],Ecustom_DB[],3,FALSE)</f>
        <v>Joseph Jones</v>
      </c>
      <c r="O1407" s="2" t="str">
        <f>_xlfn.XLOOKUP(ESales_DB[[#This Row],[Product_ID]],Eproduct_DB[Product_ID],Eproduct_DB[Category])</f>
        <v>Sports</v>
      </c>
      <c r="P1407" s="2" t="str">
        <f>_xlfn.XLOOKUP(ESales_DB[[#This Row],[Product_ID]],Eproduct_DB[Product_ID],Eproduct_DB[Product_Name])</f>
        <v>Cricket Bat</v>
      </c>
      <c r="Q1407" s="2" t="str">
        <f>_xlfn.XLOOKUP(ESales_DB[[#This Row],[Store_ID]],Estore_DB[Store_ID],Estore_DB[Region])</f>
        <v>North</v>
      </c>
      <c r="R1407" t="str">
        <f>VLOOKUP(ESales_DB[[#This Row],[Customer_ID]],Ecustom_DB[],10,FALSE)</f>
        <v>Bronze</v>
      </c>
      <c r="S1407" t="str">
        <f>IF(ESales_DB[[#This Row],[Quantity1]]&gt;3,"Bulk order","Normal order")</f>
        <v>Normal order</v>
      </c>
    </row>
    <row r="1408" spans="1:19" x14ac:dyDescent="0.3">
      <c r="A1408" t="s">
        <v>2290</v>
      </c>
      <c r="B1408" s="4">
        <v>45938</v>
      </c>
      <c r="C1408" s="4" t="str">
        <f>TEXT(ESales_DB[[#This Row],[Order_Date]],"mmm")</f>
        <v>Oct</v>
      </c>
      <c r="D1408" t="s">
        <v>948</v>
      </c>
      <c r="E1408" t="s">
        <v>1620</v>
      </c>
      <c r="F1408" t="s">
        <v>1799</v>
      </c>
      <c r="G1408">
        <v>1</v>
      </c>
      <c r="H1408" s="10">
        <f>IF(ISBLANK(ESales_DB[[#This Row],[Quantity]]),AVERAGEIF(ESales_DB[Product_ID],ESales_DB[[#This Row],[Product_ID]],ESales_DB[Quantity]),ESales_DB[[#This Row],[Quantity]])</f>
        <v>1</v>
      </c>
      <c r="I1408" s="2">
        <v>850.83</v>
      </c>
      <c r="J1408">
        <v>0.28000000000000003</v>
      </c>
      <c r="K1408" t="s">
        <v>1826</v>
      </c>
      <c r="L1408" s="2">
        <v>612.59760000000006</v>
      </c>
      <c r="M1408" s="2" t="str">
        <f>IF(ESales_DB[[#This Row],[Total_Amount]]&gt;1000,"High","Low")</f>
        <v>Low</v>
      </c>
      <c r="N1408" s="2" t="str">
        <f>VLOOKUP(ESales_DB[[#This Row],[Customer_ID]],Ecustom_DB[],3,FALSE)</f>
        <v>Matthew Avery</v>
      </c>
      <c r="O1408" s="2" t="str">
        <f>_xlfn.XLOOKUP(ESales_DB[[#This Row],[Product_ID]],Eproduct_DB[Product_ID],Eproduct_DB[Category])</f>
        <v>Clothing</v>
      </c>
      <c r="P1408" s="2" t="str">
        <f>_xlfn.XLOOKUP(ESales_DB[[#This Row],[Product_ID]],Eproduct_DB[Product_ID],Eproduct_DB[Product_Name])</f>
        <v>Women's Summer Dress</v>
      </c>
      <c r="Q1408" s="2" t="str">
        <f>_xlfn.XLOOKUP(ESales_DB[[#This Row],[Store_ID]],Estore_DB[Store_ID],Estore_DB[Region])</f>
        <v>South</v>
      </c>
      <c r="R1408" t="str">
        <f>VLOOKUP(ESales_DB[[#This Row],[Customer_ID]],Ecustom_DB[],10,FALSE)</f>
        <v>Silver</v>
      </c>
      <c r="S1408" t="str">
        <f>IF(ESales_DB[[#This Row],[Quantity1]]&gt;3,"Bulk order","Normal order")</f>
        <v>Normal order</v>
      </c>
    </row>
    <row r="1409" spans="1:19" x14ac:dyDescent="0.3">
      <c r="A1409" t="s">
        <v>2291</v>
      </c>
      <c r="B1409" s="4">
        <v>45711</v>
      </c>
      <c r="C1409" s="4" t="str">
        <f>TEXT(ESales_DB[[#This Row],[Order_Date]],"mmm")</f>
        <v>Feb</v>
      </c>
      <c r="D1409" t="s">
        <v>1260</v>
      </c>
      <c r="E1409" t="s">
        <v>1640</v>
      </c>
      <c r="F1409" t="s">
        <v>1786</v>
      </c>
      <c r="G1409">
        <v>1</v>
      </c>
      <c r="H1409" s="10">
        <f>IF(ISBLANK(ESales_DB[[#This Row],[Quantity]]),AVERAGEIF(ESales_DB[Product_ID],ESales_DB[[#This Row],[Product_ID]],ESales_DB[Quantity]),ESales_DB[[#This Row],[Quantity]])</f>
        <v>1</v>
      </c>
      <c r="I1409" s="2">
        <v>83.83</v>
      </c>
      <c r="J1409">
        <v>0.05</v>
      </c>
      <c r="K1409" t="s">
        <v>1824</v>
      </c>
      <c r="L1409" s="2">
        <v>79.638499999999993</v>
      </c>
      <c r="M1409" s="2" t="str">
        <f>IF(ESales_DB[[#This Row],[Total_Amount]]&gt;1000,"High","Low")</f>
        <v>Low</v>
      </c>
      <c r="N1409" s="2" t="str">
        <f>VLOOKUP(ESales_DB[[#This Row],[Customer_ID]],Ecustom_DB[],3,FALSE)</f>
        <v>Eric Wolfe</v>
      </c>
      <c r="O1409" s="2" t="str">
        <f>_xlfn.XLOOKUP(ESales_DB[[#This Row],[Product_ID]],Eproduct_DB[Product_ID],Eproduct_DB[Category])</f>
        <v>Clothing</v>
      </c>
      <c r="P1409" s="2" t="str">
        <f>_xlfn.XLOOKUP(ESales_DB[[#This Row],[Product_ID]],Eproduct_DB[Product_ID],Eproduct_DB[Product_Name])</f>
        <v>Men's Winter Jacket</v>
      </c>
      <c r="Q1409" s="2" t="str">
        <f>_xlfn.XLOOKUP(ESales_DB[[#This Row],[Store_ID]],Estore_DB[Store_ID],Estore_DB[Region])</f>
        <v>South</v>
      </c>
      <c r="R1409" t="str">
        <f>VLOOKUP(ESales_DB[[#This Row],[Customer_ID]],Ecustom_DB[],10,FALSE)</f>
        <v>Gold</v>
      </c>
      <c r="S1409" t="str">
        <f>IF(ESales_DB[[#This Row],[Quantity1]]&gt;3,"Bulk order","Normal order")</f>
        <v>Normal order</v>
      </c>
    </row>
    <row r="1410" spans="1:19" x14ac:dyDescent="0.3">
      <c r="A1410" t="s">
        <v>2292</v>
      </c>
      <c r="B1410" s="4">
        <v>45713</v>
      </c>
      <c r="C1410" s="4" t="str">
        <f>TEXT(ESales_DB[[#This Row],[Order_Date]],"mmm")</f>
        <v>Feb</v>
      </c>
      <c r="D1410" t="s">
        <v>36</v>
      </c>
      <c r="E1410" t="s">
        <v>1724</v>
      </c>
      <c r="F1410" t="s">
        <v>1804</v>
      </c>
      <c r="G1410">
        <v>3</v>
      </c>
      <c r="H1410" s="10">
        <f>IF(ISBLANK(ESales_DB[[#This Row],[Quantity]]),AVERAGEIF(ESales_DB[Product_ID],ESales_DB[[#This Row],[Product_ID]],ESales_DB[Quantity]),ESales_DB[[#This Row],[Quantity]])</f>
        <v>3</v>
      </c>
      <c r="I1410" s="2">
        <v>649.95000000000005</v>
      </c>
      <c r="J1410">
        <v>0.28000000000000003</v>
      </c>
      <c r="K1410" t="s">
        <v>1829</v>
      </c>
      <c r="L1410" s="2">
        <v>1403.8920000000001</v>
      </c>
      <c r="M1410" s="2" t="str">
        <f>IF(ESales_DB[[#This Row],[Total_Amount]]&gt;1000,"High","Low")</f>
        <v>High</v>
      </c>
      <c r="N1410" s="2" t="str">
        <f>VLOOKUP(ESales_DB[[#This Row],[Customer_ID]],Ecustom_DB[],3,FALSE)</f>
        <v>Amber Jackson</v>
      </c>
      <c r="O1410" s="2" t="str">
        <f>_xlfn.XLOOKUP(ESales_DB[[#This Row],[Product_ID]],Eproduct_DB[Product_ID],Eproduct_DB[Category])</f>
        <v>Sports</v>
      </c>
      <c r="P1410" s="2" t="str">
        <f>_xlfn.XLOOKUP(ESales_DB[[#This Row],[Product_ID]],Eproduct_DB[Product_ID],Eproduct_DB[Product_Name])</f>
        <v>Sports Wrist Sweatbands</v>
      </c>
      <c r="Q1410" s="2" t="str">
        <f>_xlfn.XLOOKUP(ESales_DB[[#This Row],[Store_ID]],Estore_DB[Store_ID],Estore_DB[Region])</f>
        <v>West</v>
      </c>
      <c r="R1410" t="str">
        <f>VLOOKUP(ESales_DB[[#This Row],[Customer_ID]],Ecustom_DB[],10,FALSE)</f>
        <v>Platinum</v>
      </c>
      <c r="S1410" t="str">
        <f>IF(ESales_DB[[#This Row],[Quantity1]]&gt;3,"Bulk order","Normal order")</f>
        <v>Normal order</v>
      </c>
    </row>
    <row r="1411" spans="1:19" x14ac:dyDescent="0.3">
      <c r="A1411" t="s">
        <v>2293</v>
      </c>
      <c r="B1411" s="4">
        <v>45565</v>
      </c>
      <c r="C1411" s="4" t="str">
        <f>TEXT(ESales_DB[[#This Row],[Order_Date]],"mmm")</f>
        <v>Sep</v>
      </c>
      <c r="D1411" t="s">
        <v>1145</v>
      </c>
      <c r="E1411" t="s">
        <v>1694</v>
      </c>
      <c r="F1411" t="s">
        <v>1776</v>
      </c>
      <c r="G1411">
        <v>4</v>
      </c>
      <c r="H1411" s="10">
        <f>IF(ISBLANK(ESales_DB[[#This Row],[Quantity]]),AVERAGEIF(ESales_DB[Product_ID],ESales_DB[[#This Row],[Product_ID]],ESales_DB[Quantity]),ESales_DB[[#This Row],[Quantity]])</f>
        <v>4</v>
      </c>
      <c r="I1411" s="2">
        <v>934.96</v>
      </c>
      <c r="J1411">
        <v>0.18</v>
      </c>
      <c r="K1411" t="s">
        <v>1826</v>
      </c>
      <c r="L1411" s="2">
        <v>3066.6687999999999</v>
      </c>
      <c r="M1411" s="2" t="str">
        <f>IF(ESales_DB[[#This Row],[Total_Amount]]&gt;1000,"High","Low")</f>
        <v>High</v>
      </c>
      <c r="N1411" s="2" t="str">
        <f>VLOOKUP(ESales_DB[[#This Row],[Customer_ID]],Ecustom_DB[],3,FALSE)</f>
        <v>Mallory Allen</v>
      </c>
      <c r="O1411" s="2" t="str">
        <f>_xlfn.XLOOKUP(ESales_DB[[#This Row],[Product_ID]],Eproduct_DB[Product_ID],Eproduct_DB[Category])</f>
        <v>Sports</v>
      </c>
      <c r="P1411" s="2" t="str">
        <f>_xlfn.XLOOKUP(ESales_DB[[#This Row],[Product_ID]],Eproduct_DB[Product_ID],Eproduct_DB[Product_Name])</f>
        <v>Shin Guards – Adult</v>
      </c>
      <c r="Q1411" s="2" t="str">
        <f>_xlfn.XLOOKUP(ESales_DB[[#This Row],[Store_ID]],Estore_DB[Store_ID],Estore_DB[Region])</f>
        <v>East</v>
      </c>
      <c r="R1411" t="str">
        <f>VLOOKUP(ESales_DB[[#This Row],[Customer_ID]],Ecustom_DB[],10,FALSE)</f>
        <v>Platinum</v>
      </c>
      <c r="S1411" t="str">
        <f>IF(ESales_DB[[#This Row],[Quantity1]]&gt;3,"Bulk order","Normal order")</f>
        <v>Bulk order</v>
      </c>
    </row>
    <row r="1412" spans="1:19" x14ac:dyDescent="0.3">
      <c r="A1412" t="s">
        <v>2294</v>
      </c>
      <c r="B1412" s="4">
        <v>45279</v>
      </c>
      <c r="C1412" s="4" t="str">
        <f>TEXT(ESales_DB[[#This Row],[Order_Date]],"mmm")</f>
        <v>Dec</v>
      </c>
      <c r="D1412" t="s">
        <v>672</v>
      </c>
      <c r="E1412" t="s">
        <v>1582</v>
      </c>
      <c r="F1412" t="s">
        <v>1799</v>
      </c>
      <c r="G1412">
        <v>1</v>
      </c>
      <c r="H1412" s="10">
        <f>IF(ISBLANK(ESales_DB[[#This Row],[Quantity]]),AVERAGEIF(ESales_DB[Product_ID],ESales_DB[[#This Row],[Product_ID]],ESales_DB[Quantity]),ESales_DB[[#This Row],[Quantity]])</f>
        <v>1</v>
      </c>
      <c r="I1412" s="2">
        <v>880.89</v>
      </c>
      <c r="J1412">
        <v>0.13</v>
      </c>
      <c r="K1412" t="s">
        <v>1829</v>
      </c>
      <c r="L1412" s="2">
        <v>766.37429999999995</v>
      </c>
      <c r="M1412" s="2" t="str">
        <f>IF(ESales_DB[[#This Row],[Total_Amount]]&gt;1000,"High","Low")</f>
        <v>Low</v>
      </c>
      <c r="N1412" s="2" t="str">
        <f>VLOOKUP(ESales_DB[[#This Row],[Customer_ID]],Ecustom_DB[],3,FALSE)</f>
        <v>Ronald Jones</v>
      </c>
      <c r="O1412" s="2" t="str">
        <f>_xlfn.XLOOKUP(ESales_DB[[#This Row],[Product_ID]],Eproduct_DB[Product_ID],Eproduct_DB[Category])</f>
        <v>Sports</v>
      </c>
      <c r="P1412" s="2" t="str">
        <f>_xlfn.XLOOKUP(ESales_DB[[#This Row],[Product_ID]],Eproduct_DB[Product_ID],Eproduct_DB[Product_Name])</f>
        <v>Soccer Training Cone Set</v>
      </c>
      <c r="Q1412" s="2" t="str">
        <f>_xlfn.XLOOKUP(ESales_DB[[#This Row],[Store_ID]],Estore_DB[Store_ID],Estore_DB[Region])</f>
        <v>South</v>
      </c>
      <c r="R1412" t="str">
        <f>VLOOKUP(ESales_DB[[#This Row],[Customer_ID]],Ecustom_DB[],10,FALSE)</f>
        <v>Silver</v>
      </c>
      <c r="S1412" t="str">
        <f>IF(ESales_DB[[#This Row],[Quantity1]]&gt;3,"Bulk order","Normal order")</f>
        <v>Normal order</v>
      </c>
    </row>
    <row r="1413" spans="1:19" x14ac:dyDescent="0.3">
      <c r="A1413" t="s">
        <v>2295</v>
      </c>
      <c r="B1413" s="4">
        <v>45614</v>
      </c>
      <c r="C1413" s="4" t="str">
        <f>TEXT(ESales_DB[[#This Row],[Order_Date]],"mmm")</f>
        <v>Nov</v>
      </c>
      <c r="D1413" t="s">
        <v>1469</v>
      </c>
      <c r="E1413" t="s">
        <v>1744</v>
      </c>
      <c r="F1413" t="s">
        <v>1782</v>
      </c>
      <c r="G1413">
        <v>4</v>
      </c>
      <c r="H1413" s="10">
        <f>IF(ISBLANK(ESales_DB[[#This Row],[Quantity]]),AVERAGEIF(ESales_DB[Product_ID],ESales_DB[[#This Row],[Product_ID]],ESales_DB[Quantity]),ESales_DB[[#This Row],[Quantity]])</f>
        <v>4</v>
      </c>
      <c r="I1413" s="2">
        <v>610.6</v>
      </c>
      <c r="J1413">
        <v>0.1</v>
      </c>
      <c r="K1413" t="s">
        <v>1826</v>
      </c>
      <c r="L1413" s="2">
        <v>2198.16</v>
      </c>
      <c r="M1413" s="2" t="str">
        <f>IF(ESales_DB[[#This Row],[Total_Amount]]&gt;1000,"High","Low")</f>
        <v>High</v>
      </c>
      <c r="N1413" s="2" t="str">
        <f>VLOOKUP(ESales_DB[[#This Row],[Customer_ID]],Ecustom_DB[],3,FALSE)</f>
        <v>Andrea Harris</v>
      </c>
      <c r="O1413" s="2" t="str">
        <f>_xlfn.XLOOKUP(ESales_DB[[#This Row],[Product_ID]],Eproduct_DB[Product_ID],Eproduct_DB[Category])</f>
        <v>Electronics</v>
      </c>
      <c r="P1413" s="2" t="str">
        <f>_xlfn.XLOOKUP(ESales_DB[[#This Row],[Product_ID]],Eproduct_DB[Product_ID],Eproduct_DB[Product_Name])</f>
        <v>Portable Bluetooth Speaker</v>
      </c>
      <c r="Q1413" s="2" t="str">
        <f>_xlfn.XLOOKUP(ESales_DB[[#This Row],[Store_ID]],Estore_DB[Store_ID],Estore_DB[Region])</f>
        <v>West</v>
      </c>
      <c r="R1413" t="str">
        <f>VLOOKUP(ESales_DB[[#This Row],[Customer_ID]],Ecustom_DB[],10,FALSE)</f>
        <v>Platinum</v>
      </c>
      <c r="S1413" t="str">
        <f>IF(ESales_DB[[#This Row],[Quantity1]]&gt;3,"Bulk order","Normal order")</f>
        <v>Bulk order</v>
      </c>
    </row>
    <row r="1414" spans="1:19" x14ac:dyDescent="0.3">
      <c r="A1414" t="s">
        <v>1873</v>
      </c>
      <c r="B1414" s="4">
        <v>45466</v>
      </c>
      <c r="C1414" s="4" t="str">
        <f>TEXT(ESales_DB[[#This Row],[Order_Date]],"mmm")</f>
        <v>Jun</v>
      </c>
      <c r="D1414" t="s">
        <v>44</v>
      </c>
      <c r="E1414" t="s">
        <v>1608</v>
      </c>
      <c r="F1414" t="s">
        <v>1792</v>
      </c>
      <c r="G1414">
        <v>1</v>
      </c>
      <c r="H1414" s="10">
        <f>IF(ISBLANK(ESales_DB[[#This Row],[Quantity]]),AVERAGEIF(ESales_DB[Product_ID],ESales_DB[[#This Row],[Product_ID]],ESales_DB[Quantity]),ESales_DB[[#This Row],[Quantity]])</f>
        <v>1</v>
      </c>
      <c r="I1414" s="2">
        <v>135.78</v>
      </c>
      <c r="J1414">
        <v>0.14000000000000001</v>
      </c>
      <c r="K1414" t="s">
        <v>1826</v>
      </c>
      <c r="L1414" s="2">
        <v>116.77079999999999</v>
      </c>
      <c r="M1414" s="2" t="str">
        <f>IF(ESales_DB[[#This Row],[Total_Amount]]&gt;1000,"High","Low")</f>
        <v>Low</v>
      </c>
      <c r="N1414" s="2" t="str">
        <f>VLOOKUP(ESales_DB[[#This Row],[Customer_ID]],Ecustom_DB[],3,FALSE)</f>
        <v>Melissa Howard</v>
      </c>
      <c r="O1414" s="2" t="str">
        <f>_xlfn.XLOOKUP(ESales_DB[[#This Row],[Product_ID]],Eproduct_DB[Product_ID],Eproduct_DB[Category])</f>
        <v>Home</v>
      </c>
      <c r="P1414" s="2" t="str">
        <f>_xlfn.XLOOKUP(ESales_DB[[#This Row],[Product_ID]],Eproduct_DB[Product_ID],Eproduct_DB[Product_Name])</f>
        <v>Stainless Steel Cutlery Set</v>
      </c>
      <c r="Q1414" s="2" t="str">
        <f>_xlfn.XLOOKUP(ESales_DB[[#This Row],[Store_ID]],Estore_DB[Store_ID],Estore_DB[Region])</f>
        <v>South</v>
      </c>
      <c r="R1414" t="str">
        <f>VLOOKUP(ESales_DB[[#This Row],[Customer_ID]],Ecustom_DB[],10,FALSE)</f>
        <v>Gold</v>
      </c>
      <c r="S1414" t="str">
        <f>IF(ESales_DB[[#This Row],[Quantity1]]&gt;3,"Bulk order","Normal order")</f>
        <v>Normal order</v>
      </c>
    </row>
    <row r="1415" spans="1:19" x14ac:dyDescent="0.3">
      <c r="A1415" t="s">
        <v>2296</v>
      </c>
      <c r="B1415" s="4">
        <v>45912</v>
      </c>
      <c r="C1415" s="4" t="str">
        <f>TEXT(ESales_DB[[#This Row],[Order_Date]],"mmm")</f>
        <v>Sep</v>
      </c>
      <c r="D1415" t="s">
        <v>275</v>
      </c>
      <c r="E1415" t="s">
        <v>1604</v>
      </c>
      <c r="F1415" t="s">
        <v>1810</v>
      </c>
      <c r="G1415">
        <v>1</v>
      </c>
      <c r="H1415" s="10">
        <f>IF(ISBLANK(ESales_DB[[#This Row],[Quantity]]),AVERAGEIF(ESales_DB[Product_ID],ESales_DB[[#This Row],[Product_ID]],ESales_DB[Quantity]),ESales_DB[[#This Row],[Quantity]])</f>
        <v>1</v>
      </c>
      <c r="I1415" s="2">
        <v>514.19000000000005</v>
      </c>
      <c r="J1415">
        <v>0.2</v>
      </c>
      <c r="K1415" t="s">
        <v>1824</v>
      </c>
      <c r="L1415" s="2">
        <v>411.35200000000009</v>
      </c>
      <c r="M1415" s="2" t="str">
        <f>IF(ESales_DB[[#This Row],[Total_Amount]]&gt;1000,"High","Low")</f>
        <v>Low</v>
      </c>
      <c r="N1415" s="2" t="str">
        <f>VLOOKUP(ESales_DB[[#This Row],[Customer_ID]],Ecustom_DB[],3,FALSE)</f>
        <v>Rhonda Morales</v>
      </c>
      <c r="O1415" s="2" t="str">
        <f>_xlfn.XLOOKUP(ESales_DB[[#This Row],[Product_ID]],Eproduct_DB[Product_ID],Eproduct_DB[Category])</f>
        <v>Sports</v>
      </c>
      <c r="P1415" s="2" t="str">
        <f>_xlfn.XLOOKUP(ESales_DB[[#This Row],[Product_ID]],Eproduct_DB[Product_ID],Eproduct_DB[Product_Name])</f>
        <v>Sports Stopwatch Timer</v>
      </c>
      <c r="Q1415" s="2" t="str">
        <f>_xlfn.XLOOKUP(ESales_DB[[#This Row],[Store_ID]],Estore_DB[Store_ID],Estore_DB[Region])</f>
        <v>East</v>
      </c>
      <c r="R1415" t="str">
        <f>VLOOKUP(ESales_DB[[#This Row],[Customer_ID]],Ecustom_DB[],10,FALSE)</f>
        <v>Gold</v>
      </c>
      <c r="S1415" t="str">
        <f>IF(ESales_DB[[#This Row],[Quantity1]]&gt;3,"Bulk order","Normal order")</f>
        <v>Normal order</v>
      </c>
    </row>
    <row r="1416" spans="1:19" x14ac:dyDescent="0.3">
      <c r="A1416" t="s">
        <v>2297</v>
      </c>
      <c r="B1416" s="4">
        <v>45688</v>
      </c>
      <c r="C1416" s="4" t="str">
        <f>TEXT(ESales_DB[[#This Row],[Order_Date]],"mmm")</f>
        <v>Jan</v>
      </c>
      <c r="D1416" t="s">
        <v>1243</v>
      </c>
      <c r="E1416" t="s">
        <v>1622</v>
      </c>
      <c r="F1416" t="s">
        <v>1797</v>
      </c>
      <c r="G1416">
        <v>1</v>
      </c>
      <c r="H1416" s="10">
        <f>IF(ISBLANK(ESales_DB[[#This Row],[Quantity]]),AVERAGEIF(ESales_DB[Product_ID],ESales_DB[[#This Row],[Product_ID]],ESales_DB[Quantity]),ESales_DB[[#This Row],[Quantity]])</f>
        <v>1</v>
      </c>
      <c r="I1416" s="2">
        <v>546.20000000000005</v>
      </c>
      <c r="J1416">
        <v>0.22</v>
      </c>
      <c r="K1416" t="s">
        <v>1826</v>
      </c>
      <c r="L1416" s="2">
        <v>426.03600000000012</v>
      </c>
      <c r="M1416" s="2" t="str">
        <f>IF(ESales_DB[[#This Row],[Total_Amount]]&gt;1000,"High","Low")</f>
        <v>Low</v>
      </c>
      <c r="N1416" s="2" t="str">
        <f>VLOOKUP(ESales_DB[[#This Row],[Customer_ID]],Ecustom_DB[],3,FALSE)</f>
        <v>John Donaldson</v>
      </c>
      <c r="O1416" s="2" t="str">
        <f>_xlfn.XLOOKUP(ESales_DB[[#This Row],[Product_ID]],Eproduct_DB[Product_ID],Eproduct_DB[Category])</f>
        <v>Clothing</v>
      </c>
      <c r="P1416" s="2" t="str">
        <f>_xlfn.XLOOKUP(ESales_DB[[#This Row],[Product_ID]],Eproduct_DB[Product_ID],Eproduct_DB[Product_Name])</f>
        <v>Men's Casual Sneakers</v>
      </c>
      <c r="Q1416" s="2" t="str">
        <f>_xlfn.XLOOKUP(ESales_DB[[#This Row],[Store_ID]],Estore_DB[Store_ID],Estore_DB[Region])</f>
        <v>East</v>
      </c>
      <c r="R1416" t="str">
        <f>VLOOKUP(ESales_DB[[#This Row],[Customer_ID]],Ecustom_DB[],10,FALSE)</f>
        <v>Bronze</v>
      </c>
      <c r="S1416" t="str">
        <f>IF(ESales_DB[[#This Row],[Quantity1]]&gt;3,"Bulk order","Normal order")</f>
        <v>Normal order</v>
      </c>
    </row>
    <row r="1417" spans="1:19" x14ac:dyDescent="0.3">
      <c r="A1417" t="s">
        <v>2298</v>
      </c>
      <c r="B1417" s="4">
        <v>45591</v>
      </c>
      <c r="C1417" s="4" t="str">
        <f>TEXT(ESales_DB[[#This Row],[Order_Date]],"mmm")</f>
        <v>Oct</v>
      </c>
      <c r="D1417" t="s">
        <v>646</v>
      </c>
      <c r="E1417" t="s">
        <v>1622</v>
      </c>
      <c r="F1417" t="s">
        <v>1752</v>
      </c>
      <c r="G1417">
        <v>3</v>
      </c>
      <c r="H1417" s="10">
        <f>IF(ISBLANK(ESales_DB[[#This Row],[Quantity]]),AVERAGEIF(ESales_DB[Product_ID],ESales_DB[[#This Row],[Product_ID]],ESales_DB[Quantity]),ESales_DB[[#This Row],[Quantity]])</f>
        <v>3</v>
      </c>
      <c r="I1417" s="2">
        <v>416.01</v>
      </c>
      <c r="J1417">
        <v>0.02</v>
      </c>
      <c r="K1417" t="s">
        <v>1824</v>
      </c>
      <c r="L1417" s="2">
        <v>1223.0694000000001</v>
      </c>
      <c r="M1417" s="2" t="str">
        <f>IF(ESales_DB[[#This Row],[Total_Amount]]&gt;1000,"High","Low")</f>
        <v>High</v>
      </c>
      <c r="N1417" s="2" t="str">
        <f>VLOOKUP(ESales_DB[[#This Row],[Customer_ID]],Ecustom_DB[],3,FALSE)</f>
        <v>Andrea Jacobs</v>
      </c>
      <c r="O1417" s="2" t="str">
        <f>_xlfn.XLOOKUP(ESales_DB[[#This Row],[Product_ID]],Eproduct_DB[Product_ID],Eproduct_DB[Category])</f>
        <v>Clothing</v>
      </c>
      <c r="P1417" s="2" t="str">
        <f>_xlfn.XLOOKUP(ESales_DB[[#This Row],[Product_ID]],Eproduct_DB[Product_ID],Eproduct_DB[Product_Name])</f>
        <v>Men's Casual Sneakers</v>
      </c>
      <c r="Q1417" s="2" t="str">
        <f>_xlfn.XLOOKUP(ESales_DB[[#This Row],[Store_ID]],Estore_DB[Store_ID],Estore_DB[Region])</f>
        <v>East</v>
      </c>
      <c r="R1417" t="str">
        <f>VLOOKUP(ESales_DB[[#This Row],[Customer_ID]],Ecustom_DB[],10,FALSE)</f>
        <v>Platinum</v>
      </c>
      <c r="S1417" t="str">
        <f>IF(ESales_DB[[#This Row],[Quantity1]]&gt;3,"Bulk order","Normal order")</f>
        <v>Normal order</v>
      </c>
    </row>
    <row r="1418" spans="1:19" x14ac:dyDescent="0.3">
      <c r="A1418" t="s">
        <v>2299</v>
      </c>
      <c r="B1418" s="4">
        <v>45864</v>
      </c>
      <c r="C1418" s="4" t="str">
        <f>TEXT(ESales_DB[[#This Row],[Order_Date]],"mmm")</f>
        <v>Jul</v>
      </c>
      <c r="D1418" t="s">
        <v>1199</v>
      </c>
      <c r="E1418" t="s">
        <v>1696</v>
      </c>
      <c r="F1418" t="s">
        <v>1789</v>
      </c>
      <c r="G1418">
        <v>1</v>
      </c>
      <c r="H1418" s="10">
        <f>IF(ISBLANK(ESales_DB[[#This Row],[Quantity]]),AVERAGEIF(ESales_DB[Product_ID],ESales_DB[[#This Row],[Product_ID]],ESales_DB[Quantity]),ESales_DB[[#This Row],[Quantity]])</f>
        <v>1</v>
      </c>
      <c r="I1418" s="2">
        <v>30.94</v>
      </c>
      <c r="J1418">
        <v>0.21</v>
      </c>
      <c r="K1418" t="s">
        <v>1829</v>
      </c>
      <c r="L1418" s="2">
        <v>24.442599999999999</v>
      </c>
      <c r="M1418" s="2" t="str">
        <f>IF(ESales_DB[[#This Row],[Total_Amount]]&gt;1000,"High","Low")</f>
        <v>Low</v>
      </c>
      <c r="N1418" s="2" t="str">
        <f>VLOOKUP(ESales_DB[[#This Row],[Customer_ID]],Ecustom_DB[],3,FALSE)</f>
        <v>Andrew Mason</v>
      </c>
      <c r="O1418" s="2" t="str">
        <f>_xlfn.XLOOKUP(ESales_DB[[#This Row],[Product_ID]],Eproduct_DB[Product_ID],Eproduct_DB[Category])</f>
        <v>Electronics</v>
      </c>
      <c r="P1418" s="2" t="str">
        <f>_xlfn.XLOOKUP(ESales_DB[[#This Row],[Product_ID]],Eproduct_DB[Product_ID],Eproduct_DB[Product_Name])</f>
        <v>Bluetooth Car Audio System</v>
      </c>
      <c r="Q1418" s="2" t="str">
        <f>_xlfn.XLOOKUP(ESales_DB[[#This Row],[Store_ID]],Estore_DB[Store_ID],Estore_DB[Region])</f>
        <v>East</v>
      </c>
      <c r="R1418" t="str">
        <f>VLOOKUP(ESales_DB[[#This Row],[Customer_ID]],Ecustom_DB[],10,FALSE)</f>
        <v>Bronze</v>
      </c>
      <c r="S1418" t="str">
        <f>IF(ESales_DB[[#This Row],[Quantity1]]&gt;3,"Bulk order","Normal order")</f>
        <v>Normal order</v>
      </c>
    </row>
    <row r="1419" spans="1:19" x14ac:dyDescent="0.3">
      <c r="A1419" t="s">
        <v>2300</v>
      </c>
      <c r="B1419" s="4">
        <v>45875</v>
      </c>
      <c r="C1419" s="4" t="str">
        <f>TEXT(ESales_DB[[#This Row],[Order_Date]],"mmm")</f>
        <v>Aug</v>
      </c>
      <c r="D1419" t="s">
        <v>654</v>
      </c>
      <c r="E1419" t="s">
        <v>1664</v>
      </c>
      <c r="F1419" t="s">
        <v>1804</v>
      </c>
      <c r="G1419">
        <v>3</v>
      </c>
      <c r="H1419" s="10">
        <f>IF(ISBLANK(ESales_DB[[#This Row],[Quantity]]),AVERAGEIF(ESales_DB[Product_ID],ESales_DB[[#This Row],[Product_ID]],ESales_DB[Quantity]),ESales_DB[[#This Row],[Quantity]])</f>
        <v>3</v>
      </c>
      <c r="I1419" s="2">
        <v>666.39</v>
      </c>
      <c r="J1419">
        <v>0.21</v>
      </c>
      <c r="K1419" t="s">
        <v>1829</v>
      </c>
      <c r="L1419" s="2">
        <v>1579.3443</v>
      </c>
      <c r="M1419" s="2" t="str">
        <f>IF(ESales_DB[[#This Row],[Total_Amount]]&gt;1000,"High","Low")</f>
        <v>High</v>
      </c>
      <c r="N1419" s="2" t="str">
        <f>VLOOKUP(ESales_DB[[#This Row],[Customer_ID]],Ecustom_DB[],3,FALSE)</f>
        <v>Anna Perez</v>
      </c>
      <c r="O1419" s="2" t="str">
        <f>_xlfn.XLOOKUP(ESales_DB[[#This Row],[Product_ID]],Eproduct_DB[Product_ID],Eproduct_DB[Category])</f>
        <v>Clothing</v>
      </c>
      <c r="P1419" s="2" t="str">
        <f>_xlfn.XLOOKUP(ESales_DB[[#This Row],[Product_ID]],Eproduct_DB[Product_ID],Eproduct_DB[Product_Name])</f>
        <v>Womens Cotton Scarf</v>
      </c>
      <c r="Q1419" s="2" t="str">
        <f>_xlfn.XLOOKUP(ESales_DB[[#This Row],[Store_ID]],Estore_DB[Store_ID],Estore_DB[Region])</f>
        <v>West</v>
      </c>
      <c r="R1419" t="str">
        <f>VLOOKUP(ESales_DB[[#This Row],[Customer_ID]],Ecustom_DB[],10,FALSE)</f>
        <v>Platinum</v>
      </c>
      <c r="S1419" t="str">
        <f>IF(ESales_DB[[#This Row],[Quantity1]]&gt;3,"Bulk order","Normal order")</f>
        <v>Normal order</v>
      </c>
    </row>
    <row r="1420" spans="1:19" x14ac:dyDescent="0.3">
      <c r="A1420" t="s">
        <v>2301</v>
      </c>
      <c r="B1420" s="4">
        <v>45797</v>
      </c>
      <c r="C1420" s="4" t="str">
        <f>TEXT(ESales_DB[[#This Row],[Order_Date]],"mmm")</f>
        <v>May</v>
      </c>
      <c r="D1420" t="s">
        <v>553</v>
      </c>
      <c r="E1420" t="s">
        <v>1710</v>
      </c>
      <c r="F1420" t="s">
        <v>1789</v>
      </c>
      <c r="G1420">
        <v>2</v>
      </c>
      <c r="H1420" s="10">
        <f>IF(ISBLANK(ESales_DB[[#This Row],[Quantity]]),AVERAGEIF(ESales_DB[Product_ID],ESales_DB[[#This Row],[Product_ID]],ESales_DB[Quantity]),ESales_DB[[#This Row],[Quantity]])</f>
        <v>2</v>
      </c>
      <c r="I1420" s="2">
        <v>145.26</v>
      </c>
      <c r="J1420">
        <v>0.19</v>
      </c>
      <c r="K1420" t="s">
        <v>1826</v>
      </c>
      <c r="L1420" s="2">
        <v>235.3212</v>
      </c>
      <c r="M1420" s="2" t="str">
        <f>IF(ESales_DB[[#This Row],[Total_Amount]]&gt;1000,"High","Low")</f>
        <v>Low</v>
      </c>
      <c r="N1420" s="2" t="str">
        <f>VLOOKUP(ESales_DB[[#This Row],[Customer_ID]],Ecustom_DB[],3,FALSE)</f>
        <v>Patricia Gardner</v>
      </c>
      <c r="O1420" s="2" t="str">
        <f>_xlfn.XLOOKUP(ESales_DB[[#This Row],[Product_ID]],Eproduct_DB[Product_ID],Eproduct_DB[Category])</f>
        <v>Sports</v>
      </c>
      <c r="P1420" s="2" t="str">
        <f>_xlfn.XLOOKUP(ESales_DB[[#This Row],[Product_ID]],Eproduct_DB[Product_ID],Eproduct_DB[Product_Name])</f>
        <v>Badminton Racket Set</v>
      </c>
      <c r="Q1420" s="2" t="str">
        <f>_xlfn.XLOOKUP(ESales_DB[[#This Row],[Store_ID]],Estore_DB[Store_ID],Estore_DB[Region])</f>
        <v>East</v>
      </c>
      <c r="R1420" t="str">
        <f>VLOOKUP(ESales_DB[[#This Row],[Customer_ID]],Ecustom_DB[],10,FALSE)</f>
        <v>Silver</v>
      </c>
      <c r="S1420" t="str">
        <f>IF(ESales_DB[[#This Row],[Quantity1]]&gt;3,"Bulk order","Normal order")</f>
        <v>Normal order</v>
      </c>
    </row>
    <row r="1421" spans="1:19" x14ac:dyDescent="0.3">
      <c r="A1421" t="s">
        <v>2302</v>
      </c>
      <c r="B1421" s="4">
        <v>45364</v>
      </c>
      <c r="C1421" s="4" t="str">
        <f>TEXT(ESales_DB[[#This Row],[Order_Date]],"mmm")</f>
        <v>Mar</v>
      </c>
      <c r="D1421" t="s">
        <v>411</v>
      </c>
      <c r="E1421" t="s">
        <v>1730</v>
      </c>
      <c r="F1421" t="s">
        <v>1773</v>
      </c>
      <c r="G1421">
        <v>4</v>
      </c>
      <c r="H1421" s="10">
        <f>IF(ISBLANK(ESales_DB[[#This Row],[Quantity]]),AVERAGEIF(ESales_DB[Product_ID],ESales_DB[[#This Row],[Product_ID]],ESales_DB[Quantity]),ESales_DB[[#This Row],[Quantity]])</f>
        <v>4</v>
      </c>
      <c r="I1421" s="2">
        <v>940.77</v>
      </c>
      <c r="J1421">
        <v>0.24</v>
      </c>
      <c r="K1421" t="s">
        <v>1829</v>
      </c>
      <c r="L1421" s="2">
        <v>2859.9407999999999</v>
      </c>
      <c r="M1421" s="2" t="str">
        <f>IF(ESales_DB[[#This Row],[Total_Amount]]&gt;1000,"High","Low")</f>
        <v>High</v>
      </c>
      <c r="N1421" s="2" t="str">
        <f>VLOOKUP(ESales_DB[[#This Row],[Customer_ID]],Ecustom_DB[],3,FALSE)</f>
        <v>Earl Allen</v>
      </c>
      <c r="O1421" s="2" t="str">
        <f>_xlfn.XLOOKUP(ESales_DB[[#This Row],[Product_ID]],Eproduct_DB[Product_ID],Eproduct_DB[Category])</f>
        <v>Clothing</v>
      </c>
      <c r="P1421" s="2" t="str">
        <f>_xlfn.XLOOKUP(ESales_DB[[#This Row],[Product_ID]],Eproduct_DB[Product_ID],Eproduct_DB[Product_Name])</f>
        <v>Women's High Heels</v>
      </c>
      <c r="Q1421" s="2" t="str">
        <f>_xlfn.XLOOKUP(ESales_DB[[#This Row],[Store_ID]],Estore_DB[Store_ID],Estore_DB[Region])</f>
        <v>North</v>
      </c>
      <c r="R1421" t="str">
        <f>VLOOKUP(ESales_DB[[#This Row],[Customer_ID]],Ecustom_DB[],10,FALSE)</f>
        <v>Platinum</v>
      </c>
      <c r="S1421" t="str">
        <f>IF(ESales_DB[[#This Row],[Quantity1]]&gt;3,"Bulk order","Normal order")</f>
        <v>Bulk order</v>
      </c>
    </row>
    <row r="1422" spans="1:19" x14ac:dyDescent="0.3">
      <c r="A1422" t="s">
        <v>2303</v>
      </c>
      <c r="B1422" s="4">
        <v>45700</v>
      </c>
      <c r="C1422" s="4" t="str">
        <f>TEXT(ESales_DB[[#This Row],[Order_Date]],"mmm")</f>
        <v>Feb</v>
      </c>
      <c r="D1422" t="s">
        <v>1446</v>
      </c>
      <c r="E1422" t="s">
        <v>1640</v>
      </c>
      <c r="F1422" t="s">
        <v>1807</v>
      </c>
      <c r="G1422">
        <v>1</v>
      </c>
      <c r="H1422" s="10">
        <f>IF(ISBLANK(ESales_DB[[#This Row],[Quantity]]),AVERAGEIF(ESales_DB[Product_ID],ESales_DB[[#This Row],[Product_ID]],ESales_DB[Quantity]),ESales_DB[[#This Row],[Quantity]])</f>
        <v>1</v>
      </c>
      <c r="I1422" s="2">
        <v>708.88</v>
      </c>
      <c r="J1422">
        <v>0.09</v>
      </c>
      <c r="K1422" t="s">
        <v>1824</v>
      </c>
      <c r="L1422" s="2">
        <v>645.08080000000007</v>
      </c>
      <c r="M1422" s="2" t="str">
        <f>IF(ESales_DB[[#This Row],[Total_Amount]]&gt;1000,"High","Low")</f>
        <v>Low</v>
      </c>
      <c r="N1422" s="2" t="str">
        <f>VLOOKUP(ESales_DB[[#This Row],[Customer_ID]],Ecustom_DB[],3,FALSE)</f>
        <v>James Foster</v>
      </c>
      <c r="O1422" s="2" t="str">
        <f>_xlfn.XLOOKUP(ESales_DB[[#This Row],[Product_ID]],Eproduct_DB[Product_ID],Eproduct_DB[Category])</f>
        <v>Clothing</v>
      </c>
      <c r="P1422" s="2" t="str">
        <f>_xlfn.XLOOKUP(ESales_DB[[#This Row],[Product_ID]],Eproduct_DB[Product_ID],Eproduct_DB[Product_Name])</f>
        <v>Men's Winter Jacket</v>
      </c>
      <c r="Q1422" s="2" t="str">
        <f>_xlfn.XLOOKUP(ESales_DB[[#This Row],[Store_ID]],Estore_DB[Store_ID],Estore_DB[Region])</f>
        <v>North</v>
      </c>
      <c r="R1422" t="str">
        <f>VLOOKUP(ESales_DB[[#This Row],[Customer_ID]],Ecustom_DB[],10,FALSE)</f>
        <v>Gold</v>
      </c>
      <c r="S1422" t="str">
        <f>IF(ESales_DB[[#This Row],[Quantity1]]&gt;3,"Bulk order","Normal order")</f>
        <v>Normal order</v>
      </c>
    </row>
    <row r="1423" spans="1:19" x14ac:dyDescent="0.3">
      <c r="A1423" t="s">
        <v>2304</v>
      </c>
      <c r="B1423" s="4">
        <v>45924</v>
      </c>
      <c r="C1423" s="4" t="str">
        <f>TEXT(ESales_DB[[#This Row],[Order_Date]],"mmm")</f>
        <v>Sep</v>
      </c>
      <c r="D1423" t="s">
        <v>969</v>
      </c>
      <c r="E1423" t="s">
        <v>1608</v>
      </c>
      <c r="F1423" t="s">
        <v>1761</v>
      </c>
      <c r="G1423">
        <v>1</v>
      </c>
      <c r="H1423" s="10">
        <f>IF(ISBLANK(ESales_DB[[#This Row],[Quantity]]),AVERAGEIF(ESales_DB[Product_ID],ESales_DB[[#This Row],[Product_ID]],ESales_DB[Quantity]),ESales_DB[[#This Row],[Quantity]])</f>
        <v>1</v>
      </c>
      <c r="I1423" s="2">
        <v>790.73</v>
      </c>
      <c r="J1423">
        <v>0.24</v>
      </c>
      <c r="K1423" t="s">
        <v>1826</v>
      </c>
      <c r="L1423" s="2">
        <v>600.95479999999998</v>
      </c>
      <c r="M1423" s="2" t="str">
        <f>IF(ESales_DB[[#This Row],[Total_Amount]]&gt;1000,"High","Low")</f>
        <v>Low</v>
      </c>
      <c r="N1423" s="2" t="str">
        <f>VLOOKUP(ESales_DB[[#This Row],[Customer_ID]],Ecustom_DB[],3,FALSE)</f>
        <v>Brandy Thompson</v>
      </c>
      <c r="O1423" s="2" t="str">
        <f>_xlfn.XLOOKUP(ESales_DB[[#This Row],[Product_ID]],Eproduct_DB[Product_ID],Eproduct_DB[Category])</f>
        <v>Home</v>
      </c>
      <c r="P1423" s="2" t="str">
        <f>_xlfn.XLOOKUP(ESales_DB[[#This Row],[Product_ID]],Eproduct_DB[Product_ID],Eproduct_DB[Product_Name])</f>
        <v>Stainless Steel Cutlery Set</v>
      </c>
      <c r="Q1423" s="2" t="str">
        <f>_xlfn.XLOOKUP(ESales_DB[[#This Row],[Store_ID]],Estore_DB[Store_ID],Estore_DB[Region])</f>
        <v>South</v>
      </c>
      <c r="R1423" t="str">
        <f>VLOOKUP(ESales_DB[[#This Row],[Customer_ID]],Ecustom_DB[],10,FALSE)</f>
        <v>Bronze</v>
      </c>
      <c r="S1423" t="str">
        <f>IF(ESales_DB[[#This Row],[Quantity1]]&gt;3,"Bulk order","Normal order")</f>
        <v>Normal order</v>
      </c>
    </row>
    <row r="1424" spans="1:19" x14ac:dyDescent="0.3">
      <c r="A1424" t="s">
        <v>2305</v>
      </c>
      <c r="B1424" s="4">
        <v>45574</v>
      </c>
      <c r="C1424" s="4" t="str">
        <f>TEXT(ESales_DB[[#This Row],[Order_Date]],"mmm")</f>
        <v>Oct</v>
      </c>
      <c r="D1424" t="s">
        <v>1389</v>
      </c>
      <c r="E1424" t="s">
        <v>1578</v>
      </c>
      <c r="F1424" t="s">
        <v>1786</v>
      </c>
      <c r="G1424">
        <v>3</v>
      </c>
      <c r="H1424" s="10">
        <f>IF(ISBLANK(ESales_DB[[#This Row],[Quantity]]),AVERAGEIF(ESales_DB[Product_ID],ESales_DB[[#This Row],[Product_ID]],ESales_DB[Quantity]),ESales_DB[[#This Row],[Quantity]])</f>
        <v>3</v>
      </c>
      <c r="I1424" s="2">
        <v>635.13</v>
      </c>
      <c r="J1424">
        <v>0.09</v>
      </c>
      <c r="K1424" t="s">
        <v>1826</v>
      </c>
      <c r="L1424" s="2">
        <v>1733.9049</v>
      </c>
      <c r="M1424" s="2" t="str">
        <f>IF(ESales_DB[[#This Row],[Total_Amount]]&gt;1000,"High","Low")</f>
        <v>High</v>
      </c>
      <c r="N1424" s="2" t="str">
        <f>VLOOKUP(ESales_DB[[#This Row],[Customer_ID]],Ecustom_DB[],3,FALSE)</f>
        <v>William Cortez</v>
      </c>
      <c r="O1424" s="2" t="str">
        <f>_xlfn.XLOOKUP(ESales_DB[[#This Row],[Product_ID]],Eproduct_DB[Product_ID],Eproduct_DB[Category])</f>
        <v>Electronics</v>
      </c>
      <c r="P1424" s="2" t="str">
        <f>_xlfn.XLOOKUP(ESales_DB[[#This Row],[Product_ID]],Eproduct_DB[Product_ID],Eproduct_DB[Product_Name])</f>
        <v>4K Home Projector</v>
      </c>
      <c r="Q1424" s="2" t="str">
        <f>_xlfn.XLOOKUP(ESales_DB[[#This Row],[Store_ID]],Estore_DB[Store_ID],Estore_DB[Region])</f>
        <v>South</v>
      </c>
      <c r="R1424" t="str">
        <f>VLOOKUP(ESales_DB[[#This Row],[Customer_ID]],Ecustom_DB[],10,FALSE)</f>
        <v>Bronze</v>
      </c>
      <c r="S1424" t="str">
        <f>IF(ESales_DB[[#This Row],[Quantity1]]&gt;3,"Bulk order","Normal order")</f>
        <v>Normal order</v>
      </c>
    </row>
    <row r="1425" spans="1:19" x14ac:dyDescent="0.3">
      <c r="A1425" t="s">
        <v>1874</v>
      </c>
      <c r="B1425" s="4">
        <v>45218</v>
      </c>
      <c r="C1425" s="4" t="str">
        <f>TEXT(ESales_DB[[#This Row],[Order_Date]],"mmm")</f>
        <v>Oct</v>
      </c>
      <c r="D1425" t="s">
        <v>663</v>
      </c>
      <c r="E1425" t="s">
        <v>1636</v>
      </c>
      <c r="F1425" t="s">
        <v>1807</v>
      </c>
      <c r="G1425">
        <v>1</v>
      </c>
      <c r="H1425" s="10">
        <f>IF(ISBLANK(ESales_DB[[#This Row],[Quantity]]),AVERAGEIF(ESales_DB[Product_ID],ESales_DB[[#This Row],[Product_ID]],ESales_DB[Quantity]),ESales_DB[[#This Row],[Quantity]])</f>
        <v>1</v>
      </c>
      <c r="I1425" s="2">
        <v>517.13</v>
      </c>
      <c r="J1425">
        <v>0.28000000000000003</v>
      </c>
      <c r="K1425" t="s">
        <v>1824</v>
      </c>
      <c r="L1425" s="2">
        <v>372.33359999999999</v>
      </c>
      <c r="M1425" s="2" t="str">
        <f>IF(ESales_DB[[#This Row],[Total_Amount]]&gt;1000,"High","Low")</f>
        <v>Low</v>
      </c>
      <c r="N1425" s="2" t="str">
        <f>VLOOKUP(ESales_DB[[#This Row],[Customer_ID]],Ecustom_DB[],3,FALSE)</f>
        <v>Sarah Brady</v>
      </c>
      <c r="O1425" s="2" t="str">
        <f>_xlfn.XLOOKUP(ESales_DB[[#This Row],[Product_ID]],Eproduct_DB[Product_ID],Eproduct_DB[Category])</f>
        <v>Sports</v>
      </c>
      <c r="P1425" s="2" t="str">
        <f>_xlfn.XLOOKUP(ESales_DB[[#This Row],[Product_ID]],Eproduct_DB[Product_ID],Eproduct_DB[Product_Name])</f>
        <v>Adjustable Jump Rope</v>
      </c>
      <c r="Q1425" s="2" t="str">
        <f>_xlfn.XLOOKUP(ESales_DB[[#This Row],[Store_ID]],Estore_DB[Store_ID],Estore_DB[Region])</f>
        <v>North</v>
      </c>
      <c r="R1425" t="str">
        <f>VLOOKUP(ESales_DB[[#This Row],[Customer_ID]],Ecustom_DB[],10,FALSE)</f>
        <v>Platinum</v>
      </c>
      <c r="S1425" t="str">
        <f>IF(ESales_DB[[#This Row],[Quantity1]]&gt;3,"Bulk order","Normal order")</f>
        <v>Normal order</v>
      </c>
    </row>
    <row r="1426" spans="1:19" x14ac:dyDescent="0.3">
      <c r="A1426" t="s">
        <v>2306</v>
      </c>
      <c r="B1426" s="4">
        <v>45233</v>
      </c>
      <c r="C1426" s="4" t="str">
        <f>TEXT(ESales_DB[[#This Row],[Order_Date]],"mmm")</f>
        <v>Nov</v>
      </c>
      <c r="D1426" t="s">
        <v>849</v>
      </c>
      <c r="E1426" t="s">
        <v>1734</v>
      </c>
      <c r="F1426" t="s">
        <v>1799</v>
      </c>
      <c r="G1426">
        <v>1</v>
      </c>
      <c r="H1426" s="10">
        <f>IF(ISBLANK(ESales_DB[[#This Row],[Quantity]]),AVERAGEIF(ESales_DB[Product_ID],ESales_DB[[#This Row],[Product_ID]],ESales_DB[Quantity]),ESales_DB[[#This Row],[Quantity]])</f>
        <v>1</v>
      </c>
      <c r="I1426" s="2">
        <v>744.88</v>
      </c>
      <c r="J1426">
        <v>0.15</v>
      </c>
      <c r="K1426" t="s">
        <v>1829</v>
      </c>
      <c r="L1426" s="2">
        <v>633.14800000000002</v>
      </c>
      <c r="M1426" s="2" t="str">
        <f>IF(ESales_DB[[#This Row],[Total_Amount]]&gt;1000,"High","Low")</f>
        <v>Low</v>
      </c>
      <c r="N1426" s="2" t="str">
        <f>VLOOKUP(ESales_DB[[#This Row],[Customer_ID]],Ecustom_DB[],3,FALSE)</f>
        <v>Cynthia Payne</v>
      </c>
      <c r="O1426" s="2" t="str">
        <f>_xlfn.XLOOKUP(ESales_DB[[#This Row],[Product_ID]],Eproduct_DB[Product_ID],Eproduct_DB[Category])</f>
        <v>Electronics</v>
      </c>
      <c r="P1426" s="2" t="str">
        <f>_xlfn.XLOOKUP(ESales_DB[[#This Row],[Product_ID]],Eproduct_DB[Product_ID],Eproduct_DB[Product_Name])</f>
        <v>USB-C Laptop Charger</v>
      </c>
      <c r="Q1426" s="2" t="str">
        <f>_xlfn.XLOOKUP(ESales_DB[[#This Row],[Store_ID]],Estore_DB[Store_ID],Estore_DB[Region])</f>
        <v>South</v>
      </c>
      <c r="R1426" t="str">
        <f>VLOOKUP(ESales_DB[[#This Row],[Customer_ID]],Ecustom_DB[],10,FALSE)</f>
        <v>Bronze</v>
      </c>
      <c r="S1426" t="str">
        <f>IF(ESales_DB[[#This Row],[Quantity1]]&gt;3,"Bulk order","Normal order")</f>
        <v>Normal order</v>
      </c>
    </row>
    <row r="1427" spans="1:19" x14ac:dyDescent="0.3">
      <c r="A1427" t="s">
        <v>2307</v>
      </c>
      <c r="B1427" s="4">
        <v>45745</v>
      </c>
      <c r="C1427" s="4" t="str">
        <f>TEXT(ESales_DB[[#This Row],[Order_Date]],"mmm")</f>
        <v>Mar</v>
      </c>
      <c r="D1427" t="s">
        <v>604</v>
      </c>
      <c r="E1427" t="s">
        <v>1604</v>
      </c>
      <c r="F1427" t="s">
        <v>1757</v>
      </c>
      <c r="G1427">
        <v>3</v>
      </c>
      <c r="H1427" s="10">
        <f>IF(ISBLANK(ESales_DB[[#This Row],[Quantity]]),AVERAGEIF(ESales_DB[Product_ID],ESales_DB[[#This Row],[Product_ID]],ESales_DB[Quantity]),ESales_DB[[#This Row],[Quantity]])</f>
        <v>3</v>
      </c>
      <c r="I1427" s="2">
        <v>205.34</v>
      </c>
      <c r="J1427">
        <v>0.25</v>
      </c>
      <c r="K1427" t="s">
        <v>1824</v>
      </c>
      <c r="L1427" s="2">
        <v>462.01499999999999</v>
      </c>
      <c r="M1427" s="2" t="str">
        <f>IF(ESales_DB[[#This Row],[Total_Amount]]&gt;1000,"High","Low")</f>
        <v>Low</v>
      </c>
      <c r="N1427" s="2" t="str">
        <f>VLOOKUP(ESales_DB[[#This Row],[Customer_ID]],Ecustom_DB[],3,FALSE)</f>
        <v>Mario Jacobs</v>
      </c>
      <c r="O1427" s="2" t="str">
        <f>_xlfn.XLOOKUP(ESales_DB[[#This Row],[Product_ID]],Eproduct_DB[Product_ID],Eproduct_DB[Category])</f>
        <v>Sports</v>
      </c>
      <c r="P1427" s="2" t="str">
        <f>_xlfn.XLOOKUP(ESales_DB[[#This Row],[Product_ID]],Eproduct_DB[Product_ID],Eproduct_DB[Product_Name])</f>
        <v>Sports Stopwatch Timer</v>
      </c>
      <c r="Q1427" s="2" t="str">
        <f>_xlfn.XLOOKUP(ESales_DB[[#This Row],[Store_ID]],Estore_DB[Store_ID],Estore_DB[Region])</f>
        <v>North</v>
      </c>
      <c r="R1427" t="str">
        <f>VLOOKUP(ESales_DB[[#This Row],[Customer_ID]],Ecustom_DB[],10,FALSE)</f>
        <v>Platinum</v>
      </c>
      <c r="S1427" t="str">
        <f>IF(ESales_DB[[#This Row],[Quantity1]]&gt;3,"Bulk order","Normal order")</f>
        <v>Normal order</v>
      </c>
    </row>
    <row r="1428" spans="1:19" x14ac:dyDescent="0.3">
      <c r="A1428" t="s">
        <v>2308</v>
      </c>
      <c r="B1428" s="4">
        <v>45851</v>
      </c>
      <c r="C1428" s="4" t="str">
        <f>TEXT(ESales_DB[[#This Row],[Order_Date]],"mmm")</f>
        <v>Jul</v>
      </c>
      <c r="D1428" t="s">
        <v>1301</v>
      </c>
      <c r="E1428" t="s">
        <v>1606</v>
      </c>
      <c r="F1428" t="s">
        <v>1782</v>
      </c>
      <c r="G1428">
        <v>2</v>
      </c>
      <c r="H1428" s="10">
        <f>IF(ISBLANK(ESales_DB[[#This Row],[Quantity]]),AVERAGEIF(ESales_DB[Product_ID],ESales_DB[[#This Row],[Product_ID]],ESales_DB[Quantity]),ESales_DB[[#This Row],[Quantity]])</f>
        <v>2</v>
      </c>
      <c r="I1428" s="2">
        <v>756.8</v>
      </c>
      <c r="J1428">
        <v>0.15</v>
      </c>
      <c r="K1428" t="s">
        <v>1824</v>
      </c>
      <c r="L1428" s="2">
        <v>1286.56</v>
      </c>
      <c r="M1428" s="2" t="str">
        <f>IF(ESales_DB[[#This Row],[Total_Amount]]&gt;1000,"High","Low")</f>
        <v>High</v>
      </c>
      <c r="N1428" s="2" t="str">
        <f>VLOOKUP(ESales_DB[[#This Row],[Customer_ID]],Ecustom_DB[],3,FALSE)</f>
        <v>Monica Miller</v>
      </c>
      <c r="O1428" s="2" t="str">
        <f>_xlfn.XLOOKUP(ESales_DB[[#This Row],[Product_ID]],Eproduct_DB[Product_ID],Eproduct_DB[Category])</f>
        <v>Home</v>
      </c>
      <c r="P1428" s="2" t="str">
        <f>_xlfn.XLOOKUP(ESales_DB[[#This Row],[Product_ID]],Eproduct_DB[Product_ID],Eproduct_DB[Product_Name])</f>
        <v>Fabric Sofa Throw Blanket</v>
      </c>
      <c r="Q1428" s="2" t="str">
        <f>_xlfn.XLOOKUP(ESales_DB[[#This Row],[Store_ID]],Estore_DB[Store_ID],Estore_DB[Region])</f>
        <v>West</v>
      </c>
      <c r="R1428" t="str">
        <f>VLOOKUP(ESales_DB[[#This Row],[Customer_ID]],Ecustom_DB[],10,FALSE)</f>
        <v>Gold</v>
      </c>
      <c r="S1428" t="str">
        <f>IF(ESales_DB[[#This Row],[Quantity1]]&gt;3,"Bulk order","Normal order")</f>
        <v>Normal order</v>
      </c>
    </row>
    <row r="1429" spans="1:19" x14ac:dyDescent="0.3">
      <c r="A1429" t="s">
        <v>2309</v>
      </c>
      <c r="B1429" s="4">
        <v>45308</v>
      </c>
      <c r="C1429" s="4" t="str">
        <f>TEXT(ESales_DB[[#This Row],[Order_Date]],"mmm")</f>
        <v>Jan</v>
      </c>
      <c r="D1429" t="s">
        <v>172</v>
      </c>
      <c r="E1429" t="s">
        <v>1590</v>
      </c>
      <c r="F1429" t="s">
        <v>1789</v>
      </c>
      <c r="G1429">
        <v>1</v>
      </c>
      <c r="H1429" s="10">
        <f>IF(ISBLANK(ESales_DB[[#This Row],[Quantity]]),AVERAGEIF(ESales_DB[Product_ID],ESales_DB[[#This Row],[Product_ID]],ESales_DB[Quantity]),ESales_DB[[#This Row],[Quantity]])</f>
        <v>1</v>
      </c>
      <c r="I1429" s="2">
        <v>771.73</v>
      </c>
      <c r="J1429">
        <v>0.2</v>
      </c>
      <c r="K1429" t="s">
        <v>1824</v>
      </c>
      <c r="L1429" s="2">
        <v>617.38400000000001</v>
      </c>
      <c r="M1429" s="2" t="str">
        <f>IF(ESales_DB[[#This Row],[Total_Amount]]&gt;1000,"High","Low")</f>
        <v>Low</v>
      </c>
      <c r="N1429" s="2" t="str">
        <f>VLOOKUP(ESales_DB[[#This Row],[Customer_ID]],Ecustom_DB[],3,FALSE)</f>
        <v>Denise Williams</v>
      </c>
      <c r="O1429" s="2" t="str">
        <f>_xlfn.XLOOKUP(ESales_DB[[#This Row],[Product_ID]],Eproduct_DB[Product_ID],Eproduct_DB[Category])</f>
        <v>Home</v>
      </c>
      <c r="P1429" s="2" t="str">
        <f>_xlfn.XLOOKUP(ESales_DB[[#This Row],[Product_ID]],Eproduct_DB[Product_ID],Eproduct_DB[Product_Name])</f>
        <v>Multi-Purpose Storage Box</v>
      </c>
      <c r="Q1429" s="2" t="str">
        <f>_xlfn.XLOOKUP(ESales_DB[[#This Row],[Store_ID]],Estore_DB[Store_ID],Estore_DB[Region])</f>
        <v>East</v>
      </c>
      <c r="R1429" t="str">
        <f>VLOOKUP(ESales_DB[[#This Row],[Customer_ID]],Ecustom_DB[],10,FALSE)</f>
        <v>Bronze</v>
      </c>
      <c r="S1429" t="str">
        <f>IF(ESales_DB[[#This Row],[Quantity1]]&gt;3,"Bulk order","Normal order")</f>
        <v>Normal order</v>
      </c>
    </row>
    <row r="1430" spans="1:19" x14ac:dyDescent="0.3">
      <c r="A1430" t="s">
        <v>2310</v>
      </c>
      <c r="B1430" s="4">
        <v>45639</v>
      </c>
      <c r="C1430" s="4" t="str">
        <f>TEXT(ESales_DB[[#This Row],[Order_Date]],"mmm")</f>
        <v>Dec</v>
      </c>
      <c r="D1430" t="s">
        <v>1475</v>
      </c>
      <c r="E1430" t="s">
        <v>1680</v>
      </c>
      <c r="F1430" t="s">
        <v>1807</v>
      </c>
      <c r="G1430">
        <v>1</v>
      </c>
      <c r="H1430" s="10">
        <f>IF(ISBLANK(ESales_DB[[#This Row],[Quantity]]),AVERAGEIF(ESales_DB[Product_ID],ESales_DB[[#This Row],[Product_ID]],ESales_DB[Quantity]),ESales_DB[[#This Row],[Quantity]])</f>
        <v>1</v>
      </c>
      <c r="I1430" s="2">
        <v>440.19</v>
      </c>
      <c r="J1430">
        <v>0.03</v>
      </c>
      <c r="K1430" t="s">
        <v>1826</v>
      </c>
      <c r="L1430" s="2">
        <v>426.98430000000002</v>
      </c>
      <c r="M1430" s="2" t="str">
        <f>IF(ESales_DB[[#This Row],[Total_Amount]]&gt;1000,"High","Low")</f>
        <v>Low</v>
      </c>
      <c r="N1430" s="2" t="str">
        <f>VLOOKUP(ESales_DB[[#This Row],[Customer_ID]],Ecustom_DB[],3,FALSE)</f>
        <v>Dylan Gutierrez</v>
      </c>
      <c r="O1430" s="2" t="str">
        <f>_xlfn.XLOOKUP(ESales_DB[[#This Row],[Product_ID]],Eproduct_DB[Product_ID],Eproduct_DB[Category])</f>
        <v>Beauty</v>
      </c>
      <c r="P1430" s="2" t="str">
        <f>_xlfn.XLOOKUP(ESales_DB[[#This Row],[Product_ID]],Eproduct_DB[Product_ID],Eproduct_DB[Product_Name])</f>
        <v>Women's Hair Dryer Brush</v>
      </c>
      <c r="Q1430" s="2" t="str">
        <f>_xlfn.XLOOKUP(ESales_DB[[#This Row],[Store_ID]],Estore_DB[Store_ID],Estore_DB[Region])</f>
        <v>North</v>
      </c>
      <c r="R1430" t="str">
        <f>VLOOKUP(ESales_DB[[#This Row],[Customer_ID]],Ecustom_DB[],10,FALSE)</f>
        <v>Bronze</v>
      </c>
      <c r="S1430" t="str">
        <f>IF(ESales_DB[[#This Row],[Quantity1]]&gt;3,"Bulk order","Normal order")</f>
        <v>Normal order</v>
      </c>
    </row>
    <row r="1431" spans="1:19" x14ac:dyDescent="0.3">
      <c r="A1431" t="s">
        <v>2311</v>
      </c>
      <c r="B1431" s="4">
        <v>45919</v>
      </c>
      <c r="C1431" s="4" t="str">
        <f>TEXT(ESales_DB[[#This Row],[Order_Date]],"mmm")</f>
        <v>Sep</v>
      </c>
      <c r="D1431" t="s">
        <v>181</v>
      </c>
      <c r="E1431" t="s">
        <v>1553</v>
      </c>
      <c r="F1431" t="s">
        <v>1761</v>
      </c>
      <c r="G1431">
        <v>2</v>
      </c>
      <c r="H1431" s="10">
        <f>IF(ISBLANK(ESales_DB[[#This Row],[Quantity]]),AVERAGEIF(ESales_DB[Product_ID],ESales_DB[[#This Row],[Product_ID]],ESales_DB[Quantity]),ESales_DB[[#This Row],[Quantity]])</f>
        <v>2</v>
      </c>
      <c r="I1431" s="2">
        <v>409</v>
      </c>
      <c r="J1431">
        <v>0.17</v>
      </c>
      <c r="K1431" t="s">
        <v>1824</v>
      </c>
      <c r="L1431" s="2">
        <v>678.93999999999994</v>
      </c>
      <c r="M1431" s="2" t="str">
        <f>IF(ESales_DB[[#This Row],[Total_Amount]]&gt;1000,"High","Low")</f>
        <v>Low</v>
      </c>
      <c r="N1431" s="2" t="str">
        <f>VLOOKUP(ESales_DB[[#This Row],[Customer_ID]],Ecustom_DB[],3,FALSE)</f>
        <v>Gina Knight</v>
      </c>
      <c r="O1431" s="2" t="str">
        <f>_xlfn.XLOOKUP(ESales_DB[[#This Row],[Product_ID]],Eproduct_DB[Product_ID],Eproduct_DB[Category])</f>
        <v>Clothing</v>
      </c>
      <c r="P1431" s="2" t="str">
        <f>_xlfn.XLOOKUP(ESales_DB[[#This Row],[Product_ID]],Eproduct_DB[Product_ID],Eproduct_DB[Product_Name])</f>
        <v>Women's Yoga Pants</v>
      </c>
      <c r="Q1431" s="2" t="str">
        <f>_xlfn.XLOOKUP(ESales_DB[[#This Row],[Store_ID]],Estore_DB[Store_ID],Estore_DB[Region])</f>
        <v>South</v>
      </c>
      <c r="R1431" t="str">
        <f>VLOOKUP(ESales_DB[[#This Row],[Customer_ID]],Ecustom_DB[],10,FALSE)</f>
        <v>Silver</v>
      </c>
      <c r="S1431" t="str">
        <f>IF(ESales_DB[[#This Row],[Quantity1]]&gt;3,"Bulk order","Normal order")</f>
        <v>Normal order</v>
      </c>
    </row>
    <row r="1432" spans="1:19" x14ac:dyDescent="0.3">
      <c r="A1432" t="s">
        <v>2312</v>
      </c>
      <c r="B1432" s="4">
        <v>45333</v>
      </c>
      <c r="C1432" s="4" t="str">
        <f>TEXT(ESales_DB[[#This Row],[Order_Date]],"mmm")</f>
        <v>Feb</v>
      </c>
      <c r="D1432" t="s">
        <v>1077</v>
      </c>
      <c r="E1432" t="s">
        <v>1624</v>
      </c>
      <c r="F1432" t="s">
        <v>1813</v>
      </c>
      <c r="G1432">
        <v>3</v>
      </c>
      <c r="H1432" s="10">
        <f>IF(ISBLANK(ESales_DB[[#This Row],[Quantity]]),AVERAGEIF(ESales_DB[Product_ID],ESales_DB[[#This Row],[Product_ID]],ESales_DB[Quantity]),ESales_DB[[#This Row],[Quantity]])</f>
        <v>3</v>
      </c>
      <c r="I1432" s="2">
        <v>134.58000000000001</v>
      </c>
      <c r="J1432">
        <v>0.04</v>
      </c>
      <c r="K1432" t="s">
        <v>1829</v>
      </c>
      <c r="L1432" s="2">
        <v>387.59039999999999</v>
      </c>
      <c r="M1432" s="2" t="str">
        <f>IF(ESales_DB[[#This Row],[Total_Amount]]&gt;1000,"High","Low")</f>
        <v>Low</v>
      </c>
      <c r="N1432" s="2" t="str">
        <f>VLOOKUP(ESales_DB[[#This Row],[Customer_ID]],Ecustom_DB[],3,FALSE)</f>
        <v>Ryan Moore</v>
      </c>
      <c r="O1432" s="2" t="str">
        <f>_xlfn.XLOOKUP(ESales_DB[[#This Row],[Product_ID]],Eproduct_DB[Product_ID],Eproduct_DB[Category])</f>
        <v>Sports</v>
      </c>
      <c r="P1432" s="2" t="str">
        <f>_xlfn.XLOOKUP(ESales_DB[[#This Row],[Product_ID]],Eproduct_DB[Product_ID],Eproduct_DB[Product_Name])</f>
        <v>Sports Water Hydration Pack</v>
      </c>
      <c r="Q1432" s="2" t="str">
        <f>_xlfn.XLOOKUP(ESales_DB[[#This Row],[Store_ID]],Estore_DB[Store_ID],Estore_DB[Region])</f>
        <v>East</v>
      </c>
      <c r="R1432" t="str">
        <f>VLOOKUP(ESales_DB[[#This Row],[Customer_ID]],Ecustom_DB[],10,FALSE)</f>
        <v>Bronze</v>
      </c>
      <c r="S1432" t="str">
        <f>IF(ESales_DB[[#This Row],[Quantity1]]&gt;3,"Bulk order","Normal order")</f>
        <v>Normal order</v>
      </c>
    </row>
    <row r="1433" spans="1:19" x14ac:dyDescent="0.3">
      <c r="A1433" t="s">
        <v>2313</v>
      </c>
      <c r="B1433" s="4">
        <v>45811</v>
      </c>
      <c r="C1433" s="4" t="str">
        <f>TEXT(ESales_DB[[#This Row],[Order_Date]],"mmm")</f>
        <v>Jun</v>
      </c>
      <c r="D1433" t="s">
        <v>1092</v>
      </c>
      <c r="E1433" t="s">
        <v>1626</v>
      </c>
      <c r="F1433" t="s">
        <v>1779</v>
      </c>
      <c r="G1433">
        <v>4</v>
      </c>
      <c r="H1433" s="10">
        <f>IF(ISBLANK(ESales_DB[[#This Row],[Quantity]]),AVERAGEIF(ESales_DB[Product_ID],ESales_DB[[#This Row],[Product_ID]],ESales_DB[Quantity]),ESales_DB[[#This Row],[Quantity]])</f>
        <v>4</v>
      </c>
      <c r="I1433" s="2">
        <v>284.44</v>
      </c>
      <c r="J1433">
        <v>0.02</v>
      </c>
      <c r="K1433" t="s">
        <v>1824</v>
      </c>
      <c r="L1433" s="2">
        <v>1115.0047999999999</v>
      </c>
      <c r="M1433" s="2" t="str">
        <f>IF(ESales_DB[[#This Row],[Total_Amount]]&gt;1000,"High","Low")</f>
        <v>High</v>
      </c>
      <c r="N1433" s="2" t="str">
        <f>VLOOKUP(ESales_DB[[#This Row],[Customer_ID]],Ecustom_DB[],3,FALSE)</f>
        <v>Sherry Cabrera</v>
      </c>
      <c r="O1433" s="2" t="str">
        <f>_xlfn.XLOOKUP(ESales_DB[[#This Row],[Product_ID]],Eproduct_DB[Product_ID],Eproduct_DB[Category])</f>
        <v>Electronics</v>
      </c>
      <c r="P1433" s="2" t="str">
        <f>_xlfn.XLOOKUP(ESales_DB[[#This Row],[Product_ID]],Eproduct_DB[Product_ID],Eproduct_DB[Product_Name])</f>
        <v>Portable Power Bank</v>
      </c>
      <c r="Q1433" s="2" t="str">
        <f>_xlfn.XLOOKUP(ESales_DB[[#This Row],[Store_ID]],Estore_DB[Store_ID],Estore_DB[Region])</f>
        <v>South</v>
      </c>
      <c r="R1433" t="str">
        <f>VLOOKUP(ESales_DB[[#This Row],[Customer_ID]],Ecustom_DB[],10,FALSE)</f>
        <v>Silver</v>
      </c>
      <c r="S1433" t="str">
        <f>IF(ESales_DB[[#This Row],[Quantity1]]&gt;3,"Bulk order","Normal order")</f>
        <v>Bulk order</v>
      </c>
    </row>
    <row r="1434" spans="1:19" x14ac:dyDescent="0.3">
      <c r="A1434" t="s">
        <v>2314</v>
      </c>
      <c r="B1434" s="4">
        <v>45726</v>
      </c>
      <c r="C1434" s="4" t="str">
        <f>TEXT(ESales_DB[[#This Row],[Order_Date]],"mmm")</f>
        <v>Mar</v>
      </c>
      <c r="D1434" t="s">
        <v>1260</v>
      </c>
      <c r="E1434" t="s">
        <v>1694</v>
      </c>
      <c r="F1434" t="s">
        <v>1797</v>
      </c>
      <c r="G1434">
        <v>4</v>
      </c>
      <c r="H1434" s="10">
        <f>IF(ISBLANK(ESales_DB[[#This Row],[Quantity]]),AVERAGEIF(ESales_DB[Product_ID],ESales_DB[[#This Row],[Product_ID]],ESales_DB[Quantity]),ESales_DB[[#This Row],[Quantity]])</f>
        <v>4</v>
      </c>
      <c r="I1434" s="2">
        <v>922.69</v>
      </c>
      <c r="J1434">
        <v>0.16</v>
      </c>
      <c r="K1434" t="s">
        <v>1824</v>
      </c>
      <c r="L1434" s="2">
        <v>3100.2384000000002</v>
      </c>
      <c r="M1434" s="2" t="str">
        <f>IF(ESales_DB[[#This Row],[Total_Amount]]&gt;1000,"High","Low")</f>
        <v>High</v>
      </c>
      <c r="N1434" s="2" t="str">
        <f>VLOOKUP(ESales_DB[[#This Row],[Customer_ID]],Ecustom_DB[],3,FALSE)</f>
        <v>Eric Wolfe</v>
      </c>
      <c r="O1434" s="2" t="str">
        <f>_xlfn.XLOOKUP(ESales_DB[[#This Row],[Product_ID]],Eproduct_DB[Product_ID],Eproduct_DB[Category])</f>
        <v>Sports</v>
      </c>
      <c r="P1434" s="2" t="str">
        <f>_xlfn.XLOOKUP(ESales_DB[[#This Row],[Product_ID]],Eproduct_DB[Product_ID],Eproduct_DB[Product_Name])</f>
        <v>Shin Guards – Adult</v>
      </c>
      <c r="Q1434" s="2" t="str">
        <f>_xlfn.XLOOKUP(ESales_DB[[#This Row],[Store_ID]],Estore_DB[Store_ID],Estore_DB[Region])</f>
        <v>East</v>
      </c>
      <c r="R1434" t="str">
        <f>VLOOKUP(ESales_DB[[#This Row],[Customer_ID]],Ecustom_DB[],10,FALSE)</f>
        <v>Gold</v>
      </c>
      <c r="S1434" t="str">
        <f>IF(ESales_DB[[#This Row],[Quantity1]]&gt;3,"Bulk order","Normal order")</f>
        <v>Bulk order</v>
      </c>
    </row>
    <row r="1435" spans="1:19" x14ac:dyDescent="0.3">
      <c r="A1435" t="s">
        <v>2315</v>
      </c>
      <c r="B1435" s="4">
        <v>45644</v>
      </c>
      <c r="C1435" s="4" t="str">
        <f>TEXT(ESales_DB[[#This Row],[Order_Date]],"mmm")</f>
        <v>Dec</v>
      </c>
      <c r="D1435" t="s">
        <v>875</v>
      </c>
      <c r="E1435" t="s">
        <v>1620</v>
      </c>
      <c r="F1435" t="s">
        <v>1776</v>
      </c>
      <c r="G1435">
        <v>2</v>
      </c>
      <c r="H1435" s="10">
        <f>IF(ISBLANK(ESales_DB[[#This Row],[Quantity]]),AVERAGEIF(ESales_DB[Product_ID],ESales_DB[[#This Row],[Product_ID]],ESales_DB[Quantity]),ESales_DB[[#This Row],[Quantity]])</f>
        <v>2</v>
      </c>
      <c r="I1435" s="2">
        <v>992.55</v>
      </c>
      <c r="J1435">
        <v>0.28000000000000003</v>
      </c>
      <c r="K1435" t="s">
        <v>1824</v>
      </c>
      <c r="L1435" s="2">
        <v>1429.2719999999999</v>
      </c>
      <c r="M1435" s="2" t="str">
        <f>IF(ESales_DB[[#This Row],[Total_Amount]]&gt;1000,"High","Low")</f>
        <v>High</v>
      </c>
      <c r="N1435" s="2" t="str">
        <f>VLOOKUP(ESales_DB[[#This Row],[Customer_ID]],Ecustom_DB[],3,FALSE)</f>
        <v>Shannon Miller</v>
      </c>
      <c r="O1435" s="2" t="str">
        <f>_xlfn.XLOOKUP(ESales_DB[[#This Row],[Product_ID]],Eproduct_DB[Product_ID],Eproduct_DB[Category])</f>
        <v>Clothing</v>
      </c>
      <c r="P1435" s="2" t="str">
        <f>_xlfn.XLOOKUP(ESales_DB[[#This Row],[Product_ID]],Eproduct_DB[Product_ID],Eproduct_DB[Product_Name])</f>
        <v>Women's Summer Dress</v>
      </c>
      <c r="Q1435" s="2" t="str">
        <f>_xlfn.XLOOKUP(ESales_DB[[#This Row],[Store_ID]],Estore_DB[Store_ID],Estore_DB[Region])</f>
        <v>East</v>
      </c>
      <c r="R1435" t="str">
        <f>VLOOKUP(ESales_DB[[#This Row],[Customer_ID]],Ecustom_DB[],10,FALSE)</f>
        <v>Gold</v>
      </c>
      <c r="S1435" t="str">
        <f>IF(ESales_DB[[#This Row],[Quantity1]]&gt;3,"Bulk order","Normal order")</f>
        <v>Normal order</v>
      </c>
    </row>
    <row r="1436" spans="1:19" x14ac:dyDescent="0.3">
      <c r="A1436" t="s">
        <v>1875</v>
      </c>
      <c r="B1436" s="4">
        <v>45607</v>
      </c>
      <c r="C1436" s="4" t="str">
        <f>TEXT(ESales_DB[[#This Row],[Order_Date]],"mmm")</f>
        <v>Nov</v>
      </c>
      <c r="D1436" t="s">
        <v>1304</v>
      </c>
      <c r="E1436" t="s">
        <v>1590</v>
      </c>
      <c r="F1436" t="s">
        <v>1804</v>
      </c>
      <c r="G1436">
        <v>2</v>
      </c>
      <c r="H1436" s="10">
        <f>IF(ISBLANK(ESales_DB[[#This Row],[Quantity]]),AVERAGEIF(ESales_DB[Product_ID],ESales_DB[[#This Row],[Product_ID]],ESales_DB[Quantity]),ESales_DB[[#This Row],[Quantity]])</f>
        <v>2</v>
      </c>
      <c r="I1436" s="2">
        <v>384.66</v>
      </c>
      <c r="J1436">
        <v>0.08</v>
      </c>
      <c r="K1436" t="s">
        <v>1829</v>
      </c>
      <c r="L1436" s="2">
        <v>707.77440000000013</v>
      </c>
      <c r="M1436" s="2" t="str">
        <f>IF(ESales_DB[[#This Row],[Total_Amount]]&gt;1000,"High","Low")</f>
        <v>Low</v>
      </c>
      <c r="N1436" s="2" t="str">
        <f>VLOOKUP(ESales_DB[[#This Row],[Customer_ID]],Ecustom_DB[],3,FALSE)</f>
        <v>Dr. Tamara White Md</v>
      </c>
      <c r="O1436" s="2" t="str">
        <f>_xlfn.XLOOKUP(ESales_DB[[#This Row],[Product_ID]],Eproduct_DB[Product_ID],Eproduct_DB[Category])</f>
        <v>Home</v>
      </c>
      <c r="P1436" s="2" t="str">
        <f>_xlfn.XLOOKUP(ESales_DB[[#This Row],[Product_ID]],Eproduct_DB[Product_ID],Eproduct_DB[Product_Name])</f>
        <v>Multi-Purpose Storage Box</v>
      </c>
      <c r="Q1436" s="2" t="str">
        <f>_xlfn.XLOOKUP(ESales_DB[[#This Row],[Store_ID]],Estore_DB[Store_ID],Estore_DB[Region])</f>
        <v>West</v>
      </c>
      <c r="R1436" t="str">
        <f>VLOOKUP(ESales_DB[[#This Row],[Customer_ID]],Ecustom_DB[],10,FALSE)</f>
        <v>Bronze</v>
      </c>
      <c r="S1436" t="str">
        <f>IF(ESales_DB[[#This Row],[Quantity1]]&gt;3,"Bulk order","Normal order")</f>
        <v>Normal order</v>
      </c>
    </row>
    <row r="1437" spans="1:19" x14ac:dyDescent="0.3">
      <c r="A1437" t="s">
        <v>2316</v>
      </c>
      <c r="B1437" s="4">
        <v>45371</v>
      </c>
      <c r="C1437" s="4" t="str">
        <f>TEXT(ESales_DB[[#This Row],[Order_Date]],"mmm")</f>
        <v>Mar</v>
      </c>
      <c r="D1437" t="s">
        <v>1298</v>
      </c>
      <c r="E1437" t="s">
        <v>1726</v>
      </c>
      <c r="F1437" t="s">
        <v>1810</v>
      </c>
      <c r="G1437">
        <v>1</v>
      </c>
      <c r="H1437" s="10">
        <f>IF(ISBLANK(ESales_DB[[#This Row],[Quantity]]),AVERAGEIF(ESales_DB[Product_ID],ESales_DB[[#This Row],[Product_ID]],ESales_DB[Quantity]),ESales_DB[[#This Row],[Quantity]])</f>
        <v>1</v>
      </c>
      <c r="I1437" s="2">
        <v>170.43</v>
      </c>
      <c r="J1437">
        <v>0.03</v>
      </c>
      <c r="K1437" t="s">
        <v>1824</v>
      </c>
      <c r="L1437" s="2">
        <v>165.31710000000001</v>
      </c>
      <c r="M1437" s="2" t="str">
        <f>IF(ESales_DB[[#This Row],[Total_Amount]]&gt;1000,"High","Low")</f>
        <v>Low</v>
      </c>
      <c r="N1437" s="2" t="str">
        <f>VLOOKUP(ESales_DB[[#This Row],[Customer_ID]],Ecustom_DB[],3,FALSE)</f>
        <v>Luke Parks</v>
      </c>
      <c r="O1437" s="2" t="str">
        <f>_xlfn.XLOOKUP(ESales_DB[[#This Row],[Product_ID]],Eproduct_DB[Product_ID],Eproduct_DB[Category])</f>
        <v>Beauty</v>
      </c>
      <c r="P1437" s="2" t="str">
        <f>_xlfn.XLOOKUP(ESales_DB[[#This Row],[Product_ID]],Eproduct_DB[Product_ID],Eproduct_DB[Product_Name])</f>
        <v>Face Foundation Kit</v>
      </c>
      <c r="Q1437" s="2" t="str">
        <f>_xlfn.XLOOKUP(ESales_DB[[#This Row],[Store_ID]],Estore_DB[Store_ID],Estore_DB[Region])</f>
        <v>East</v>
      </c>
      <c r="R1437" t="str">
        <f>VLOOKUP(ESales_DB[[#This Row],[Customer_ID]],Ecustom_DB[],10,FALSE)</f>
        <v>Silver</v>
      </c>
      <c r="S1437" t="str">
        <f>IF(ESales_DB[[#This Row],[Quantity1]]&gt;3,"Bulk order","Normal order")</f>
        <v>Normal order</v>
      </c>
    </row>
    <row r="1438" spans="1:19" x14ac:dyDescent="0.3">
      <c r="A1438" t="s">
        <v>2317</v>
      </c>
      <c r="B1438" s="4">
        <v>45462</v>
      </c>
      <c r="C1438" s="4" t="str">
        <f>TEXT(ESales_DB[[#This Row],[Order_Date]],"mmm")</f>
        <v>Jun</v>
      </c>
      <c r="D1438" t="s">
        <v>722</v>
      </c>
      <c r="E1438" t="s">
        <v>1692</v>
      </c>
      <c r="F1438" t="s">
        <v>1761</v>
      </c>
      <c r="G1438">
        <v>3</v>
      </c>
      <c r="H1438" s="10">
        <f>IF(ISBLANK(ESales_DB[[#This Row],[Quantity]]),AVERAGEIF(ESales_DB[Product_ID],ESales_DB[[#This Row],[Product_ID]],ESales_DB[Quantity]),ESales_DB[[#This Row],[Quantity]])</f>
        <v>3</v>
      </c>
      <c r="I1438" s="2">
        <v>480.51</v>
      </c>
      <c r="J1438">
        <v>0.03</v>
      </c>
      <c r="K1438" t="s">
        <v>1824</v>
      </c>
      <c r="L1438" s="2">
        <v>1398.2841000000001</v>
      </c>
      <c r="M1438" s="2" t="str">
        <f>IF(ESales_DB[[#This Row],[Total_Amount]]&gt;1000,"High","Low")</f>
        <v>High</v>
      </c>
      <c r="N1438" s="2" t="str">
        <f>VLOOKUP(ESales_DB[[#This Row],[Customer_ID]],Ecustom_DB[],3,FALSE)</f>
        <v>Robert Harris</v>
      </c>
      <c r="O1438" s="2" t="str">
        <f>_xlfn.XLOOKUP(ESales_DB[[#This Row],[Product_ID]],Eproduct_DB[Product_ID],Eproduct_DB[Category])</f>
        <v>Sports</v>
      </c>
      <c r="P1438" s="2" t="str">
        <f>_xlfn.XLOOKUP(ESales_DB[[#This Row],[Product_ID]],Eproduct_DB[Product_ID],Eproduct_DB[Product_Name])</f>
        <v>Professional Jump Rope</v>
      </c>
      <c r="Q1438" s="2" t="str">
        <f>_xlfn.XLOOKUP(ESales_DB[[#This Row],[Store_ID]],Estore_DB[Store_ID],Estore_DB[Region])</f>
        <v>South</v>
      </c>
      <c r="R1438" t="str">
        <f>VLOOKUP(ESales_DB[[#This Row],[Customer_ID]],Ecustom_DB[],10,FALSE)</f>
        <v>Platinum</v>
      </c>
      <c r="S1438" t="str">
        <f>IF(ESales_DB[[#This Row],[Quantity1]]&gt;3,"Bulk order","Normal order")</f>
        <v>Normal order</v>
      </c>
    </row>
    <row r="1439" spans="1:19" x14ac:dyDescent="0.3">
      <c r="A1439" t="s">
        <v>2318</v>
      </c>
      <c r="B1439" s="4">
        <v>45632</v>
      </c>
      <c r="C1439" s="4" t="str">
        <f>TEXT(ESales_DB[[#This Row],[Order_Date]],"mmm")</f>
        <v>Dec</v>
      </c>
      <c r="D1439" t="s">
        <v>523</v>
      </c>
      <c r="E1439" t="s">
        <v>1646</v>
      </c>
      <c r="F1439" t="s">
        <v>1779</v>
      </c>
      <c r="G1439">
        <v>2</v>
      </c>
      <c r="H1439" s="10">
        <f>IF(ISBLANK(ESales_DB[[#This Row],[Quantity]]),AVERAGEIF(ESales_DB[Product_ID],ESales_DB[[#This Row],[Product_ID]],ESales_DB[Quantity]),ESales_DB[[#This Row],[Quantity]])</f>
        <v>2</v>
      </c>
      <c r="I1439" s="2">
        <v>955.66</v>
      </c>
      <c r="J1439">
        <v>0.28999999999999998</v>
      </c>
      <c r="K1439" t="s">
        <v>1829</v>
      </c>
      <c r="L1439" s="2">
        <v>1357.0372</v>
      </c>
      <c r="M1439" s="2" t="str">
        <f>IF(ESales_DB[[#This Row],[Total_Amount]]&gt;1000,"High","Low")</f>
        <v>High</v>
      </c>
      <c r="N1439" s="2" t="str">
        <f>VLOOKUP(ESales_DB[[#This Row],[Customer_ID]],Ecustom_DB[],3,FALSE)</f>
        <v>Maria Sanchez</v>
      </c>
      <c r="O1439" s="2" t="str">
        <f>_xlfn.XLOOKUP(ESales_DB[[#This Row],[Product_ID]],Eproduct_DB[Product_ID],Eproduct_DB[Category])</f>
        <v>Beauty</v>
      </c>
      <c r="P1439" s="2" t="str">
        <f>_xlfn.XLOOKUP(ESales_DB[[#This Row],[Product_ID]],Eproduct_DB[Product_ID],Eproduct_DB[Product_Name])</f>
        <v>Men's Roll-On Perfume</v>
      </c>
      <c r="Q1439" s="2" t="str">
        <f>_xlfn.XLOOKUP(ESales_DB[[#This Row],[Store_ID]],Estore_DB[Store_ID],Estore_DB[Region])</f>
        <v>South</v>
      </c>
      <c r="R1439" t="str">
        <f>VLOOKUP(ESales_DB[[#This Row],[Customer_ID]],Ecustom_DB[],10,FALSE)</f>
        <v>Bronze</v>
      </c>
      <c r="S1439" t="str">
        <f>IF(ESales_DB[[#This Row],[Quantity1]]&gt;3,"Bulk order","Normal order")</f>
        <v>Normal order</v>
      </c>
    </row>
    <row r="1440" spans="1:19" x14ac:dyDescent="0.3">
      <c r="A1440" t="s">
        <v>2319</v>
      </c>
      <c r="B1440" s="4">
        <v>45863</v>
      </c>
      <c r="C1440" s="4" t="str">
        <f>TEXT(ESales_DB[[#This Row],[Order_Date]],"mmm")</f>
        <v>Jul</v>
      </c>
      <c r="D1440" t="s">
        <v>1395</v>
      </c>
      <c r="E1440" t="s">
        <v>1692</v>
      </c>
      <c r="F1440" t="s">
        <v>1752</v>
      </c>
      <c r="G1440">
        <v>2</v>
      </c>
      <c r="H1440" s="10">
        <f>IF(ISBLANK(ESales_DB[[#This Row],[Quantity]]),AVERAGEIF(ESales_DB[Product_ID],ESales_DB[[#This Row],[Product_ID]],ESales_DB[Quantity]),ESales_DB[[#This Row],[Quantity]])</f>
        <v>2</v>
      </c>
      <c r="I1440" s="2">
        <v>488.02</v>
      </c>
      <c r="J1440">
        <v>0.27</v>
      </c>
      <c r="K1440" t="s">
        <v>1826</v>
      </c>
      <c r="L1440" s="2">
        <v>712.50919999999996</v>
      </c>
      <c r="M1440" s="2" t="str">
        <f>IF(ESales_DB[[#This Row],[Total_Amount]]&gt;1000,"High","Low")</f>
        <v>Low</v>
      </c>
      <c r="N1440" s="2" t="str">
        <f>VLOOKUP(ESales_DB[[#This Row],[Customer_ID]],Ecustom_DB[],3,FALSE)</f>
        <v>Ashley Roberts</v>
      </c>
      <c r="O1440" s="2" t="str">
        <f>_xlfn.XLOOKUP(ESales_DB[[#This Row],[Product_ID]],Eproduct_DB[Product_ID],Eproduct_DB[Category])</f>
        <v>Sports</v>
      </c>
      <c r="P1440" s="2" t="str">
        <f>_xlfn.XLOOKUP(ESales_DB[[#This Row],[Product_ID]],Eproduct_DB[Product_ID],Eproduct_DB[Product_Name])</f>
        <v>Professional Jump Rope</v>
      </c>
      <c r="Q1440" s="2" t="str">
        <f>_xlfn.XLOOKUP(ESales_DB[[#This Row],[Store_ID]],Estore_DB[Store_ID],Estore_DB[Region])</f>
        <v>East</v>
      </c>
      <c r="R1440" t="str">
        <f>VLOOKUP(ESales_DB[[#This Row],[Customer_ID]],Ecustom_DB[],10,FALSE)</f>
        <v>Gold</v>
      </c>
      <c r="S1440" t="str">
        <f>IF(ESales_DB[[#This Row],[Quantity1]]&gt;3,"Bulk order","Normal order")</f>
        <v>Normal order</v>
      </c>
    </row>
    <row r="1441" spans="1:19" x14ac:dyDescent="0.3">
      <c r="A1441" t="s">
        <v>2320</v>
      </c>
      <c r="B1441" s="4">
        <v>45501</v>
      </c>
      <c r="C1441" s="4" t="str">
        <f>TEXT(ESales_DB[[#This Row],[Order_Date]],"mmm")</f>
        <v>Jul</v>
      </c>
      <c r="D1441" t="s">
        <v>770</v>
      </c>
      <c r="E1441" t="s">
        <v>1584</v>
      </c>
      <c r="F1441" t="s">
        <v>1752</v>
      </c>
      <c r="G1441">
        <v>1</v>
      </c>
      <c r="H1441" s="10">
        <f>IF(ISBLANK(ESales_DB[[#This Row],[Quantity]]),AVERAGEIF(ESales_DB[Product_ID],ESales_DB[[#This Row],[Product_ID]],ESales_DB[Quantity]),ESales_DB[[#This Row],[Quantity]])</f>
        <v>1</v>
      </c>
      <c r="I1441" s="2">
        <v>917.17</v>
      </c>
      <c r="J1441">
        <v>0.13</v>
      </c>
      <c r="K1441" t="s">
        <v>1829</v>
      </c>
      <c r="L1441" s="2">
        <v>797.93790000000001</v>
      </c>
      <c r="M1441" s="2" t="str">
        <f>IF(ESales_DB[[#This Row],[Total_Amount]]&gt;1000,"High","Low")</f>
        <v>Low</v>
      </c>
      <c r="N1441" s="2" t="str">
        <f>VLOOKUP(ESales_DB[[#This Row],[Customer_ID]],Ecustom_DB[],3,FALSE)</f>
        <v>William Hull</v>
      </c>
      <c r="O1441" s="2" t="str">
        <f>_xlfn.XLOOKUP(ESales_DB[[#This Row],[Product_ID]],Eproduct_DB[Product_ID],Eproduct_DB[Category])</f>
        <v>Clothing</v>
      </c>
      <c r="P1441" s="2" t="str">
        <f>_xlfn.XLOOKUP(ESales_DB[[#This Row],[Product_ID]],Eproduct_DB[Product_ID],Eproduct_DB[Product_Name])</f>
        <v>Women's Denim Jeans</v>
      </c>
      <c r="Q1441" s="2" t="str">
        <f>_xlfn.XLOOKUP(ESales_DB[[#This Row],[Store_ID]],Estore_DB[Store_ID],Estore_DB[Region])</f>
        <v>East</v>
      </c>
      <c r="R1441" t="str">
        <f>VLOOKUP(ESales_DB[[#This Row],[Customer_ID]],Ecustom_DB[],10,FALSE)</f>
        <v>Platinum</v>
      </c>
      <c r="S1441" t="str">
        <f>IF(ESales_DB[[#This Row],[Quantity1]]&gt;3,"Bulk order","Normal order")</f>
        <v>Normal order</v>
      </c>
    </row>
    <row r="1442" spans="1:19" x14ac:dyDescent="0.3">
      <c r="A1442" t="s">
        <v>2321</v>
      </c>
      <c r="B1442" s="4">
        <v>45568</v>
      </c>
      <c r="C1442" s="4" t="str">
        <f>TEXT(ESales_DB[[#This Row],[Order_Date]],"mmm")</f>
        <v>Oct</v>
      </c>
      <c r="D1442" t="s">
        <v>1020</v>
      </c>
      <c r="E1442" t="s">
        <v>1562</v>
      </c>
      <c r="F1442" t="s">
        <v>1773</v>
      </c>
      <c r="G1442">
        <v>2</v>
      </c>
      <c r="H1442" s="10">
        <f>IF(ISBLANK(ESales_DB[[#This Row],[Quantity]]),AVERAGEIF(ESales_DB[Product_ID],ESales_DB[[#This Row],[Product_ID]],ESales_DB[Quantity]),ESales_DB[[#This Row],[Quantity]])</f>
        <v>2</v>
      </c>
      <c r="I1442" s="2">
        <v>406.46</v>
      </c>
      <c r="J1442">
        <v>0.3</v>
      </c>
      <c r="K1442" t="s">
        <v>1826</v>
      </c>
      <c r="L1442" s="2">
        <v>569.04399999999998</v>
      </c>
      <c r="M1442" s="2" t="str">
        <f>IF(ESales_DB[[#This Row],[Total_Amount]]&gt;1000,"High","Low")</f>
        <v>Low</v>
      </c>
      <c r="N1442" s="2" t="str">
        <f>VLOOKUP(ESales_DB[[#This Row],[Customer_ID]],Ecustom_DB[],3,FALSE)</f>
        <v>Alex Mann Ii</v>
      </c>
      <c r="O1442" s="2" t="str">
        <f>_xlfn.XLOOKUP(ESales_DB[[#This Row],[Product_ID]],Eproduct_DB[Product_ID],Eproduct_DB[Category])</f>
        <v>Electronics</v>
      </c>
      <c r="P1442" s="2" t="str">
        <f>_xlfn.XLOOKUP(ESales_DB[[#This Row],[Product_ID]],Eproduct_DB[Product_ID],Eproduct_DB[Product_Name])</f>
        <v>Wireless Bluetooth Earbuds</v>
      </c>
      <c r="Q1442" s="2" t="str">
        <f>_xlfn.XLOOKUP(ESales_DB[[#This Row],[Store_ID]],Estore_DB[Store_ID],Estore_DB[Region])</f>
        <v>North</v>
      </c>
      <c r="R1442" t="str">
        <f>VLOOKUP(ESales_DB[[#This Row],[Customer_ID]],Ecustom_DB[],10,FALSE)</f>
        <v>Bronze</v>
      </c>
      <c r="S1442" t="str">
        <f>IF(ESales_DB[[#This Row],[Quantity1]]&gt;3,"Bulk order","Normal order")</f>
        <v>Normal order</v>
      </c>
    </row>
    <row r="1443" spans="1:19" x14ac:dyDescent="0.3">
      <c r="A1443" t="s">
        <v>2322</v>
      </c>
      <c r="B1443" s="4">
        <v>45238</v>
      </c>
      <c r="C1443" s="4" t="str">
        <f>TEXT(ESales_DB[[#This Row],[Order_Date]],"mmm")</f>
        <v>Nov</v>
      </c>
      <c r="D1443" t="s">
        <v>746</v>
      </c>
      <c r="E1443" t="s">
        <v>1738</v>
      </c>
      <c r="F1443" t="s">
        <v>1752</v>
      </c>
      <c r="G1443">
        <v>2</v>
      </c>
      <c r="H1443" s="10">
        <f>IF(ISBLANK(ESales_DB[[#This Row],[Quantity]]),AVERAGEIF(ESales_DB[Product_ID],ESales_DB[[#This Row],[Product_ID]],ESales_DB[Quantity]),ESales_DB[[#This Row],[Quantity]])</f>
        <v>2</v>
      </c>
      <c r="I1443" s="2">
        <v>264.39</v>
      </c>
      <c r="J1443">
        <v>0.11</v>
      </c>
      <c r="K1443" t="s">
        <v>1829</v>
      </c>
      <c r="L1443" s="2">
        <v>470.61419999999998</v>
      </c>
      <c r="M1443" s="2" t="str">
        <f>IF(ESales_DB[[#This Row],[Total_Amount]]&gt;1000,"High","Low")</f>
        <v>Low</v>
      </c>
      <c r="N1443" s="2" t="str">
        <f>VLOOKUP(ESales_DB[[#This Row],[Customer_ID]],Ecustom_DB[],3,FALSE)</f>
        <v>Christy Hill</v>
      </c>
      <c r="O1443" s="2" t="str">
        <f>_xlfn.XLOOKUP(ESales_DB[[#This Row],[Product_ID]],Eproduct_DB[Product_ID],Eproduct_DB[Category])</f>
        <v>Sports</v>
      </c>
      <c r="P1443" s="2" t="str">
        <f>_xlfn.XLOOKUP(ESales_DB[[#This Row],[Product_ID]],Eproduct_DB[Product_ID],Eproduct_DB[Product_Name])</f>
        <v>Sports Stopwatch Basic</v>
      </c>
      <c r="Q1443" s="2" t="str">
        <f>_xlfn.XLOOKUP(ESales_DB[[#This Row],[Store_ID]],Estore_DB[Store_ID],Estore_DB[Region])</f>
        <v>East</v>
      </c>
      <c r="R1443" t="str">
        <f>VLOOKUP(ESales_DB[[#This Row],[Customer_ID]],Ecustom_DB[],10,FALSE)</f>
        <v>Platinum</v>
      </c>
      <c r="S1443" t="str">
        <f>IF(ESales_DB[[#This Row],[Quantity1]]&gt;3,"Bulk order","Normal order")</f>
        <v>Normal order</v>
      </c>
    </row>
    <row r="1444" spans="1:19" x14ac:dyDescent="0.3">
      <c r="A1444" t="s">
        <v>2323</v>
      </c>
      <c r="B1444" s="4">
        <v>45754</v>
      </c>
      <c r="C1444" s="4" t="str">
        <f>TEXT(ESales_DB[[#This Row],[Order_Date]],"mmm")</f>
        <v>Apr</v>
      </c>
      <c r="D1444" t="s">
        <v>628</v>
      </c>
      <c r="E1444" t="s">
        <v>1684</v>
      </c>
      <c r="F1444" t="s">
        <v>1804</v>
      </c>
      <c r="G1444">
        <v>1</v>
      </c>
      <c r="H1444" s="10">
        <f>IF(ISBLANK(ESales_DB[[#This Row],[Quantity]]),AVERAGEIF(ESales_DB[Product_ID],ESales_DB[[#This Row],[Product_ID]],ESales_DB[Quantity]),ESales_DB[[#This Row],[Quantity]])</f>
        <v>1</v>
      </c>
      <c r="I1444" s="2">
        <v>414.97</v>
      </c>
      <c r="J1444">
        <v>0.22</v>
      </c>
      <c r="K1444" t="s">
        <v>1826</v>
      </c>
      <c r="L1444" s="2">
        <v>323.67660000000001</v>
      </c>
      <c r="M1444" s="2" t="str">
        <f>IF(ESales_DB[[#This Row],[Total_Amount]]&gt;1000,"High","Low")</f>
        <v>Low</v>
      </c>
      <c r="N1444" s="2" t="str">
        <f>VLOOKUP(ESales_DB[[#This Row],[Customer_ID]],Ecustom_DB[],3,FALSE)</f>
        <v>Todd Poole</v>
      </c>
      <c r="O1444" s="2" t="str">
        <f>_xlfn.XLOOKUP(ESales_DB[[#This Row],[Product_ID]],Eproduct_DB[Product_ID],Eproduct_DB[Category])</f>
        <v>Home</v>
      </c>
      <c r="P1444" s="2" t="str">
        <f>_xlfn.XLOOKUP(ESales_DB[[#This Row],[Product_ID]],Eproduct_DB[Product_ID],Eproduct_DB[Product_Name])</f>
        <v>Wooden Nightstand</v>
      </c>
      <c r="Q1444" s="2" t="str">
        <f>_xlfn.XLOOKUP(ESales_DB[[#This Row],[Store_ID]],Estore_DB[Store_ID],Estore_DB[Region])</f>
        <v>West</v>
      </c>
      <c r="R1444" t="str">
        <f>VLOOKUP(ESales_DB[[#This Row],[Customer_ID]],Ecustom_DB[],10,FALSE)</f>
        <v>Bronze</v>
      </c>
      <c r="S1444" t="str">
        <f>IF(ESales_DB[[#This Row],[Quantity1]]&gt;3,"Bulk order","Normal order")</f>
        <v>Normal order</v>
      </c>
    </row>
    <row r="1445" spans="1:19" x14ac:dyDescent="0.3">
      <c r="A1445" t="s">
        <v>2324</v>
      </c>
      <c r="B1445" s="4">
        <v>45280</v>
      </c>
      <c r="C1445" s="4" t="str">
        <f>TEXT(ESales_DB[[#This Row],[Order_Date]],"mmm")</f>
        <v>Dec</v>
      </c>
      <c r="D1445" t="s">
        <v>493</v>
      </c>
      <c r="E1445" t="s">
        <v>1598</v>
      </c>
      <c r="F1445" t="s">
        <v>1794</v>
      </c>
      <c r="G1445">
        <v>2</v>
      </c>
      <c r="H1445" s="10">
        <f>IF(ISBLANK(ESales_DB[[#This Row],[Quantity]]),AVERAGEIF(ESales_DB[Product_ID],ESales_DB[[#This Row],[Product_ID]],ESales_DB[Quantity]),ESales_DB[[#This Row],[Quantity]])</f>
        <v>2</v>
      </c>
      <c r="I1445" s="2">
        <v>583.51</v>
      </c>
      <c r="J1445">
        <v>0.2</v>
      </c>
      <c r="K1445" t="s">
        <v>1829</v>
      </c>
      <c r="L1445" s="2">
        <v>933.61599999999999</v>
      </c>
      <c r="M1445" s="2" t="str">
        <f>IF(ESales_DB[[#This Row],[Total_Amount]]&gt;1000,"High","Low")</f>
        <v>Low</v>
      </c>
      <c r="N1445" s="2" t="str">
        <f>VLOOKUP(ESales_DB[[#This Row],[Customer_ID]],Ecustom_DB[],3,FALSE)</f>
        <v>Edward Rivera</v>
      </c>
      <c r="O1445" s="2" t="str">
        <f>_xlfn.XLOOKUP(ESales_DB[[#This Row],[Product_ID]],Eproduct_DB[Product_ID],Eproduct_DB[Category])</f>
        <v>Clothing</v>
      </c>
      <c r="P1445" s="2" t="str">
        <f>_xlfn.XLOOKUP(ESales_DB[[#This Row],[Product_ID]],Eproduct_DB[Product_ID],Eproduct_DB[Product_Name])</f>
        <v>Women's Scarf Set</v>
      </c>
      <c r="Q1445" s="2" t="str">
        <f>_xlfn.XLOOKUP(ESales_DB[[#This Row],[Store_ID]],Estore_DB[Store_ID],Estore_DB[Region])</f>
        <v>North</v>
      </c>
      <c r="R1445" t="str">
        <f>VLOOKUP(ESales_DB[[#This Row],[Customer_ID]],Ecustom_DB[],10,FALSE)</f>
        <v>Gold</v>
      </c>
      <c r="S1445" t="str">
        <f>IF(ESales_DB[[#This Row],[Quantity1]]&gt;3,"Bulk order","Normal order")</f>
        <v>Normal order</v>
      </c>
    </row>
    <row r="1446" spans="1:19" x14ac:dyDescent="0.3">
      <c r="A1446" t="s">
        <v>2325</v>
      </c>
      <c r="B1446" s="4">
        <v>45911</v>
      </c>
      <c r="C1446" s="4" t="str">
        <f>TEXT(ESales_DB[[#This Row],[Order_Date]],"mmm")</f>
        <v>Sep</v>
      </c>
      <c r="D1446" t="s">
        <v>55</v>
      </c>
      <c r="E1446" t="s">
        <v>1610</v>
      </c>
      <c r="F1446" t="s">
        <v>1807</v>
      </c>
      <c r="G1446">
        <v>1</v>
      </c>
      <c r="H1446" s="10">
        <f>IF(ISBLANK(ESales_DB[[#This Row],[Quantity]]),AVERAGEIF(ESales_DB[Product_ID],ESales_DB[[#This Row],[Product_ID]],ESales_DB[Quantity]),ESales_DB[[#This Row],[Quantity]])</f>
        <v>1</v>
      </c>
      <c r="I1446" s="2">
        <v>659.27</v>
      </c>
      <c r="J1446">
        <v>0.15</v>
      </c>
      <c r="K1446" t="s">
        <v>1826</v>
      </c>
      <c r="L1446" s="2">
        <v>560.37950000000001</v>
      </c>
      <c r="M1446" s="2" t="str">
        <f>IF(ESales_DB[[#This Row],[Total_Amount]]&gt;1000,"High","Low")</f>
        <v>Low</v>
      </c>
      <c r="N1446" s="2" t="str">
        <f>VLOOKUP(ESales_DB[[#This Row],[Customer_ID]],Ecustom_DB[],3,FALSE)</f>
        <v>Brian Lopez</v>
      </c>
      <c r="O1446" s="2" t="str">
        <f>_xlfn.XLOOKUP(ESales_DB[[#This Row],[Product_ID]],Eproduct_DB[Product_ID],Eproduct_DB[Category])</f>
        <v>Sports</v>
      </c>
      <c r="P1446" s="2" t="str">
        <f>_xlfn.XLOOKUP(ESales_DB[[#This Row],[Product_ID]],Eproduct_DB[Product_ID],Eproduct_DB[Product_Name])</f>
        <v>Basketball</v>
      </c>
      <c r="Q1446" s="2" t="str">
        <f>_xlfn.XLOOKUP(ESales_DB[[#This Row],[Store_ID]],Estore_DB[Store_ID],Estore_DB[Region])</f>
        <v>North</v>
      </c>
      <c r="R1446" t="str">
        <f>VLOOKUP(ESales_DB[[#This Row],[Customer_ID]],Ecustom_DB[],10,FALSE)</f>
        <v>Gold</v>
      </c>
      <c r="S1446" t="str">
        <f>IF(ESales_DB[[#This Row],[Quantity1]]&gt;3,"Bulk order","Normal order")</f>
        <v>Normal order</v>
      </c>
    </row>
    <row r="1447" spans="1:19" x14ac:dyDescent="0.3">
      <c r="A1447" t="s">
        <v>1831</v>
      </c>
      <c r="B1447" s="4">
        <v>45499</v>
      </c>
      <c r="C1447" s="4" t="str">
        <f>TEXT(ESales_DB[[#This Row],[Order_Date]],"mmm")</f>
        <v>Jul</v>
      </c>
      <c r="D1447" t="s">
        <v>405</v>
      </c>
      <c r="E1447" t="s">
        <v>1578</v>
      </c>
      <c r="F1447" t="s">
        <v>1779</v>
      </c>
      <c r="G1447">
        <v>3</v>
      </c>
      <c r="H1447" s="10">
        <f>IF(ISBLANK(ESales_DB[[#This Row],[Quantity]]),AVERAGEIF(ESales_DB[Product_ID],ESales_DB[[#This Row],[Product_ID]],ESales_DB[Quantity]),ESales_DB[[#This Row],[Quantity]])</f>
        <v>3</v>
      </c>
      <c r="I1447" s="2">
        <v>147.01</v>
      </c>
      <c r="J1447">
        <v>0.19</v>
      </c>
      <c r="K1447" t="s">
        <v>1829</v>
      </c>
      <c r="L1447" s="2">
        <v>357.23430000000002</v>
      </c>
      <c r="M1447" s="2" t="str">
        <f>IF(ESales_DB[[#This Row],[Total_Amount]]&gt;1000,"High","Low")</f>
        <v>Low</v>
      </c>
      <c r="N1447" s="2" t="str">
        <f>VLOOKUP(ESales_DB[[#This Row],[Customer_ID]],Ecustom_DB[],3,FALSE)</f>
        <v>Anthony Phillips</v>
      </c>
      <c r="O1447" s="2" t="str">
        <f>_xlfn.XLOOKUP(ESales_DB[[#This Row],[Product_ID]],Eproduct_DB[Product_ID],Eproduct_DB[Category])</f>
        <v>Electronics</v>
      </c>
      <c r="P1447" s="2" t="str">
        <f>_xlfn.XLOOKUP(ESales_DB[[#This Row],[Product_ID]],Eproduct_DB[Product_ID],Eproduct_DB[Product_Name])</f>
        <v>4K Home Projector</v>
      </c>
      <c r="Q1447" s="2" t="str">
        <f>_xlfn.XLOOKUP(ESales_DB[[#This Row],[Store_ID]],Estore_DB[Store_ID],Estore_DB[Region])</f>
        <v>South</v>
      </c>
      <c r="R1447" t="str">
        <f>VLOOKUP(ESales_DB[[#This Row],[Customer_ID]],Ecustom_DB[],10,FALSE)</f>
        <v>Platinum</v>
      </c>
      <c r="S1447" t="str">
        <f>IF(ESales_DB[[#This Row],[Quantity1]]&gt;3,"Bulk order","Normal order")</f>
        <v>Normal order</v>
      </c>
    </row>
    <row r="1448" spans="1:19" x14ac:dyDescent="0.3">
      <c r="A1448" t="s">
        <v>1876</v>
      </c>
      <c r="B1448" s="4">
        <v>45291</v>
      </c>
      <c r="C1448" s="4" t="str">
        <f>TEXT(ESales_DB[[#This Row],[Order_Date]],"mmm")</f>
        <v>Dec</v>
      </c>
      <c r="D1448" t="s">
        <v>258</v>
      </c>
      <c r="E1448" t="s">
        <v>1652</v>
      </c>
      <c r="F1448" t="s">
        <v>1786</v>
      </c>
      <c r="G1448">
        <v>3</v>
      </c>
      <c r="H1448" s="10">
        <f>IF(ISBLANK(ESales_DB[[#This Row],[Quantity]]),AVERAGEIF(ESales_DB[Product_ID],ESales_DB[[#This Row],[Product_ID]],ESales_DB[Quantity]),ESales_DB[[#This Row],[Quantity]])</f>
        <v>3</v>
      </c>
      <c r="I1448" s="2">
        <v>83.7</v>
      </c>
      <c r="J1448">
        <v>0.24</v>
      </c>
      <c r="K1448" t="s">
        <v>1826</v>
      </c>
      <c r="L1448" s="2">
        <v>190.83600000000001</v>
      </c>
      <c r="M1448" s="2" t="str">
        <f>IF(ESales_DB[[#This Row],[Total_Amount]]&gt;1000,"High","Low")</f>
        <v>Low</v>
      </c>
      <c r="N1448" s="2" t="str">
        <f>VLOOKUP(ESales_DB[[#This Row],[Customer_ID]],Ecustom_DB[],3,FALSE)</f>
        <v>Eric Singh</v>
      </c>
      <c r="O1448" s="2" t="str">
        <f>_xlfn.XLOOKUP(ESales_DB[[#This Row],[Product_ID]],Eproduct_DB[Product_ID],Eproduct_DB[Category])</f>
        <v>Sports</v>
      </c>
      <c r="P1448" s="2" t="str">
        <f>_xlfn.XLOOKUP(ESales_DB[[#This Row],[Product_ID]],Eproduct_DB[Product_ID],Eproduct_DB[Product_Name])</f>
        <v>Rugby Ball</v>
      </c>
      <c r="Q1448" s="2" t="str">
        <f>_xlfn.XLOOKUP(ESales_DB[[#This Row],[Store_ID]],Estore_DB[Store_ID],Estore_DB[Region])</f>
        <v>South</v>
      </c>
      <c r="R1448" t="str">
        <f>VLOOKUP(ESales_DB[[#This Row],[Customer_ID]],Ecustom_DB[],10,FALSE)</f>
        <v>Gold</v>
      </c>
      <c r="S1448" t="str">
        <f>IF(ESales_DB[[#This Row],[Quantity1]]&gt;3,"Bulk order","Normal order")</f>
        <v>Normal order</v>
      </c>
    </row>
    <row r="1449" spans="1:19" x14ac:dyDescent="0.3">
      <c r="A1449" t="s">
        <v>2326</v>
      </c>
      <c r="B1449" s="4">
        <v>45627</v>
      </c>
      <c r="C1449" s="4" t="str">
        <f>TEXT(ESales_DB[[#This Row],[Order_Date]],"mmm")</f>
        <v>Dec</v>
      </c>
      <c r="D1449" t="s">
        <v>1377</v>
      </c>
      <c r="E1449" t="s">
        <v>1549</v>
      </c>
      <c r="F1449" t="s">
        <v>1769</v>
      </c>
      <c r="G1449">
        <v>4</v>
      </c>
      <c r="H1449" s="10">
        <f>IF(ISBLANK(ESales_DB[[#This Row],[Quantity]]),AVERAGEIF(ESales_DB[Product_ID],ESales_DB[[#This Row],[Product_ID]],ESales_DB[Quantity]),ESales_DB[[#This Row],[Quantity]])</f>
        <v>4</v>
      </c>
      <c r="I1449" s="2">
        <v>106.66</v>
      </c>
      <c r="J1449">
        <v>0.2</v>
      </c>
      <c r="K1449" t="s">
        <v>1829</v>
      </c>
      <c r="L1449" s="2">
        <v>341.31200000000001</v>
      </c>
      <c r="M1449" s="2" t="str">
        <f>IF(ESales_DB[[#This Row],[Total_Amount]]&gt;1000,"High","Low")</f>
        <v>Low</v>
      </c>
      <c r="N1449" s="2" t="str">
        <f>VLOOKUP(ESales_DB[[#This Row],[Customer_ID]],Ecustom_DB[],3,FALSE)</f>
        <v>Gene Lee</v>
      </c>
      <c r="O1449" s="2" t="str">
        <f>_xlfn.XLOOKUP(ESales_DB[[#This Row],[Product_ID]],Eproduct_DB[Product_ID],Eproduct_DB[Category])</f>
        <v>Clothing</v>
      </c>
      <c r="P1449" s="2" t="str">
        <f>_xlfn.XLOOKUP(ESales_DB[[#This Row],[Product_ID]],Eproduct_DB[Product_ID],Eproduct_DB[Product_Name])</f>
        <v>Women's Casual Hoodie</v>
      </c>
      <c r="Q1449" s="2" t="str">
        <f>_xlfn.XLOOKUP(ESales_DB[[#This Row],[Store_ID]],Estore_DB[Store_ID],Estore_DB[Region])</f>
        <v>South</v>
      </c>
      <c r="R1449" t="str">
        <f>VLOOKUP(ESales_DB[[#This Row],[Customer_ID]],Ecustom_DB[],10,FALSE)</f>
        <v>Platinum</v>
      </c>
      <c r="S1449" t="str">
        <f>IF(ESales_DB[[#This Row],[Quantity1]]&gt;3,"Bulk order","Normal order")</f>
        <v>Bulk order</v>
      </c>
    </row>
    <row r="1450" spans="1:19" x14ac:dyDescent="0.3">
      <c r="A1450" t="s">
        <v>2327</v>
      </c>
      <c r="B1450" s="4">
        <v>45617</v>
      </c>
      <c r="C1450" s="4" t="str">
        <f>TEXT(ESales_DB[[#This Row],[Order_Date]],"mmm")</f>
        <v>Nov</v>
      </c>
      <c r="D1450" t="s">
        <v>544</v>
      </c>
      <c r="E1450" t="s">
        <v>1568</v>
      </c>
      <c r="F1450" t="s">
        <v>1773</v>
      </c>
      <c r="G1450">
        <v>4</v>
      </c>
      <c r="H1450" s="10">
        <f>IF(ISBLANK(ESales_DB[[#This Row],[Quantity]]),AVERAGEIF(ESales_DB[Product_ID],ESales_DB[[#This Row],[Product_ID]],ESales_DB[Quantity]),ESales_DB[[#This Row],[Quantity]])</f>
        <v>4</v>
      </c>
      <c r="I1450" s="2">
        <v>168.55</v>
      </c>
      <c r="J1450">
        <v>0.15</v>
      </c>
      <c r="K1450" t="s">
        <v>1826</v>
      </c>
      <c r="L1450" s="2">
        <v>573.07000000000005</v>
      </c>
      <c r="M1450" s="2" t="str">
        <f>IF(ESales_DB[[#This Row],[Total_Amount]]&gt;1000,"High","Low")</f>
        <v>Low</v>
      </c>
      <c r="N1450" s="2" t="str">
        <f>VLOOKUP(ESales_DB[[#This Row],[Customer_ID]],Ecustom_DB[],3,FALSE)</f>
        <v>Joseph Jones</v>
      </c>
      <c r="O1450" s="2" t="str">
        <f>_xlfn.XLOOKUP(ESales_DB[[#This Row],[Product_ID]],Eproduct_DB[Product_ID],Eproduct_DB[Category])</f>
        <v>Home</v>
      </c>
      <c r="P1450" s="2" t="str">
        <f>_xlfn.XLOOKUP(ESales_DB[[#This Row],[Product_ID]],Eproduct_DB[Product_ID],Eproduct_DB[Product_Name])</f>
        <v>Ceramic Kitchen Bowl Set</v>
      </c>
      <c r="Q1450" s="2" t="str">
        <f>_xlfn.XLOOKUP(ESales_DB[[#This Row],[Store_ID]],Estore_DB[Store_ID],Estore_DB[Region])</f>
        <v>North</v>
      </c>
      <c r="R1450" t="str">
        <f>VLOOKUP(ESales_DB[[#This Row],[Customer_ID]],Ecustom_DB[],10,FALSE)</f>
        <v>Bronze</v>
      </c>
      <c r="S1450" t="str">
        <f>IF(ESales_DB[[#This Row],[Quantity1]]&gt;3,"Bulk order","Normal order")</f>
        <v>Bulk order</v>
      </c>
    </row>
    <row r="1451" spans="1:19" x14ac:dyDescent="0.3">
      <c r="A1451" t="s">
        <v>2328</v>
      </c>
      <c r="B1451" s="4">
        <v>45899</v>
      </c>
      <c r="C1451" s="4" t="str">
        <f>TEXT(ESales_DB[[#This Row],[Order_Date]],"mmm")</f>
        <v>Aug</v>
      </c>
      <c r="D1451" t="s">
        <v>1501</v>
      </c>
      <c r="E1451" t="s">
        <v>1636</v>
      </c>
      <c r="F1451" t="s">
        <v>1761</v>
      </c>
      <c r="G1451">
        <v>1</v>
      </c>
      <c r="H1451" s="10">
        <f>IF(ISBLANK(ESales_DB[[#This Row],[Quantity]]),AVERAGEIF(ESales_DB[Product_ID],ESales_DB[[#This Row],[Product_ID]],ESales_DB[Quantity]),ESales_DB[[#This Row],[Quantity]])</f>
        <v>1</v>
      </c>
      <c r="I1451" s="2">
        <v>230.53</v>
      </c>
      <c r="J1451">
        <v>0.06</v>
      </c>
      <c r="K1451" t="s">
        <v>1829</v>
      </c>
      <c r="L1451" s="2">
        <v>216.69820000000001</v>
      </c>
      <c r="M1451" s="2" t="str">
        <f>IF(ESales_DB[[#This Row],[Total_Amount]]&gt;1000,"High","Low")</f>
        <v>Low</v>
      </c>
      <c r="N1451" s="2" t="str">
        <f>VLOOKUP(ESales_DB[[#This Row],[Customer_ID]],Ecustom_DB[],3,FALSE)</f>
        <v>Zachary Andrade</v>
      </c>
      <c r="O1451" s="2" t="str">
        <f>_xlfn.XLOOKUP(ESales_DB[[#This Row],[Product_ID]],Eproduct_DB[Product_ID],Eproduct_DB[Category])</f>
        <v>Sports</v>
      </c>
      <c r="P1451" s="2" t="str">
        <f>_xlfn.XLOOKUP(ESales_DB[[#This Row],[Product_ID]],Eproduct_DB[Product_ID],Eproduct_DB[Product_Name])</f>
        <v>Adjustable Jump Rope</v>
      </c>
      <c r="Q1451" s="2" t="str">
        <f>_xlfn.XLOOKUP(ESales_DB[[#This Row],[Store_ID]],Estore_DB[Store_ID],Estore_DB[Region])</f>
        <v>South</v>
      </c>
      <c r="R1451" t="str">
        <f>VLOOKUP(ESales_DB[[#This Row],[Customer_ID]],Ecustom_DB[],10,FALSE)</f>
        <v>Platinum</v>
      </c>
      <c r="S1451" t="str">
        <f>IF(ESales_DB[[#This Row],[Quantity1]]&gt;3,"Bulk order","Normal order")</f>
        <v>Normal order</v>
      </c>
    </row>
    <row r="1452" spans="1:19" x14ac:dyDescent="0.3">
      <c r="A1452" t="s">
        <v>2329</v>
      </c>
      <c r="B1452" s="4">
        <v>45889</v>
      </c>
      <c r="C1452" s="4" t="str">
        <f>TEXT(ESales_DB[[#This Row],[Order_Date]],"mmm")</f>
        <v>Aug</v>
      </c>
      <c r="D1452" t="s">
        <v>40</v>
      </c>
      <c r="E1452" t="s">
        <v>1656</v>
      </c>
      <c r="F1452" t="s">
        <v>1757</v>
      </c>
      <c r="G1452">
        <v>2</v>
      </c>
      <c r="H1452" s="10">
        <f>IF(ISBLANK(ESales_DB[[#This Row],[Quantity]]),AVERAGEIF(ESales_DB[Product_ID],ESales_DB[[#This Row],[Product_ID]],ESales_DB[Quantity]),ESales_DB[[#This Row],[Quantity]])</f>
        <v>2</v>
      </c>
      <c r="I1452" s="2">
        <v>355.41</v>
      </c>
      <c r="J1452">
        <v>0.13</v>
      </c>
      <c r="K1452" t="s">
        <v>1829</v>
      </c>
      <c r="L1452" s="2">
        <v>618.41340000000002</v>
      </c>
      <c r="M1452" s="2" t="str">
        <f>IF(ESales_DB[[#This Row],[Total_Amount]]&gt;1000,"High","Low")</f>
        <v>Low</v>
      </c>
      <c r="N1452" s="2" t="str">
        <f>VLOOKUP(ESales_DB[[#This Row],[Customer_ID]],Ecustom_DB[],3,FALSE)</f>
        <v>Daniel Boyd</v>
      </c>
      <c r="O1452" s="2" t="str">
        <f>_xlfn.XLOOKUP(ESales_DB[[#This Row],[Product_ID]],Eproduct_DB[Product_ID],Eproduct_DB[Category])</f>
        <v>Sports</v>
      </c>
      <c r="P1452" s="2" t="str">
        <f>_xlfn.XLOOKUP(ESales_DB[[#This Row],[Product_ID]],Eproduct_DB[Product_ID],Eproduct_DB[Product_Name])</f>
        <v>Sports Stopwatch Pro</v>
      </c>
      <c r="Q1452" s="2" t="str">
        <f>_xlfn.XLOOKUP(ESales_DB[[#This Row],[Store_ID]],Estore_DB[Store_ID],Estore_DB[Region])</f>
        <v>North</v>
      </c>
      <c r="R1452" t="str">
        <f>VLOOKUP(ESales_DB[[#This Row],[Customer_ID]],Ecustom_DB[],10,FALSE)</f>
        <v>Bronze</v>
      </c>
      <c r="S1452" t="str">
        <f>IF(ESales_DB[[#This Row],[Quantity1]]&gt;3,"Bulk order","Normal order")</f>
        <v>Normal order</v>
      </c>
    </row>
    <row r="1453" spans="1:19" x14ac:dyDescent="0.3">
      <c r="A1453" t="s">
        <v>2330</v>
      </c>
      <c r="B1453" s="4">
        <v>45943</v>
      </c>
      <c r="C1453" s="4" t="str">
        <f>TEXT(ESales_DB[[#This Row],[Order_Date]],"mmm")</f>
        <v>Oct</v>
      </c>
      <c r="D1453" t="s">
        <v>556</v>
      </c>
      <c r="E1453" t="s">
        <v>1642</v>
      </c>
      <c r="F1453" t="s">
        <v>1761</v>
      </c>
      <c r="G1453">
        <v>3</v>
      </c>
      <c r="H1453" s="10">
        <f>IF(ISBLANK(ESales_DB[[#This Row],[Quantity]]),AVERAGEIF(ESales_DB[Product_ID],ESales_DB[[#This Row],[Product_ID]],ESales_DB[Quantity]),ESales_DB[[#This Row],[Quantity]])</f>
        <v>3</v>
      </c>
      <c r="I1453" s="2">
        <v>843.44</v>
      </c>
      <c r="J1453">
        <v>0.22</v>
      </c>
      <c r="K1453" t="s">
        <v>1824</v>
      </c>
      <c r="L1453" s="2">
        <v>1973.6496</v>
      </c>
      <c r="M1453" s="2" t="str">
        <f>IF(ESales_DB[[#This Row],[Total_Amount]]&gt;1000,"High","Low")</f>
        <v>High</v>
      </c>
      <c r="N1453" s="2" t="str">
        <f>VLOOKUP(ESales_DB[[#This Row],[Customer_ID]],Ecustom_DB[],3,FALSE)</f>
        <v>Antonio Wade</v>
      </c>
      <c r="O1453" s="2" t="str">
        <f>_xlfn.XLOOKUP(ESales_DB[[#This Row],[Product_ID]],Eproduct_DB[Product_ID],Eproduct_DB[Category])</f>
        <v>Beauty</v>
      </c>
      <c r="P1453" s="2" t="str">
        <f>_xlfn.XLOOKUP(ESales_DB[[#This Row],[Product_ID]],Eproduct_DB[Product_ID],Eproduct_DB[Product_Name])</f>
        <v>Makeup Brush Set</v>
      </c>
      <c r="Q1453" s="2" t="str">
        <f>_xlfn.XLOOKUP(ESales_DB[[#This Row],[Store_ID]],Estore_DB[Store_ID],Estore_DB[Region])</f>
        <v>South</v>
      </c>
      <c r="R1453" t="str">
        <f>VLOOKUP(ESales_DB[[#This Row],[Customer_ID]],Ecustom_DB[],10,FALSE)</f>
        <v>Gold</v>
      </c>
      <c r="S1453" t="str">
        <f>IF(ESales_DB[[#This Row],[Quantity1]]&gt;3,"Bulk order","Normal order")</f>
        <v>Normal order</v>
      </c>
    </row>
    <row r="1454" spans="1:19" x14ac:dyDescent="0.3">
      <c r="A1454" t="s">
        <v>2331</v>
      </c>
      <c r="B1454" s="4">
        <v>45306</v>
      </c>
      <c r="C1454" s="4" t="str">
        <f>TEXT(ESales_DB[[#This Row],[Order_Date]],"mmm")</f>
        <v>Jan</v>
      </c>
      <c r="D1454" t="s">
        <v>544</v>
      </c>
      <c r="E1454" t="s">
        <v>1738</v>
      </c>
      <c r="F1454" t="s">
        <v>1757</v>
      </c>
      <c r="G1454">
        <v>1</v>
      </c>
      <c r="H1454" s="10">
        <f>IF(ISBLANK(ESales_DB[[#This Row],[Quantity]]),AVERAGEIF(ESales_DB[Product_ID],ESales_DB[[#This Row],[Product_ID]],ESales_DB[Quantity]),ESales_DB[[#This Row],[Quantity]])</f>
        <v>1</v>
      </c>
      <c r="I1454" s="2">
        <v>301.60000000000002</v>
      </c>
      <c r="J1454">
        <v>0.27</v>
      </c>
      <c r="K1454" t="s">
        <v>1824</v>
      </c>
      <c r="L1454" s="2">
        <v>220.16800000000001</v>
      </c>
      <c r="M1454" s="2" t="str">
        <f>IF(ESales_DB[[#This Row],[Total_Amount]]&gt;1000,"High","Low")</f>
        <v>Low</v>
      </c>
      <c r="N1454" s="2" t="str">
        <f>VLOOKUP(ESales_DB[[#This Row],[Customer_ID]],Ecustom_DB[],3,FALSE)</f>
        <v>Joseph Jones</v>
      </c>
      <c r="O1454" s="2" t="str">
        <f>_xlfn.XLOOKUP(ESales_DB[[#This Row],[Product_ID]],Eproduct_DB[Product_ID],Eproduct_DB[Category])</f>
        <v>Sports</v>
      </c>
      <c r="P1454" s="2" t="str">
        <f>_xlfn.XLOOKUP(ESales_DB[[#This Row],[Product_ID]],Eproduct_DB[Product_ID],Eproduct_DB[Product_Name])</f>
        <v>Sports Stopwatch Basic</v>
      </c>
      <c r="Q1454" s="2" t="str">
        <f>_xlfn.XLOOKUP(ESales_DB[[#This Row],[Store_ID]],Estore_DB[Store_ID],Estore_DB[Region])</f>
        <v>North</v>
      </c>
      <c r="R1454" t="str">
        <f>VLOOKUP(ESales_DB[[#This Row],[Customer_ID]],Ecustom_DB[],10,FALSE)</f>
        <v>Bronze</v>
      </c>
      <c r="S1454" t="str">
        <f>IF(ESales_DB[[#This Row],[Quantity1]]&gt;3,"Bulk order","Normal order")</f>
        <v>Normal order</v>
      </c>
    </row>
    <row r="1455" spans="1:19" x14ac:dyDescent="0.3">
      <c r="A1455" t="s">
        <v>2332</v>
      </c>
      <c r="B1455" s="4">
        <v>45772</v>
      </c>
      <c r="C1455" s="4" t="str">
        <f>TEXT(ESales_DB[[#This Row],[Order_Date]],"mmm")</f>
        <v>Apr</v>
      </c>
      <c r="D1455" t="s">
        <v>164</v>
      </c>
      <c r="E1455" t="s">
        <v>1726</v>
      </c>
      <c r="F1455" t="s">
        <v>1761</v>
      </c>
      <c r="G1455">
        <v>3</v>
      </c>
      <c r="H1455" s="10">
        <f>IF(ISBLANK(ESales_DB[[#This Row],[Quantity]]),AVERAGEIF(ESales_DB[Product_ID],ESales_DB[[#This Row],[Product_ID]],ESales_DB[Quantity]),ESales_DB[[#This Row],[Quantity]])</f>
        <v>3</v>
      </c>
      <c r="I1455" s="2">
        <v>21.59</v>
      </c>
      <c r="J1455">
        <v>0.16</v>
      </c>
      <c r="K1455" t="s">
        <v>1829</v>
      </c>
      <c r="L1455" s="2">
        <v>54.406799999999997</v>
      </c>
      <c r="M1455" s="2" t="str">
        <f>IF(ESales_DB[[#This Row],[Total_Amount]]&gt;1000,"High","Low")</f>
        <v>Low</v>
      </c>
      <c r="N1455" s="2" t="str">
        <f>VLOOKUP(ESales_DB[[#This Row],[Customer_ID]],Ecustom_DB[],3,FALSE)</f>
        <v>William Martin</v>
      </c>
      <c r="O1455" s="2" t="str">
        <f>_xlfn.XLOOKUP(ESales_DB[[#This Row],[Product_ID]],Eproduct_DB[Product_ID],Eproduct_DB[Category])</f>
        <v>Beauty</v>
      </c>
      <c r="P1455" s="2" t="str">
        <f>_xlfn.XLOOKUP(ESales_DB[[#This Row],[Product_ID]],Eproduct_DB[Product_ID],Eproduct_DB[Product_Name])</f>
        <v>Face Foundation Kit</v>
      </c>
      <c r="Q1455" s="2" t="str">
        <f>_xlfn.XLOOKUP(ESales_DB[[#This Row],[Store_ID]],Estore_DB[Store_ID],Estore_DB[Region])</f>
        <v>South</v>
      </c>
      <c r="R1455" t="str">
        <f>VLOOKUP(ESales_DB[[#This Row],[Customer_ID]],Ecustom_DB[],10,FALSE)</f>
        <v>Platinum</v>
      </c>
      <c r="S1455" t="str">
        <f>IF(ESales_DB[[#This Row],[Quantity1]]&gt;3,"Bulk order","Normal order")</f>
        <v>Normal order</v>
      </c>
    </row>
    <row r="1456" spans="1:19" x14ac:dyDescent="0.3">
      <c r="A1456" t="s">
        <v>2333</v>
      </c>
      <c r="B1456" s="4">
        <v>45346</v>
      </c>
      <c r="C1456" s="4" t="str">
        <f>TEXT(ESales_DB[[#This Row],[Order_Date]],"mmm")</f>
        <v>Feb</v>
      </c>
      <c r="D1456" t="s">
        <v>690</v>
      </c>
      <c r="E1456" t="s">
        <v>1574</v>
      </c>
      <c r="F1456" t="s">
        <v>1761</v>
      </c>
      <c r="G1456">
        <v>4</v>
      </c>
      <c r="H1456" s="10">
        <f>IF(ISBLANK(ESales_DB[[#This Row],[Quantity]]),AVERAGEIF(ESales_DB[Product_ID],ESales_DB[[#This Row],[Product_ID]],ESales_DB[Quantity]),ESales_DB[[#This Row],[Quantity]])</f>
        <v>4</v>
      </c>
      <c r="I1456" s="2">
        <v>284.24</v>
      </c>
      <c r="J1456">
        <v>0.09</v>
      </c>
      <c r="K1456" t="s">
        <v>1824</v>
      </c>
      <c r="L1456" s="2">
        <v>1034.6335999999999</v>
      </c>
      <c r="M1456" s="2" t="str">
        <f>IF(ESales_DB[[#This Row],[Total_Amount]]&gt;1000,"High","Low")</f>
        <v>High</v>
      </c>
      <c r="N1456" s="2" t="str">
        <f>VLOOKUP(ESales_DB[[#This Row],[Customer_ID]],Ecustom_DB[],3,FALSE)</f>
        <v>Blake Harrison</v>
      </c>
      <c r="O1456" s="2" t="str">
        <f>_xlfn.XLOOKUP(ESales_DB[[#This Row],[Product_ID]],Eproduct_DB[Product_ID],Eproduct_DB[Category])</f>
        <v>Electronics</v>
      </c>
      <c r="P1456" s="2" t="str">
        <f>_xlfn.XLOOKUP(ESales_DB[[#This Row],[Product_ID]],Eproduct_DB[Product_ID],Eproduct_DB[Product_Name])</f>
        <v>USB-C Fast Charger</v>
      </c>
      <c r="Q1456" s="2" t="str">
        <f>_xlfn.XLOOKUP(ESales_DB[[#This Row],[Store_ID]],Estore_DB[Store_ID],Estore_DB[Region])</f>
        <v>South</v>
      </c>
      <c r="R1456" t="str">
        <f>VLOOKUP(ESales_DB[[#This Row],[Customer_ID]],Ecustom_DB[],10,FALSE)</f>
        <v>Platinum</v>
      </c>
      <c r="S1456" t="str">
        <f>IF(ESales_DB[[#This Row],[Quantity1]]&gt;3,"Bulk order","Normal order")</f>
        <v>Bulk order</v>
      </c>
    </row>
    <row r="1457" spans="1:19" x14ac:dyDescent="0.3">
      <c r="A1457" t="s">
        <v>2334</v>
      </c>
      <c r="B1457" s="4">
        <v>45656</v>
      </c>
      <c r="C1457" s="4" t="str">
        <f>TEXT(ESales_DB[[#This Row],[Order_Date]],"mmm")</f>
        <v>Dec</v>
      </c>
      <c r="D1457" t="s">
        <v>1151</v>
      </c>
      <c r="E1457" t="s">
        <v>1555</v>
      </c>
      <c r="F1457" t="s">
        <v>1786</v>
      </c>
      <c r="G1457">
        <v>1</v>
      </c>
      <c r="H1457" s="10">
        <f>IF(ISBLANK(ESales_DB[[#This Row],[Quantity]]),AVERAGEIF(ESales_DB[Product_ID],ESales_DB[[#This Row],[Product_ID]],ESales_DB[Quantity]),ESales_DB[[#This Row],[Quantity]])</f>
        <v>1</v>
      </c>
      <c r="I1457" s="2">
        <v>191.6</v>
      </c>
      <c r="J1457">
        <v>0.27</v>
      </c>
      <c r="K1457" t="s">
        <v>1826</v>
      </c>
      <c r="L1457" s="2">
        <v>139.86799999999999</v>
      </c>
      <c r="M1457" s="2" t="str">
        <f>IF(ESales_DB[[#This Row],[Total_Amount]]&gt;1000,"High","Low")</f>
        <v>Low</v>
      </c>
      <c r="N1457" s="2" t="str">
        <f>VLOOKUP(ESales_DB[[#This Row],[Customer_ID]],Ecustom_DB[],3,FALSE)</f>
        <v>Miranda King</v>
      </c>
      <c r="O1457" s="2" t="str">
        <f>_xlfn.XLOOKUP(ESales_DB[[#This Row],[Product_ID]],Eproduct_DB[Product_ID],Eproduct_DB[Category])</f>
        <v>Clothing</v>
      </c>
      <c r="P1457" s="2" t="str">
        <f>_xlfn.XLOOKUP(ESales_DB[[#This Row],[Product_ID]],Eproduct_DB[Product_ID],Eproduct_DB[Product_Name])</f>
        <v>Men's Leather Belt</v>
      </c>
      <c r="Q1457" s="2" t="str">
        <f>_xlfn.XLOOKUP(ESales_DB[[#This Row],[Store_ID]],Estore_DB[Store_ID],Estore_DB[Region])</f>
        <v>South</v>
      </c>
      <c r="R1457" t="str">
        <f>VLOOKUP(ESales_DB[[#This Row],[Customer_ID]],Ecustom_DB[],10,FALSE)</f>
        <v>Platinum</v>
      </c>
      <c r="S1457" t="str">
        <f>IF(ESales_DB[[#This Row],[Quantity1]]&gt;3,"Bulk order","Normal order")</f>
        <v>Normal order</v>
      </c>
    </row>
    <row r="1458" spans="1:19" x14ac:dyDescent="0.3">
      <c r="A1458" t="s">
        <v>2335</v>
      </c>
      <c r="B1458" s="4">
        <v>45762</v>
      </c>
      <c r="C1458" s="4" t="str">
        <f>TEXT(ESales_DB[[#This Row],[Order_Date]],"mmm")</f>
        <v>Apr</v>
      </c>
      <c r="D1458" t="s">
        <v>981</v>
      </c>
      <c r="E1458" t="s">
        <v>1704</v>
      </c>
      <c r="F1458" t="s">
        <v>1794</v>
      </c>
      <c r="G1458">
        <v>2</v>
      </c>
      <c r="H1458" s="10">
        <f>IF(ISBLANK(ESales_DB[[#This Row],[Quantity]]),AVERAGEIF(ESales_DB[Product_ID],ESales_DB[[#This Row],[Product_ID]],ESales_DB[Quantity]),ESales_DB[[#This Row],[Quantity]])</f>
        <v>2</v>
      </c>
      <c r="I1458" s="2">
        <v>616.97</v>
      </c>
      <c r="J1458">
        <v>0.22</v>
      </c>
      <c r="K1458" t="s">
        <v>1824</v>
      </c>
      <c r="L1458" s="2">
        <v>962.47320000000002</v>
      </c>
      <c r="M1458" s="2" t="str">
        <f>IF(ESales_DB[[#This Row],[Total_Amount]]&gt;1000,"High","Low")</f>
        <v>Low</v>
      </c>
      <c r="N1458" s="2" t="str">
        <f>VLOOKUP(ESales_DB[[#This Row],[Customer_ID]],Ecustom_DB[],3,FALSE)</f>
        <v>Kevin Larson</v>
      </c>
      <c r="O1458" s="2" t="str">
        <f>_xlfn.XLOOKUP(ESales_DB[[#This Row],[Product_ID]],Eproduct_DB[Product_ID],Eproduct_DB[Category])</f>
        <v>Home</v>
      </c>
      <c r="P1458" s="2" t="str">
        <f>_xlfn.XLOOKUP(ESales_DB[[#This Row],[Product_ID]],Eproduct_DB[Product_ID],Eproduct_DB[Product_Name])</f>
        <v>Essential Oil Diffuser</v>
      </c>
      <c r="Q1458" s="2" t="str">
        <f>_xlfn.XLOOKUP(ESales_DB[[#This Row],[Store_ID]],Estore_DB[Store_ID],Estore_DB[Region])</f>
        <v>North</v>
      </c>
      <c r="R1458" t="str">
        <f>VLOOKUP(ESales_DB[[#This Row],[Customer_ID]],Ecustom_DB[],10,FALSE)</f>
        <v>Platinum</v>
      </c>
      <c r="S1458" t="str">
        <f>IF(ESales_DB[[#This Row],[Quantity1]]&gt;3,"Bulk order","Normal order")</f>
        <v>Normal order</v>
      </c>
    </row>
    <row r="1459" spans="1:19" x14ac:dyDescent="0.3">
      <c r="A1459" t="s">
        <v>1877</v>
      </c>
      <c r="B1459" s="4">
        <v>45689</v>
      </c>
      <c r="C1459" s="4" t="str">
        <f>TEXT(ESales_DB[[#This Row],[Order_Date]],"mmm")</f>
        <v>Feb</v>
      </c>
      <c r="D1459" t="s">
        <v>481</v>
      </c>
      <c r="E1459" t="s">
        <v>1686</v>
      </c>
      <c r="F1459" t="s">
        <v>1779</v>
      </c>
      <c r="G1459">
        <v>3</v>
      </c>
      <c r="H1459" s="10">
        <f>IF(ISBLANK(ESales_DB[[#This Row],[Quantity]]),AVERAGEIF(ESales_DB[Product_ID],ESales_DB[[#This Row],[Product_ID]],ESales_DB[Quantity]),ESales_DB[[#This Row],[Quantity]])</f>
        <v>3</v>
      </c>
      <c r="I1459" s="2">
        <v>76.569999999999993</v>
      </c>
      <c r="J1459">
        <v>0.26</v>
      </c>
      <c r="K1459" t="s">
        <v>1824</v>
      </c>
      <c r="L1459" s="2">
        <v>169.9854</v>
      </c>
      <c r="M1459" s="2" t="str">
        <f>IF(ESales_DB[[#This Row],[Total_Amount]]&gt;1000,"High","Low")</f>
        <v>Low</v>
      </c>
      <c r="N1459" s="2" t="str">
        <f>VLOOKUP(ESales_DB[[#This Row],[Customer_ID]],Ecustom_DB[],3,FALSE)</f>
        <v>Maria Ramirez</v>
      </c>
      <c r="O1459" s="2" t="str">
        <f>_xlfn.XLOOKUP(ESales_DB[[#This Row],[Product_ID]],Eproduct_DB[Product_ID],Eproduct_DB[Category])</f>
        <v>Clothing</v>
      </c>
      <c r="P1459" s="2" t="str">
        <f>_xlfn.XLOOKUP(ESales_DB[[#This Row],[Product_ID]],Eproduct_DB[Product_ID],Eproduct_DB[Product_Name])</f>
        <v>Men's Sports Shorts</v>
      </c>
      <c r="Q1459" s="2" t="str">
        <f>_xlfn.XLOOKUP(ESales_DB[[#This Row],[Store_ID]],Estore_DB[Store_ID],Estore_DB[Region])</f>
        <v>South</v>
      </c>
      <c r="R1459" t="str">
        <f>VLOOKUP(ESales_DB[[#This Row],[Customer_ID]],Ecustom_DB[],10,FALSE)</f>
        <v>Bronze</v>
      </c>
      <c r="S1459" t="str">
        <f>IF(ESales_DB[[#This Row],[Quantity1]]&gt;3,"Bulk order","Normal order")</f>
        <v>Normal order</v>
      </c>
    </row>
    <row r="1460" spans="1:19" x14ac:dyDescent="0.3">
      <c r="A1460" t="s">
        <v>2336</v>
      </c>
      <c r="B1460" s="4">
        <v>45580</v>
      </c>
      <c r="C1460" s="4" t="str">
        <f>TEXT(ESales_DB[[#This Row],[Order_Date]],"mmm")</f>
        <v>Oct</v>
      </c>
      <c r="D1460" t="s">
        <v>559</v>
      </c>
      <c r="E1460" t="s">
        <v>1604</v>
      </c>
      <c r="F1460" t="s">
        <v>1789</v>
      </c>
      <c r="G1460">
        <v>3</v>
      </c>
      <c r="H1460" s="10">
        <f>IF(ISBLANK(ESales_DB[[#This Row],[Quantity]]),AVERAGEIF(ESales_DB[Product_ID],ESales_DB[[#This Row],[Product_ID]],ESales_DB[Quantity]),ESales_DB[[#This Row],[Quantity]])</f>
        <v>3</v>
      </c>
      <c r="I1460" s="2">
        <v>125.68</v>
      </c>
      <c r="J1460">
        <v>0.26</v>
      </c>
      <c r="K1460" t="s">
        <v>1829</v>
      </c>
      <c r="L1460" s="2">
        <v>279.00959999999998</v>
      </c>
      <c r="M1460" s="2" t="str">
        <f>IF(ESales_DB[[#This Row],[Total_Amount]]&gt;1000,"High","Low")</f>
        <v>Low</v>
      </c>
      <c r="N1460" s="2" t="str">
        <f>VLOOKUP(ESales_DB[[#This Row],[Customer_ID]],Ecustom_DB[],3,FALSE)</f>
        <v>Daniel Contreras</v>
      </c>
      <c r="O1460" s="2" t="str">
        <f>_xlfn.XLOOKUP(ESales_DB[[#This Row],[Product_ID]],Eproduct_DB[Product_ID],Eproduct_DB[Category])</f>
        <v>Sports</v>
      </c>
      <c r="P1460" s="2" t="str">
        <f>_xlfn.XLOOKUP(ESales_DB[[#This Row],[Product_ID]],Eproduct_DB[Product_ID],Eproduct_DB[Product_Name])</f>
        <v>Sports Stopwatch Timer</v>
      </c>
      <c r="Q1460" s="2" t="str">
        <f>_xlfn.XLOOKUP(ESales_DB[[#This Row],[Store_ID]],Estore_DB[Store_ID],Estore_DB[Region])</f>
        <v>East</v>
      </c>
      <c r="R1460" t="str">
        <f>VLOOKUP(ESales_DB[[#This Row],[Customer_ID]],Ecustom_DB[],10,FALSE)</f>
        <v>Platinum</v>
      </c>
      <c r="S1460" t="str">
        <f>IF(ESales_DB[[#This Row],[Quantity1]]&gt;3,"Bulk order","Normal order")</f>
        <v>Normal order</v>
      </c>
    </row>
    <row r="1461" spans="1:19" x14ac:dyDescent="0.3">
      <c r="A1461" t="s">
        <v>2337</v>
      </c>
      <c r="B1461" s="4">
        <v>45676</v>
      </c>
      <c r="C1461" s="4" t="str">
        <f>TEXT(ESales_DB[[#This Row],[Order_Date]],"mmm")</f>
        <v>Jan</v>
      </c>
      <c r="D1461" t="s">
        <v>1104</v>
      </c>
      <c r="E1461" t="s">
        <v>1634</v>
      </c>
      <c r="F1461" t="s">
        <v>1769</v>
      </c>
      <c r="G1461">
        <v>3</v>
      </c>
      <c r="H1461" s="10">
        <f>IF(ISBLANK(ESales_DB[[#This Row],[Quantity]]),AVERAGEIF(ESales_DB[Product_ID],ESales_DB[[#This Row],[Product_ID]],ESales_DB[Quantity]),ESales_DB[[#This Row],[Quantity]])</f>
        <v>3</v>
      </c>
      <c r="I1461" s="2">
        <v>307.48</v>
      </c>
      <c r="J1461">
        <v>0.24</v>
      </c>
      <c r="K1461" t="s">
        <v>1824</v>
      </c>
      <c r="L1461" s="2">
        <v>701.0544000000001</v>
      </c>
      <c r="M1461" s="2" t="str">
        <f>IF(ESales_DB[[#This Row],[Total_Amount]]&gt;1000,"High","Low")</f>
        <v>Low</v>
      </c>
      <c r="N1461" s="2" t="str">
        <f>VLOOKUP(ESales_DB[[#This Row],[Customer_ID]],Ecustom_DB[],3,FALSE)</f>
        <v>Michael Greene</v>
      </c>
      <c r="O1461" s="2" t="str">
        <f>_xlfn.XLOOKUP(ESales_DB[[#This Row],[Product_ID]],Eproduct_DB[Product_ID],Eproduct_DB[Category])</f>
        <v>Electronics</v>
      </c>
      <c r="P1461" s="2" t="str">
        <f>_xlfn.XLOOKUP(ESales_DB[[#This Row],[Product_ID]],Eproduct_DB[Product_ID],Eproduct_DB[Product_Name])</f>
        <v>USB External Hard Drive</v>
      </c>
      <c r="Q1461" s="2" t="str">
        <f>_xlfn.XLOOKUP(ESales_DB[[#This Row],[Store_ID]],Estore_DB[Store_ID],Estore_DB[Region])</f>
        <v>South</v>
      </c>
      <c r="R1461" t="str">
        <f>VLOOKUP(ESales_DB[[#This Row],[Customer_ID]],Ecustom_DB[],10,FALSE)</f>
        <v>Silver</v>
      </c>
      <c r="S1461" t="str">
        <f>IF(ESales_DB[[#This Row],[Quantity1]]&gt;3,"Bulk order","Normal order")</f>
        <v>Normal order</v>
      </c>
    </row>
    <row r="1462" spans="1:19" x14ac:dyDescent="0.3">
      <c r="A1462" t="s">
        <v>2338</v>
      </c>
      <c r="B1462" s="4">
        <v>45495</v>
      </c>
      <c r="C1462" s="4" t="str">
        <f>TEXT(ESales_DB[[#This Row],[Order_Date]],"mmm")</f>
        <v>Jul</v>
      </c>
      <c r="D1462" t="s">
        <v>942</v>
      </c>
      <c r="E1462" t="s">
        <v>1549</v>
      </c>
      <c r="F1462" t="s">
        <v>1813</v>
      </c>
      <c r="G1462">
        <v>1</v>
      </c>
      <c r="H1462" s="10">
        <f>IF(ISBLANK(ESales_DB[[#This Row],[Quantity]]),AVERAGEIF(ESales_DB[Product_ID],ESales_DB[[#This Row],[Product_ID]],ESales_DB[Quantity]),ESales_DB[[#This Row],[Quantity]])</f>
        <v>1</v>
      </c>
      <c r="I1462" s="2">
        <v>505.23</v>
      </c>
      <c r="J1462">
        <v>0.11</v>
      </c>
      <c r="K1462" t="s">
        <v>1824</v>
      </c>
      <c r="L1462" s="2">
        <v>449.65469999999999</v>
      </c>
      <c r="M1462" s="2" t="str">
        <f>IF(ESales_DB[[#This Row],[Total_Amount]]&gt;1000,"High","Low")</f>
        <v>Low</v>
      </c>
      <c r="N1462" s="2" t="str">
        <f>VLOOKUP(ESales_DB[[#This Row],[Customer_ID]],Ecustom_DB[],3,FALSE)</f>
        <v>Tracy Stephens</v>
      </c>
      <c r="O1462" s="2" t="str">
        <f>_xlfn.XLOOKUP(ESales_DB[[#This Row],[Product_ID]],Eproduct_DB[Product_ID],Eproduct_DB[Category])</f>
        <v>Clothing</v>
      </c>
      <c r="P1462" s="2" t="str">
        <f>_xlfn.XLOOKUP(ESales_DB[[#This Row],[Product_ID]],Eproduct_DB[Product_ID],Eproduct_DB[Product_Name])</f>
        <v>Women's Casual Hoodie</v>
      </c>
      <c r="Q1462" s="2" t="str">
        <f>_xlfn.XLOOKUP(ESales_DB[[#This Row],[Store_ID]],Estore_DB[Store_ID],Estore_DB[Region])</f>
        <v>East</v>
      </c>
      <c r="R1462" t="str">
        <f>VLOOKUP(ESales_DB[[#This Row],[Customer_ID]],Ecustom_DB[],10,FALSE)</f>
        <v>Platinum</v>
      </c>
      <c r="S1462" t="str">
        <f>IF(ESales_DB[[#This Row],[Quantity1]]&gt;3,"Bulk order","Normal order")</f>
        <v>Normal order</v>
      </c>
    </row>
    <row r="1463" spans="1:19" x14ac:dyDescent="0.3">
      <c r="A1463" t="s">
        <v>2339</v>
      </c>
      <c r="B1463" s="4">
        <v>45735</v>
      </c>
      <c r="C1463" s="4" t="str">
        <f>TEXT(ESales_DB[[#This Row],[Order_Date]],"mmm")</f>
        <v>Mar</v>
      </c>
      <c r="D1463" t="s">
        <v>1142</v>
      </c>
      <c r="E1463" t="s">
        <v>1638</v>
      </c>
      <c r="F1463" t="s">
        <v>1804</v>
      </c>
      <c r="G1463">
        <v>1</v>
      </c>
      <c r="H1463" s="10">
        <f>IF(ISBLANK(ESales_DB[[#This Row],[Quantity]]),AVERAGEIF(ESales_DB[Product_ID],ESales_DB[[#This Row],[Product_ID]],ESales_DB[Quantity]),ESales_DB[[#This Row],[Quantity]])</f>
        <v>1</v>
      </c>
      <c r="I1463" s="2">
        <v>853.12</v>
      </c>
      <c r="J1463">
        <v>0.19</v>
      </c>
      <c r="K1463" t="s">
        <v>1829</v>
      </c>
      <c r="L1463" s="2">
        <v>691.02719999999999</v>
      </c>
      <c r="M1463" s="2" t="str">
        <f>IF(ESales_DB[[#This Row],[Total_Amount]]&gt;1000,"High","Low")</f>
        <v>Low</v>
      </c>
      <c r="N1463" s="2" t="str">
        <f>VLOOKUP(ESales_DB[[#This Row],[Customer_ID]],Ecustom_DB[],3,FALSE)</f>
        <v>Brandon Mcbride</v>
      </c>
      <c r="O1463" s="2" t="str">
        <f>_xlfn.XLOOKUP(ESales_DB[[#This Row],[Product_ID]],Eproduct_DB[Product_ID],Eproduct_DB[Category])</f>
        <v>Sports</v>
      </c>
      <c r="P1463" s="2" t="str">
        <f>_xlfn.XLOOKUP(ESales_DB[[#This Row],[Product_ID]],Eproduct_DB[Product_ID],Eproduct_DB[Product_Name])</f>
        <v>High-Grip Football</v>
      </c>
      <c r="Q1463" s="2" t="str">
        <f>_xlfn.XLOOKUP(ESales_DB[[#This Row],[Store_ID]],Estore_DB[Store_ID],Estore_DB[Region])</f>
        <v>West</v>
      </c>
      <c r="R1463" t="str">
        <f>VLOOKUP(ESales_DB[[#This Row],[Customer_ID]],Ecustom_DB[],10,FALSE)</f>
        <v>Platinum</v>
      </c>
      <c r="S1463" t="str">
        <f>IF(ESales_DB[[#This Row],[Quantity1]]&gt;3,"Bulk order","Normal order")</f>
        <v>Normal order</v>
      </c>
    </row>
    <row r="1464" spans="1:19" x14ac:dyDescent="0.3">
      <c r="A1464" t="s">
        <v>2340</v>
      </c>
      <c r="B1464" s="4">
        <v>45312</v>
      </c>
      <c r="C1464" s="4" t="str">
        <f>TEXT(ESales_DB[[#This Row],[Order_Date]],"mmm")</f>
        <v>Jan</v>
      </c>
      <c r="D1464" t="s">
        <v>444</v>
      </c>
      <c r="E1464" t="s">
        <v>1543</v>
      </c>
      <c r="F1464" t="s">
        <v>1779</v>
      </c>
      <c r="G1464">
        <v>4</v>
      </c>
      <c r="H1464" s="10">
        <f>IF(ISBLANK(ESales_DB[[#This Row],[Quantity]]),AVERAGEIF(ESales_DB[Product_ID],ESales_DB[[#This Row],[Product_ID]],ESales_DB[Quantity]),ESales_DB[[#This Row],[Quantity]])</f>
        <v>4</v>
      </c>
      <c r="I1464" s="2">
        <v>191.65</v>
      </c>
      <c r="J1464">
        <v>0.19</v>
      </c>
      <c r="K1464" t="s">
        <v>1826</v>
      </c>
      <c r="L1464" s="2">
        <v>620.94600000000003</v>
      </c>
      <c r="M1464" s="2" t="str">
        <f>IF(ESales_DB[[#This Row],[Total_Amount]]&gt;1000,"High","Low")</f>
        <v>Low</v>
      </c>
      <c r="N1464" s="2" t="str">
        <f>VLOOKUP(ESales_DB[[#This Row],[Customer_ID]],Ecustom_DB[],3,FALSE)</f>
        <v>Jessica Mitchell</v>
      </c>
      <c r="O1464" s="2" t="str">
        <f>_xlfn.XLOOKUP(ESales_DB[[#This Row],[Product_ID]],Eproduct_DB[Product_ID],Eproduct_DB[Category])</f>
        <v>Electronics</v>
      </c>
      <c r="P1464" s="2" t="str">
        <f>_xlfn.XLOOKUP(ESales_DB[[#This Row],[Product_ID]],Eproduct_DB[Product_ID],Eproduct_DB[Product_Name])</f>
        <v>Brother Laser Printer</v>
      </c>
      <c r="Q1464" s="2" t="str">
        <f>_xlfn.XLOOKUP(ESales_DB[[#This Row],[Store_ID]],Estore_DB[Store_ID],Estore_DB[Region])</f>
        <v>South</v>
      </c>
      <c r="R1464" t="str">
        <f>VLOOKUP(ESales_DB[[#This Row],[Customer_ID]],Ecustom_DB[],10,FALSE)</f>
        <v>Silver</v>
      </c>
      <c r="S1464" t="str">
        <f>IF(ESales_DB[[#This Row],[Quantity1]]&gt;3,"Bulk order","Normal order")</f>
        <v>Bulk order</v>
      </c>
    </row>
    <row r="1465" spans="1:19" x14ac:dyDescent="0.3">
      <c r="A1465" t="s">
        <v>2341</v>
      </c>
      <c r="B1465" s="4">
        <v>45286</v>
      </c>
      <c r="C1465" s="4" t="str">
        <f>TEXT(ESales_DB[[#This Row],[Order_Date]],"mmm")</f>
        <v>Dec</v>
      </c>
      <c r="D1465" t="s">
        <v>535</v>
      </c>
      <c r="E1465" t="s">
        <v>1642</v>
      </c>
      <c r="F1465" t="s">
        <v>1766</v>
      </c>
      <c r="G1465">
        <v>1</v>
      </c>
      <c r="H1465" s="10">
        <f>IF(ISBLANK(ESales_DB[[#This Row],[Quantity]]),AVERAGEIF(ESales_DB[Product_ID],ESales_DB[[#This Row],[Product_ID]],ESales_DB[Quantity]),ESales_DB[[#This Row],[Quantity]])</f>
        <v>1</v>
      </c>
      <c r="I1465" s="2">
        <v>169.69</v>
      </c>
      <c r="J1465">
        <v>0.22</v>
      </c>
      <c r="K1465" t="s">
        <v>1824</v>
      </c>
      <c r="L1465" s="2">
        <v>132.35820000000001</v>
      </c>
      <c r="M1465" s="2" t="str">
        <f>IF(ESales_DB[[#This Row],[Total_Amount]]&gt;1000,"High","Low")</f>
        <v>Low</v>
      </c>
      <c r="N1465" s="2" t="str">
        <f>VLOOKUP(ESales_DB[[#This Row],[Customer_ID]],Ecustom_DB[],3,FALSE)</f>
        <v>John Lawson</v>
      </c>
      <c r="O1465" s="2" t="str">
        <f>_xlfn.XLOOKUP(ESales_DB[[#This Row],[Product_ID]],Eproduct_DB[Product_ID],Eproduct_DB[Category])</f>
        <v>Beauty</v>
      </c>
      <c r="P1465" s="2" t="str">
        <f>_xlfn.XLOOKUP(ESales_DB[[#This Row],[Product_ID]],Eproduct_DB[Product_ID],Eproduct_DB[Product_Name])</f>
        <v>Makeup Brush Set</v>
      </c>
      <c r="Q1465" s="2" t="str">
        <f>_xlfn.XLOOKUP(ESales_DB[[#This Row],[Store_ID]],Estore_DB[Store_ID],Estore_DB[Region])</f>
        <v>North</v>
      </c>
      <c r="R1465" t="str">
        <f>VLOOKUP(ESales_DB[[#This Row],[Customer_ID]],Ecustom_DB[],10,FALSE)</f>
        <v>Platinum</v>
      </c>
      <c r="S1465" t="str">
        <f>IF(ESales_DB[[#This Row],[Quantity1]]&gt;3,"Bulk order","Normal order")</f>
        <v>Normal order</v>
      </c>
    </row>
    <row r="1466" spans="1:19" x14ac:dyDescent="0.3">
      <c r="A1466" t="s">
        <v>2342</v>
      </c>
      <c r="B1466" s="4">
        <v>45372</v>
      </c>
      <c r="C1466" s="4" t="str">
        <f>TEXT(ESales_DB[[#This Row],[Order_Date]],"mmm")</f>
        <v>Mar</v>
      </c>
      <c r="D1466" t="s">
        <v>579</v>
      </c>
      <c r="E1466" t="s">
        <v>1672</v>
      </c>
      <c r="F1466" t="s">
        <v>1799</v>
      </c>
      <c r="G1466">
        <v>1</v>
      </c>
      <c r="H1466" s="10">
        <f>IF(ISBLANK(ESales_DB[[#This Row],[Quantity]]),AVERAGEIF(ESales_DB[Product_ID],ESales_DB[[#This Row],[Product_ID]],ESales_DB[Quantity]),ESales_DB[[#This Row],[Quantity]])</f>
        <v>1</v>
      </c>
      <c r="I1466" s="2">
        <v>145.43</v>
      </c>
      <c r="J1466">
        <v>0.08</v>
      </c>
      <c r="K1466" t="s">
        <v>1824</v>
      </c>
      <c r="L1466" s="2">
        <v>133.79560000000001</v>
      </c>
      <c r="M1466" s="2" t="str">
        <f>IF(ESales_DB[[#This Row],[Total_Amount]]&gt;1000,"High","Low")</f>
        <v>Low</v>
      </c>
      <c r="N1466" s="2" t="str">
        <f>VLOOKUP(ESales_DB[[#This Row],[Customer_ID]],Ecustom_DB[],3,FALSE)</f>
        <v>Michelle Rogers</v>
      </c>
      <c r="O1466" s="2" t="str">
        <f>_xlfn.XLOOKUP(ESales_DB[[#This Row],[Product_ID]],Eproduct_DB[Product_ID],Eproduct_DB[Category])</f>
        <v>Electronics</v>
      </c>
      <c r="P1466" s="2" t="str">
        <f>_xlfn.XLOOKUP(ESales_DB[[#This Row],[Product_ID]],Eproduct_DB[Product_ID],Eproduct_DB[Product_Name])</f>
        <v>Laptop Cooling Pad</v>
      </c>
      <c r="Q1466" s="2" t="str">
        <f>_xlfn.XLOOKUP(ESales_DB[[#This Row],[Store_ID]],Estore_DB[Store_ID],Estore_DB[Region])</f>
        <v>South</v>
      </c>
      <c r="R1466" t="str">
        <f>VLOOKUP(ESales_DB[[#This Row],[Customer_ID]],Ecustom_DB[],10,FALSE)</f>
        <v>Platinum</v>
      </c>
      <c r="S1466" t="str">
        <f>IF(ESales_DB[[#This Row],[Quantity1]]&gt;3,"Bulk order","Normal order")</f>
        <v>Normal order</v>
      </c>
    </row>
    <row r="1467" spans="1:19" x14ac:dyDescent="0.3">
      <c r="A1467" t="s">
        <v>2343</v>
      </c>
      <c r="B1467" s="4">
        <v>45633</v>
      </c>
      <c r="C1467" s="4" t="str">
        <f>TEXT(ESales_DB[[#This Row],[Order_Date]],"mmm")</f>
        <v>Dec</v>
      </c>
      <c r="D1467" t="s">
        <v>304</v>
      </c>
      <c r="E1467" t="s">
        <v>1734</v>
      </c>
      <c r="F1467" t="s">
        <v>1794</v>
      </c>
      <c r="G1467">
        <v>4</v>
      </c>
      <c r="H1467" s="10">
        <f>IF(ISBLANK(ESales_DB[[#This Row],[Quantity]]),AVERAGEIF(ESales_DB[Product_ID],ESales_DB[[#This Row],[Product_ID]],ESales_DB[Quantity]),ESales_DB[[#This Row],[Quantity]])</f>
        <v>4</v>
      </c>
      <c r="I1467" s="2">
        <v>828.35</v>
      </c>
      <c r="J1467">
        <v>0.17</v>
      </c>
      <c r="K1467" t="s">
        <v>1824</v>
      </c>
      <c r="L1467" s="2">
        <v>2750.1219999999998</v>
      </c>
      <c r="M1467" s="2" t="str">
        <f>IF(ESales_DB[[#This Row],[Total_Amount]]&gt;1000,"High","Low")</f>
        <v>High</v>
      </c>
      <c r="N1467" s="2" t="str">
        <f>VLOOKUP(ESales_DB[[#This Row],[Customer_ID]],Ecustom_DB[],3,FALSE)</f>
        <v>Christy Hoffman</v>
      </c>
      <c r="O1467" s="2" t="str">
        <f>_xlfn.XLOOKUP(ESales_DB[[#This Row],[Product_ID]],Eproduct_DB[Product_ID],Eproduct_DB[Category])</f>
        <v>Electronics</v>
      </c>
      <c r="P1467" s="2" t="str">
        <f>_xlfn.XLOOKUP(ESales_DB[[#This Row],[Product_ID]],Eproduct_DB[Product_ID],Eproduct_DB[Product_Name])</f>
        <v>USB-C Laptop Charger</v>
      </c>
      <c r="Q1467" s="2" t="str">
        <f>_xlfn.XLOOKUP(ESales_DB[[#This Row],[Store_ID]],Estore_DB[Store_ID],Estore_DB[Region])</f>
        <v>North</v>
      </c>
      <c r="R1467" t="str">
        <f>VLOOKUP(ESales_DB[[#This Row],[Customer_ID]],Ecustom_DB[],10,FALSE)</f>
        <v>Platinum</v>
      </c>
      <c r="S1467" t="str">
        <f>IF(ESales_DB[[#This Row],[Quantity1]]&gt;3,"Bulk order","Normal order")</f>
        <v>Bulk order</v>
      </c>
    </row>
    <row r="1468" spans="1:19" x14ac:dyDescent="0.3">
      <c r="A1468" t="s">
        <v>2344</v>
      </c>
      <c r="B1468" s="4">
        <v>45598</v>
      </c>
      <c r="C1468" s="4" t="str">
        <f>TEXT(ESales_DB[[#This Row],[Order_Date]],"mmm")</f>
        <v>Nov</v>
      </c>
      <c r="D1468" t="s">
        <v>1133</v>
      </c>
      <c r="E1468" t="s">
        <v>1738</v>
      </c>
      <c r="F1468" t="s">
        <v>1779</v>
      </c>
      <c r="G1468">
        <v>3</v>
      </c>
      <c r="H1468" s="10">
        <f>IF(ISBLANK(ESales_DB[[#This Row],[Quantity]]),AVERAGEIF(ESales_DB[Product_ID],ESales_DB[[#This Row],[Product_ID]],ESales_DB[Quantity]),ESales_DB[[#This Row],[Quantity]])</f>
        <v>3</v>
      </c>
      <c r="I1468" s="2">
        <v>268.76</v>
      </c>
      <c r="J1468">
        <v>0.01</v>
      </c>
      <c r="K1468" t="s">
        <v>1826</v>
      </c>
      <c r="L1468" s="2">
        <v>798.21719999999993</v>
      </c>
      <c r="M1468" s="2" t="str">
        <f>IF(ESales_DB[[#This Row],[Total_Amount]]&gt;1000,"High","Low")</f>
        <v>Low</v>
      </c>
      <c r="N1468" s="2" t="str">
        <f>VLOOKUP(ESales_DB[[#This Row],[Customer_ID]],Ecustom_DB[],3,FALSE)</f>
        <v>Joshua Smith Dvm</v>
      </c>
      <c r="O1468" s="2" t="str">
        <f>_xlfn.XLOOKUP(ESales_DB[[#This Row],[Product_ID]],Eproduct_DB[Product_ID],Eproduct_DB[Category])</f>
        <v>Sports</v>
      </c>
      <c r="P1468" s="2" t="str">
        <f>_xlfn.XLOOKUP(ESales_DB[[#This Row],[Product_ID]],Eproduct_DB[Product_ID],Eproduct_DB[Product_Name])</f>
        <v>Sports Stopwatch Basic</v>
      </c>
      <c r="Q1468" s="2" t="str">
        <f>_xlfn.XLOOKUP(ESales_DB[[#This Row],[Store_ID]],Estore_DB[Store_ID],Estore_DB[Region])</f>
        <v>South</v>
      </c>
      <c r="R1468" t="str">
        <f>VLOOKUP(ESales_DB[[#This Row],[Customer_ID]],Ecustom_DB[],10,FALSE)</f>
        <v>Gold</v>
      </c>
      <c r="S1468" t="str">
        <f>IF(ESales_DB[[#This Row],[Quantity1]]&gt;3,"Bulk order","Normal order")</f>
        <v>Normal order</v>
      </c>
    </row>
    <row r="1469" spans="1:19" x14ac:dyDescent="0.3">
      <c r="A1469" t="s">
        <v>2345</v>
      </c>
      <c r="B1469" s="4">
        <v>45495</v>
      </c>
      <c r="C1469" s="4" t="str">
        <f>TEXT(ESales_DB[[#This Row],[Order_Date]],"mmm")</f>
        <v>Jul</v>
      </c>
      <c r="D1469" t="s">
        <v>749</v>
      </c>
      <c r="E1469" t="s">
        <v>1724</v>
      </c>
      <c r="F1469" t="s">
        <v>1752</v>
      </c>
      <c r="G1469">
        <v>4</v>
      </c>
      <c r="H1469" s="10">
        <f>IF(ISBLANK(ESales_DB[[#This Row],[Quantity]]),AVERAGEIF(ESales_DB[Product_ID],ESales_DB[[#This Row],[Product_ID]],ESales_DB[Quantity]),ESales_DB[[#This Row],[Quantity]])</f>
        <v>4</v>
      </c>
      <c r="I1469" s="2">
        <v>370.09</v>
      </c>
      <c r="J1469">
        <v>0.22</v>
      </c>
      <c r="K1469" t="s">
        <v>1829</v>
      </c>
      <c r="L1469" s="2">
        <v>1154.6808000000001</v>
      </c>
      <c r="M1469" s="2" t="str">
        <f>IF(ESales_DB[[#This Row],[Total_Amount]]&gt;1000,"High","Low")</f>
        <v>High</v>
      </c>
      <c r="N1469" s="2" t="str">
        <f>VLOOKUP(ESales_DB[[#This Row],[Customer_ID]],Ecustom_DB[],3,FALSE)</f>
        <v>Michelle Gonzalez</v>
      </c>
      <c r="O1469" s="2" t="str">
        <f>_xlfn.XLOOKUP(ESales_DB[[#This Row],[Product_ID]],Eproduct_DB[Product_ID],Eproduct_DB[Category])</f>
        <v>Sports</v>
      </c>
      <c r="P1469" s="2" t="str">
        <f>_xlfn.XLOOKUP(ESales_DB[[#This Row],[Product_ID]],Eproduct_DB[Product_ID],Eproduct_DB[Product_Name])</f>
        <v>Sports Wrist Sweatbands</v>
      </c>
      <c r="Q1469" s="2" t="str">
        <f>_xlfn.XLOOKUP(ESales_DB[[#This Row],[Store_ID]],Estore_DB[Store_ID],Estore_DB[Region])</f>
        <v>East</v>
      </c>
      <c r="R1469" t="str">
        <f>VLOOKUP(ESales_DB[[#This Row],[Customer_ID]],Ecustom_DB[],10,FALSE)</f>
        <v>Silver</v>
      </c>
      <c r="S1469" t="str">
        <f>IF(ESales_DB[[#This Row],[Quantity1]]&gt;3,"Bulk order","Normal order")</f>
        <v>Bulk order</v>
      </c>
    </row>
    <row r="1470" spans="1:19" x14ac:dyDescent="0.3">
      <c r="A1470" t="s">
        <v>1878</v>
      </c>
      <c r="B1470" s="4">
        <v>45894</v>
      </c>
      <c r="C1470" s="4" t="str">
        <f>TEXT(ESales_DB[[#This Row],[Order_Date]],"mmm")</f>
        <v>Aug</v>
      </c>
      <c r="D1470" t="s">
        <v>499</v>
      </c>
      <c r="E1470" t="s">
        <v>1726</v>
      </c>
      <c r="F1470" t="s">
        <v>1776</v>
      </c>
      <c r="G1470">
        <v>3</v>
      </c>
      <c r="H1470" s="10">
        <f>IF(ISBLANK(ESales_DB[[#This Row],[Quantity]]),AVERAGEIF(ESales_DB[Product_ID],ESales_DB[[#This Row],[Product_ID]],ESales_DB[Quantity]),ESales_DB[[#This Row],[Quantity]])</f>
        <v>3</v>
      </c>
      <c r="K1470" t="s">
        <v>1824</v>
      </c>
      <c r="L1470" s="2">
        <v>486.06330000000003</v>
      </c>
      <c r="M1470" s="2" t="str">
        <f>IF(ESales_DB[[#This Row],[Total_Amount]]&gt;1000,"High","Low")</f>
        <v>Low</v>
      </c>
      <c r="N1470" s="2" t="str">
        <f>VLOOKUP(ESales_DB[[#This Row],[Customer_ID]],Ecustom_DB[],3,FALSE)</f>
        <v>Theresa Campbell</v>
      </c>
      <c r="O1470" s="2" t="str">
        <f>_xlfn.XLOOKUP(ESales_DB[[#This Row],[Product_ID]],Eproduct_DB[Product_ID],Eproduct_DB[Category])</f>
        <v>Beauty</v>
      </c>
      <c r="P1470" s="2" t="str">
        <f>_xlfn.XLOOKUP(ESales_DB[[#This Row],[Product_ID]],Eproduct_DB[Product_ID],Eproduct_DB[Product_Name])</f>
        <v>Face Foundation Kit</v>
      </c>
      <c r="Q1470" s="2" t="str">
        <f>_xlfn.XLOOKUP(ESales_DB[[#This Row],[Store_ID]],Estore_DB[Store_ID],Estore_DB[Region])</f>
        <v>East</v>
      </c>
      <c r="R1470" t="str">
        <f>VLOOKUP(ESales_DB[[#This Row],[Customer_ID]],Ecustom_DB[],10,FALSE)</f>
        <v>Bronze</v>
      </c>
      <c r="S1470" t="str">
        <f>IF(ESales_DB[[#This Row],[Quantity1]]&gt;3,"Bulk order","Normal order")</f>
        <v>Normal order</v>
      </c>
    </row>
    <row r="1471" spans="1:19" x14ac:dyDescent="0.3">
      <c r="A1471" t="s">
        <v>2346</v>
      </c>
      <c r="B1471" s="4">
        <v>45229</v>
      </c>
      <c r="C1471" s="4" t="str">
        <f>TEXT(ESales_DB[[#This Row],[Order_Date]],"mmm")</f>
        <v>Oct</v>
      </c>
      <c r="D1471" t="s">
        <v>809</v>
      </c>
      <c r="E1471" t="s">
        <v>1704</v>
      </c>
      <c r="F1471" t="s">
        <v>1776</v>
      </c>
      <c r="G1471">
        <v>3</v>
      </c>
      <c r="H1471" s="10">
        <f>IF(ISBLANK(ESales_DB[[#This Row],[Quantity]]),AVERAGEIF(ESales_DB[Product_ID],ESales_DB[[#This Row],[Product_ID]],ESales_DB[Quantity]),ESales_DB[[#This Row],[Quantity]])</f>
        <v>3</v>
      </c>
      <c r="I1471" s="2">
        <v>679.22</v>
      </c>
      <c r="J1471">
        <v>0.11</v>
      </c>
      <c r="K1471" t="s">
        <v>1826</v>
      </c>
      <c r="L1471" s="2">
        <v>1813.5174</v>
      </c>
      <c r="M1471" s="2" t="str">
        <f>IF(ESales_DB[[#This Row],[Total_Amount]]&gt;1000,"High","Low")</f>
        <v>High</v>
      </c>
      <c r="N1471" s="2" t="str">
        <f>VLOOKUP(ESales_DB[[#This Row],[Customer_ID]],Ecustom_DB[],3,FALSE)</f>
        <v>Dr. Ashley Yates Md</v>
      </c>
      <c r="O1471" s="2" t="str">
        <f>_xlfn.XLOOKUP(ESales_DB[[#This Row],[Product_ID]],Eproduct_DB[Product_ID],Eproduct_DB[Category])</f>
        <v>Home</v>
      </c>
      <c r="P1471" s="2" t="str">
        <f>_xlfn.XLOOKUP(ESales_DB[[#This Row],[Product_ID]],Eproduct_DB[Product_ID],Eproduct_DB[Product_Name])</f>
        <v>Essential Oil Diffuser</v>
      </c>
      <c r="Q1471" s="2" t="str">
        <f>_xlfn.XLOOKUP(ESales_DB[[#This Row],[Store_ID]],Estore_DB[Store_ID],Estore_DB[Region])</f>
        <v>East</v>
      </c>
      <c r="R1471" t="str">
        <f>VLOOKUP(ESales_DB[[#This Row],[Customer_ID]],Ecustom_DB[],10,FALSE)</f>
        <v>Bronze</v>
      </c>
      <c r="S1471" t="str">
        <f>IF(ESales_DB[[#This Row],[Quantity1]]&gt;3,"Bulk order","Normal order")</f>
        <v>Normal order</v>
      </c>
    </row>
    <row r="1472" spans="1:19" x14ac:dyDescent="0.3">
      <c r="A1472" t="s">
        <v>2347</v>
      </c>
      <c r="B1472" s="4">
        <v>45433</v>
      </c>
      <c r="C1472" s="4" t="str">
        <f>TEXT(ESales_DB[[#This Row],[Order_Date]],"mmm")</f>
        <v>May</v>
      </c>
      <c r="D1472" t="s">
        <v>1166</v>
      </c>
      <c r="E1472" t="s">
        <v>1694</v>
      </c>
      <c r="F1472" t="s">
        <v>1752</v>
      </c>
      <c r="G1472">
        <v>3</v>
      </c>
      <c r="H1472" s="10">
        <f>IF(ISBLANK(ESales_DB[[#This Row],[Quantity]]),AVERAGEIF(ESales_DB[Product_ID],ESales_DB[[#This Row],[Product_ID]],ESales_DB[Quantity]),ESales_DB[[#This Row],[Quantity]])</f>
        <v>3</v>
      </c>
      <c r="I1472" s="2">
        <v>780.69</v>
      </c>
      <c r="J1472">
        <v>0.1</v>
      </c>
      <c r="K1472" t="s">
        <v>1829</v>
      </c>
      <c r="L1472" s="2">
        <v>2107.8629999999998</v>
      </c>
      <c r="M1472" s="2" t="str">
        <f>IF(ESales_DB[[#This Row],[Total_Amount]]&gt;1000,"High","Low")</f>
        <v>High</v>
      </c>
      <c r="N1472" s="2" t="str">
        <f>VLOOKUP(ESales_DB[[#This Row],[Customer_ID]],Ecustom_DB[],3,FALSE)</f>
        <v>James Orozco</v>
      </c>
      <c r="O1472" s="2" t="str">
        <f>_xlfn.XLOOKUP(ESales_DB[[#This Row],[Product_ID]],Eproduct_DB[Product_ID],Eproduct_DB[Category])</f>
        <v>Sports</v>
      </c>
      <c r="P1472" s="2" t="str">
        <f>_xlfn.XLOOKUP(ESales_DB[[#This Row],[Product_ID]],Eproduct_DB[Product_ID],Eproduct_DB[Product_Name])</f>
        <v>Shin Guards – Adult</v>
      </c>
      <c r="Q1472" s="2" t="str">
        <f>_xlfn.XLOOKUP(ESales_DB[[#This Row],[Store_ID]],Estore_DB[Store_ID],Estore_DB[Region])</f>
        <v>East</v>
      </c>
      <c r="R1472" t="str">
        <f>VLOOKUP(ESales_DB[[#This Row],[Customer_ID]],Ecustom_DB[],10,FALSE)</f>
        <v>Gold</v>
      </c>
      <c r="S1472" t="str">
        <f>IF(ESales_DB[[#This Row],[Quantity1]]&gt;3,"Bulk order","Normal order")</f>
        <v>Normal order</v>
      </c>
    </row>
    <row r="1473" spans="1:19" x14ac:dyDescent="0.3">
      <c r="A1473" t="s">
        <v>2348</v>
      </c>
      <c r="B1473" s="4">
        <v>45766</v>
      </c>
      <c r="C1473" s="4" t="str">
        <f>TEXT(ESales_DB[[#This Row],[Order_Date]],"mmm")</f>
        <v>Apr</v>
      </c>
      <c r="D1473" t="s">
        <v>833</v>
      </c>
      <c r="E1473" t="s">
        <v>1632</v>
      </c>
      <c r="F1473" t="s">
        <v>1761</v>
      </c>
      <c r="G1473">
        <v>2</v>
      </c>
      <c r="H1473" s="10">
        <f>IF(ISBLANK(ESales_DB[[#This Row],[Quantity]]),AVERAGEIF(ESales_DB[Product_ID],ESales_DB[[#This Row],[Product_ID]],ESales_DB[Quantity]),ESales_DB[[#This Row],[Quantity]])</f>
        <v>2</v>
      </c>
      <c r="I1473" s="2">
        <v>42.97</v>
      </c>
      <c r="J1473">
        <v>0.18</v>
      </c>
      <c r="K1473" t="s">
        <v>1826</v>
      </c>
      <c r="L1473" s="2">
        <v>70.470799999999997</v>
      </c>
      <c r="M1473" s="2" t="str">
        <f>IF(ESales_DB[[#This Row],[Total_Amount]]&gt;1000,"High","Low")</f>
        <v>Low</v>
      </c>
      <c r="N1473" s="2" t="str">
        <f>VLOOKUP(ESales_DB[[#This Row],[Customer_ID]],Ecustom_DB[],3,FALSE)</f>
        <v>Carol Bishop</v>
      </c>
      <c r="O1473" s="2" t="str">
        <f>_xlfn.XLOOKUP(ESales_DB[[#This Row],[Product_ID]],Eproduct_DB[Product_ID],Eproduct_DB[Category])</f>
        <v>Electronics</v>
      </c>
      <c r="P1473" s="2" t="str">
        <f>_xlfn.XLOOKUP(ESales_DB[[#This Row],[Product_ID]],Eproduct_DB[Product_ID],Eproduct_DB[Product_Name])</f>
        <v>Smart Home WiFi Camera</v>
      </c>
      <c r="Q1473" s="2" t="str">
        <f>_xlfn.XLOOKUP(ESales_DB[[#This Row],[Store_ID]],Estore_DB[Store_ID],Estore_DB[Region])</f>
        <v>South</v>
      </c>
      <c r="R1473" t="str">
        <f>VLOOKUP(ESales_DB[[#This Row],[Customer_ID]],Ecustom_DB[],10,FALSE)</f>
        <v>Silver</v>
      </c>
      <c r="S1473" t="str">
        <f>IF(ESales_DB[[#This Row],[Quantity1]]&gt;3,"Bulk order","Normal order")</f>
        <v>Normal order</v>
      </c>
    </row>
    <row r="1474" spans="1:19" x14ac:dyDescent="0.3">
      <c r="A1474" t="s">
        <v>2349</v>
      </c>
      <c r="B1474" s="4">
        <v>45639</v>
      </c>
      <c r="C1474" s="4" t="str">
        <f>TEXT(ESales_DB[[#This Row],[Order_Date]],"mmm")</f>
        <v>Dec</v>
      </c>
      <c r="D1474" t="s">
        <v>908</v>
      </c>
      <c r="E1474" t="s">
        <v>1712</v>
      </c>
      <c r="F1474" t="s">
        <v>1752</v>
      </c>
      <c r="G1474">
        <v>4</v>
      </c>
      <c r="H1474" s="10">
        <f>IF(ISBLANK(ESales_DB[[#This Row],[Quantity]]),AVERAGEIF(ESales_DB[Product_ID],ESales_DB[[#This Row],[Product_ID]],ESales_DB[Quantity]),ESales_DB[[#This Row],[Quantity]])</f>
        <v>4</v>
      </c>
      <c r="I1474" s="2">
        <v>854.37</v>
      </c>
      <c r="J1474">
        <v>7.0000000000000007E-2</v>
      </c>
      <c r="K1474" t="s">
        <v>1826</v>
      </c>
      <c r="L1474" s="2">
        <v>3178.2564000000002</v>
      </c>
      <c r="M1474" s="2" t="str">
        <f>IF(ESales_DB[[#This Row],[Total_Amount]]&gt;1000,"High","Low")</f>
        <v>High</v>
      </c>
      <c r="N1474" s="2" t="str">
        <f>VLOOKUP(ESales_DB[[#This Row],[Customer_ID]],Ecustom_DB[],3,FALSE)</f>
        <v>Tommy Roberts</v>
      </c>
      <c r="O1474" s="2" t="str">
        <f>_xlfn.XLOOKUP(ESales_DB[[#This Row],[Product_ID]],Eproduct_DB[Product_ID],Eproduct_DB[Category])</f>
        <v>Sports</v>
      </c>
      <c r="P1474" s="2" t="str">
        <f>_xlfn.XLOOKUP(ESales_DB[[#This Row],[Product_ID]],Eproduct_DB[Product_ID],Eproduct_DB[Product_Name])</f>
        <v>Fitness Resistance Bands</v>
      </c>
      <c r="Q1474" s="2" t="str">
        <f>_xlfn.XLOOKUP(ESales_DB[[#This Row],[Store_ID]],Estore_DB[Store_ID],Estore_DB[Region])</f>
        <v>East</v>
      </c>
      <c r="R1474" t="str">
        <f>VLOOKUP(ESales_DB[[#This Row],[Customer_ID]],Ecustom_DB[],10,FALSE)</f>
        <v>Silver</v>
      </c>
      <c r="S1474" t="str">
        <f>IF(ESales_DB[[#This Row],[Quantity1]]&gt;3,"Bulk order","Normal order")</f>
        <v>Bulk order</v>
      </c>
    </row>
    <row r="1475" spans="1:19" x14ac:dyDescent="0.3">
      <c r="A1475" t="s">
        <v>2350</v>
      </c>
      <c r="B1475" s="4">
        <v>45774</v>
      </c>
      <c r="C1475" s="4" t="str">
        <f>TEXT(ESales_DB[[#This Row],[Order_Date]],"mmm")</f>
        <v>Apr</v>
      </c>
      <c r="D1475" t="s">
        <v>356</v>
      </c>
      <c r="E1475" t="s">
        <v>1596</v>
      </c>
      <c r="F1475" t="s">
        <v>1804</v>
      </c>
      <c r="G1475">
        <v>2</v>
      </c>
      <c r="H1475" s="10">
        <f>IF(ISBLANK(ESales_DB[[#This Row],[Quantity]]),AVERAGEIF(ESales_DB[Product_ID],ESales_DB[[#This Row],[Product_ID]],ESales_DB[Quantity]),ESales_DB[[#This Row],[Quantity]])</f>
        <v>2</v>
      </c>
      <c r="I1475" s="2">
        <v>409.52</v>
      </c>
      <c r="J1475">
        <v>0.06</v>
      </c>
      <c r="K1475" t="s">
        <v>1829</v>
      </c>
      <c r="L1475" s="2">
        <v>769.8975999999999</v>
      </c>
      <c r="M1475" s="2" t="str">
        <f>IF(ESales_DB[[#This Row],[Total_Amount]]&gt;1000,"High","Low")</f>
        <v>Low</v>
      </c>
      <c r="N1475" s="2" t="str">
        <f>VLOOKUP(ESales_DB[[#This Row],[Customer_ID]],Ecustom_DB[],3,FALSE)</f>
        <v>Diane Watson</v>
      </c>
      <c r="O1475" s="2" t="str">
        <f>_xlfn.XLOOKUP(ESales_DB[[#This Row],[Product_ID]],Eproduct_DB[Product_ID],Eproduct_DB[Category])</f>
        <v>Sports</v>
      </c>
      <c r="P1475" s="2" t="str">
        <f>_xlfn.XLOOKUP(ESales_DB[[#This Row],[Product_ID]],Eproduct_DB[Product_ID],Eproduct_DB[Product_Name])</f>
        <v>Foldable Camping Chair</v>
      </c>
      <c r="Q1475" s="2" t="str">
        <f>_xlfn.XLOOKUP(ESales_DB[[#This Row],[Store_ID]],Estore_DB[Store_ID],Estore_DB[Region])</f>
        <v>West</v>
      </c>
      <c r="R1475" t="str">
        <f>VLOOKUP(ESales_DB[[#This Row],[Customer_ID]],Ecustom_DB[],10,FALSE)</f>
        <v>Platinum</v>
      </c>
      <c r="S1475" t="str">
        <f>IF(ESales_DB[[#This Row],[Quantity1]]&gt;3,"Bulk order","Normal order")</f>
        <v>Normal order</v>
      </c>
    </row>
    <row r="1476" spans="1:19" x14ac:dyDescent="0.3">
      <c r="A1476" t="s">
        <v>2351</v>
      </c>
      <c r="B1476" s="4">
        <v>45569</v>
      </c>
      <c r="C1476" s="4" t="str">
        <f>TEXT(ESales_DB[[#This Row],[Order_Date]],"mmm")</f>
        <v>Oct</v>
      </c>
      <c r="D1476" t="s">
        <v>547</v>
      </c>
      <c r="E1476" t="s">
        <v>1696</v>
      </c>
      <c r="F1476" t="s">
        <v>1789</v>
      </c>
      <c r="G1476">
        <v>2</v>
      </c>
      <c r="H1476" s="10">
        <f>IF(ISBLANK(ESales_DB[[#This Row],[Quantity]]),AVERAGEIF(ESales_DB[Product_ID],ESales_DB[[#This Row],[Product_ID]],ESales_DB[Quantity]),ESales_DB[[#This Row],[Quantity]])</f>
        <v>2</v>
      </c>
      <c r="I1476" s="2">
        <v>407.46</v>
      </c>
      <c r="J1476">
        <v>0.21</v>
      </c>
      <c r="K1476" t="s">
        <v>1824</v>
      </c>
      <c r="L1476" s="2">
        <v>643.78679999999997</v>
      </c>
      <c r="M1476" s="2" t="str">
        <f>IF(ESales_DB[[#This Row],[Total_Amount]]&gt;1000,"High","Low")</f>
        <v>Low</v>
      </c>
      <c r="N1476" s="2" t="str">
        <f>VLOOKUP(ESales_DB[[#This Row],[Customer_ID]],Ecustom_DB[],3,FALSE)</f>
        <v>Daniel Rivas</v>
      </c>
      <c r="O1476" s="2" t="str">
        <f>_xlfn.XLOOKUP(ESales_DB[[#This Row],[Product_ID]],Eproduct_DB[Product_ID],Eproduct_DB[Category])</f>
        <v>Electronics</v>
      </c>
      <c r="P1476" s="2" t="str">
        <f>_xlfn.XLOOKUP(ESales_DB[[#This Row],[Product_ID]],Eproduct_DB[Product_ID],Eproduct_DB[Product_Name])</f>
        <v>Bluetooth Car Audio System</v>
      </c>
      <c r="Q1476" s="2" t="str">
        <f>_xlfn.XLOOKUP(ESales_DB[[#This Row],[Store_ID]],Estore_DB[Store_ID],Estore_DB[Region])</f>
        <v>East</v>
      </c>
      <c r="R1476" t="str">
        <f>VLOOKUP(ESales_DB[[#This Row],[Customer_ID]],Ecustom_DB[],10,FALSE)</f>
        <v>Silver</v>
      </c>
      <c r="S1476" t="str">
        <f>IF(ESales_DB[[#This Row],[Quantity1]]&gt;3,"Bulk order","Normal order")</f>
        <v>Normal order</v>
      </c>
    </row>
    <row r="1477" spans="1:19" x14ac:dyDescent="0.3">
      <c r="A1477" t="s">
        <v>2352</v>
      </c>
      <c r="B1477" s="4">
        <v>45856</v>
      </c>
      <c r="C1477" s="4" t="str">
        <f>TEXT(ESales_DB[[#This Row],[Order_Date]],"mmm")</f>
        <v>Jul</v>
      </c>
      <c r="D1477" t="s">
        <v>735</v>
      </c>
      <c r="E1477" t="s">
        <v>1553</v>
      </c>
      <c r="F1477" t="s">
        <v>1782</v>
      </c>
      <c r="G1477">
        <v>1</v>
      </c>
      <c r="H1477" s="10">
        <f>IF(ISBLANK(ESales_DB[[#This Row],[Quantity]]),AVERAGEIF(ESales_DB[Product_ID],ESales_DB[[#This Row],[Product_ID]],ESales_DB[Quantity]),ESales_DB[[#This Row],[Quantity]])</f>
        <v>1</v>
      </c>
      <c r="I1477" s="2">
        <v>728.84</v>
      </c>
      <c r="J1477">
        <v>0.28000000000000003</v>
      </c>
      <c r="K1477" t="s">
        <v>1826</v>
      </c>
      <c r="L1477" s="2">
        <v>524.76480000000004</v>
      </c>
      <c r="M1477" s="2" t="str">
        <f>IF(ESales_DB[[#This Row],[Total_Amount]]&gt;1000,"High","Low")</f>
        <v>Low</v>
      </c>
      <c r="N1477" s="2" t="str">
        <f>VLOOKUP(ESales_DB[[#This Row],[Customer_ID]],Ecustom_DB[],3,FALSE)</f>
        <v>Casey Flores</v>
      </c>
      <c r="O1477" s="2" t="str">
        <f>_xlfn.XLOOKUP(ESales_DB[[#This Row],[Product_ID]],Eproduct_DB[Product_ID],Eproduct_DB[Category])</f>
        <v>Clothing</v>
      </c>
      <c r="P1477" s="2" t="str">
        <f>_xlfn.XLOOKUP(ESales_DB[[#This Row],[Product_ID]],Eproduct_DB[Product_ID],Eproduct_DB[Product_Name])</f>
        <v>Women's Yoga Pants</v>
      </c>
      <c r="Q1477" s="2" t="str">
        <f>_xlfn.XLOOKUP(ESales_DB[[#This Row],[Store_ID]],Estore_DB[Store_ID],Estore_DB[Region])</f>
        <v>West</v>
      </c>
      <c r="R1477" t="str">
        <f>VLOOKUP(ESales_DB[[#This Row],[Customer_ID]],Ecustom_DB[],10,FALSE)</f>
        <v>Gold</v>
      </c>
      <c r="S1477" t="str">
        <f>IF(ESales_DB[[#This Row],[Quantity1]]&gt;3,"Bulk order","Normal order")</f>
        <v>Normal order</v>
      </c>
    </row>
    <row r="1478" spans="1:19" x14ac:dyDescent="0.3">
      <c r="A1478" t="s">
        <v>2353</v>
      </c>
      <c r="B1478" s="4">
        <v>45362</v>
      </c>
      <c r="C1478" s="4" t="str">
        <f>TEXT(ESales_DB[[#This Row],[Order_Date]],"mmm")</f>
        <v>Mar</v>
      </c>
      <c r="D1478" t="s">
        <v>1400</v>
      </c>
      <c r="E1478" t="s">
        <v>1704</v>
      </c>
      <c r="F1478" t="s">
        <v>1776</v>
      </c>
      <c r="G1478">
        <v>4</v>
      </c>
      <c r="H1478" s="10">
        <f>IF(ISBLANK(ESales_DB[[#This Row],[Quantity]]),AVERAGEIF(ESales_DB[Product_ID],ESales_DB[[#This Row],[Product_ID]],ESales_DB[Quantity]),ESales_DB[[#This Row],[Quantity]])</f>
        <v>4</v>
      </c>
      <c r="I1478" s="2">
        <v>467.24</v>
      </c>
      <c r="J1478">
        <v>0.08</v>
      </c>
      <c r="K1478" t="s">
        <v>1826</v>
      </c>
      <c r="L1478" s="2">
        <v>1719.4431999999999</v>
      </c>
      <c r="M1478" s="2" t="str">
        <f>IF(ESales_DB[[#This Row],[Total_Amount]]&gt;1000,"High","Low")</f>
        <v>High</v>
      </c>
      <c r="N1478" s="2" t="str">
        <f>VLOOKUP(ESales_DB[[#This Row],[Customer_ID]],Ecustom_DB[],3,FALSE)</f>
        <v>April Phillips</v>
      </c>
      <c r="O1478" s="2" t="str">
        <f>_xlfn.XLOOKUP(ESales_DB[[#This Row],[Product_ID]],Eproduct_DB[Product_ID],Eproduct_DB[Category])</f>
        <v>Home</v>
      </c>
      <c r="P1478" s="2" t="str">
        <f>_xlfn.XLOOKUP(ESales_DB[[#This Row],[Product_ID]],Eproduct_DB[Product_ID],Eproduct_DB[Product_Name])</f>
        <v>Essential Oil Diffuser</v>
      </c>
      <c r="Q1478" s="2" t="str">
        <f>_xlfn.XLOOKUP(ESales_DB[[#This Row],[Store_ID]],Estore_DB[Store_ID],Estore_DB[Region])</f>
        <v>East</v>
      </c>
      <c r="R1478" t="str">
        <f>VLOOKUP(ESales_DB[[#This Row],[Customer_ID]],Ecustom_DB[],10,FALSE)</f>
        <v>Platinum</v>
      </c>
      <c r="S1478" t="str">
        <f>IF(ESales_DB[[#This Row],[Quantity1]]&gt;3,"Bulk order","Normal order")</f>
        <v>Bulk order</v>
      </c>
    </row>
    <row r="1479" spans="1:19" x14ac:dyDescent="0.3">
      <c r="A1479" t="s">
        <v>2354</v>
      </c>
      <c r="B1479" s="4">
        <v>45457</v>
      </c>
      <c r="C1479" s="4" t="str">
        <f>TEXT(ESales_DB[[#This Row],[Order_Date]],"mmm")</f>
        <v>Jun</v>
      </c>
      <c r="D1479" t="s">
        <v>332</v>
      </c>
      <c r="E1479" t="s">
        <v>1568</v>
      </c>
      <c r="F1479" t="s">
        <v>1792</v>
      </c>
      <c r="G1479">
        <v>1</v>
      </c>
      <c r="H1479" s="10">
        <f>IF(ISBLANK(ESales_DB[[#This Row],[Quantity]]),AVERAGEIF(ESales_DB[Product_ID],ESales_DB[[#This Row],[Product_ID]],ESales_DB[Quantity]),ESales_DB[[#This Row],[Quantity]])</f>
        <v>1</v>
      </c>
      <c r="I1479" s="2">
        <v>57.94</v>
      </c>
      <c r="J1479">
        <v>0.13</v>
      </c>
      <c r="K1479" t="s">
        <v>1826</v>
      </c>
      <c r="L1479" s="2">
        <v>50.407799999999988</v>
      </c>
      <c r="M1479" s="2" t="str">
        <f>IF(ESales_DB[[#This Row],[Total_Amount]]&gt;1000,"High","Low")</f>
        <v>Low</v>
      </c>
      <c r="N1479" s="2" t="str">
        <f>VLOOKUP(ESales_DB[[#This Row],[Customer_ID]],Ecustom_DB[],3,FALSE)</f>
        <v>Robert Jackson</v>
      </c>
      <c r="O1479" s="2" t="str">
        <f>_xlfn.XLOOKUP(ESales_DB[[#This Row],[Product_ID]],Eproduct_DB[Product_ID],Eproduct_DB[Category])</f>
        <v>Home</v>
      </c>
      <c r="P1479" s="2" t="str">
        <f>_xlfn.XLOOKUP(ESales_DB[[#This Row],[Product_ID]],Eproduct_DB[Product_ID],Eproduct_DB[Product_Name])</f>
        <v>Ceramic Kitchen Bowl Set</v>
      </c>
      <c r="Q1479" s="2" t="str">
        <f>_xlfn.XLOOKUP(ESales_DB[[#This Row],[Store_ID]],Estore_DB[Store_ID],Estore_DB[Region])</f>
        <v>South</v>
      </c>
      <c r="R1479" t="str">
        <f>VLOOKUP(ESales_DB[[#This Row],[Customer_ID]],Ecustom_DB[],10,FALSE)</f>
        <v>Platinum</v>
      </c>
      <c r="S1479" t="str">
        <f>IF(ESales_DB[[#This Row],[Quantity1]]&gt;3,"Bulk order","Normal order")</f>
        <v>Normal order</v>
      </c>
    </row>
    <row r="1480" spans="1:19" x14ac:dyDescent="0.3">
      <c r="A1480" t="s">
        <v>2355</v>
      </c>
      <c r="B1480" s="4">
        <v>45338</v>
      </c>
      <c r="C1480" s="4" t="str">
        <f>TEXT(ESales_DB[[#This Row],[Order_Date]],"mmm")</f>
        <v>Feb</v>
      </c>
      <c r="D1480" t="s">
        <v>1080</v>
      </c>
      <c r="E1480" t="s">
        <v>1646</v>
      </c>
      <c r="F1480" t="s">
        <v>1807</v>
      </c>
      <c r="G1480">
        <v>1</v>
      </c>
      <c r="H1480" s="10">
        <f>IF(ISBLANK(ESales_DB[[#This Row],[Quantity]]),AVERAGEIF(ESales_DB[Product_ID],ESales_DB[[#This Row],[Product_ID]],ESales_DB[Quantity]),ESales_DB[[#This Row],[Quantity]])</f>
        <v>1</v>
      </c>
      <c r="I1480" s="2">
        <v>540.1</v>
      </c>
      <c r="J1480">
        <v>0.22</v>
      </c>
      <c r="K1480" t="s">
        <v>1824</v>
      </c>
      <c r="L1480" s="2">
        <v>421.27800000000002</v>
      </c>
      <c r="M1480" s="2" t="str">
        <f>IF(ESales_DB[[#This Row],[Total_Amount]]&gt;1000,"High","Low")</f>
        <v>Low</v>
      </c>
      <c r="N1480" s="2" t="str">
        <f>VLOOKUP(ESales_DB[[#This Row],[Customer_ID]],Ecustom_DB[],3,FALSE)</f>
        <v>Evelyn Brown</v>
      </c>
      <c r="O1480" s="2" t="str">
        <f>_xlfn.XLOOKUP(ESales_DB[[#This Row],[Product_ID]],Eproduct_DB[Product_ID],Eproduct_DB[Category])</f>
        <v>Beauty</v>
      </c>
      <c r="P1480" s="2" t="str">
        <f>_xlfn.XLOOKUP(ESales_DB[[#This Row],[Product_ID]],Eproduct_DB[Product_ID],Eproduct_DB[Product_Name])</f>
        <v>Men's Roll-On Perfume</v>
      </c>
      <c r="Q1480" s="2" t="str">
        <f>_xlfn.XLOOKUP(ESales_DB[[#This Row],[Store_ID]],Estore_DB[Store_ID],Estore_DB[Region])</f>
        <v>North</v>
      </c>
      <c r="R1480" t="str">
        <f>VLOOKUP(ESales_DB[[#This Row],[Customer_ID]],Ecustom_DB[],10,FALSE)</f>
        <v>Gold</v>
      </c>
      <c r="S1480" t="str">
        <f>IF(ESales_DB[[#This Row],[Quantity1]]&gt;3,"Bulk order","Normal order")</f>
        <v>Normal order</v>
      </c>
    </row>
    <row r="1481" spans="1:19" x14ac:dyDescent="0.3">
      <c r="A1481" t="s">
        <v>1879</v>
      </c>
      <c r="B1481" s="4">
        <v>45677</v>
      </c>
      <c r="C1481" s="4" t="str">
        <f>TEXT(ESales_DB[[#This Row],[Order_Date]],"mmm")</f>
        <v>Jan</v>
      </c>
      <c r="D1481" t="s">
        <v>1020</v>
      </c>
      <c r="E1481" t="s">
        <v>1588</v>
      </c>
      <c r="F1481" t="s">
        <v>1782</v>
      </c>
      <c r="G1481">
        <v>1</v>
      </c>
      <c r="H1481" s="10">
        <f>IF(ISBLANK(ESales_DB[[#This Row],[Quantity]]),AVERAGEIF(ESales_DB[Product_ID],ESales_DB[[#This Row],[Product_ID]],ESales_DB[Quantity]),ESales_DB[[#This Row],[Quantity]])</f>
        <v>1</v>
      </c>
      <c r="I1481" s="2">
        <v>900.35</v>
      </c>
      <c r="J1481">
        <v>0.13</v>
      </c>
      <c r="K1481" t="s">
        <v>1829</v>
      </c>
      <c r="L1481" s="2">
        <v>783.30449999999996</v>
      </c>
      <c r="M1481" s="2" t="str">
        <f>IF(ESales_DB[[#This Row],[Total_Amount]]&gt;1000,"High","Low")</f>
        <v>Low</v>
      </c>
      <c r="N1481" s="2" t="str">
        <f>VLOOKUP(ESales_DB[[#This Row],[Customer_ID]],Ecustom_DB[],3,FALSE)</f>
        <v>Alex Mann Ii</v>
      </c>
      <c r="O1481" s="2" t="str">
        <f>_xlfn.XLOOKUP(ESales_DB[[#This Row],[Product_ID]],Eproduct_DB[Product_ID],Eproduct_DB[Category])</f>
        <v>Sports</v>
      </c>
      <c r="P1481" s="2" t="str">
        <f>_xlfn.XLOOKUP(ESales_DB[[#This Row],[Product_ID]],Eproduct_DB[Product_ID],Eproduct_DB[Product_Name])</f>
        <v>Outdoor Sports Water Bottle</v>
      </c>
      <c r="Q1481" s="2" t="str">
        <f>_xlfn.XLOOKUP(ESales_DB[[#This Row],[Store_ID]],Estore_DB[Store_ID],Estore_DB[Region])</f>
        <v>West</v>
      </c>
      <c r="R1481" t="str">
        <f>VLOOKUP(ESales_DB[[#This Row],[Customer_ID]],Ecustom_DB[],10,FALSE)</f>
        <v>Bronze</v>
      </c>
      <c r="S1481" t="str">
        <f>IF(ESales_DB[[#This Row],[Quantity1]]&gt;3,"Bulk order","Normal order")</f>
        <v>Normal order</v>
      </c>
    </row>
    <row r="1482" spans="1:19" x14ac:dyDescent="0.3">
      <c r="A1482" t="s">
        <v>2356</v>
      </c>
      <c r="B1482" s="4">
        <v>45552</v>
      </c>
      <c r="C1482" s="4" t="str">
        <f>TEXT(ESales_DB[[#This Row],[Order_Date]],"mmm")</f>
        <v>Sep</v>
      </c>
      <c r="D1482" t="s">
        <v>281</v>
      </c>
      <c r="E1482" t="s">
        <v>1562</v>
      </c>
      <c r="F1482" t="s">
        <v>1813</v>
      </c>
      <c r="G1482">
        <v>4</v>
      </c>
      <c r="H1482" s="10">
        <f>IF(ISBLANK(ESales_DB[[#This Row],[Quantity]]),AVERAGEIF(ESales_DB[Product_ID],ESales_DB[[#This Row],[Product_ID]],ESales_DB[Quantity]),ESales_DB[[#This Row],[Quantity]])</f>
        <v>4</v>
      </c>
      <c r="I1482" s="2">
        <v>816.28</v>
      </c>
      <c r="J1482">
        <v>0.15</v>
      </c>
      <c r="K1482" t="s">
        <v>1829</v>
      </c>
      <c r="L1482" s="2">
        <v>2775.3519999999999</v>
      </c>
      <c r="M1482" s="2" t="str">
        <f>IF(ESales_DB[[#This Row],[Total_Amount]]&gt;1000,"High","Low")</f>
        <v>High</v>
      </c>
      <c r="N1482" s="2" t="str">
        <f>VLOOKUP(ESales_DB[[#This Row],[Customer_ID]],Ecustom_DB[],3,FALSE)</f>
        <v>Katherine Young</v>
      </c>
      <c r="O1482" s="2" t="str">
        <f>_xlfn.XLOOKUP(ESales_DB[[#This Row],[Product_ID]],Eproduct_DB[Product_ID],Eproduct_DB[Category])</f>
        <v>Electronics</v>
      </c>
      <c r="P1482" s="2" t="str">
        <f>_xlfn.XLOOKUP(ESales_DB[[#This Row],[Product_ID]],Eproduct_DB[Product_ID],Eproduct_DB[Product_Name])</f>
        <v>Wireless Bluetooth Earbuds</v>
      </c>
      <c r="Q1482" s="2" t="str">
        <f>_xlfn.XLOOKUP(ESales_DB[[#This Row],[Store_ID]],Estore_DB[Store_ID],Estore_DB[Region])</f>
        <v>East</v>
      </c>
      <c r="R1482" t="str">
        <f>VLOOKUP(ESales_DB[[#This Row],[Customer_ID]],Ecustom_DB[],10,FALSE)</f>
        <v>Gold</v>
      </c>
      <c r="S1482" t="str">
        <f>IF(ESales_DB[[#This Row],[Quantity1]]&gt;3,"Bulk order","Normal order")</f>
        <v>Bulk order</v>
      </c>
    </row>
    <row r="1483" spans="1:19" x14ac:dyDescent="0.3">
      <c r="A1483" t="s">
        <v>2357</v>
      </c>
      <c r="B1483" s="4">
        <v>45895</v>
      </c>
      <c r="C1483" s="4" t="str">
        <f>TEXT(ESales_DB[[#This Row],[Order_Date]],"mmm")</f>
        <v>Aug</v>
      </c>
      <c r="D1483" t="s">
        <v>589</v>
      </c>
      <c r="E1483" t="s">
        <v>1632</v>
      </c>
      <c r="F1483" t="s">
        <v>1782</v>
      </c>
      <c r="G1483">
        <v>4</v>
      </c>
      <c r="H1483" s="10">
        <f>IF(ISBLANK(ESales_DB[[#This Row],[Quantity]]),AVERAGEIF(ESales_DB[Product_ID],ESales_DB[[#This Row],[Product_ID]],ESales_DB[Quantity]),ESales_DB[[#This Row],[Quantity]])</f>
        <v>4</v>
      </c>
      <c r="I1483" s="2">
        <v>727.49</v>
      </c>
      <c r="J1483">
        <v>0.11</v>
      </c>
      <c r="K1483" t="s">
        <v>1824</v>
      </c>
      <c r="L1483" s="2">
        <v>2589.8643999999999</v>
      </c>
      <c r="M1483" s="2" t="str">
        <f>IF(ESales_DB[[#This Row],[Total_Amount]]&gt;1000,"High","Low")</f>
        <v>High</v>
      </c>
      <c r="N1483" s="2" t="str">
        <f>VLOOKUP(ESales_DB[[#This Row],[Customer_ID]],Ecustom_DB[],3,FALSE)</f>
        <v>Michelle Myers</v>
      </c>
      <c r="O1483" s="2" t="str">
        <f>_xlfn.XLOOKUP(ESales_DB[[#This Row],[Product_ID]],Eproduct_DB[Product_ID],Eproduct_DB[Category])</f>
        <v>Electronics</v>
      </c>
      <c r="P1483" s="2" t="str">
        <f>_xlfn.XLOOKUP(ESales_DB[[#This Row],[Product_ID]],Eproduct_DB[Product_ID],Eproduct_DB[Product_Name])</f>
        <v>Smart Home WiFi Camera</v>
      </c>
      <c r="Q1483" s="2" t="str">
        <f>_xlfn.XLOOKUP(ESales_DB[[#This Row],[Store_ID]],Estore_DB[Store_ID],Estore_DB[Region])</f>
        <v>West</v>
      </c>
      <c r="R1483" t="str">
        <f>VLOOKUP(ESales_DB[[#This Row],[Customer_ID]],Ecustom_DB[],10,FALSE)</f>
        <v>Bronze</v>
      </c>
      <c r="S1483" t="str">
        <f>IF(ESales_DB[[#This Row],[Quantity1]]&gt;3,"Bulk order","Normal order")</f>
        <v>Bulk order</v>
      </c>
    </row>
    <row r="1484" spans="1:19" x14ac:dyDescent="0.3">
      <c r="A1484" t="s">
        <v>2358</v>
      </c>
      <c r="B1484" s="4">
        <v>45447</v>
      </c>
      <c r="C1484" s="4" t="str">
        <f>TEXT(ESales_DB[[#This Row],[Order_Date]],"mmm")</f>
        <v>Jun</v>
      </c>
      <c r="D1484" t="s">
        <v>568</v>
      </c>
      <c r="E1484" t="s">
        <v>1720</v>
      </c>
      <c r="F1484" t="s">
        <v>1797</v>
      </c>
      <c r="G1484">
        <v>4</v>
      </c>
      <c r="H1484" s="10">
        <f>IF(ISBLANK(ESales_DB[[#This Row],[Quantity]]),AVERAGEIF(ESales_DB[Product_ID],ESales_DB[[#This Row],[Product_ID]],ESales_DB[Quantity]),ESales_DB[[#This Row],[Quantity]])</f>
        <v>4</v>
      </c>
      <c r="I1484" s="2">
        <v>817.92</v>
      </c>
      <c r="J1484">
        <v>0.21</v>
      </c>
      <c r="K1484" t="s">
        <v>1824</v>
      </c>
      <c r="L1484" s="2">
        <v>2584.6271999999999</v>
      </c>
      <c r="M1484" s="2" t="str">
        <f>IF(ESales_DB[[#This Row],[Total_Amount]]&gt;1000,"High","Low")</f>
        <v>High</v>
      </c>
      <c r="N1484" s="2" t="str">
        <f>VLOOKUP(ESales_DB[[#This Row],[Customer_ID]],Ecustom_DB[],3,FALSE)</f>
        <v>Amy Wilson</v>
      </c>
      <c r="O1484" s="2" t="str">
        <f>_xlfn.XLOOKUP(ESales_DB[[#This Row],[Product_ID]],Eproduct_DB[Product_ID],Eproduct_DB[Category])</f>
        <v>Home</v>
      </c>
      <c r="P1484" s="2" t="str">
        <f>_xlfn.XLOOKUP(ESales_DB[[#This Row],[Product_ID]],Eproduct_DB[Product_ID],Eproduct_DB[Product_Name])</f>
        <v>Kitchen Cutting Board</v>
      </c>
      <c r="Q1484" s="2" t="str">
        <f>_xlfn.XLOOKUP(ESales_DB[[#This Row],[Store_ID]],Estore_DB[Store_ID],Estore_DB[Region])</f>
        <v>East</v>
      </c>
      <c r="R1484" t="str">
        <f>VLOOKUP(ESales_DB[[#This Row],[Customer_ID]],Ecustom_DB[],10,FALSE)</f>
        <v>Platinum</v>
      </c>
      <c r="S1484" t="str">
        <f>IF(ESales_DB[[#This Row],[Quantity1]]&gt;3,"Bulk order","Normal order")</f>
        <v>Bulk order</v>
      </c>
    </row>
    <row r="1485" spans="1:19" x14ac:dyDescent="0.3">
      <c r="A1485" t="s">
        <v>2359</v>
      </c>
      <c r="B1485" s="4">
        <v>45578</v>
      </c>
      <c r="C1485" s="4" t="str">
        <f>TEXT(ESales_DB[[#This Row],[Order_Date]],"mmm")</f>
        <v>Oct</v>
      </c>
      <c r="D1485" t="s">
        <v>1023</v>
      </c>
      <c r="E1485" t="s">
        <v>1624</v>
      </c>
      <c r="F1485" t="s">
        <v>1779</v>
      </c>
      <c r="G1485">
        <v>2</v>
      </c>
      <c r="H1485" s="10">
        <f>IF(ISBLANK(ESales_DB[[#This Row],[Quantity]]),AVERAGEIF(ESales_DB[Product_ID],ESales_DB[[#This Row],[Product_ID]],ESales_DB[Quantity]),ESales_DB[[#This Row],[Quantity]])</f>
        <v>2</v>
      </c>
      <c r="I1485" s="2">
        <v>358.45</v>
      </c>
      <c r="J1485">
        <v>7.0000000000000007E-2</v>
      </c>
      <c r="K1485" t="s">
        <v>1829</v>
      </c>
      <c r="L1485" s="2">
        <v>666.71699999999998</v>
      </c>
      <c r="M1485" s="2" t="str">
        <f>IF(ESales_DB[[#This Row],[Total_Amount]]&gt;1000,"High","Low")</f>
        <v>Low</v>
      </c>
      <c r="N1485" s="2" t="str">
        <f>VLOOKUP(ESales_DB[[#This Row],[Customer_ID]],Ecustom_DB[],3,FALSE)</f>
        <v>Andrew Smith</v>
      </c>
      <c r="O1485" s="2" t="str">
        <f>_xlfn.XLOOKUP(ESales_DB[[#This Row],[Product_ID]],Eproduct_DB[Product_ID],Eproduct_DB[Category])</f>
        <v>Sports</v>
      </c>
      <c r="P1485" s="2" t="str">
        <f>_xlfn.XLOOKUP(ESales_DB[[#This Row],[Product_ID]],Eproduct_DB[Product_ID],Eproduct_DB[Product_Name])</f>
        <v>Sports Water Hydration Pack</v>
      </c>
      <c r="Q1485" s="2" t="str">
        <f>_xlfn.XLOOKUP(ESales_DB[[#This Row],[Store_ID]],Estore_DB[Store_ID],Estore_DB[Region])</f>
        <v>South</v>
      </c>
      <c r="R1485" t="str">
        <f>VLOOKUP(ESales_DB[[#This Row],[Customer_ID]],Ecustom_DB[],10,FALSE)</f>
        <v>Bronze</v>
      </c>
      <c r="S1485" t="str">
        <f>IF(ESales_DB[[#This Row],[Quantity1]]&gt;3,"Bulk order","Normal order")</f>
        <v>Normal order</v>
      </c>
    </row>
    <row r="1486" spans="1:19" x14ac:dyDescent="0.3">
      <c r="A1486" t="s">
        <v>2360</v>
      </c>
      <c r="B1486" s="4">
        <v>45697</v>
      </c>
      <c r="C1486" s="4" t="str">
        <f>TEXT(ESales_DB[[#This Row],[Order_Date]],"mmm")</f>
        <v>Feb</v>
      </c>
      <c r="D1486" t="s">
        <v>657</v>
      </c>
      <c r="E1486" t="s">
        <v>1722</v>
      </c>
      <c r="F1486" t="s">
        <v>1786</v>
      </c>
      <c r="G1486">
        <v>1</v>
      </c>
      <c r="H1486" s="10">
        <f>IF(ISBLANK(ESales_DB[[#This Row],[Quantity]]),AVERAGEIF(ESales_DB[Product_ID],ESales_DB[[#This Row],[Product_ID]],ESales_DB[Quantity]),ESales_DB[[#This Row],[Quantity]])</f>
        <v>1</v>
      </c>
      <c r="I1486" s="2">
        <v>972.06</v>
      </c>
      <c r="J1486">
        <v>0.3</v>
      </c>
      <c r="K1486" t="s">
        <v>1829</v>
      </c>
      <c r="L1486" s="2">
        <v>680.44199999999989</v>
      </c>
      <c r="M1486" s="2" t="str">
        <f>IF(ESales_DB[[#This Row],[Total_Amount]]&gt;1000,"High","Low")</f>
        <v>Low</v>
      </c>
      <c r="N1486" s="2" t="str">
        <f>VLOOKUP(ESales_DB[[#This Row],[Customer_ID]],Ecustom_DB[],3,FALSE)</f>
        <v>Mary Boyd</v>
      </c>
      <c r="O1486" s="2" t="str">
        <f>_xlfn.XLOOKUP(ESales_DB[[#This Row],[Product_ID]],Eproduct_DB[Product_ID],Eproduct_DB[Category])</f>
        <v>Home</v>
      </c>
      <c r="P1486" s="2" t="str">
        <f>_xlfn.XLOOKUP(ESales_DB[[#This Row],[Product_ID]],Eproduct_DB[Product_ID],Eproduct_DB[Product_Name])</f>
        <v>LED Bedside Lamp</v>
      </c>
      <c r="Q1486" s="2" t="str">
        <f>_xlfn.XLOOKUP(ESales_DB[[#This Row],[Store_ID]],Estore_DB[Store_ID],Estore_DB[Region])</f>
        <v>South</v>
      </c>
      <c r="R1486" t="str">
        <f>VLOOKUP(ESales_DB[[#This Row],[Customer_ID]],Ecustom_DB[],10,FALSE)</f>
        <v>Bronze</v>
      </c>
      <c r="S1486" t="str">
        <f>IF(ESales_DB[[#This Row],[Quantity1]]&gt;3,"Bulk order","Normal order")</f>
        <v>Normal order</v>
      </c>
    </row>
    <row r="1487" spans="1:19" x14ac:dyDescent="0.3">
      <c r="A1487" t="s">
        <v>2361</v>
      </c>
      <c r="B1487" s="4">
        <v>45281</v>
      </c>
      <c r="C1487" s="4" t="str">
        <f>TEXT(ESales_DB[[#This Row],[Order_Date]],"mmm")</f>
        <v>Dec</v>
      </c>
      <c r="D1487" t="s">
        <v>130</v>
      </c>
      <c r="E1487" t="s">
        <v>1580</v>
      </c>
      <c r="F1487" t="s">
        <v>1752</v>
      </c>
      <c r="G1487">
        <v>1</v>
      </c>
      <c r="H1487" s="10">
        <f>IF(ISBLANK(ESales_DB[[#This Row],[Quantity]]),AVERAGEIF(ESales_DB[Product_ID],ESales_DB[[#This Row],[Product_ID]],ESales_DB[Quantity]),ESales_DB[[#This Row],[Quantity]])</f>
        <v>1</v>
      </c>
      <c r="I1487" s="2">
        <v>791.36</v>
      </c>
      <c r="J1487">
        <v>0.06</v>
      </c>
      <c r="K1487" t="s">
        <v>1826</v>
      </c>
      <c r="L1487" s="2">
        <v>743.87839999999994</v>
      </c>
      <c r="M1487" s="2" t="str">
        <f>IF(ESales_DB[[#This Row],[Total_Amount]]&gt;1000,"High","Low")</f>
        <v>Low</v>
      </c>
      <c r="N1487" s="2" t="str">
        <f>VLOOKUP(ESales_DB[[#This Row],[Customer_ID]],Ecustom_DB[],3,FALSE)</f>
        <v>Mike Jennings</v>
      </c>
      <c r="O1487" s="2" t="str">
        <f>_xlfn.XLOOKUP(ESales_DB[[#This Row],[Product_ID]],Eproduct_DB[Product_ID],Eproduct_DB[Category])</f>
        <v>Beauty</v>
      </c>
      <c r="P1487" s="2" t="str">
        <f>_xlfn.XLOOKUP(ESales_DB[[#This Row],[Product_ID]],Eproduct_DB[Product_ID],Eproduct_DB[Product_Name])</f>
        <v>Beard Grooming Kit</v>
      </c>
      <c r="Q1487" s="2" t="str">
        <f>_xlfn.XLOOKUP(ESales_DB[[#This Row],[Store_ID]],Estore_DB[Store_ID],Estore_DB[Region])</f>
        <v>East</v>
      </c>
      <c r="R1487" t="str">
        <f>VLOOKUP(ESales_DB[[#This Row],[Customer_ID]],Ecustom_DB[],10,FALSE)</f>
        <v>Gold</v>
      </c>
      <c r="S1487" t="str">
        <f>IF(ESales_DB[[#This Row],[Quantity1]]&gt;3,"Bulk order","Normal order")</f>
        <v>Normal order</v>
      </c>
    </row>
    <row r="1488" spans="1:19" x14ac:dyDescent="0.3">
      <c r="A1488" t="s">
        <v>2362</v>
      </c>
      <c r="B1488" s="4">
        <v>45855</v>
      </c>
      <c r="C1488" s="4" t="str">
        <f>TEXT(ESales_DB[[#This Row],[Order_Date]],"mmm")</f>
        <v>Jul</v>
      </c>
      <c r="D1488" t="s">
        <v>990</v>
      </c>
      <c r="E1488" t="s">
        <v>1676</v>
      </c>
      <c r="F1488" t="s">
        <v>1773</v>
      </c>
      <c r="G1488">
        <v>4</v>
      </c>
      <c r="H1488" s="10">
        <f>IF(ISBLANK(ESales_DB[[#This Row],[Quantity]]),AVERAGEIF(ESales_DB[Product_ID],ESales_DB[[#This Row],[Product_ID]],ESales_DB[Quantity]),ESales_DB[[#This Row],[Quantity]])</f>
        <v>4</v>
      </c>
      <c r="I1488" s="2">
        <v>839.65</v>
      </c>
      <c r="J1488">
        <v>0.26</v>
      </c>
      <c r="K1488" t="s">
        <v>1829</v>
      </c>
      <c r="L1488" s="2">
        <v>2485.364</v>
      </c>
      <c r="M1488" s="2" t="str">
        <f>IF(ESales_DB[[#This Row],[Total_Amount]]&gt;1000,"High","Low")</f>
        <v>High</v>
      </c>
      <c r="N1488" s="2" t="str">
        <f>VLOOKUP(ESales_DB[[#This Row],[Customer_ID]],Ecustom_DB[],3,FALSE)</f>
        <v>Elizabeth Johnson</v>
      </c>
      <c r="O1488" s="2" t="str">
        <f>_xlfn.XLOOKUP(ESales_DB[[#This Row],[Product_ID]],Eproduct_DB[Product_ID],Eproduct_DB[Category])</f>
        <v>Beauty</v>
      </c>
      <c r="P1488" s="2" t="str">
        <f>_xlfn.XLOOKUP(ESales_DB[[#This Row],[Product_ID]],Eproduct_DB[Product_ID],Eproduct_DB[Product_Name])</f>
        <v>Matte Lipstick Set</v>
      </c>
      <c r="Q1488" s="2" t="str">
        <f>_xlfn.XLOOKUP(ESales_DB[[#This Row],[Store_ID]],Estore_DB[Store_ID],Estore_DB[Region])</f>
        <v>North</v>
      </c>
      <c r="R1488" t="str">
        <f>VLOOKUP(ESales_DB[[#This Row],[Customer_ID]],Ecustom_DB[],10,FALSE)</f>
        <v>Silver</v>
      </c>
      <c r="S1488" t="str">
        <f>IF(ESales_DB[[#This Row],[Quantity1]]&gt;3,"Bulk order","Normal order")</f>
        <v>Bulk order</v>
      </c>
    </row>
    <row r="1489" spans="1:19" x14ac:dyDescent="0.3">
      <c r="A1489" t="s">
        <v>2363</v>
      </c>
      <c r="B1489" s="4">
        <v>45793</v>
      </c>
      <c r="C1489" s="4" t="str">
        <f>TEXT(ESales_DB[[#This Row],[Order_Date]],"mmm")</f>
        <v>May</v>
      </c>
      <c r="D1489" t="s">
        <v>815</v>
      </c>
      <c r="E1489" t="s">
        <v>1692</v>
      </c>
      <c r="F1489" t="s">
        <v>1761</v>
      </c>
      <c r="G1489">
        <v>2</v>
      </c>
      <c r="H1489" s="10">
        <f>IF(ISBLANK(ESales_DB[[#This Row],[Quantity]]),AVERAGEIF(ESales_DB[Product_ID],ESales_DB[[#This Row],[Product_ID]],ESales_DB[Quantity]),ESales_DB[[#This Row],[Quantity]])</f>
        <v>2</v>
      </c>
      <c r="I1489" s="2">
        <v>245.52</v>
      </c>
      <c r="J1489">
        <v>0.11</v>
      </c>
      <c r="K1489" t="s">
        <v>1829</v>
      </c>
      <c r="L1489" s="2">
        <v>437.0256</v>
      </c>
      <c r="M1489" s="2" t="str">
        <f>IF(ESales_DB[[#This Row],[Total_Amount]]&gt;1000,"High","Low")</f>
        <v>Low</v>
      </c>
      <c r="N1489" s="2" t="str">
        <f>VLOOKUP(ESales_DB[[#This Row],[Customer_ID]],Ecustom_DB[],3,FALSE)</f>
        <v>Damon Perez</v>
      </c>
      <c r="O1489" s="2" t="str">
        <f>_xlfn.XLOOKUP(ESales_DB[[#This Row],[Product_ID]],Eproduct_DB[Product_ID],Eproduct_DB[Category])</f>
        <v>Sports</v>
      </c>
      <c r="P1489" s="2" t="str">
        <f>_xlfn.XLOOKUP(ESales_DB[[#This Row],[Product_ID]],Eproduct_DB[Product_ID],Eproduct_DB[Product_Name])</f>
        <v>Professional Jump Rope</v>
      </c>
      <c r="Q1489" s="2" t="str">
        <f>_xlfn.XLOOKUP(ESales_DB[[#This Row],[Store_ID]],Estore_DB[Store_ID],Estore_DB[Region])</f>
        <v>South</v>
      </c>
      <c r="R1489" t="str">
        <f>VLOOKUP(ESales_DB[[#This Row],[Customer_ID]],Ecustom_DB[],10,FALSE)</f>
        <v>Gold</v>
      </c>
      <c r="S1489" t="str">
        <f>IF(ESales_DB[[#This Row],[Quantity1]]&gt;3,"Bulk order","Normal order")</f>
        <v>Normal order</v>
      </c>
    </row>
    <row r="1490" spans="1:19" x14ac:dyDescent="0.3">
      <c r="A1490" t="s">
        <v>2364</v>
      </c>
      <c r="B1490" s="4">
        <v>45881</v>
      </c>
      <c r="C1490" s="4" t="str">
        <f>TEXT(ESales_DB[[#This Row],[Order_Date]],"mmm")</f>
        <v>Aug</v>
      </c>
      <c r="D1490" t="s">
        <v>1211</v>
      </c>
      <c r="E1490" t="s">
        <v>1712</v>
      </c>
      <c r="F1490" t="s">
        <v>1782</v>
      </c>
      <c r="G1490">
        <v>3</v>
      </c>
      <c r="H1490" s="10">
        <f>IF(ISBLANK(ESales_DB[[#This Row],[Quantity]]),AVERAGEIF(ESales_DB[Product_ID],ESales_DB[[#This Row],[Product_ID]],ESales_DB[Quantity]),ESales_DB[[#This Row],[Quantity]])</f>
        <v>3</v>
      </c>
      <c r="I1490" s="2">
        <v>787.91</v>
      </c>
      <c r="J1490">
        <v>0.06</v>
      </c>
      <c r="K1490" t="s">
        <v>1826</v>
      </c>
      <c r="L1490" s="2">
        <v>2221.9061999999999</v>
      </c>
      <c r="M1490" s="2" t="str">
        <f>IF(ESales_DB[[#This Row],[Total_Amount]]&gt;1000,"High","Low")</f>
        <v>High</v>
      </c>
      <c r="N1490" s="2" t="str">
        <f>VLOOKUP(ESales_DB[[#This Row],[Customer_ID]],Ecustom_DB[],3,FALSE)</f>
        <v>Timothy Valenzuela</v>
      </c>
      <c r="O1490" s="2" t="str">
        <f>_xlfn.XLOOKUP(ESales_DB[[#This Row],[Product_ID]],Eproduct_DB[Product_ID],Eproduct_DB[Category])</f>
        <v>Sports</v>
      </c>
      <c r="P1490" s="2" t="str">
        <f>_xlfn.XLOOKUP(ESales_DB[[#This Row],[Product_ID]],Eproduct_DB[Product_ID],Eproduct_DB[Product_Name])</f>
        <v>Fitness Resistance Bands</v>
      </c>
      <c r="Q1490" s="2" t="str">
        <f>_xlfn.XLOOKUP(ESales_DB[[#This Row],[Store_ID]],Estore_DB[Store_ID],Estore_DB[Region])</f>
        <v>West</v>
      </c>
      <c r="R1490" t="str">
        <f>VLOOKUP(ESales_DB[[#This Row],[Customer_ID]],Ecustom_DB[],10,FALSE)</f>
        <v>Platinum</v>
      </c>
      <c r="S1490" t="str">
        <f>IF(ESales_DB[[#This Row],[Quantity1]]&gt;3,"Bulk order","Normal order")</f>
        <v>Normal order</v>
      </c>
    </row>
    <row r="1491" spans="1:19" x14ac:dyDescent="0.3">
      <c r="A1491" t="s">
        <v>2365</v>
      </c>
      <c r="B1491" s="4">
        <v>45890</v>
      </c>
      <c r="C1491" s="4" t="str">
        <f>TEXT(ESales_DB[[#This Row],[Order_Date]],"mmm")</f>
        <v>Aug</v>
      </c>
      <c r="D1491" t="s">
        <v>202</v>
      </c>
      <c r="E1491" t="s">
        <v>1698</v>
      </c>
      <c r="F1491" t="s">
        <v>1769</v>
      </c>
      <c r="G1491">
        <v>2</v>
      </c>
      <c r="H1491" s="10">
        <f>IF(ISBLANK(ESales_DB[[#This Row],[Quantity]]),AVERAGEIF(ESales_DB[Product_ID],ESales_DB[[#This Row],[Product_ID]],ESales_DB[Quantity]),ESales_DB[[#This Row],[Quantity]])</f>
        <v>2</v>
      </c>
      <c r="I1491" s="2">
        <v>709.17</v>
      </c>
      <c r="J1491">
        <v>0.22</v>
      </c>
      <c r="K1491" t="s">
        <v>1824</v>
      </c>
      <c r="L1491" s="2">
        <v>1106.3052</v>
      </c>
      <c r="M1491" s="2" t="str">
        <f>IF(ESales_DB[[#This Row],[Total_Amount]]&gt;1000,"High","Low")</f>
        <v>High</v>
      </c>
      <c r="N1491" s="2" t="str">
        <f>VLOOKUP(ESales_DB[[#This Row],[Customer_ID]],Ecustom_DB[],3,FALSE)</f>
        <v>Sharon Brown</v>
      </c>
      <c r="O1491" s="2" t="str">
        <f>_xlfn.XLOOKUP(ESales_DB[[#This Row],[Product_ID]],Eproduct_DB[Product_ID],Eproduct_DB[Category])</f>
        <v>Clothing</v>
      </c>
      <c r="P1491" s="2" t="str">
        <f>_xlfn.XLOOKUP(ESales_DB[[#This Row],[Product_ID]],Eproduct_DB[Product_ID],Eproduct_DB[Product_Name])</f>
        <v>Women's Ankle Boots</v>
      </c>
      <c r="Q1491" s="2" t="str">
        <f>_xlfn.XLOOKUP(ESales_DB[[#This Row],[Store_ID]],Estore_DB[Store_ID],Estore_DB[Region])</f>
        <v>South</v>
      </c>
      <c r="R1491" t="str">
        <f>VLOOKUP(ESales_DB[[#This Row],[Customer_ID]],Ecustom_DB[],10,FALSE)</f>
        <v>Gold</v>
      </c>
      <c r="S1491" t="str">
        <f>IF(ESales_DB[[#This Row],[Quantity1]]&gt;3,"Bulk order","Normal order")</f>
        <v>Normal order</v>
      </c>
    </row>
    <row r="1492" spans="1:19" x14ac:dyDescent="0.3">
      <c r="A1492" t="s">
        <v>1880</v>
      </c>
      <c r="B1492" s="4">
        <v>45706</v>
      </c>
      <c r="C1492" s="4" t="str">
        <f>TEXT(ESales_DB[[#This Row],[Order_Date]],"mmm")</f>
        <v>Feb</v>
      </c>
      <c r="D1492" t="s">
        <v>341</v>
      </c>
      <c r="E1492" t="s">
        <v>1628</v>
      </c>
      <c r="F1492" t="s">
        <v>1789</v>
      </c>
      <c r="G1492">
        <v>4</v>
      </c>
      <c r="H1492" s="10">
        <f>IF(ISBLANK(ESales_DB[[#This Row],[Quantity]]),AVERAGEIF(ESales_DB[Product_ID],ESales_DB[[#This Row],[Product_ID]],ESales_DB[Quantity]),ESales_DB[[#This Row],[Quantity]])</f>
        <v>4</v>
      </c>
      <c r="I1492" s="2">
        <v>428.09</v>
      </c>
      <c r="J1492">
        <v>7.0000000000000007E-2</v>
      </c>
      <c r="K1492" t="s">
        <v>1824</v>
      </c>
      <c r="L1492" s="2">
        <v>1592.4947999999999</v>
      </c>
      <c r="M1492" s="2" t="str">
        <f>IF(ESales_DB[[#This Row],[Total_Amount]]&gt;1000,"High","Low")</f>
        <v>High</v>
      </c>
      <c r="N1492" s="2" t="str">
        <f>VLOOKUP(ESales_DB[[#This Row],[Customer_ID]],Ecustom_DB[],3,FALSE)</f>
        <v>Amy Fowler</v>
      </c>
      <c r="O1492" s="2" t="str">
        <f>_xlfn.XLOOKUP(ESales_DB[[#This Row],[Product_ID]],Eproduct_DB[Product_ID],Eproduct_DB[Category])</f>
        <v>Electronics</v>
      </c>
      <c r="P1492" s="2" t="str">
        <f>_xlfn.XLOOKUP(ESales_DB[[#This Row],[Product_ID]],Eproduct_DB[Product_ID],Eproduct_DB[Product_Name])</f>
        <v>Noise-Canceling Headphones</v>
      </c>
      <c r="Q1492" s="2" t="str">
        <f>_xlfn.XLOOKUP(ESales_DB[[#This Row],[Store_ID]],Estore_DB[Store_ID],Estore_DB[Region])</f>
        <v>East</v>
      </c>
      <c r="R1492" t="str">
        <f>VLOOKUP(ESales_DB[[#This Row],[Customer_ID]],Ecustom_DB[],10,FALSE)</f>
        <v>Platinum</v>
      </c>
      <c r="S1492" t="str">
        <f>IF(ESales_DB[[#This Row],[Quantity1]]&gt;3,"Bulk order","Normal order")</f>
        <v>Bulk order</v>
      </c>
    </row>
    <row r="1493" spans="1:19" x14ac:dyDescent="0.3">
      <c r="A1493" t="s">
        <v>2366</v>
      </c>
      <c r="B1493" s="4">
        <v>45251</v>
      </c>
      <c r="C1493" s="4" t="str">
        <f>TEXT(ESales_DB[[#This Row],[Order_Date]],"mmm")</f>
        <v>Nov</v>
      </c>
      <c r="D1493" t="s">
        <v>755</v>
      </c>
      <c r="E1493" t="s">
        <v>1730</v>
      </c>
      <c r="F1493" t="s">
        <v>1779</v>
      </c>
      <c r="G1493">
        <v>2</v>
      </c>
      <c r="H1493" s="10">
        <f>IF(ISBLANK(ESales_DB[[#This Row],[Quantity]]),AVERAGEIF(ESales_DB[Product_ID],ESales_DB[[#This Row],[Product_ID]],ESales_DB[Quantity]),ESales_DB[[#This Row],[Quantity]])</f>
        <v>2</v>
      </c>
      <c r="I1493" s="2">
        <v>533.91999999999996</v>
      </c>
      <c r="J1493">
        <v>0.13</v>
      </c>
      <c r="K1493" t="s">
        <v>1824</v>
      </c>
      <c r="L1493" s="2">
        <v>929.02079999999989</v>
      </c>
      <c r="M1493" s="2" t="str">
        <f>IF(ESales_DB[[#This Row],[Total_Amount]]&gt;1000,"High","Low")</f>
        <v>Low</v>
      </c>
      <c r="N1493" s="2" t="str">
        <f>VLOOKUP(ESales_DB[[#This Row],[Customer_ID]],Ecustom_DB[],3,FALSE)</f>
        <v>Jon Ortiz</v>
      </c>
      <c r="O1493" s="2" t="str">
        <f>_xlfn.XLOOKUP(ESales_DB[[#This Row],[Product_ID]],Eproduct_DB[Product_ID],Eproduct_DB[Category])</f>
        <v>Clothing</v>
      </c>
      <c r="P1493" s="2" t="str">
        <f>_xlfn.XLOOKUP(ESales_DB[[#This Row],[Product_ID]],Eproduct_DB[Product_ID],Eproduct_DB[Product_Name])</f>
        <v>Women's High Heels</v>
      </c>
      <c r="Q1493" s="2" t="str">
        <f>_xlfn.XLOOKUP(ESales_DB[[#This Row],[Store_ID]],Estore_DB[Store_ID],Estore_DB[Region])</f>
        <v>South</v>
      </c>
      <c r="R1493" t="str">
        <f>VLOOKUP(ESales_DB[[#This Row],[Customer_ID]],Ecustom_DB[],10,FALSE)</f>
        <v>Bronze</v>
      </c>
      <c r="S1493" t="str">
        <f>IF(ESales_DB[[#This Row],[Quantity1]]&gt;3,"Bulk order","Normal order")</f>
        <v>Normal order</v>
      </c>
    </row>
    <row r="1494" spans="1:19" x14ac:dyDescent="0.3">
      <c r="A1494" t="s">
        <v>2367</v>
      </c>
      <c r="B1494" s="4">
        <v>45695</v>
      </c>
      <c r="C1494" s="4" t="str">
        <f>TEXT(ESales_DB[[#This Row],[Order_Date]],"mmm")</f>
        <v>Feb</v>
      </c>
      <c r="D1494" t="s">
        <v>1513</v>
      </c>
      <c r="E1494" t="s">
        <v>1632</v>
      </c>
      <c r="F1494" t="s">
        <v>1752</v>
      </c>
      <c r="G1494">
        <v>1</v>
      </c>
      <c r="H1494" s="10">
        <f>IF(ISBLANK(ESales_DB[[#This Row],[Quantity]]),AVERAGEIF(ESales_DB[Product_ID],ESales_DB[[#This Row],[Product_ID]],ESales_DB[Quantity]),ESales_DB[[#This Row],[Quantity]])</f>
        <v>1</v>
      </c>
      <c r="I1494" s="2">
        <v>878.84</v>
      </c>
      <c r="J1494">
        <v>0.28000000000000003</v>
      </c>
      <c r="K1494" t="s">
        <v>1829</v>
      </c>
      <c r="L1494" s="2">
        <v>632.76480000000004</v>
      </c>
      <c r="M1494" s="2" t="str">
        <f>IF(ESales_DB[[#This Row],[Total_Amount]]&gt;1000,"High","Low")</f>
        <v>Low</v>
      </c>
      <c r="N1494" s="2" t="str">
        <f>VLOOKUP(ESales_DB[[#This Row],[Customer_ID]],Ecustom_DB[],3,FALSE)</f>
        <v>Darrell Miller</v>
      </c>
      <c r="O1494" s="2" t="str">
        <f>_xlfn.XLOOKUP(ESales_DB[[#This Row],[Product_ID]],Eproduct_DB[Product_ID],Eproduct_DB[Category])</f>
        <v>Electronics</v>
      </c>
      <c r="P1494" s="2" t="str">
        <f>_xlfn.XLOOKUP(ESales_DB[[#This Row],[Product_ID]],Eproduct_DB[Product_ID],Eproduct_DB[Product_Name])</f>
        <v>Smart Home WiFi Camera</v>
      </c>
      <c r="Q1494" s="2" t="str">
        <f>_xlfn.XLOOKUP(ESales_DB[[#This Row],[Store_ID]],Estore_DB[Store_ID],Estore_DB[Region])</f>
        <v>East</v>
      </c>
      <c r="R1494" t="str">
        <f>VLOOKUP(ESales_DB[[#This Row],[Customer_ID]],Ecustom_DB[],10,FALSE)</f>
        <v>Platinum</v>
      </c>
      <c r="S1494" t="str">
        <f>IF(ESales_DB[[#This Row],[Quantity1]]&gt;3,"Bulk order","Normal order")</f>
        <v>Normal order</v>
      </c>
    </row>
    <row r="1495" spans="1:19" x14ac:dyDescent="0.3">
      <c r="A1495" t="s">
        <v>2368</v>
      </c>
      <c r="B1495" s="4">
        <v>45287</v>
      </c>
      <c r="C1495" s="4" t="str">
        <f>TEXT(ESales_DB[[#This Row],[Order_Date]],"mmm")</f>
        <v>Dec</v>
      </c>
      <c r="D1495" t="s">
        <v>666</v>
      </c>
      <c r="E1495" t="s">
        <v>1636</v>
      </c>
      <c r="F1495" t="s">
        <v>1804</v>
      </c>
      <c r="G1495">
        <v>1</v>
      </c>
      <c r="H1495" s="10">
        <f>IF(ISBLANK(ESales_DB[[#This Row],[Quantity]]),AVERAGEIF(ESales_DB[Product_ID],ESales_DB[[#This Row],[Product_ID]],ESales_DB[Quantity]),ESales_DB[[#This Row],[Quantity]])</f>
        <v>1</v>
      </c>
      <c r="I1495" s="2">
        <v>442.36</v>
      </c>
      <c r="J1495">
        <v>0.14000000000000001</v>
      </c>
      <c r="K1495" t="s">
        <v>1824</v>
      </c>
      <c r="L1495" s="2">
        <v>380.42959999999999</v>
      </c>
      <c r="M1495" s="2" t="str">
        <f>IF(ESales_DB[[#This Row],[Total_Amount]]&gt;1000,"High","Low")</f>
        <v>Low</v>
      </c>
      <c r="N1495" s="2" t="str">
        <f>VLOOKUP(ESales_DB[[#This Row],[Customer_ID]],Ecustom_DB[],3,FALSE)</f>
        <v>Tiffany Herrera</v>
      </c>
      <c r="O1495" s="2" t="str">
        <f>_xlfn.XLOOKUP(ESales_DB[[#This Row],[Product_ID]],Eproduct_DB[Product_ID],Eproduct_DB[Category])</f>
        <v>Sports</v>
      </c>
      <c r="P1495" s="2" t="str">
        <f>_xlfn.XLOOKUP(ESales_DB[[#This Row],[Product_ID]],Eproduct_DB[Product_ID],Eproduct_DB[Product_Name])</f>
        <v>Adjustable Jump Rope</v>
      </c>
      <c r="Q1495" s="2" t="str">
        <f>_xlfn.XLOOKUP(ESales_DB[[#This Row],[Store_ID]],Estore_DB[Store_ID],Estore_DB[Region])</f>
        <v>West</v>
      </c>
      <c r="R1495" t="str">
        <f>VLOOKUP(ESales_DB[[#This Row],[Customer_ID]],Ecustom_DB[],10,FALSE)</f>
        <v>Platinum</v>
      </c>
      <c r="S1495" t="str">
        <f>IF(ESales_DB[[#This Row],[Quantity1]]&gt;3,"Bulk order","Normal order")</f>
        <v>Normal order</v>
      </c>
    </row>
    <row r="1496" spans="1:19" x14ac:dyDescent="0.3">
      <c r="A1496" t="s">
        <v>2369</v>
      </c>
      <c r="B1496" s="4">
        <v>45711</v>
      </c>
      <c r="C1496" s="4" t="str">
        <f>TEXT(ESales_DB[[#This Row],[Order_Date]],"mmm")</f>
        <v>Feb</v>
      </c>
      <c r="D1496" t="s">
        <v>1047</v>
      </c>
      <c r="E1496" t="s">
        <v>1618</v>
      </c>
      <c r="F1496" t="s">
        <v>1776</v>
      </c>
      <c r="G1496">
        <v>1</v>
      </c>
      <c r="H1496" s="10">
        <f>IF(ISBLANK(ESales_DB[[#This Row],[Quantity]]),AVERAGEIF(ESales_DB[Product_ID],ESales_DB[[#This Row],[Product_ID]],ESales_DB[Quantity]),ESales_DB[[#This Row],[Quantity]])</f>
        <v>1</v>
      </c>
      <c r="I1496" s="2">
        <v>763.34</v>
      </c>
      <c r="J1496">
        <v>0.11</v>
      </c>
      <c r="K1496" t="s">
        <v>1829</v>
      </c>
      <c r="L1496" s="2">
        <v>679.37260000000003</v>
      </c>
      <c r="M1496" s="2" t="str">
        <f>IF(ESales_DB[[#This Row],[Total_Amount]]&gt;1000,"High","Low")</f>
        <v>Low</v>
      </c>
      <c r="N1496" s="2" t="str">
        <f>VLOOKUP(ESales_DB[[#This Row],[Customer_ID]],Ecustom_DB[],3,FALSE)</f>
        <v>Teresa Johnson</v>
      </c>
      <c r="O1496" s="2" t="str">
        <f>_xlfn.XLOOKUP(ESales_DB[[#This Row],[Product_ID]],Eproduct_DB[Product_ID],Eproduct_DB[Category])</f>
        <v>Home</v>
      </c>
      <c r="P1496" s="2" t="str">
        <f>_xlfn.XLOOKUP(ESales_DB[[#This Row],[Product_ID]],Eproduct_DB[Product_ID],Eproduct_DB[Product_Name])</f>
        <v>Bedroom Table Lamp</v>
      </c>
      <c r="Q1496" s="2" t="str">
        <f>_xlfn.XLOOKUP(ESales_DB[[#This Row],[Store_ID]],Estore_DB[Store_ID],Estore_DB[Region])</f>
        <v>East</v>
      </c>
      <c r="R1496" t="str">
        <f>VLOOKUP(ESales_DB[[#This Row],[Customer_ID]],Ecustom_DB[],10,FALSE)</f>
        <v>Gold</v>
      </c>
      <c r="S1496" t="str">
        <f>IF(ESales_DB[[#This Row],[Quantity1]]&gt;3,"Bulk order","Normal order")</f>
        <v>Normal order</v>
      </c>
    </row>
    <row r="1497" spans="1:19" x14ac:dyDescent="0.3">
      <c r="A1497" t="s">
        <v>2370</v>
      </c>
      <c r="B1497" s="4">
        <v>45842</v>
      </c>
      <c r="C1497" s="4" t="str">
        <f>TEXT(ESales_DB[[#This Row],[Order_Date]],"mmm")</f>
        <v>Jul</v>
      </c>
      <c r="D1497" t="s">
        <v>553</v>
      </c>
      <c r="E1497" t="s">
        <v>1666</v>
      </c>
      <c r="F1497" t="s">
        <v>1810</v>
      </c>
      <c r="G1497">
        <v>3</v>
      </c>
      <c r="H1497" s="10">
        <f>IF(ISBLANK(ESales_DB[[#This Row],[Quantity]]),AVERAGEIF(ESales_DB[Product_ID],ESales_DB[[#This Row],[Product_ID]],ESales_DB[Quantity]),ESales_DB[[#This Row],[Quantity]])</f>
        <v>3</v>
      </c>
      <c r="I1497" s="2">
        <v>178.22</v>
      </c>
      <c r="J1497">
        <v>0.15</v>
      </c>
      <c r="K1497" t="s">
        <v>1829</v>
      </c>
      <c r="L1497" s="2">
        <v>454.46100000000001</v>
      </c>
      <c r="M1497" s="2" t="str">
        <f>IF(ESales_DB[[#This Row],[Total_Amount]]&gt;1000,"High","Low")</f>
        <v>Low</v>
      </c>
      <c r="N1497" s="2" t="str">
        <f>VLOOKUP(ESales_DB[[#This Row],[Customer_ID]],Ecustom_DB[],3,FALSE)</f>
        <v>Patricia Gardner</v>
      </c>
      <c r="O1497" s="2" t="str">
        <f>_xlfn.XLOOKUP(ESales_DB[[#This Row],[Product_ID]],Eproduct_DB[Product_ID],Eproduct_DB[Category])</f>
        <v>Beauty</v>
      </c>
      <c r="P1497" s="2" t="str">
        <f>_xlfn.XLOOKUP(ESales_DB[[#This Row],[Product_ID]],Eproduct_DB[Product_ID],Eproduct_DB[Product_Name])</f>
        <v>Men's Hair Styling Gel</v>
      </c>
      <c r="Q1497" s="2" t="str">
        <f>_xlfn.XLOOKUP(ESales_DB[[#This Row],[Store_ID]],Estore_DB[Store_ID],Estore_DB[Region])</f>
        <v>East</v>
      </c>
      <c r="R1497" t="str">
        <f>VLOOKUP(ESales_DB[[#This Row],[Customer_ID]],Ecustom_DB[],10,FALSE)</f>
        <v>Silver</v>
      </c>
      <c r="S1497" t="str">
        <f>IF(ESales_DB[[#This Row],[Quantity1]]&gt;3,"Bulk order","Normal order")</f>
        <v>Normal order</v>
      </c>
    </row>
    <row r="1498" spans="1:19" x14ac:dyDescent="0.3">
      <c r="A1498" t="s">
        <v>2371</v>
      </c>
      <c r="B1498" s="4">
        <v>45255</v>
      </c>
      <c r="C1498" s="4" t="str">
        <f>TEXT(ESales_DB[[#This Row],[Order_Date]],"mmm")</f>
        <v>Nov</v>
      </c>
      <c r="D1498" t="s">
        <v>366</v>
      </c>
      <c r="E1498" t="s">
        <v>1600</v>
      </c>
      <c r="F1498" t="s">
        <v>1757</v>
      </c>
      <c r="G1498">
        <v>4</v>
      </c>
      <c r="H1498" s="10">
        <f>IF(ISBLANK(ESales_DB[[#This Row],[Quantity]]),AVERAGEIF(ESales_DB[Product_ID],ESales_DB[[#This Row],[Product_ID]],ESales_DB[Quantity]),ESales_DB[[#This Row],[Quantity]])</f>
        <v>4</v>
      </c>
      <c r="I1498" s="2">
        <v>90.32</v>
      </c>
      <c r="J1498">
        <v>0.08</v>
      </c>
      <c r="K1498" t="s">
        <v>1826</v>
      </c>
      <c r="L1498" s="2">
        <v>332.37759999999997</v>
      </c>
      <c r="M1498" s="2" t="str">
        <f>IF(ESales_DB[[#This Row],[Total_Amount]]&gt;1000,"High","Low")</f>
        <v>Low</v>
      </c>
      <c r="N1498" s="2" t="str">
        <f>VLOOKUP(ESales_DB[[#This Row],[Customer_ID]],Ecustom_DB[],3,FALSE)</f>
        <v>Steven Stein</v>
      </c>
      <c r="O1498" s="2" t="str">
        <f>_xlfn.XLOOKUP(ESales_DB[[#This Row],[Product_ID]],Eproduct_DB[Product_ID],Eproduct_DB[Category])</f>
        <v>Electronics</v>
      </c>
      <c r="P1498" s="2" t="str">
        <f>_xlfn.XLOOKUP(ESales_DB[[#This Row],[Product_ID]],Eproduct_DB[Product_ID],Eproduct_DB[Product_Name])</f>
        <v>Wireless Bluetooth Speaker</v>
      </c>
      <c r="Q1498" s="2" t="str">
        <f>_xlfn.XLOOKUP(ESales_DB[[#This Row],[Store_ID]],Estore_DB[Store_ID],Estore_DB[Region])</f>
        <v>North</v>
      </c>
      <c r="R1498" t="str">
        <f>VLOOKUP(ESales_DB[[#This Row],[Customer_ID]],Ecustom_DB[],10,FALSE)</f>
        <v>Bronze</v>
      </c>
      <c r="S1498" t="str">
        <f>IF(ESales_DB[[#This Row],[Quantity1]]&gt;3,"Bulk order","Normal order")</f>
        <v>Bulk order</v>
      </c>
    </row>
    <row r="1499" spans="1:19" x14ac:dyDescent="0.3">
      <c r="A1499" t="s">
        <v>2372</v>
      </c>
      <c r="B1499" s="4">
        <v>45695</v>
      </c>
      <c r="C1499" s="4" t="str">
        <f>TEXT(ESales_DB[[#This Row],[Order_Date]],"mmm")</f>
        <v>Feb</v>
      </c>
      <c r="D1499" t="s">
        <v>1181</v>
      </c>
      <c r="E1499" t="s">
        <v>1568</v>
      </c>
      <c r="F1499" t="s">
        <v>1776</v>
      </c>
      <c r="G1499">
        <v>3</v>
      </c>
      <c r="H1499" s="10">
        <f>IF(ISBLANK(ESales_DB[[#This Row],[Quantity]]),AVERAGEIF(ESales_DB[Product_ID],ESales_DB[[#This Row],[Product_ID]],ESales_DB[Quantity]),ESales_DB[[#This Row],[Quantity]])</f>
        <v>3</v>
      </c>
      <c r="I1499" s="2">
        <v>370.93</v>
      </c>
      <c r="J1499">
        <v>0</v>
      </c>
      <c r="K1499" t="s">
        <v>1824</v>
      </c>
      <c r="L1499" s="2">
        <v>1112.79</v>
      </c>
      <c r="M1499" s="2" t="str">
        <f>IF(ESales_DB[[#This Row],[Total_Amount]]&gt;1000,"High","Low")</f>
        <v>High</v>
      </c>
      <c r="N1499" s="2" t="str">
        <f>VLOOKUP(ESales_DB[[#This Row],[Customer_ID]],Ecustom_DB[],3,FALSE)</f>
        <v>Frank Stewart</v>
      </c>
      <c r="O1499" s="2" t="str">
        <f>_xlfn.XLOOKUP(ESales_DB[[#This Row],[Product_ID]],Eproduct_DB[Product_ID],Eproduct_DB[Category])</f>
        <v>Home</v>
      </c>
      <c r="P1499" s="2" t="str">
        <f>_xlfn.XLOOKUP(ESales_DB[[#This Row],[Product_ID]],Eproduct_DB[Product_ID],Eproduct_DB[Product_Name])</f>
        <v>Ceramic Kitchen Bowl Set</v>
      </c>
      <c r="Q1499" s="2" t="str">
        <f>_xlfn.XLOOKUP(ESales_DB[[#This Row],[Store_ID]],Estore_DB[Store_ID],Estore_DB[Region])</f>
        <v>East</v>
      </c>
      <c r="R1499" t="str">
        <f>VLOOKUP(ESales_DB[[#This Row],[Customer_ID]],Ecustom_DB[],10,FALSE)</f>
        <v>Bronze</v>
      </c>
      <c r="S1499" t="str">
        <f>IF(ESales_DB[[#This Row],[Quantity1]]&gt;3,"Bulk order","Normal order")</f>
        <v>Normal order</v>
      </c>
    </row>
    <row r="1500" spans="1:19" x14ac:dyDescent="0.3">
      <c r="A1500" t="s">
        <v>2373</v>
      </c>
      <c r="B1500" s="4">
        <v>45281</v>
      </c>
      <c r="C1500" s="4" t="str">
        <f>TEXT(ESales_DB[[#This Row],[Order_Date]],"mmm")</f>
        <v>Dec</v>
      </c>
      <c r="D1500" t="s">
        <v>178</v>
      </c>
      <c r="E1500" t="s">
        <v>1594</v>
      </c>
      <c r="F1500" t="s">
        <v>1801</v>
      </c>
      <c r="G1500">
        <v>1</v>
      </c>
      <c r="H1500" s="10">
        <f>IF(ISBLANK(ESales_DB[[#This Row],[Quantity]]),AVERAGEIF(ESales_DB[Product_ID],ESales_DB[[#This Row],[Product_ID]],ESales_DB[Quantity]),ESales_DB[[#This Row],[Quantity]])</f>
        <v>1</v>
      </c>
      <c r="I1500" s="2">
        <v>352.43</v>
      </c>
      <c r="J1500">
        <v>0.14000000000000001</v>
      </c>
      <c r="K1500" t="s">
        <v>1826</v>
      </c>
      <c r="L1500" s="2">
        <v>303.08980000000003</v>
      </c>
      <c r="M1500" s="2" t="str">
        <f>IF(ESales_DB[[#This Row],[Total_Amount]]&gt;1000,"High","Low")</f>
        <v>Low</v>
      </c>
      <c r="N1500" s="2" t="str">
        <f>VLOOKUP(ESales_DB[[#This Row],[Customer_ID]],Ecustom_DB[],3,FALSE)</f>
        <v>Michelle Garcia Dds</v>
      </c>
      <c r="O1500" s="2" t="str">
        <f>_xlfn.XLOOKUP(ESales_DB[[#This Row],[Product_ID]],Eproduct_DB[Product_ID],Eproduct_DB[Category])</f>
        <v>Clothing</v>
      </c>
      <c r="P1500" s="2" t="str">
        <f>_xlfn.XLOOKUP(ESales_DB[[#This Row],[Product_ID]],Eproduct_DB[Product_ID],Eproduct_DB[Product_Name])</f>
        <v>Men's Formal Shirt</v>
      </c>
      <c r="Q1500" s="2" t="str">
        <f>_xlfn.XLOOKUP(ESales_DB[[#This Row],[Store_ID]],Estore_DB[Store_ID],Estore_DB[Region])</f>
        <v>North</v>
      </c>
      <c r="R1500" t="str">
        <f>VLOOKUP(ESales_DB[[#This Row],[Customer_ID]],Ecustom_DB[],10,FALSE)</f>
        <v>Platinum</v>
      </c>
      <c r="S1500" t="str">
        <f>IF(ESales_DB[[#This Row],[Quantity1]]&gt;3,"Bulk order","Normal order")</f>
        <v>Normal order</v>
      </c>
    </row>
    <row r="1501" spans="1:19" x14ac:dyDescent="0.3">
      <c r="A1501" t="s">
        <v>2374</v>
      </c>
      <c r="B1501" s="4">
        <v>45295</v>
      </c>
      <c r="C1501" s="4" t="str">
        <f>TEXT(ESales_DB[[#This Row],[Order_Date]],"mmm")</f>
        <v>Jan</v>
      </c>
      <c r="D1501" t="s">
        <v>425</v>
      </c>
      <c r="E1501" t="s">
        <v>1572</v>
      </c>
      <c r="F1501" t="s">
        <v>1801</v>
      </c>
      <c r="G1501">
        <v>2</v>
      </c>
      <c r="H1501" s="10">
        <f>IF(ISBLANK(ESales_DB[[#This Row],[Quantity]]),AVERAGEIF(ESales_DB[Product_ID],ESales_DB[[#This Row],[Product_ID]],ESales_DB[Quantity]),ESales_DB[[#This Row],[Quantity]])</f>
        <v>2</v>
      </c>
      <c r="I1501" s="2">
        <v>562.97</v>
      </c>
      <c r="J1501">
        <v>0.2</v>
      </c>
      <c r="K1501" t="s">
        <v>1824</v>
      </c>
      <c r="L1501" s="2">
        <v>900.75200000000007</v>
      </c>
      <c r="M1501" s="2" t="str">
        <f>IF(ESales_DB[[#This Row],[Total_Amount]]&gt;1000,"High","Low")</f>
        <v>Low</v>
      </c>
      <c r="N1501" s="2" t="str">
        <f>VLOOKUP(ESales_DB[[#This Row],[Customer_ID]],Ecustom_DB[],3,FALSE)</f>
        <v>Erin Hopkins</v>
      </c>
      <c r="O1501" s="2" t="str">
        <f>_xlfn.XLOOKUP(ESales_DB[[#This Row],[Product_ID]],Eproduct_DB[Product_ID],Eproduct_DB[Category])</f>
        <v>Beauty</v>
      </c>
      <c r="P1501" s="2" t="str">
        <f>_xlfn.XLOOKUP(ESales_DB[[#This Row],[Product_ID]],Eproduct_DB[Product_ID],Eproduct_DB[Product_Name])</f>
        <v>Hair Strengthening Shampoo</v>
      </c>
      <c r="Q1501" s="2" t="str">
        <f>_xlfn.XLOOKUP(ESales_DB[[#This Row],[Store_ID]],Estore_DB[Store_ID],Estore_DB[Region])</f>
        <v>North</v>
      </c>
      <c r="R1501" t="str">
        <f>VLOOKUP(ESales_DB[[#This Row],[Customer_ID]],Ecustom_DB[],10,FALSE)</f>
        <v>Silver</v>
      </c>
      <c r="S1501" t="str">
        <f>IF(ESales_DB[[#This Row],[Quantity1]]&gt;3,"Bulk order","Normal order")</f>
        <v>Normal order</v>
      </c>
    </row>
    <row r="1502" spans="1:19" x14ac:dyDescent="0.3">
      <c r="A1502" t="s">
        <v>2375</v>
      </c>
      <c r="B1502" s="4">
        <v>45260</v>
      </c>
      <c r="C1502" s="4" t="str">
        <f>TEXT(ESales_DB[[#This Row],[Order_Date]],"mmm")</f>
        <v>Nov</v>
      </c>
      <c r="D1502" t="s">
        <v>526</v>
      </c>
      <c r="E1502" t="s">
        <v>1658</v>
      </c>
      <c r="F1502" t="s">
        <v>1779</v>
      </c>
      <c r="G1502">
        <v>1</v>
      </c>
      <c r="H1502" s="10">
        <f>IF(ISBLANK(ESales_DB[[#This Row],[Quantity]]),AVERAGEIF(ESales_DB[Product_ID],ESales_DB[[#This Row],[Product_ID]],ESales_DB[Quantity]),ESales_DB[[#This Row],[Quantity]])</f>
        <v>1</v>
      </c>
      <c r="I1502" s="2">
        <v>522.85</v>
      </c>
      <c r="J1502">
        <v>0.12</v>
      </c>
      <c r="K1502" t="s">
        <v>1826</v>
      </c>
      <c r="L1502" s="2">
        <v>460.108</v>
      </c>
      <c r="M1502" s="2" t="str">
        <f>IF(ESales_DB[[#This Row],[Total_Amount]]&gt;1000,"High","Low")</f>
        <v>Low</v>
      </c>
      <c r="N1502" s="2" t="str">
        <f>VLOOKUP(ESales_DB[[#This Row],[Customer_ID]],Ecustom_DB[],3,FALSE)</f>
        <v>Paul Zamora</v>
      </c>
      <c r="O1502" s="2" t="str">
        <f>_xlfn.XLOOKUP(ESales_DB[[#This Row],[Product_ID]],Eproduct_DB[Product_ID],Eproduct_DB[Category])</f>
        <v>Home</v>
      </c>
      <c r="P1502" s="2" t="str">
        <f>_xlfn.XLOOKUP(ESales_DB[[#This Row],[Product_ID]],Eproduct_DB[Product_ID],Eproduct_DB[Product_Name])</f>
        <v>Ceramic Plant Pot</v>
      </c>
      <c r="Q1502" s="2" t="str">
        <f>_xlfn.XLOOKUP(ESales_DB[[#This Row],[Store_ID]],Estore_DB[Store_ID],Estore_DB[Region])</f>
        <v>South</v>
      </c>
      <c r="R1502" t="str">
        <f>VLOOKUP(ESales_DB[[#This Row],[Customer_ID]],Ecustom_DB[],10,FALSE)</f>
        <v>Platinum</v>
      </c>
      <c r="S1502" t="str">
        <f>IF(ESales_DB[[#This Row],[Quantity1]]&gt;3,"Bulk order","Normal order")</f>
        <v>Normal order</v>
      </c>
    </row>
    <row r="1503" spans="1:19" x14ac:dyDescent="0.3">
      <c r="A1503" t="s">
        <v>1881</v>
      </c>
      <c r="B1503" s="4">
        <v>45589</v>
      </c>
      <c r="C1503" s="4" t="str">
        <f>TEXT(ESales_DB[[#This Row],[Order_Date]],"mmm")</f>
        <v>Oct</v>
      </c>
      <c r="D1503" t="s">
        <v>1292</v>
      </c>
      <c r="E1503" t="s">
        <v>1646</v>
      </c>
      <c r="F1503" t="s">
        <v>1792</v>
      </c>
      <c r="G1503">
        <v>2</v>
      </c>
      <c r="H1503" s="10">
        <f>IF(ISBLANK(ESales_DB[[#This Row],[Quantity]]),AVERAGEIF(ESales_DB[Product_ID],ESales_DB[[#This Row],[Product_ID]],ESales_DB[Quantity]),ESales_DB[[#This Row],[Quantity]])</f>
        <v>2</v>
      </c>
      <c r="I1503" s="2">
        <v>559.71</v>
      </c>
      <c r="J1503">
        <v>0.3</v>
      </c>
      <c r="K1503" t="s">
        <v>1829</v>
      </c>
      <c r="L1503" s="2">
        <v>783.59400000000005</v>
      </c>
      <c r="M1503" s="2" t="str">
        <f>IF(ESales_DB[[#This Row],[Total_Amount]]&gt;1000,"High","Low")</f>
        <v>Low</v>
      </c>
      <c r="N1503" s="2" t="str">
        <f>VLOOKUP(ESales_DB[[#This Row],[Customer_ID]],Ecustom_DB[],3,FALSE)</f>
        <v>Jennifer Myers</v>
      </c>
      <c r="O1503" s="2" t="str">
        <f>_xlfn.XLOOKUP(ESales_DB[[#This Row],[Product_ID]],Eproduct_DB[Product_ID],Eproduct_DB[Category])</f>
        <v>Beauty</v>
      </c>
      <c r="P1503" s="2" t="str">
        <f>_xlfn.XLOOKUP(ESales_DB[[#This Row],[Product_ID]],Eproduct_DB[Product_ID],Eproduct_DB[Product_Name])</f>
        <v>Men's Roll-On Perfume</v>
      </c>
      <c r="Q1503" s="2" t="str">
        <f>_xlfn.XLOOKUP(ESales_DB[[#This Row],[Store_ID]],Estore_DB[Store_ID],Estore_DB[Region])</f>
        <v>South</v>
      </c>
      <c r="R1503" t="str">
        <f>VLOOKUP(ESales_DB[[#This Row],[Customer_ID]],Ecustom_DB[],10,FALSE)</f>
        <v>Platinum</v>
      </c>
      <c r="S1503" t="str">
        <f>IF(ESales_DB[[#This Row],[Quantity1]]&gt;3,"Bulk order","Normal order")</f>
        <v>Normal order</v>
      </c>
    </row>
    <row r="1504" spans="1:19" x14ac:dyDescent="0.3">
      <c r="A1504" t="s">
        <v>2376</v>
      </c>
      <c r="B1504" s="4">
        <v>45851</v>
      </c>
      <c r="C1504" s="4" t="str">
        <f>TEXT(ESales_DB[[#This Row],[Order_Date]],"mmm")</f>
        <v>Jul</v>
      </c>
      <c r="D1504" t="s">
        <v>1095</v>
      </c>
      <c r="E1504" t="s">
        <v>1590</v>
      </c>
      <c r="F1504" t="s">
        <v>1804</v>
      </c>
      <c r="G1504">
        <v>4</v>
      </c>
      <c r="H1504" s="10">
        <f>IF(ISBLANK(ESales_DB[[#This Row],[Quantity]]),AVERAGEIF(ESales_DB[Product_ID],ESales_DB[[#This Row],[Product_ID]],ESales_DB[Quantity]),ESales_DB[[#This Row],[Quantity]])</f>
        <v>4</v>
      </c>
      <c r="I1504" s="2">
        <v>714.89</v>
      </c>
      <c r="J1504">
        <v>0.15</v>
      </c>
      <c r="K1504" t="s">
        <v>1824</v>
      </c>
      <c r="L1504" s="2">
        <v>2430.6260000000002</v>
      </c>
      <c r="M1504" s="2" t="str">
        <f>IF(ESales_DB[[#This Row],[Total_Amount]]&gt;1000,"High","Low")</f>
        <v>High</v>
      </c>
      <c r="N1504" s="2" t="str">
        <f>VLOOKUP(ESales_DB[[#This Row],[Customer_ID]],Ecustom_DB[],3,FALSE)</f>
        <v>Heather Valenzuela</v>
      </c>
      <c r="O1504" s="2" t="str">
        <f>_xlfn.XLOOKUP(ESales_DB[[#This Row],[Product_ID]],Eproduct_DB[Product_ID],Eproduct_DB[Category])</f>
        <v>Home</v>
      </c>
      <c r="P1504" s="2" t="str">
        <f>_xlfn.XLOOKUP(ESales_DB[[#This Row],[Product_ID]],Eproduct_DB[Product_ID],Eproduct_DB[Product_Name])</f>
        <v>Multi-Purpose Storage Box</v>
      </c>
      <c r="Q1504" s="2" t="str">
        <f>_xlfn.XLOOKUP(ESales_DB[[#This Row],[Store_ID]],Estore_DB[Store_ID],Estore_DB[Region])</f>
        <v>West</v>
      </c>
      <c r="R1504" t="str">
        <f>VLOOKUP(ESales_DB[[#This Row],[Customer_ID]],Ecustom_DB[],10,FALSE)</f>
        <v>Bronze</v>
      </c>
      <c r="S1504" t="str">
        <f>IF(ESales_DB[[#This Row],[Quantity1]]&gt;3,"Bulk order","Normal order")</f>
        <v>Bulk order</v>
      </c>
    </row>
    <row r="1505" spans="1:19" x14ac:dyDescent="0.3">
      <c r="A1505" t="s">
        <v>2377</v>
      </c>
      <c r="B1505" s="4">
        <v>45222</v>
      </c>
      <c r="C1505" s="4" t="str">
        <f>TEXT(ESales_DB[[#This Row],[Order_Date]],"mmm")</f>
        <v>Oct</v>
      </c>
      <c r="D1505" t="s">
        <v>616</v>
      </c>
      <c r="E1505" t="s">
        <v>1634</v>
      </c>
      <c r="F1505" t="s">
        <v>1761</v>
      </c>
      <c r="G1505">
        <v>3</v>
      </c>
      <c r="H1505" s="10">
        <f>IF(ISBLANK(ESales_DB[[#This Row],[Quantity]]),AVERAGEIF(ESales_DB[Product_ID],ESales_DB[[#This Row],[Product_ID]],ESales_DB[Quantity]),ESales_DB[[#This Row],[Quantity]])</f>
        <v>3</v>
      </c>
      <c r="I1505" s="2">
        <v>137.77000000000001</v>
      </c>
      <c r="J1505">
        <v>0.26</v>
      </c>
      <c r="K1505" t="s">
        <v>1826</v>
      </c>
      <c r="L1505" s="2">
        <v>305.84940000000012</v>
      </c>
      <c r="M1505" s="2" t="str">
        <f>IF(ESales_DB[[#This Row],[Total_Amount]]&gt;1000,"High","Low")</f>
        <v>Low</v>
      </c>
      <c r="N1505" s="2" t="str">
        <f>VLOOKUP(ESales_DB[[#This Row],[Customer_ID]],Ecustom_DB[],3,FALSE)</f>
        <v>Dr. Suzanne Bullock</v>
      </c>
      <c r="O1505" s="2" t="str">
        <f>_xlfn.XLOOKUP(ESales_DB[[#This Row],[Product_ID]],Eproduct_DB[Product_ID],Eproduct_DB[Category])</f>
        <v>Electronics</v>
      </c>
      <c r="P1505" s="2" t="str">
        <f>_xlfn.XLOOKUP(ESales_DB[[#This Row],[Product_ID]],Eproduct_DB[Product_ID],Eproduct_DB[Product_Name])</f>
        <v>USB External Hard Drive</v>
      </c>
      <c r="Q1505" s="2" t="str">
        <f>_xlfn.XLOOKUP(ESales_DB[[#This Row],[Store_ID]],Estore_DB[Store_ID],Estore_DB[Region])</f>
        <v>South</v>
      </c>
      <c r="R1505" t="str">
        <f>VLOOKUP(ESales_DB[[#This Row],[Customer_ID]],Ecustom_DB[],10,FALSE)</f>
        <v>Platinum</v>
      </c>
      <c r="S1505" t="str">
        <f>IF(ESales_DB[[#This Row],[Quantity1]]&gt;3,"Bulk order","Normal order")</f>
        <v>Normal order</v>
      </c>
    </row>
    <row r="1506" spans="1:19" x14ac:dyDescent="0.3">
      <c r="A1506" t="s">
        <v>2378</v>
      </c>
      <c r="B1506" s="4">
        <v>45940</v>
      </c>
      <c r="C1506" s="4" t="str">
        <f>TEXT(ESales_DB[[#This Row],[Order_Date]],"mmm")</f>
        <v>Oct</v>
      </c>
      <c r="D1506" t="s">
        <v>114</v>
      </c>
      <c r="E1506" t="s">
        <v>1732</v>
      </c>
      <c r="F1506" t="s">
        <v>1792</v>
      </c>
      <c r="G1506">
        <v>3</v>
      </c>
      <c r="H1506" s="10">
        <f>IF(ISBLANK(ESales_DB[[#This Row],[Quantity]]),AVERAGEIF(ESales_DB[Product_ID],ESales_DB[[#This Row],[Product_ID]],ESales_DB[Quantity]),ESales_DB[[#This Row],[Quantity]])</f>
        <v>3</v>
      </c>
      <c r="I1506" s="2">
        <v>862.18</v>
      </c>
      <c r="J1506">
        <v>0.22</v>
      </c>
      <c r="K1506" t="s">
        <v>1826</v>
      </c>
      <c r="L1506" s="2">
        <v>2017.5011999999999</v>
      </c>
      <c r="M1506" s="2" t="str">
        <f>IF(ESales_DB[[#This Row],[Total_Amount]]&gt;1000,"High","Low")</f>
        <v>High</v>
      </c>
      <c r="N1506" s="2" t="str">
        <f>VLOOKUP(ESales_DB[[#This Row],[Customer_ID]],Ecustom_DB[],3,FALSE)</f>
        <v>Leslie Johnson</v>
      </c>
      <c r="O1506" s="2" t="str">
        <f>_xlfn.XLOOKUP(ESales_DB[[#This Row],[Product_ID]],Eproduct_DB[Product_ID],Eproduct_DB[Category])</f>
        <v>Home</v>
      </c>
      <c r="P1506" s="2" t="str">
        <f>_xlfn.XLOOKUP(ESales_DB[[#This Row],[Product_ID]],Eproduct_DB[Product_ID],Eproduct_DB[Product_Name])</f>
        <v>Microwave Oven</v>
      </c>
      <c r="Q1506" s="2" t="str">
        <f>_xlfn.XLOOKUP(ESales_DB[[#This Row],[Store_ID]],Estore_DB[Store_ID],Estore_DB[Region])</f>
        <v>South</v>
      </c>
      <c r="R1506" t="str">
        <f>VLOOKUP(ESales_DB[[#This Row],[Customer_ID]],Ecustom_DB[],10,FALSE)</f>
        <v>Uncategorized</v>
      </c>
      <c r="S1506" t="str">
        <f>IF(ESales_DB[[#This Row],[Quantity1]]&gt;3,"Bulk order","Normal order")</f>
        <v>Normal order</v>
      </c>
    </row>
    <row r="1507" spans="1:19" x14ac:dyDescent="0.3">
      <c r="A1507" t="s">
        <v>2379</v>
      </c>
      <c r="B1507" s="4">
        <v>45822</v>
      </c>
      <c r="C1507" s="4" t="str">
        <f>TEXT(ESales_DB[[#This Row],[Order_Date]],"mmm")</f>
        <v>Jun</v>
      </c>
      <c r="D1507" t="s">
        <v>214</v>
      </c>
      <c r="E1507" t="s">
        <v>1624</v>
      </c>
      <c r="F1507" t="s">
        <v>1799</v>
      </c>
      <c r="G1507">
        <v>2</v>
      </c>
      <c r="H1507" s="10">
        <f>IF(ISBLANK(ESales_DB[[#This Row],[Quantity]]),AVERAGEIF(ESales_DB[Product_ID],ESales_DB[[#This Row],[Product_ID]],ESales_DB[Quantity]),ESales_DB[[#This Row],[Quantity]])</f>
        <v>2</v>
      </c>
      <c r="I1507" s="2">
        <v>833.64</v>
      </c>
      <c r="J1507">
        <v>0.24</v>
      </c>
      <c r="K1507" t="s">
        <v>1826</v>
      </c>
      <c r="L1507" s="2">
        <v>1267.1328000000001</v>
      </c>
      <c r="M1507" s="2" t="str">
        <f>IF(ESales_DB[[#This Row],[Total_Amount]]&gt;1000,"High","Low")</f>
        <v>High</v>
      </c>
      <c r="N1507" s="2" t="str">
        <f>VLOOKUP(ESales_DB[[#This Row],[Customer_ID]],Ecustom_DB[],3,FALSE)</f>
        <v>Jay Patel</v>
      </c>
      <c r="O1507" s="2" t="str">
        <f>_xlfn.XLOOKUP(ESales_DB[[#This Row],[Product_ID]],Eproduct_DB[Product_ID],Eproduct_DB[Category])</f>
        <v>Sports</v>
      </c>
      <c r="P1507" s="2" t="str">
        <f>_xlfn.XLOOKUP(ESales_DB[[#This Row],[Product_ID]],Eproduct_DB[Product_ID],Eproduct_DB[Product_Name])</f>
        <v>Sports Water Hydration Pack</v>
      </c>
      <c r="Q1507" s="2" t="str">
        <f>_xlfn.XLOOKUP(ESales_DB[[#This Row],[Store_ID]],Estore_DB[Store_ID],Estore_DB[Region])</f>
        <v>South</v>
      </c>
      <c r="R1507" t="str">
        <f>VLOOKUP(ESales_DB[[#This Row],[Customer_ID]],Ecustom_DB[],10,FALSE)</f>
        <v>Platinum</v>
      </c>
      <c r="S1507" t="str">
        <f>IF(ESales_DB[[#This Row],[Quantity1]]&gt;3,"Bulk order","Normal order")</f>
        <v>Normal order</v>
      </c>
    </row>
    <row r="1508" spans="1:19" x14ac:dyDescent="0.3">
      <c r="A1508" t="s">
        <v>2380</v>
      </c>
      <c r="B1508" s="4">
        <v>45752</v>
      </c>
      <c r="C1508" s="4" t="str">
        <f>TEXT(ESales_DB[[#This Row],[Order_Date]],"mmm")</f>
        <v>Apr</v>
      </c>
      <c r="D1508" t="s">
        <v>860</v>
      </c>
      <c r="E1508" t="s">
        <v>1586</v>
      </c>
      <c r="F1508" t="s">
        <v>1801</v>
      </c>
      <c r="G1508">
        <v>3</v>
      </c>
      <c r="H1508" s="10">
        <f>IF(ISBLANK(ESales_DB[[#This Row],[Quantity]]),AVERAGEIF(ESales_DB[Product_ID],ESales_DB[[#This Row],[Product_ID]],ESales_DB[Quantity]),ESales_DB[[#This Row],[Quantity]])</f>
        <v>3</v>
      </c>
      <c r="I1508" s="2">
        <v>543.22</v>
      </c>
      <c r="J1508">
        <v>0.05</v>
      </c>
      <c r="K1508" t="s">
        <v>1829</v>
      </c>
      <c r="L1508" s="2">
        <v>1548.1769999999999</v>
      </c>
      <c r="M1508" s="2" t="str">
        <f>IF(ESales_DB[[#This Row],[Total_Amount]]&gt;1000,"High","Low")</f>
        <v>High</v>
      </c>
      <c r="N1508" s="2" t="str">
        <f>VLOOKUP(ESales_DB[[#This Row],[Customer_ID]],Ecustom_DB[],3,FALSE)</f>
        <v>Brian Garcia</v>
      </c>
      <c r="O1508" s="2" t="str">
        <f>_xlfn.XLOOKUP(ESales_DB[[#This Row],[Product_ID]],Eproduct_DB[Product_ID],Eproduct_DB[Category])</f>
        <v>Sports</v>
      </c>
      <c r="P1508" s="2" t="str">
        <f>_xlfn.XLOOKUP(ESales_DB[[#This Row],[Product_ID]],Eproduct_DB[Product_ID],Eproduct_DB[Product_Name])</f>
        <v>Knee Support Brace</v>
      </c>
      <c r="Q1508" s="2" t="str">
        <f>_xlfn.XLOOKUP(ESales_DB[[#This Row],[Store_ID]],Estore_DB[Store_ID],Estore_DB[Region])</f>
        <v>North</v>
      </c>
      <c r="R1508" t="str">
        <f>VLOOKUP(ESales_DB[[#This Row],[Customer_ID]],Ecustom_DB[],10,FALSE)</f>
        <v>Gold</v>
      </c>
      <c r="S1508" t="str">
        <f>IF(ESales_DB[[#This Row],[Quantity1]]&gt;3,"Bulk order","Normal order")</f>
        <v>Normal order</v>
      </c>
    </row>
    <row r="1509" spans="1:19" x14ac:dyDescent="0.3">
      <c r="A1509" t="s">
        <v>2381</v>
      </c>
      <c r="B1509" s="4">
        <v>45677</v>
      </c>
      <c r="C1509" s="4" t="str">
        <f>TEXT(ESales_DB[[#This Row],[Order_Date]],"mmm")</f>
        <v>Jan</v>
      </c>
      <c r="D1509" t="s">
        <v>884</v>
      </c>
      <c r="E1509" t="s">
        <v>1724</v>
      </c>
      <c r="F1509" t="s">
        <v>1761</v>
      </c>
      <c r="G1509">
        <v>3</v>
      </c>
      <c r="H1509" s="10">
        <f>IF(ISBLANK(ESales_DB[[#This Row],[Quantity]]),AVERAGEIF(ESales_DB[Product_ID],ESales_DB[[#This Row],[Product_ID]],ESales_DB[Quantity]),ESales_DB[[#This Row],[Quantity]])</f>
        <v>3</v>
      </c>
      <c r="I1509" s="2">
        <v>691.02</v>
      </c>
      <c r="J1509">
        <v>0.12</v>
      </c>
      <c r="K1509" t="s">
        <v>1829</v>
      </c>
      <c r="L1509" s="2">
        <v>1824.2927999999999</v>
      </c>
      <c r="M1509" s="2" t="str">
        <f>IF(ESales_DB[[#This Row],[Total_Amount]]&gt;1000,"High","Low")</f>
        <v>High</v>
      </c>
      <c r="N1509" s="2" t="str">
        <f>VLOOKUP(ESales_DB[[#This Row],[Customer_ID]],Ecustom_DB[],3,FALSE)</f>
        <v>Stephen Fowler</v>
      </c>
      <c r="O1509" s="2" t="str">
        <f>_xlfn.XLOOKUP(ESales_DB[[#This Row],[Product_ID]],Eproduct_DB[Product_ID],Eproduct_DB[Category])</f>
        <v>Sports</v>
      </c>
      <c r="P1509" s="2" t="str">
        <f>_xlfn.XLOOKUP(ESales_DB[[#This Row],[Product_ID]],Eproduct_DB[Product_ID],Eproduct_DB[Product_Name])</f>
        <v>Sports Wrist Sweatbands</v>
      </c>
      <c r="Q1509" s="2" t="str">
        <f>_xlfn.XLOOKUP(ESales_DB[[#This Row],[Store_ID]],Estore_DB[Store_ID],Estore_DB[Region])</f>
        <v>South</v>
      </c>
      <c r="R1509" t="str">
        <f>VLOOKUP(ESales_DB[[#This Row],[Customer_ID]],Ecustom_DB[],10,FALSE)</f>
        <v>Platinum</v>
      </c>
      <c r="S1509" t="str">
        <f>IF(ESales_DB[[#This Row],[Quantity1]]&gt;3,"Bulk order","Normal order")</f>
        <v>Normal order</v>
      </c>
    </row>
    <row r="1510" spans="1:19" x14ac:dyDescent="0.3">
      <c r="A1510" t="s">
        <v>2382</v>
      </c>
      <c r="B1510" s="4">
        <v>45253</v>
      </c>
      <c r="C1510" s="4" t="str">
        <f>TEXT(ESales_DB[[#This Row],[Order_Date]],"mmm")</f>
        <v>Nov</v>
      </c>
      <c r="D1510" t="s">
        <v>314</v>
      </c>
      <c r="E1510" t="s">
        <v>1720</v>
      </c>
      <c r="F1510" t="s">
        <v>1807</v>
      </c>
      <c r="G1510">
        <v>4</v>
      </c>
      <c r="H1510" s="10">
        <f>IF(ISBLANK(ESales_DB[[#This Row],[Quantity]]),AVERAGEIF(ESales_DB[Product_ID],ESales_DB[[#This Row],[Product_ID]],ESales_DB[Quantity]),ESales_DB[[#This Row],[Quantity]])</f>
        <v>4</v>
      </c>
      <c r="I1510" s="2">
        <v>338.73</v>
      </c>
      <c r="J1510">
        <v>0.18</v>
      </c>
      <c r="K1510" t="s">
        <v>1824</v>
      </c>
      <c r="L1510" s="2">
        <v>1111.0344</v>
      </c>
      <c r="M1510" s="2" t="str">
        <f>IF(ESales_DB[[#This Row],[Total_Amount]]&gt;1000,"High","Low")</f>
        <v>High</v>
      </c>
      <c r="N1510" s="2" t="str">
        <f>VLOOKUP(ESales_DB[[#This Row],[Customer_ID]],Ecustom_DB[],3,FALSE)</f>
        <v>Melissa Duffy Md</v>
      </c>
      <c r="O1510" s="2" t="str">
        <f>_xlfn.XLOOKUP(ESales_DB[[#This Row],[Product_ID]],Eproduct_DB[Product_ID],Eproduct_DB[Category])</f>
        <v>Home</v>
      </c>
      <c r="P1510" s="2" t="str">
        <f>_xlfn.XLOOKUP(ESales_DB[[#This Row],[Product_ID]],Eproduct_DB[Product_ID],Eproduct_DB[Product_Name])</f>
        <v>Kitchen Cutting Board</v>
      </c>
      <c r="Q1510" s="2" t="str">
        <f>_xlfn.XLOOKUP(ESales_DB[[#This Row],[Store_ID]],Estore_DB[Store_ID],Estore_DB[Region])</f>
        <v>North</v>
      </c>
      <c r="R1510" t="str">
        <f>VLOOKUP(ESales_DB[[#This Row],[Customer_ID]],Ecustom_DB[],10,FALSE)</f>
        <v>Bronze</v>
      </c>
      <c r="S1510" t="str">
        <f>IF(ESales_DB[[#This Row],[Quantity1]]&gt;3,"Bulk order","Normal order")</f>
        <v>Bulk order</v>
      </c>
    </row>
    <row r="1511" spans="1:19" x14ac:dyDescent="0.3">
      <c r="A1511" t="s">
        <v>2383</v>
      </c>
      <c r="B1511" s="4">
        <v>45389</v>
      </c>
      <c r="C1511" s="4" t="str">
        <f>TEXT(ESales_DB[[#This Row],[Order_Date]],"mmm")</f>
        <v>Apr</v>
      </c>
      <c r="D1511" t="s">
        <v>230</v>
      </c>
      <c r="E1511" t="s">
        <v>1716</v>
      </c>
      <c r="F1511" t="s">
        <v>1804</v>
      </c>
      <c r="G1511">
        <v>3</v>
      </c>
      <c r="H1511" s="10">
        <f>IF(ISBLANK(ESales_DB[[#This Row],[Quantity]]),AVERAGEIF(ESales_DB[Product_ID],ESales_DB[[#This Row],[Product_ID]],ESales_DB[Quantity]),ESales_DB[[#This Row],[Quantity]])</f>
        <v>3</v>
      </c>
      <c r="I1511" s="2">
        <v>366.08</v>
      </c>
      <c r="J1511">
        <v>0.05</v>
      </c>
      <c r="K1511" t="s">
        <v>1824</v>
      </c>
      <c r="L1511" s="2">
        <v>1043.328</v>
      </c>
      <c r="M1511" s="2" t="str">
        <f>IF(ESales_DB[[#This Row],[Total_Amount]]&gt;1000,"High","Low")</f>
        <v>High</v>
      </c>
      <c r="N1511" s="2" t="str">
        <f>VLOOKUP(ESales_DB[[#This Row],[Customer_ID]],Ecustom_DB[],3,FALSE)</f>
        <v>James Bean</v>
      </c>
      <c r="O1511" s="2" t="str">
        <f>_xlfn.XLOOKUP(ESales_DB[[#This Row],[Product_ID]],Eproduct_DB[Product_ID],Eproduct_DB[Category])</f>
        <v>Home</v>
      </c>
      <c r="P1511" s="2" t="str">
        <f>_xlfn.XLOOKUP(ESales_DB[[#This Row],[Product_ID]],Eproduct_DB[Product_ID],Eproduct_DB[Product_Name])</f>
        <v>Wooden Bookshelf</v>
      </c>
      <c r="Q1511" s="2" t="str">
        <f>_xlfn.XLOOKUP(ESales_DB[[#This Row],[Store_ID]],Estore_DB[Store_ID],Estore_DB[Region])</f>
        <v>West</v>
      </c>
      <c r="R1511" t="str">
        <f>VLOOKUP(ESales_DB[[#This Row],[Customer_ID]],Ecustom_DB[],10,FALSE)</f>
        <v>Bronze</v>
      </c>
      <c r="S1511" t="str">
        <f>IF(ESales_DB[[#This Row],[Quantity1]]&gt;3,"Bulk order","Normal order")</f>
        <v>Normal order</v>
      </c>
    </row>
    <row r="1512" spans="1:19" x14ac:dyDescent="0.3">
      <c r="A1512" t="s">
        <v>2384</v>
      </c>
      <c r="B1512" s="4">
        <v>45840</v>
      </c>
      <c r="C1512" s="4" t="str">
        <f>TEXT(ESales_DB[[#This Row],[Order_Date]],"mmm")</f>
        <v>Jul</v>
      </c>
      <c r="D1512" t="s">
        <v>372</v>
      </c>
      <c r="E1512" t="s">
        <v>1574</v>
      </c>
      <c r="F1512" t="s">
        <v>1797</v>
      </c>
      <c r="G1512">
        <v>4</v>
      </c>
      <c r="H1512" s="10">
        <f>IF(ISBLANK(ESales_DB[[#This Row],[Quantity]]),AVERAGEIF(ESales_DB[Product_ID],ESales_DB[[#This Row],[Product_ID]],ESales_DB[Quantity]),ESales_DB[[#This Row],[Quantity]])</f>
        <v>4</v>
      </c>
      <c r="I1512" s="2">
        <v>539.48</v>
      </c>
      <c r="J1512">
        <v>0.28000000000000003</v>
      </c>
      <c r="K1512" t="s">
        <v>1829</v>
      </c>
      <c r="L1512" s="2">
        <v>1553.7023999999999</v>
      </c>
      <c r="M1512" s="2" t="str">
        <f>IF(ESales_DB[[#This Row],[Total_Amount]]&gt;1000,"High","Low")</f>
        <v>High</v>
      </c>
      <c r="N1512" s="2" t="str">
        <f>VLOOKUP(ESales_DB[[#This Row],[Customer_ID]],Ecustom_DB[],3,FALSE)</f>
        <v>Lance Baker</v>
      </c>
      <c r="O1512" s="2" t="str">
        <f>_xlfn.XLOOKUP(ESales_DB[[#This Row],[Product_ID]],Eproduct_DB[Product_ID],Eproduct_DB[Category])</f>
        <v>Electronics</v>
      </c>
      <c r="P1512" s="2" t="str">
        <f>_xlfn.XLOOKUP(ESales_DB[[#This Row],[Product_ID]],Eproduct_DB[Product_ID],Eproduct_DB[Product_Name])</f>
        <v>USB-C Fast Charger</v>
      </c>
      <c r="Q1512" s="2" t="str">
        <f>_xlfn.XLOOKUP(ESales_DB[[#This Row],[Store_ID]],Estore_DB[Store_ID],Estore_DB[Region])</f>
        <v>East</v>
      </c>
      <c r="R1512" t="str">
        <f>VLOOKUP(ESales_DB[[#This Row],[Customer_ID]],Ecustom_DB[],10,FALSE)</f>
        <v>Gold</v>
      </c>
      <c r="S1512" t="str">
        <f>IF(ESales_DB[[#This Row],[Quantity1]]&gt;3,"Bulk order","Normal order")</f>
        <v>Bulk order</v>
      </c>
    </row>
    <row r="1513" spans="1:19" x14ac:dyDescent="0.3">
      <c r="A1513" t="s">
        <v>2385</v>
      </c>
      <c r="B1513" s="4">
        <v>45256</v>
      </c>
      <c r="C1513" s="4" t="str">
        <f>TEXT(ESales_DB[[#This Row],[Order_Date]],"mmm")</f>
        <v>Nov</v>
      </c>
      <c r="D1513" t="s">
        <v>1214</v>
      </c>
      <c r="E1513" t="s">
        <v>1730</v>
      </c>
      <c r="F1513" t="s">
        <v>1804</v>
      </c>
      <c r="G1513">
        <v>1</v>
      </c>
      <c r="H1513" s="10">
        <f>IF(ISBLANK(ESales_DB[[#This Row],[Quantity]]),AVERAGEIF(ESales_DB[Product_ID],ESales_DB[[#This Row],[Product_ID]],ESales_DB[Quantity]),ESales_DB[[#This Row],[Quantity]])</f>
        <v>1</v>
      </c>
      <c r="I1513" s="2">
        <v>499.59</v>
      </c>
      <c r="J1513">
        <v>0.03</v>
      </c>
      <c r="K1513" t="s">
        <v>1829</v>
      </c>
      <c r="L1513" s="2">
        <v>484.60230000000001</v>
      </c>
      <c r="M1513" s="2" t="str">
        <f>IF(ESales_DB[[#This Row],[Total_Amount]]&gt;1000,"High","Low")</f>
        <v>Low</v>
      </c>
      <c r="N1513" s="2" t="str">
        <f>VLOOKUP(ESales_DB[[#This Row],[Customer_ID]],Ecustom_DB[],3,FALSE)</f>
        <v>Cynthia Lopez</v>
      </c>
      <c r="O1513" s="2" t="str">
        <f>_xlfn.XLOOKUP(ESales_DB[[#This Row],[Product_ID]],Eproduct_DB[Product_ID],Eproduct_DB[Category])</f>
        <v>Clothing</v>
      </c>
      <c r="P1513" s="2" t="str">
        <f>_xlfn.XLOOKUP(ESales_DB[[#This Row],[Product_ID]],Eproduct_DB[Product_ID],Eproduct_DB[Product_Name])</f>
        <v>Women's High Heels</v>
      </c>
      <c r="Q1513" s="2" t="str">
        <f>_xlfn.XLOOKUP(ESales_DB[[#This Row],[Store_ID]],Estore_DB[Store_ID],Estore_DB[Region])</f>
        <v>West</v>
      </c>
      <c r="R1513" t="str">
        <f>VLOOKUP(ESales_DB[[#This Row],[Customer_ID]],Ecustom_DB[],10,FALSE)</f>
        <v>Platinum</v>
      </c>
      <c r="S1513" t="str">
        <f>IF(ESales_DB[[#This Row],[Quantity1]]&gt;3,"Bulk order","Normal order")</f>
        <v>Normal order</v>
      </c>
    </row>
    <row r="1514" spans="1:19" x14ac:dyDescent="0.3">
      <c r="A1514" t="s">
        <v>1882</v>
      </c>
      <c r="B1514" s="4">
        <v>45282</v>
      </c>
      <c r="C1514" s="4" t="str">
        <f>TEXT(ESales_DB[[#This Row],[Order_Date]],"mmm")</f>
        <v>Dec</v>
      </c>
      <c r="D1514" t="s">
        <v>292</v>
      </c>
      <c r="E1514" t="s">
        <v>1616</v>
      </c>
      <c r="F1514" t="s">
        <v>1776</v>
      </c>
      <c r="G1514">
        <v>2</v>
      </c>
      <c r="H1514" s="10">
        <f>IF(ISBLANK(ESales_DB[[#This Row],[Quantity]]),AVERAGEIF(ESales_DB[Product_ID],ESales_DB[[#This Row],[Product_ID]],ESales_DB[Quantity]),ESales_DB[[#This Row],[Quantity]])</f>
        <v>2</v>
      </c>
      <c r="I1514" s="2">
        <v>833.7</v>
      </c>
      <c r="J1514">
        <v>0.06</v>
      </c>
      <c r="K1514" t="s">
        <v>1826</v>
      </c>
      <c r="L1514" s="2">
        <v>1567.356</v>
      </c>
      <c r="M1514" s="2" t="str">
        <f>IF(ESales_DB[[#This Row],[Total_Amount]]&gt;1000,"High","Low")</f>
        <v>High</v>
      </c>
      <c r="N1514" s="2" t="str">
        <f>VLOOKUP(ESales_DB[[#This Row],[Customer_ID]],Ecustom_DB[],3,FALSE)</f>
        <v>Jennifer Garcia</v>
      </c>
      <c r="O1514" s="2" t="str">
        <f>_xlfn.XLOOKUP(ESales_DB[[#This Row],[Product_ID]],Eproduct_DB[Product_ID],Eproduct_DB[Category])</f>
        <v>Electronics</v>
      </c>
      <c r="P1514" s="2" t="str">
        <f>_xlfn.XLOOKUP(ESales_DB[[#This Row],[Product_ID]],Eproduct_DB[Product_ID],Eproduct_DB[Product_Name])</f>
        <v>Gaming Mechanical Keyboard</v>
      </c>
      <c r="Q1514" s="2" t="str">
        <f>_xlfn.XLOOKUP(ESales_DB[[#This Row],[Store_ID]],Estore_DB[Store_ID],Estore_DB[Region])</f>
        <v>East</v>
      </c>
      <c r="R1514" t="str">
        <f>VLOOKUP(ESales_DB[[#This Row],[Customer_ID]],Ecustom_DB[],10,FALSE)</f>
        <v>Bronze</v>
      </c>
      <c r="S1514" t="str">
        <f>IF(ESales_DB[[#This Row],[Quantity1]]&gt;3,"Bulk order","Normal order")</f>
        <v>Normal order</v>
      </c>
    </row>
    <row r="1515" spans="1:19" x14ac:dyDescent="0.3">
      <c r="A1515" t="s">
        <v>2386</v>
      </c>
      <c r="B1515" s="4">
        <v>45326</v>
      </c>
      <c r="C1515" s="4" t="str">
        <f>TEXT(ESales_DB[[#This Row],[Order_Date]],"mmm")</f>
        <v>Feb</v>
      </c>
      <c r="D1515" t="s">
        <v>619</v>
      </c>
      <c r="E1515" t="s">
        <v>1608</v>
      </c>
      <c r="F1515" t="s">
        <v>1782</v>
      </c>
      <c r="G1515">
        <v>3</v>
      </c>
      <c r="H1515" s="10">
        <f>IF(ISBLANK(ESales_DB[[#This Row],[Quantity]]),AVERAGEIF(ESales_DB[Product_ID],ESales_DB[[#This Row],[Product_ID]],ESales_DB[Quantity]),ESales_DB[[#This Row],[Quantity]])</f>
        <v>3</v>
      </c>
      <c r="I1515" s="2">
        <v>330.04</v>
      </c>
      <c r="J1515">
        <v>0.2</v>
      </c>
      <c r="K1515" t="s">
        <v>1824</v>
      </c>
      <c r="L1515" s="2">
        <v>792.09600000000012</v>
      </c>
      <c r="M1515" s="2" t="str">
        <f>IF(ESales_DB[[#This Row],[Total_Amount]]&gt;1000,"High","Low")</f>
        <v>Low</v>
      </c>
      <c r="N1515" s="2" t="str">
        <f>VLOOKUP(ESales_DB[[#This Row],[Customer_ID]],Ecustom_DB[],3,FALSE)</f>
        <v>Kimberly Brooks</v>
      </c>
      <c r="O1515" s="2" t="str">
        <f>_xlfn.XLOOKUP(ESales_DB[[#This Row],[Product_ID]],Eproduct_DB[Product_ID],Eproduct_DB[Category])</f>
        <v>Home</v>
      </c>
      <c r="P1515" s="2" t="str">
        <f>_xlfn.XLOOKUP(ESales_DB[[#This Row],[Product_ID]],Eproduct_DB[Product_ID],Eproduct_DB[Product_Name])</f>
        <v>Stainless Steel Cutlery Set</v>
      </c>
      <c r="Q1515" s="2" t="str">
        <f>_xlfn.XLOOKUP(ESales_DB[[#This Row],[Store_ID]],Estore_DB[Store_ID],Estore_DB[Region])</f>
        <v>West</v>
      </c>
      <c r="R1515" t="str">
        <f>VLOOKUP(ESales_DB[[#This Row],[Customer_ID]],Ecustom_DB[],10,FALSE)</f>
        <v>Silver</v>
      </c>
      <c r="S1515" t="str">
        <f>IF(ESales_DB[[#This Row],[Quantity1]]&gt;3,"Bulk order","Normal order")</f>
        <v>Normal order</v>
      </c>
    </row>
    <row r="1516" spans="1:19" x14ac:dyDescent="0.3">
      <c r="A1516" t="s">
        <v>2387</v>
      </c>
      <c r="B1516" s="4">
        <v>45459</v>
      </c>
      <c r="C1516" s="4" t="str">
        <f>TEXT(ESales_DB[[#This Row],[Order_Date]],"mmm")</f>
        <v>Jun</v>
      </c>
      <c r="D1516" t="s">
        <v>601</v>
      </c>
      <c r="E1516" t="s">
        <v>1570</v>
      </c>
      <c r="F1516" t="s">
        <v>1807</v>
      </c>
      <c r="G1516">
        <v>2</v>
      </c>
      <c r="H1516" s="10">
        <f>IF(ISBLANK(ESales_DB[[#This Row],[Quantity]]),AVERAGEIF(ESales_DB[Product_ID],ESales_DB[[#This Row],[Product_ID]],ESales_DB[Quantity]),ESales_DB[[#This Row],[Quantity]])</f>
        <v>2</v>
      </c>
      <c r="I1516" s="2">
        <v>813.01</v>
      </c>
      <c r="J1516">
        <v>0.06</v>
      </c>
      <c r="K1516" t="s">
        <v>1826</v>
      </c>
      <c r="L1516" s="2">
        <v>1528.4588000000001</v>
      </c>
      <c r="M1516" s="2" t="str">
        <f>IF(ESales_DB[[#This Row],[Total_Amount]]&gt;1000,"High","Low")</f>
        <v>High</v>
      </c>
      <c r="N1516" s="2" t="str">
        <f>VLOOKUP(ESales_DB[[#This Row],[Customer_ID]],Ecustom_DB[],3,FALSE)</f>
        <v>Melissa Hamilton</v>
      </c>
      <c r="O1516" s="2" t="str">
        <f>_xlfn.XLOOKUP(ESales_DB[[#This Row],[Product_ID]],Eproduct_DB[Product_ID],Eproduct_DB[Category])</f>
        <v>Electronics</v>
      </c>
      <c r="P1516" s="2" t="str">
        <f>_xlfn.XLOOKUP(ESales_DB[[#This Row],[Product_ID]],Eproduct_DB[Product_ID],Eproduct_DB[Product_Name])</f>
        <v>HD Smart TV Stick</v>
      </c>
      <c r="Q1516" s="2" t="str">
        <f>_xlfn.XLOOKUP(ESales_DB[[#This Row],[Store_ID]],Estore_DB[Store_ID],Estore_DB[Region])</f>
        <v>North</v>
      </c>
      <c r="R1516" t="str">
        <f>VLOOKUP(ESales_DB[[#This Row],[Customer_ID]],Ecustom_DB[],10,FALSE)</f>
        <v>Silver</v>
      </c>
      <c r="S1516" t="str">
        <f>IF(ESales_DB[[#This Row],[Quantity1]]&gt;3,"Bulk order","Normal order")</f>
        <v>Normal order</v>
      </c>
    </row>
    <row r="1517" spans="1:19" x14ac:dyDescent="0.3">
      <c r="A1517" t="s">
        <v>2388</v>
      </c>
      <c r="B1517" s="4">
        <v>45715</v>
      </c>
      <c r="C1517" s="4" t="str">
        <f>TEXT(ESales_DB[[#This Row],[Order_Date]],"mmm")</f>
        <v>Feb</v>
      </c>
      <c r="D1517" t="s">
        <v>110</v>
      </c>
      <c r="E1517" t="s">
        <v>1546</v>
      </c>
      <c r="F1517" t="s">
        <v>1761</v>
      </c>
      <c r="G1517">
        <v>4</v>
      </c>
      <c r="H1517" s="10">
        <f>IF(ISBLANK(ESales_DB[[#This Row],[Quantity]]),AVERAGEIF(ESales_DB[Product_ID],ESales_DB[[#This Row],[Product_ID]],ESales_DB[Quantity]),ESales_DB[[#This Row],[Quantity]])</f>
        <v>4</v>
      </c>
      <c r="I1517" s="2">
        <v>204.8</v>
      </c>
      <c r="J1517">
        <v>0.03</v>
      </c>
      <c r="K1517" t="s">
        <v>1826</v>
      </c>
      <c r="L1517" s="2">
        <v>794.62400000000002</v>
      </c>
      <c r="M1517" s="2" t="str">
        <f>IF(ESales_DB[[#This Row],[Total_Amount]]&gt;1000,"High","Low")</f>
        <v>Low</v>
      </c>
      <c r="N1517" s="2" t="str">
        <f>VLOOKUP(ESales_DB[[#This Row],[Customer_ID]],Ecustom_DB[],3,FALSE)</f>
        <v>Amber Carlson</v>
      </c>
      <c r="O1517" s="2" t="str">
        <f>_xlfn.XLOOKUP(ESales_DB[[#This Row],[Product_ID]],Eproduct_DB[Product_ID],Eproduct_DB[Category])</f>
        <v>Clothing</v>
      </c>
      <c r="P1517" s="2" t="str">
        <f>_xlfn.XLOOKUP(ESales_DB[[#This Row],[Product_ID]],Eproduct_DB[Product_ID],Eproduct_DB[Product_Name])</f>
        <v>Men's Graphic T-Shirt</v>
      </c>
      <c r="Q1517" s="2" t="str">
        <f>_xlfn.XLOOKUP(ESales_DB[[#This Row],[Store_ID]],Estore_DB[Store_ID],Estore_DB[Region])</f>
        <v>South</v>
      </c>
      <c r="R1517" t="str">
        <f>VLOOKUP(ESales_DB[[#This Row],[Customer_ID]],Ecustom_DB[],10,FALSE)</f>
        <v>Gold</v>
      </c>
      <c r="S1517" t="str">
        <f>IF(ESales_DB[[#This Row],[Quantity1]]&gt;3,"Bulk order","Normal order")</f>
        <v>Bulk order</v>
      </c>
    </row>
    <row r="1518" spans="1:19" x14ac:dyDescent="0.3">
      <c r="A1518" t="s">
        <v>2389</v>
      </c>
      <c r="B1518" s="4">
        <v>45223</v>
      </c>
      <c r="C1518" s="4" t="str">
        <f>TEXT(ESales_DB[[#This Row],[Order_Date]],"mmm")</f>
        <v>Oct</v>
      </c>
      <c r="D1518" t="s">
        <v>55</v>
      </c>
      <c r="E1518" t="s">
        <v>1551</v>
      </c>
      <c r="F1518" t="s">
        <v>1766</v>
      </c>
      <c r="G1518">
        <v>3</v>
      </c>
      <c r="H1518" s="10">
        <f>IF(ISBLANK(ESales_DB[[#This Row],[Quantity]]),AVERAGEIF(ESales_DB[Product_ID],ESales_DB[[#This Row],[Product_ID]],ESales_DB[Quantity]),ESales_DB[[#This Row],[Quantity]])</f>
        <v>3</v>
      </c>
      <c r="I1518" s="2">
        <v>728.32</v>
      </c>
      <c r="J1518">
        <v>0.01</v>
      </c>
      <c r="K1518" t="s">
        <v>1824</v>
      </c>
      <c r="L1518" s="2">
        <v>2163.1104</v>
      </c>
      <c r="M1518" s="2" t="str">
        <f>IF(ESales_DB[[#This Row],[Total_Amount]]&gt;1000,"High","Low")</f>
        <v>High</v>
      </c>
      <c r="N1518" s="2" t="str">
        <f>VLOOKUP(ESales_DB[[#This Row],[Customer_ID]],Ecustom_DB[],3,FALSE)</f>
        <v>Brian Lopez</v>
      </c>
      <c r="O1518" s="2" t="str">
        <f>_xlfn.XLOOKUP(ESales_DB[[#This Row],[Product_ID]],Eproduct_DB[Product_ID],Eproduct_DB[Category])</f>
        <v>Clothing</v>
      </c>
      <c r="P1518" s="2" t="str">
        <f>_xlfn.XLOOKUP(ESales_DB[[#This Row],[Product_ID]],Eproduct_DB[Product_ID],Eproduct_DB[Product_Name])</f>
        <v>Men's Running Jacket</v>
      </c>
      <c r="Q1518" s="2" t="str">
        <f>_xlfn.XLOOKUP(ESales_DB[[#This Row],[Store_ID]],Estore_DB[Store_ID],Estore_DB[Region])</f>
        <v>North</v>
      </c>
      <c r="R1518" t="str">
        <f>VLOOKUP(ESales_DB[[#This Row],[Customer_ID]],Ecustom_DB[],10,FALSE)</f>
        <v>Gold</v>
      </c>
      <c r="S1518" t="str">
        <f>IF(ESales_DB[[#This Row],[Quantity1]]&gt;3,"Bulk order","Normal order")</f>
        <v>Normal order</v>
      </c>
    </row>
    <row r="1519" spans="1:19" x14ac:dyDescent="0.3">
      <c r="A1519" t="s">
        <v>2390</v>
      </c>
      <c r="B1519" s="4">
        <v>45507</v>
      </c>
      <c r="C1519" s="4" t="str">
        <f>TEXT(ESales_DB[[#This Row],[Order_Date]],"mmm")</f>
        <v>Aug</v>
      </c>
      <c r="D1519" t="s">
        <v>1397</v>
      </c>
      <c r="E1519" t="s">
        <v>1666</v>
      </c>
      <c r="F1519" t="s">
        <v>1779</v>
      </c>
      <c r="G1519">
        <v>3</v>
      </c>
      <c r="H1519" s="10">
        <f>IF(ISBLANK(ESales_DB[[#This Row],[Quantity]]),AVERAGEIF(ESales_DB[Product_ID],ESales_DB[[#This Row],[Product_ID]],ESales_DB[Quantity]),ESales_DB[[#This Row],[Quantity]])</f>
        <v>3</v>
      </c>
      <c r="I1519" s="2">
        <v>836.4</v>
      </c>
      <c r="J1519">
        <v>0</v>
      </c>
      <c r="K1519" t="s">
        <v>1824</v>
      </c>
      <c r="L1519" s="2">
        <v>2509.1999999999998</v>
      </c>
      <c r="M1519" s="2" t="str">
        <f>IF(ESales_DB[[#This Row],[Total_Amount]]&gt;1000,"High","Low")</f>
        <v>High</v>
      </c>
      <c r="N1519" s="2" t="str">
        <f>VLOOKUP(ESales_DB[[#This Row],[Customer_ID]],Ecustom_DB[],3,FALSE)</f>
        <v>Jeffery Wolf</v>
      </c>
      <c r="O1519" s="2" t="str">
        <f>_xlfn.XLOOKUP(ESales_DB[[#This Row],[Product_ID]],Eproduct_DB[Product_ID],Eproduct_DB[Category])</f>
        <v>Beauty</v>
      </c>
      <c r="P1519" s="2" t="str">
        <f>_xlfn.XLOOKUP(ESales_DB[[#This Row],[Product_ID]],Eproduct_DB[Product_ID],Eproduct_DB[Product_Name])</f>
        <v>Men's Hair Styling Gel</v>
      </c>
      <c r="Q1519" s="2" t="str">
        <f>_xlfn.XLOOKUP(ESales_DB[[#This Row],[Store_ID]],Estore_DB[Store_ID],Estore_DB[Region])</f>
        <v>South</v>
      </c>
      <c r="R1519" t="str">
        <f>VLOOKUP(ESales_DB[[#This Row],[Customer_ID]],Ecustom_DB[],10,FALSE)</f>
        <v>Bronze</v>
      </c>
      <c r="S1519" t="str">
        <f>IF(ESales_DB[[#This Row],[Quantity1]]&gt;3,"Bulk order","Normal order")</f>
        <v>Normal order</v>
      </c>
    </row>
    <row r="1520" spans="1:19" x14ac:dyDescent="0.3">
      <c r="A1520" t="s">
        <v>2391</v>
      </c>
      <c r="B1520" s="4">
        <v>45843</v>
      </c>
      <c r="C1520" s="4" t="str">
        <f>TEXT(ESales_DB[[#This Row],[Order_Date]],"mmm")</f>
        <v>Jul</v>
      </c>
      <c r="D1520" t="s">
        <v>502</v>
      </c>
      <c r="E1520" t="s">
        <v>1728</v>
      </c>
      <c r="F1520" t="s">
        <v>1794</v>
      </c>
      <c r="G1520">
        <v>1</v>
      </c>
      <c r="H1520" s="10">
        <f>IF(ISBLANK(ESales_DB[[#This Row],[Quantity]]),AVERAGEIF(ESales_DB[Product_ID],ESales_DB[[#This Row],[Product_ID]],ESales_DB[Quantity]),ESales_DB[[#This Row],[Quantity]])</f>
        <v>1</v>
      </c>
      <c r="I1520" s="2">
        <v>780.16</v>
      </c>
      <c r="J1520">
        <v>0.02</v>
      </c>
      <c r="K1520" t="s">
        <v>1829</v>
      </c>
      <c r="L1520" s="2">
        <v>764.55679999999995</v>
      </c>
      <c r="M1520" s="2" t="str">
        <f>IF(ESales_DB[[#This Row],[Total_Amount]]&gt;1000,"High","Low")</f>
        <v>Low</v>
      </c>
      <c r="N1520" s="2" t="str">
        <f>VLOOKUP(ESales_DB[[#This Row],[Customer_ID]],Ecustom_DB[],3,FALSE)</f>
        <v>Denise Griffin</v>
      </c>
      <c r="O1520" s="2" t="str">
        <f>_xlfn.XLOOKUP(ESales_DB[[#This Row],[Product_ID]],Eproduct_DB[Product_ID],Eproduct_DB[Category])</f>
        <v>Electronics</v>
      </c>
      <c r="P1520" s="2" t="str">
        <f>_xlfn.XLOOKUP(ESales_DB[[#This Row],[Product_ID]],Eproduct_DB[Product_ID],Eproduct_DB[Product_Name])</f>
        <v>Gaming Mouse Pad XL</v>
      </c>
      <c r="Q1520" s="2" t="str">
        <f>_xlfn.XLOOKUP(ESales_DB[[#This Row],[Store_ID]],Estore_DB[Store_ID],Estore_DB[Region])</f>
        <v>North</v>
      </c>
      <c r="R1520" t="str">
        <f>VLOOKUP(ESales_DB[[#This Row],[Customer_ID]],Ecustom_DB[],10,FALSE)</f>
        <v>Platinum</v>
      </c>
      <c r="S1520" t="str">
        <f>IF(ESales_DB[[#This Row],[Quantity1]]&gt;3,"Bulk order","Normal order")</f>
        <v>Normal order</v>
      </c>
    </row>
    <row r="1521" spans="1:19" x14ac:dyDescent="0.3">
      <c r="A1521" t="s">
        <v>2392</v>
      </c>
      <c r="B1521" s="4">
        <v>45804</v>
      </c>
      <c r="C1521" s="4" t="str">
        <f>TEXT(ESales_DB[[#This Row],[Order_Date]],"mmm")</f>
        <v>May</v>
      </c>
      <c r="D1521" t="s">
        <v>1449</v>
      </c>
      <c r="E1521" t="s">
        <v>1640</v>
      </c>
      <c r="F1521" t="s">
        <v>1797</v>
      </c>
      <c r="G1521">
        <v>4</v>
      </c>
      <c r="H1521" s="10">
        <f>IF(ISBLANK(ESales_DB[[#This Row],[Quantity]]),AVERAGEIF(ESales_DB[Product_ID],ESales_DB[[#This Row],[Product_ID]],ESales_DB[Quantity]),ESales_DB[[#This Row],[Quantity]])</f>
        <v>4</v>
      </c>
      <c r="I1521" s="2">
        <v>354.12</v>
      </c>
      <c r="J1521">
        <v>0.06</v>
      </c>
      <c r="K1521" t="s">
        <v>1826</v>
      </c>
      <c r="L1521" s="2">
        <v>1331.4911999999999</v>
      </c>
      <c r="M1521" s="2" t="str">
        <f>IF(ESales_DB[[#This Row],[Total_Amount]]&gt;1000,"High","Low")</f>
        <v>High</v>
      </c>
      <c r="N1521" s="2" t="str">
        <f>VLOOKUP(ESales_DB[[#This Row],[Customer_ID]],Ecustom_DB[],3,FALSE)</f>
        <v>Manuel Fisher</v>
      </c>
      <c r="O1521" s="2" t="str">
        <f>_xlfn.XLOOKUP(ESales_DB[[#This Row],[Product_ID]],Eproduct_DB[Product_ID],Eproduct_DB[Category])</f>
        <v>Clothing</v>
      </c>
      <c r="P1521" s="2" t="str">
        <f>_xlfn.XLOOKUP(ESales_DB[[#This Row],[Product_ID]],Eproduct_DB[Product_ID],Eproduct_DB[Product_Name])</f>
        <v>Men's Winter Jacket</v>
      </c>
      <c r="Q1521" s="2" t="str">
        <f>_xlfn.XLOOKUP(ESales_DB[[#This Row],[Store_ID]],Estore_DB[Store_ID],Estore_DB[Region])</f>
        <v>East</v>
      </c>
      <c r="R1521" t="str">
        <f>VLOOKUP(ESales_DB[[#This Row],[Customer_ID]],Ecustom_DB[],10,FALSE)</f>
        <v>Gold</v>
      </c>
      <c r="S1521" t="str">
        <f>IF(ESales_DB[[#This Row],[Quantity1]]&gt;3,"Bulk order","Normal order")</f>
        <v>Bulk order</v>
      </c>
    </row>
    <row r="1522" spans="1:19" x14ac:dyDescent="0.3">
      <c r="A1522" t="s">
        <v>2393</v>
      </c>
      <c r="B1522" s="4">
        <v>45602</v>
      </c>
      <c r="C1522" s="4" t="str">
        <f>TEXT(ESales_DB[[#This Row],[Order_Date]],"mmm")</f>
        <v>Nov</v>
      </c>
      <c r="D1522" t="s">
        <v>1397</v>
      </c>
      <c r="E1522" t="s">
        <v>1674</v>
      </c>
      <c r="F1522" t="s">
        <v>1761</v>
      </c>
      <c r="G1522">
        <v>4</v>
      </c>
      <c r="H1522" s="10">
        <f>IF(ISBLANK(ESales_DB[[#This Row],[Quantity]]),AVERAGEIF(ESales_DB[Product_ID],ESales_DB[[#This Row],[Product_ID]],ESales_DB[Quantity]),ESales_DB[[#This Row],[Quantity]])</f>
        <v>4</v>
      </c>
      <c r="I1522" s="2">
        <v>282.48</v>
      </c>
      <c r="J1522">
        <v>0.11</v>
      </c>
      <c r="K1522" t="s">
        <v>1826</v>
      </c>
      <c r="L1522" s="2">
        <v>1005.6288</v>
      </c>
      <c r="M1522" s="2" t="str">
        <f>IF(ESales_DB[[#This Row],[Total_Amount]]&gt;1000,"High","Low")</f>
        <v>High</v>
      </c>
      <c r="N1522" s="2" t="str">
        <f>VLOOKUP(ESales_DB[[#This Row],[Customer_ID]],Ecustom_DB[],3,FALSE)</f>
        <v>Jeffery Wolf</v>
      </c>
      <c r="O1522" s="2" t="str">
        <f>_xlfn.XLOOKUP(ESales_DB[[#This Row],[Product_ID]],Eproduct_DB[Product_ID],Eproduct_DB[Category])</f>
        <v>Beauty</v>
      </c>
      <c r="P1522" s="2" t="str">
        <f>_xlfn.XLOOKUP(ESales_DB[[#This Row],[Product_ID]],Eproduct_DB[Product_ID],Eproduct_DB[Product_Name])</f>
        <v>Organic Sunscreen Lotion</v>
      </c>
      <c r="Q1522" s="2" t="str">
        <f>_xlfn.XLOOKUP(ESales_DB[[#This Row],[Store_ID]],Estore_DB[Store_ID],Estore_DB[Region])</f>
        <v>South</v>
      </c>
      <c r="R1522" t="str">
        <f>VLOOKUP(ESales_DB[[#This Row],[Customer_ID]],Ecustom_DB[],10,FALSE)</f>
        <v>Bronze</v>
      </c>
      <c r="S1522" t="str">
        <f>IF(ESales_DB[[#This Row],[Quantity1]]&gt;3,"Bulk order","Normal order")</f>
        <v>Bulk order</v>
      </c>
    </row>
    <row r="1523" spans="1:19" x14ac:dyDescent="0.3">
      <c r="A1523" t="s">
        <v>2394</v>
      </c>
      <c r="B1523" s="4">
        <v>45446</v>
      </c>
      <c r="C1523" s="4" t="str">
        <f>TEXT(ESales_DB[[#This Row],[Order_Date]],"mmm")</f>
        <v>Jun</v>
      </c>
      <c r="D1523" t="s">
        <v>1032</v>
      </c>
      <c r="E1523" t="s">
        <v>1588</v>
      </c>
      <c r="F1523" t="s">
        <v>1776</v>
      </c>
      <c r="G1523">
        <v>2</v>
      </c>
      <c r="H1523" s="10">
        <f>IF(ISBLANK(ESales_DB[[#This Row],[Quantity]]),AVERAGEIF(ESales_DB[Product_ID],ESales_DB[[#This Row],[Product_ID]],ESales_DB[Quantity]),ESales_DB[[#This Row],[Quantity]])</f>
        <v>2</v>
      </c>
      <c r="I1523" s="2">
        <v>740.68</v>
      </c>
      <c r="J1523">
        <v>0.02</v>
      </c>
      <c r="K1523" t="s">
        <v>1826</v>
      </c>
      <c r="L1523" s="2">
        <v>1451.7328</v>
      </c>
      <c r="M1523" s="2" t="str">
        <f>IF(ESales_DB[[#This Row],[Total_Amount]]&gt;1000,"High","Low")</f>
        <v>High</v>
      </c>
      <c r="N1523" s="2" t="str">
        <f>VLOOKUP(ESales_DB[[#This Row],[Customer_ID]],Ecustom_DB[],3,FALSE)</f>
        <v>Mario Harvey Jr.</v>
      </c>
      <c r="O1523" s="2" t="str">
        <f>_xlfn.XLOOKUP(ESales_DB[[#This Row],[Product_ID]],Eproduct_DB[Product_ID],Eproduct_DB[Category])</f>
        <v>Sports</v>
      </c>
      <c r="P1523" s="2" t="str">
        <f>_xlfn.XLOOKUP(ESales_DB[[#This Row],[Product_ID]],Eproduct_DB[Product_ID],Eproduct_DB[Product_Name])</f>
        <v>Outdoor Sports Water Bottle</v>
      </c>
      <c r="Q1523" s="2" t="str">
        <f>_xlfn.XLOOKUP(ESales_DB[[#This Row],[Store_ID]],Estore_DB[Store_ID],Estore_DB[Region])</f>
        <v>East</v>
      </c>
      <c r="R1523" t="str">
        <f>VLOOKUP(ESales_DB[[#This Row],[Customer_ID]],Ecustom_DB[],10,FALSE)</f>
        <v>Platinum</v>
      </c>
      <c r="S1523" t="str">
        <f>IF(ESales_DB[[#This Row],[Quantity1]]&gt;3,"Bulk order","Normal order")</f>
        <v>Normal order</v>
      </c>
    </row>
    <row r="1524" spans="1:19" x14ac:dyDescent="0.3">
      <c r="A1524" t="s">
        <v>2395</v>
      </c>
      <c r="B1524" s="4">
        <v>45384</v>
      </c>
      <c r="C1524" s="4" t="str">
        <f>TEXT(ESales_DB[[#This Row],[Order_Date]],"mmm")</f>
        <v>Apr</v>
      </c>
      <c r="D1524" t="s">
        <v>372</v>
      </c>
      <c r="E1524" t="s">
        <v>1660</v>
      </c>
      <c r="F1524" t="s">
        <v>1786</v>
      </c>
      <c r="G1524">
        <v>3</v>
      </c>
      <c r="H1524" s="10">
        <f>IF(ISBLANK(ESales_DB[[#This Row],[Quantity]]),AVERAGEIF(ESales_DB[Product_ID],ESales_DB[[#This Row],[Product_ID]],ESales_DB[Quantity]),ESales_DB[[#This Row],[Quantity]])</f>
        <v>3</v>
      </c>
      <c r="I1524" s="2">
        <v>600.58000000000004</v>
      </c>
      <c r="J1524">
        <v>0.28999999999999998</v>
      </c>
      <c r="K1524" t="s">
        <v>1829</v>
      </c>
      <c r="L1524" s="2">
        <v>1279.2354</v>
      </c>
      <c r="M1524" s="2" t="str">
        <f>IF(ESales_DB[[#This Row],[Total_Amount]]&gt;1000,"High","Low")</f>
        <v>High</v>
      </c>
      <c r="N1524" s="2" t="str">
        <f>VLOOKUP(ESales_DB[[#This Row],[Customer_ID]],Ecustom_DB[],3,FALSE)</f>
        <v>Lance Baker</v>
      </c>
      <c r="O1524" s="2" t="str">
        <f>_xlfn.XLOOKUP(ESales_DB[[#This Row],[Product_ID]],Eproduct_DB[Product_ID],Eproduct_DB[Category])</f>
        <v>Home</v>
      </c>
      <c r="P1524" s="2" t="str">
        <f>_xlfn.XLOOKUP(ESales_DB[[#This Row],[Product_ID]],Eproduct_DB[Product_ID],Eproduct_DB[Product_Name])</f>
        <v>Premium Blanket Throw</v>
      </c>
      <c r="Q1524" s="2" t="str">
        <f>_xlfn.XLOOKUP(ESales_DB[[#This Row],[Store_ID]],Estore_DB[Store_ID],Estore_DB[Region])</f>
        <v>South</v>
      </c>
      <c r="R1524" t="str">
        <f>VLOOKUP(ESales_DB[[#This Row],[Customer_ID]],Ecustom_DB[],10,FALSE)</f>
        <v>Gold</v>
      </c>
      <c r="S1524" t="str">
        <f>IF(ESales_DB[[#This Row],[Quantity1]]&gt;3,"Bulk order","Normal order")</f>
        <v>Normal order</v>
      </c>
    </row>
    <row r="1525" spans="1:19" x14ac:dyDescent="0.3">
      <c r="A1525" t="s">
        <v>1883</v>
      </c>
      <c r="B1525" s="4">
        <v>45462</v>
      </c>
      <c r="C1525" s="4" t="str">
        <f>TEXT(ESales_DB[[#This Row],[Order_Date]],"mmm")</f>
        <v>Jun</v>
      </c>
      <c r="D1525" t="s">
        <v>1440</v>
      </c>
      <c r="E1525" t="s">
        <v>1642</v>
      </c>
      <c r="F1525" t="s">
        <v>1799</v>
      </c>
      <c r="G1525">
        <v>2</v>
      </c>
      <c r="H1525" s="10">
        <f>IF(ISBLANK(ESales_DB[[#This Row],[Quantity]]),AVERAGEIF(ESales_DB[Product_ID],ESales_DB[[#This Row],[Product_ID]],ESales_DB[Quantity]),ESales_DB[[#This Row],[Quantity]])</f>
        <v>2</v>
      </c>
      <c r="I1525" s="2">
        <v>680.16</v>
      </c>
      <c r="J1525">
        <v>0.28000000000000003</v>
      </c>
      <c r="K1525" t="s">
        <v>1824</v>
      </c>
      <c r="L1525" s="2">
        <v>979.43039999999996</v>
      </c>
      <c r="M1525" s="2" t="str">
        <f>IF(ESales_DB[[#This Row],[Total_Amount]]&gt;1000,"High","Low")</f>
        <v>Low</v>
      </c>
      <c r="N1525" s="2" t="str">
        <f>VLOOKUP(ESales_DB[[#This Row],[Customer_ID]],Ecustom_DB[],3,FALSE)</f>
        <v>Michael Foley</v>
      </c>
      <c r="O1525" s="2" t="str">
        <f>_xlfn.XLOOKUP(ESales_DB[[#This Row],[Product_ID]],Eproduct_DB[Product_ID],Eproduct_DB[Category])</f>
        <v>Beauty</v>
      </c>
      <c r="P1525" s="2" t="str">
        <f>_xlfn.XLOOKUP(ESales_DB[[#This Row],[Product_ID]],Eproduct_DB[Product_ID],Eproduct_DB[Product_Name])</f>
        <v>Makeup Brush Set</v>
      </c>
      <c r="Q1525" s="2" t="str">
        <f>_xlfn.XLOOKUP(ESales_DB[[#This Row],[Store_ID]],Estore_DB[Store_ID],Estore_DB[Region])</f>
        <v>South</v>
      </c>
      <c r="R1525" t="str">
        <f>VLOOKUP(ESales_DB[[#This Row],[Customer_ID]],Ecustom_DB[],10,FALSE)</f>
        <v>Gold</v>
      </c>
      <c r="S1525" t="str">
        <f>IF(ESales_DB[[#This Row],[Quantity1]]&gt;3,"Bulk order","Normal order")</f>
        <v>Normal order</v>
      </c>
    </row>
    <row r="1526" spans="1:19" x14ac:dyDescent="0.3">
      <c r="A1526" t="s">
        <v>2396</v>
      </c>
      <c r="B1526" s="4">
        <v>45348</v>
      </c>
      <c r="C1526" s="4" t="str">
        <f>TEXT(ESales_DB[[#This Row],[Order_Date]],"mmm")</f>
        <v>Feb</v>
      </c>
      <c r="D1526" t="s">
        <v>1422</v>
      </c>
      <c r="E1526" t="s">
        <v>1678</v>
      </c>
      <c r="F1526" t="s">
        <v>1766</v>
      </c>
      <c r="G1526">
        <v>3</v>
      </c>
      <c r="H1526" s="10">
        <f>IF(ISBLANK(ESales_DB[[#This Row],[Quantity]]),AVERAGEIF(ESales_DB[Product_ID],ESales_DB[[#This Row],[Product_ID]],ESales_DB[Quantity]),ESales_DB[[#This Row],[Quantity]])</f>
        <v>3</v>
      </c>
      <c r="I1526" s="2">
        <v>345.58</v>
      </c>
      <c r="J1526">
        <v>0.22</v>
      </c>
      <c r="K1526" t="s">
        <v>1824</v>
      </c>
      <c r="L1526" s="2">
        <v>808.65719999999999</v>
      </c>
      <c r="M1526" s="2" t="str">
        <f>IF(ESales_DB[[#This Row],[Total_Amount]]&gt;1000,"High","Low")</f>
        <v>Low</v>
      </c>
      <c r="N1526" s="2" t="str">
        <f>VLOOKUP(ESales_DB[[#This Row],[Customer_ID]],Ecustom_DB[],3,FALSE)</f>
        <v>Paul Cox</v>
      </c>
      <c r="O1526" s="2" t="str">
        <f>_xlfn.XLOOKUP(ESales_DB[[#This Row],[Product_ID]],Eproduct_DB[Product_ID],Eproduct_DB[Category])</f>
        <v>Sports</v>
      </c>
      <c r="P1526" s="2" t="str">
        <f>_xlfn.XLOOKUP(ESales_DB[[#This Row],[Product_ID]],Eproduct_DB[Product_ID],Eproduct_DB[Product_Name])</f>
        <v>Adjustable Dumbbells 20kg</v>
      </c>
      <c r="Q1526" s="2" t="str">
        <f>_xlfn.XLOOKUP(ESales_DB[[#This Row],[Store_ID]],Estore_DB[Store_ID],Estore_DB[Region])</f>
        <v>North</v>
      </c>
      <c r="R1526" t="str">
        <f>VLOOKUP(ESales_DB[[#This Row],[Customer_ID]],Ecustom_DB[],10,FALSE)</f>
        <v>Silver</v>
      </c>
      <c r="S1526" t="str">
        <f>IF(ESales_DB[[#This Row],[Quantity1]]&gt;3,"Bulk order","Normal order")</f>
        <v>Normal order</v>
      </c>
    </row>
    <row r="1527" spans="1:19" x14ac:dyDescent="0.3">
      <c r="A1527" t="s">
        <v>2397</v>
      </c>
      <c r="B1527" s="4">
        <v>45688</v>
      </c>
      <c r="C1527" s="4" t="str">
        <f>TEXT(ESales_DB[[#This Row],[Order_Date]],"mmm")</f>
        <v>Jan</v>
      </c>
      <c r="D1527" t="s">
        <v>902</v>
      </c>
      <c r="E1527" t="s">
        <v>1584</v>
      </c>
      <c r="F1527" t="s">
        <v>1792</v>
      </c>
      <c r="G1527">
        <v>1</v>
      </c>
      <c r="H1527" s="10">
        <f>IF(ISBLANK(ESales_DB[[#This Row],[Quantity]]),AVERAGEIF(ESales_DB[Product_ID],ESales_DB[[#This Row],[Product_ID]],ESales_DB[Quantity]),ESales_DB[[#This Row],[Quantity]])</f>
        <v>1</v>
      </c>
      <c r="I1527" s="2">
        <v>974.52</v>
      </c>
      <c r="J1527">
        <v>0.01</v>
      </c>
      <c r="K1527" t="s">
        <v>1826</v>
      </c>
      <c r="L1527" s="2">
        <v>964.77480000000003</v>
      </c>
      <c r="M1527" s="2" t="str">
        <f>IF(ESales_DB[[#This Row],[Total_Amount]]&gt;1000,"High","Low")</f>
        <v>Low</v>
      </c>
      <c r="N1527" s="2" t="str">
        <f>VLOOKUP(ESales_DB[[#This Row],[Customer_ID]],Ecustom_DB[],3,FALSE)</f>
        <v>Hunter Sutton</v>
      </c>
      <c r="O1527" s="2" t="str">
        <f>_xlfn.XLOOKUP(ESales_DB[[#This Row],[Product_ID]],Eproduct_DB[Product_ID],Eproduct_DB[Category])</f>
        <v>Clothing</v>
      </c>
      <c r="P1527" s="2" t="str">
        <f>_xlfn.XLOOKUP(ESales_DB[[#This Row],[Product_ID]],Eproduct_DB[Product_ID],Eproduct_DB[Product_Name])</f>
        <v>Women's Denim Jeans</v>
      </c>
      <c r="Q1527" s="2" t="str">
        <f>_xlfn.XLOOKUP(ESales_DB[[#This Row],[Store_ID]],Estore_DB[Store_ID],Estore_DB[Region])</f>
        <v>South</v>
      </c>
      <c r="R1527" t="str">
        <f>VLOOKUP(ESales_DB[[#This Row],[Customer_ID]],Ecustom_DB[],10,FALSE)</f>
        <v>Gold</v>
      </c>
      <c r="S1527" t="str">
        <f>IF(ESales_DB[[#This Row],[Quantity1]]&gt;3,"Bulk order","Normal order")</f>
        <v>Normal order</v>
      </c>
    </row>
    <row r="1528" spans="1:19" x14ac:dyDescent="0.3">
      <c r="A1528" t="s">
        <v>2398</v>
      </c>
      <c r="B1528" s="4">
        <v>45249</v>
      </c>
      <c r="C1528" s="4" t="str">
        <f>TEXT(ESales_DB[[#This Row],[Order_Date]],"mmm")</f>
        <v>Nov</v>
      </c>
      <c r="D1528" t="s">
        <v>157</v>
      </c>
      <c r="E1528" t="s">
        <v>1582</v>
      </c>
      <c r="F1528" t="s">
        <v>1757</v>
      </c>
      <c r="G1528">
        <v>3</v>
      </c>
      <c r="H1528" s="10">
        <f>IF(ISBLANK(ESales_DB[[#This Row],[Quantity]]),AVERAGEIF(ESales_DB[Product_ID],ESales_DB[[#This Row],[Product_ID]],ESales_DB[Quantity]),ESales_DB[[#This Row],[Quantity]])</f>
        <v>3</v>
      </c>
      <c r="I1528" s="2">
        <v>282.33</v>
      </c>
      <c r="J1528">
        <v>7.0000000000000007E-2</v>
      </c>
      <c r="K1528" t="s">
        <v>1824</v>
      </c>
      <c r="L1528" s="2">
        <v>787.70069999999998</v>
      </c>
      <c r="M1528" s="2" t="str">
        <f>IF(ESales_DB[[#This Row],[Total_Amount]]&gt;1000,"High","Low")</f>
        <v>Low</v>
      </c>
      <c r="N1528" s="2" t="str">
        <f>VLOOKUP(ESales_DB[[#This Row],[Customer_ID]],Ecustom_DB[],3,FALSE)</f>
        <v>Eric Vega</v>
      </c>
      <c r="O1528" s="2" t="str">
        <f>_xlfn.XLOOKUP(ESales_DB[[#This Row],[Product_ID]],Eproduct_DB[Product_ID],Eproduct_DB[Category])</f>
        <v>Sports</v>
      </c>
      <c r="P1528" s="2" t="str">
        <f>_xlfn.XLOOKUP(ESales_DB[[#This Row],[Product_ID]],Eproduct_DB[Product_ID],Eproduct_DB[Product_Name])</f>
        <v>Soccer Training Cone Set</v>
      </c>
      <c r="Q1528" s="2" t="str">
        <f>_xlfn.XLOOKUP(ESales_DB[[#This Row],[Store_ID]],Estore_DB[Store_ID],Estore_DB[Region])</f>
        <v>North</v>
      </c>
      <c r="R1528" t="str">
        <f>VLOOKUP(ESales_DB[[#This Row],[Customer_ID]],Ecustom_DB[],10,FALSE)</f>
        <v>Gold</v>
      </c>
      <c r="S1528" t="str">
        <f>IF(ESales_DB[[#This Row],[Quantity1]]&gt;3,"Bulk order","Normal order")</f>
        <v>Normal order</v>
      </c>
    </row>
    <row r="1529" spans="1:19" x14ac:dyDescent="0.3">
      <c r="A1529" t="s">
        <v>2399</v>
      </c>
      <c r="B1529" s="4">
        <v>45726</v>
      </c>
      <c r="C1529" s="4" t="str">
        <f>TEXT(ESales_DB[[#This Row],[Order_Date]],"mmm")</f>
        <v>Mar</v>
      </c>
      <c r="D1529" t="s">
        <v>1193</v>
      </c>
      <c r="E1529" t="s">
        <v>1700</v>
      </c>
      <c r="F1529" t="s">
        <v>1813</v>
      </c>
      <c r="G1529">
        <v>4</v>
      </c>
      <c r="H1529" s="10">
        <f>IF(ISBLANK(ESales_DB[[#This Row],[Quantity]]),AVERAGEIF(ESales_DB[Product_ID],ESales_DB[[#This Row],[Product_ID]],ESales_DB[Quantity]),ESales_DB[[#This Row],[Quantity]])</f>
        <v>4</v>
      </c>
      <c r="I1529" s="2">
        <v>158.46</v>
      </c>
      <c r="J1529">
        <v>0.09</v>
      </c>
      <c r="K1529" t="s">
        <v>1826</v>
      </c>
      <c r="L1529" s="2">
        <v>576.7944</v>
      </c>
      <c r="M1529" s="2" t="str">
        <f>IF(ESales_DB[[#This Row],[Total_Amount]]&gt;1000,"High","Low")</f>
        <v>Low</v>
      </c>
      <c r="N1529" s="2" t="str">
        <f>VLOOKUP(ESales_DB[[#This Row],[Customer_ID]],Ecustom_DB[],3,FALSE)</f>
        <v>Martha Brown</v>
      </c>
      <c r="O1529" s="2" t="str">
        <f>_xlfn.XLOOKUP(ESales_DB[[#This Row],[Product_ID]],Eproduct_DB[Product_ID],Eproduct_DB[Category])</f>
        <v>Electronics</v>
      </c>
      <c r="P1529" s="2" t="str">
        <f>_xlfn.XLOOKUP(ESales_DB[[#This Row],[Product_ID]],Eproduct_DB[Product_ID],Eproduct_DB[Product_Name])</f>
        <v>Wireless Mouse</v>
      </c>
      <c r="Q1529" s="2" t="str">
        <f>_xlfn.XLOOKUP(ESales_DB[[#This Row],[Store_ID]],Estore_DB[Store_ID],Estore_DB[Region])</f>
        <v>East</v>
      </c>
      <c r="R1529" t="str">
        <f>VLOOKUP(ESales_DB[[#This Row],[Customer_ID]],Ecustom_DB[],10,FALSE)</f>
        <v>Gold</v>
      </c>
      <c r="S1529" t="str">
        <f>IF(ESales_DB[[#This Row],[Quantity1]]&gt;3,"Bulk order","Normal order")</f>
        <v>Bulk order</v>
      </c>
    </row>
    <row r="1530" spans="1:19" x14ac:dyDescent="0.3">
      <c r="A1530" t="s">
        <v>2400</v>
      </c>
      <c r="B1530" s="4">
        <v>45283</v>
      </c>
      <c r="C1530" s="4" t="str">
        <f>TEXT(ESales_DB[[#This Row],[Order_Date]],"mmm")</f>
        <v>Dec</v>
      </c>
      <c r="D1530" t="s">
        <v>1077</v>
      </c>
      <c r="E1530" t="s">
        <v>1658</v>
      </c>
      <c r="F1530" t="s">
        <v>1779</v>
      </c>
      <c r="G1530">
        <v>2</v>
      </c>
      <c r="H1530" s="10">
        <f>IF(ISBLANK(ESales_DB[[#This Row],[Quantity]]),AVERAGEIF(ESales_DB[Product_ID],ESales_DB[[#This Row],[Product_ID]],ESales_DB[Quantity]),ESales_DB[[#This Row],[Quantity]])</f>
        <v>2</v>
      </c>
      <c r="I1530" s="2">
        <v>778.56</v>
      </c>
      <c r="J1530">
        <v>0.11</v>
      </c>
      <c r="K1530" t="s">
        <v>1829</v>
      </c>
      <c r="L1530" s="2">
        <v>1385.8368</v>
      </c>
      <c r="M1530" s="2" t="str">
        <f>IF(ESales_DB[[#This Row],[Total_Amount]]&gt;1000,"High","Low")</f>
        <v>High</v>
      </c>
      <c r="N1530" s="2" t="str">
        <f>VLOOKUP(ESales_DB[[#This Row],[Customer_ID]],Ecustom_DB[],3,FALSE)</f>
        <v>Ryan Moore</v>
      </c>
      <c r="O1530" s="2" t="str">
        <f>_xlfn.XLOOKUP(ESales_DB[[#This Row],[Product_ID]],Eproduct_DB[Product_ID],Eproduct_DB[Category])</f>
        <v>Home</v>
      </c>
      <c r="P1530" s="2" t="str">
        <f>_xlfn.XLOOKUP(ESales_DB[[#This Row],[Product_ID]],Eproduct_DB[Product_ID],Eproduct_DB[Product_Name])</f>
        <v>Ceramic Plant Pot</v>
      </c>
      <c r="Q1530" s="2" t="str">
        <f>_xlfn.XLOOKUP(ESales_DB[[#This Row],[Store_ID]],Estore_DB[Store_ID],Estore_DB[Region])</f>
        <v>South</v>
      </c>
      <c r="R1530" t="str">
        <f>VLOOKUP(ESales_DB[[#This Row],[Customer_ID]],Ecustom_DB[],10,FALSE)</f>
        <v>Bronze</v>
      </c>
      <c r="S1530" t="str">
        <f>IF(ESales_DB[[#This Row],[Quantity1]]&gt;3,"Bulk order","Normal order")</f>
        <v>Normal order</v>
      </c>
    </row>
    <row r="1531" spans="1:19" x14ac:dyDescent="0.3">
      <c r="A1531" t="s">
        <v>2401</v>
      </c>
      <c r="B1531" s="4">
        <v>45353</v>
      </c>
      <c r="C1531" s="4" t="str">
        <f>TEXT(ESales_DB[[#This Row],[Order_Date]],"mmm")</f>
        <v>Mar</v>
      </c>
      <c r="D1531" t="s">
        <v>761</v>
      </c>
      <c r="E1531" t="s">
        <v>1648</v>
      </c>
      <c r="F1531" t="s">
        <v>1813</v>
      </c>
      <c r="G1531">
        <v>4</v>
      </c>
      <c r="H1531" s="10">
        <f>IF(ISBLANK(ESales_DB[[#This Row],[Quantity]]),AVERAGEIF(ESales_DB[Product_ID],ESales_DB[[#This Row],[Product_ID]],ESales_DB[Quantity]),ESales_DB[[#This Row],[Quantity]])</f>
        <v>4</v>
      </c>
      <c r="I1531" s="2">
        <v>280.16000000000003</v>
      </c>
      <c r="J1531">
        <v>0.18</v>
      </c>
      <c r="K1531" t="s">
        <v>1829</v>
      </c>
      <c r="L1531" s="2">
        <v>918.92480000000012</v>
      </c>
      <c r="M1531" s="2" t="str">
        <f>IF(ESales_DB[[#This Row],[Total_Amount]]&gt;1000,"High","Low")</f>
        <v>Low</v>
      </c>
      <c r="N1531" s="2" t="str">
        <f>VLOOKUP(ESales_DB[[#This Row],[Customer_ID]],Ecustom_DB[],3,FALSE)</f>
        <v>Wesley Short</v>
      </c>
      <c r="O1531" s="2" t="str">
        <f>_xlfn.XLOOKUP(ESales_DB[[#This Row],[Product_ID]],Eproduct_DB[Product_ID],Eproduct_DB[Category])</f>
        <v>Sports</v>
      </c>
      <c r="P1531" s="2" t="str">
        <f>_xlfn.XLOOKUP(ESales_DB[[#This Row],[Product_ID]],Eproduct_DB[Product_ID],Eproduct_DB[Product_Name])</f>
        <v>Boxing Hand Wraps</v>
      </c>
      <c r="Q1531" s="2" t="str">
        <f>_xlfn.XLOOKUP(ESales_DB[[#This Row],[Store_ID]],Estore_DB[Store_ID],Estore_DB[Region])</f>
        <v>East</v>
      </c>
      <c r="R1531" t="str">
        <f>VLOOKUP(ESales_DB[[#This Row],[Customer_ID]],Ecustom_DB[],10,FALSE)</f>
        <v>Gold</v>
      </c>
      <c r="S1531" t="str">
        <f>IF(ESales_DB[[#This Row],[Quantity1]]&gt;3,"Bulk order","Normal order")</f>
        <v>Bulk order</v>
      </c>
    </row>
    <row r="1532" spans="1:19" x14ac:dyDescent="0.3">
      <c r="A1532" t="s">
        <v>2402</v>
      </c>
      <c r="B1532" s="4">
        <v>45592</v>
      </c>
      <c r="C1532" s="4" t="str">
        <f>TEXT(ESales_DB[[#This Row],[Order_Date]],"mmm")</f>
        <v>Oct</v>
      </c>
      <c r="D1532" t="s">
        <v>911</v>
      </c>
      <c r="E1532" t="s">
        <v>1690</v>
      </c>
      <c r="F1532" t="s">
        <v>1797</v>
      </c>
      <c r="G1532">
        <v>2</v>
      </c>
      <c r="H1532" s="10">
        <f>IF(ISBLANK(ESales_DB[[#This Row],[Quantity]]),AVERAGEIF(ESales_DB[Product_ID],ESales_DB[[#This Row],[Product_ID]],ESales_DB[Quantity]),ESales_DB[[#This Row],[Quantity]])</f>
        <v>2</v>
      </c>
      <c r="I1532" s="2">
        <v>649.54999999999995</v>
      </c>
      <c r="J1532">
        <v>0.28999999999999998</v>
      </c>
      <c r="K1532" t="s">
        <v>1826</v>
      </c>
      <c r="L1532" s="2">
        <v>922.36099999999988</v>
      </c>
      <c r="M1532" s="2" t="str">
        <f>IF(ESales_DB[[#This Row],[Total_Amount]]&gt;1000,"High","Low")</f>
        <v>Low</v>
      </c>
      <c r="N1532" s="2" t="str">
        <f>VLOOKUP(ESales_DB[[#This Row],[Customer_ID]],Ecustom_DB[],3,FALSE)</f>
        <v>Cynthia Roberts</v>
      </c>
      <c r="O1532" s="2" t="str">
        <f>_xlfn.XLOOKUP(ESales_DB[[#This Row],[Product_ID]],Eproduct_DB[Product_ID],Eproduct_DB[Category])</f>
        <v>Beauty</v>
      </c>
      <c r="P1532" s="2" t="str">
        <f>_xlfn.XLOOKUP(ESales_DB[[#This Row],[Product_ID]],Eproduct_DB[Product_ID],Eproduct_DB[Product_Name])</f>
        <v>Hair Repair Oil Treatment</v>
      </c>
      <c r="Q1532" s="2" t="str">
        <f>_xlfn.XLOOKUP(ESales_DB[[#This Row],[Store_ID]],Estore_DB[Store_ID],Estore_DB[Region])</f>
        <v>East</v>
      </c>
      <c r="R1532" t="str">
        <f>VLOOKUP(ESales_DB[[#This Row],[Customer_ID]],Ecustom_DB[],10,FALSE)</f>
        <v>Gold</v>
      </c>
      <c r="S1532" t="str">
        <f>IF(ESales_DB[[#This Row],[Quantity1]]&gt;3,"Bulk order","Normal order")</f>
        <v>Normal order</v>
      </c>
    </row>
    <row r="1533" spans="1:19" x14ac:dyDescent="0.3">
      <c r="A1533" t="s">
        <v>2403</v>
      </c>
      <c r="B1533" s="4">
        <v>45360</v>
      </c>
      <c r="C1533" s="4" t="str">
        <f>TEXT(ESales_DB[[#This Row],[Order_Date]],"mmm")</f>
        <v>Mar</v>
      </c>
      <c r="D1533" t="s">
        <v>40</v>
      </c>
      <c r="E1533" t="s">
        <v>1724</v>
      </c>
      <c r="F1533" t="s">
        <v>1761</v>
      </c>
      <c r="G1533">
        <v>2</v>
      </c>
      <c r="H1533" s="10">
        <f>IF(ISBLANK(ESales_DB[[#This Row],[Quantity]]),AVERAGEIF(ESales_DB[Product_ID],ESales_DB[[#This Row],[Product_ID]],ESales_DB[Quantity]),ESales_DB[[#This Row],[Quantity]])</f>
        <v>2</v>
      </c>
      <c r="I1533" s="2">
        <v>994.32</v>
      </c>
      <c r="J1533">
        <v>0.27</v>
      </c>
      <c r="K1533" t="s">
        <v>1826</v>
      </c>
      <c r="L1533" s="2">
        <v>1451.7072000000001</v>
      </c>
      <c r="M1533" s="2" t="str">
        <f>IF(ESales_DB[[#This Row],[Total_Amount]]&gt;1000,"High","Low")</f>
        <v>High</v>
      </c>
      <c r="N1533" s="2" t="str">
        <f>VLOOKUP(ESales_DB[[#This Row],[Customer_ID]],Ecustom_DB[],3,FALSE)</f>
        <v>Daniel Boyd</v>
      </c>
      <c r="O1533" s="2" t="str">
        <f>_xlfn.XLOOKUP(ESales_DB[[#This Row],[Product_ID]],Eproduct_DB[Product_ID],Eproduct_DB[Category])</f>
        <v>Sports</v>
      </c>
      <c r="P1533" s="2" t="str">
        <f>_xlfn.XLOOKUP(ESales_DB[[#This Row],[Product_ID]],Eproduct_DB[Product_ID],Eproduct_DB[Product_Name])</f>
        <v>Sports Wrist Sweatbands</v>
      </c>
      <c r="Q1533" s="2" t="str">
        <f>_xlfn.XLOOKUP(ESales_DB[[#This Row],[Store_ID]],Estore_DB[Store_ID],Estore_DB[Region])</f>
        <v>South</v>
      </c>
      <c r="R1533" t="str">
        <f>VLOOKUP(ESales_DB[[#This Row],[Customer_ID]],Ecustom_DB[],10,FALSE)</f>
        <v>Bronze</v>
      </c>
      <c r="S1533" t="str">
        <f>IF(ESales_DB[[#This Row],[Quantity1]]&gt;3,"Bulk order","Normal order")</f>
        <v>Normal order</v>
      </c>
    </row>
    <row r="1534" spans="1:19" x14ac:dyDescent="0.3">
      <c r="A1534" t="s">
        <v>2404</v>
      </c>
      <c r="B1534" s="4">
        <v>45649</v>
      </c>
      <c r="C1534" s="4" t="str">
        <f>TEXT(ESales_DB[[#This Row],[Order_Date]],"mmm")</f>
        <v>Dec</v>
      </c>
      <c r="D1534" t="s">
        <v>722</v>
      </c>
      <c r="E1534" t="s">
        <v>1710</v>
      </c>
      <c r="F1534" t="s">
        <v>1794</v>
      </c>
      <c r="G1534">
        <v>1</v>
      </c>
      <c r="H1534" s="10">
        <f>IF(ISBLANK(ESales_DB[[#This Row],[Quantity]]),AVERAGEIF(ESales_DB[Product_ID],ESales_DB[[#This Row],[Product_ID]],ESales_DB[Quantity]),ESales_DB[[#This Row],[Quantity]])</f>
        <v>1</v>
      </c>
      <c r="I1534" s="2">
        <v>64.94</v>
      </c>
      <c r="J1534">
        <v>0.21</v>
      </c>
      <c r="K1534" t="s">
        <v>1826</v>
      </c>
      <c r="L1534" s="2">
        <v>51.302599999999998</v>
      </c>
      <c r="M1534" s="2" t="str">
        <f>IF(ESales_DB[[#This Row],[Total_Amount]]&gt;1000,"High","Low")</f>
        <v>Low</v>
      </c>
      <c r="N1534" s="2" t="str">
        <f>VLOOKUP(ESales_DB[[#This Row],[Customer_ID]],Ecustom_DB[],3,FALSE)</f>
        <v>Robert Harris</v>
      </c>
      <c r="O1534" s="2" t="str">
        <f>_xlfn.XLOOKUP(ESales_DB[[#This Row],[Product_ID]],Eproduct_DB[Product_ID],Eproduct_DB[Category])</f>
        <v>Sports</v>
      </c>
      <c r="P1534" s="2" t="str">
        <f>_xlfn.XLOOKUP(ESales_DB[[#This Row],[Product_ID]],Eproduct_DB[Product_ID],Eproduct_DB[Product_Name])</f>
        <v>Badminton Racket Set</v>
      </c>
      <c r="Q1534" s="2" t="str">
        <f>_xlfn.XLOOKUP(ESales_DB[[#This Row],[Store_ID]],Estore_DB[Store_ID],Estore_DB[Region])</f>
        <v>North</v>
      </c>
      <c r="R1534" t="str">
        <f>VLOOKUP(ESales_DB[[#This Row],[Customer_ID]],Ecustom_DB[],10,FALSE)</f>
        <v>Platinum</v>
      </c>
      <c r="S1534" t="str">
        <f>IF(ESales_DB[[#This Row],[Quantity1]]&gt;3,"Bulk order","Normal order")</f>
        <v>Normal order</v>
      </c>
    </row>
    <row r="1535" spans="1:19" x14ac:dyDescent="0.3">
      <c r="A1535" t="s">
        <v>2405</v>
      </c>
      <c r="B1535" s="4">
        <v>45709</v>
      </c>
      <c r="C1535" s="4" t="str">
        <f>TEXT(ESales_DB[[#This Row],[Order_Date]],"mmm")</f>
        <v>Feb</v>
      </c>
      <c r="D1535" t="s">
        <v>464</v>
      </c>
      <c r="E1535" t="s">
        <v>1626</v>
      </c>
      <c r="F1535" t="s">
        <v>1779</v>
      </c>
      <c r="G1535">
        <v>2</v>
      </c>
      <c r="H1535" s="10">
        <f>IF(ISBLANK(ESales_DB[[#This Row],[Quantity]]),AVERAGEIF(ESales_DB[Product_ID],ESales_DB[[#This Row],[Product_ID]],ESales_DB[Quantity]),ESales_DB[[#This Row],[Quantity]])</f>
        <v>2</v>
      </c>
      <c r="I1535" s="2">
        <v>507.66</v>
      </c>
      <c r="J1535">
        <v>0</v>
      </c>
      <c r="K1535" t="s">
        <v>1829</v>
      </c>
      <c r="L1535" s="2">
        <v>1015.32</v>
      </c>
      <c r="M1535" s="2" t="str">
        <f>IF(ESales_DB[[#This Row],[Total_Amount]]&gt;1000,"High","Low")</f>
        <v>High</v>
      </c>
      <c r="N1535" s="2" t="str">
        <f>VLOOKUP(ESales_DB[[#This Row],[Customer_ID]],Ecustom_DB[],3,FALSE)</f>
        <v>Patrick Coleman</v>
      </c>
      <c r="O1535" s="2" t="str">
        <f>_xlfn.XLOOKUP(ESales_DB[[#This Row],[Product_ID]],Eproduct_DB[Product_ID],Eproduct_DB[Category])</f>
        <v>Electronics</v>
      </c>
      <c r="P1535" s="2" t="str">
        <f>_xlfn.XLOOKUP(ESales_DB[[#This Row],[Product_ID]],Eproduct_DB[Product_ID],Eproduct_DB[Product_Name])</f>
        <v>Portable Power Bank</v>
      </c>
      <c r="Q1535" s="2" t="str">
        <f>_xlfn.XLOOKUP(ESales_DB[[#This Row],[Store_ID]],Estore_DB[Store_ID],Estore_DB[Region])</f>
        <v>South</v>
      </c>
      <c r="R1535" t="str">
        <f>VLOOKUP(ESales_DB[[#This Row],[Customer_ID]],Ecustom_DB[],10,FALSE)</f>
        <v>Silver</v>
      </c>
      <c r="S1535" t="str">
        <f>IF(ESales_DB[[#This Row],[Quantity1]]&gt;3,"Bulk order","Normal order")</f>
        <v>Normal order</v>
      </c>
    </row>
    <row r="1536" spans="1:19" x14ac:dyDescent="0.3">
      <c r="A1536" t="s">
        <v>1884</v>
      </c>
      <c r="B1536" s="4">
        <v>45633</v>
      </c>
      <c r="C1536" s="4" t="str">
        <f>TEXT(ESales_DB[[#This Row],[Order_Date]],"mmm")</f>
        <v>Dec</v>
      </c>
      <c r="D1536" t="s">
        <v>1257</v>
      </c>
      <c r="E1536" t="s">
        <v>1578</v>
      </c>
      <c r="F1536" t="s">
        <v>1779</v>
      </c>
      <c r="G1536">
        <v>4</v>
      </c>
      <c r="H1536" s="10">
        <f>IF(ISBLANK(ESales_DB[[#This Row],[Quantity]]),AVERAGEIF(ESales_DB[Product_ID],ESales_DB[[#This Row],[Product_ID]],ESales_DB[Quantity]),ESales_DB[[#This Row],[Quantity]])</f>
        <v>4</v>
      </c>
      <c r="I1536" s="2">
        <v>733.42</v>
      </c>
      <c r="K1536" t="s">
        <v>1826</v>
      </c>
      <c r="L1536" s="2">
        <v>2552.3015999999998</v>
      </c>
      <c r="M1536" s="2" t="str">
        <f>IF(ESales_DB[[#This Row],[Total_Amount]]&gt;1000,"High","Low")</f>
        <v>High</v>
      </c>
      <c r="N1536" s="2" t="str">
        <f>VLOOKUP(ESales_DB[[#This Row],[Customer_ID]],Ecustom_DB[],3,FALSE)</f>
        <v>David Ross</v>
      </c>
      <c r="O1536" s="2" t="str">
        <f>_xlfn.XLOOKUP(ESales_DB[[#This Row],[Product_ID]],Eproduct_DB[Product_ID],Eproduct_DB[Category])</f>
        <v>Electronics</v>
      </c>
      <c r="P1536" s="2" t="str">
        <f>_xlfn.XLOOKUP(ESales_DB[[#This Row],[Product_ID]],Eproduct_DB[Product_ID],Eproduct_DB[Product_Name])</f>
        <v>4K Home Projector</v>
      </c>
      <c r="Q1536" s="2" t="str">
        <f>_xlfn.XLOOKUP(ESales_DB[[#This Row],[Store_ID]],Estore_DB[Store_ID],Estore_DB[Region])</f>
        <v>South</v>
      </c>
      <c r="R1536" t="str">
        <f>VLOOKUP(ESales_DB[[#This Row],[Customer_ID]],Ecustom_DB[],10,FALSE)</f>
        <v>Silver</v>
      </c>
      <c r="S1536" t="str">
        <f>IF(ESales_DB[[#This Row],[Quantity1]]&gt;3,"Bulk order","Normal order")</f>
        <v>Bulk order</v>
      </c>
    </row>
    <row r="1537" spans="1:19" x14ac:dyDescent="0.3">
      <c r="A1537" t="s">
        <v>2406</v>
      </c>
      <c r="B1537" s="4">
        <v>45273</v>
      </c>
      <c r="C1537" s="4" t="str">
        <f>TEXT(ESales_DB[[#This Row],[Order_Date]],"mmm")</f>
        <v>Dec</v>
      </c>
      <c r="D1537" t="s">
        <v>776</v>
      </c>
      <c r="E1537" t="s">
        <v>1710</v>
      </c>
      <c r="F1537" t="s">
        <v>1769</v>
      </c>
      <c r="G1537">
        <v>4</v>
      </c>
      <c r="H1537" s="10">
        <f>IF(ISBLANK(ESales_DB[[#This Row],[Quantity]]),AVERAGEIF(ESales_DB[Product_ID],ESales_DB[[#This Row],[Product_ID]],ESales_DB[Quantity]),ESales_DB[[#This Row],[Quantity]])</f>
        <v>4</v>
      </c>
      <c r="I1537" s="2">
        <v>968.27</v>
      </c>
      <c r="J1537">
        <v>0.03</v>
      </c>
      <c r="K1537" t="s">
        <v>1826</v>
      </c>
      <c r="L1537" s="2">
        <v>3756.8876</v>
      </c>
      <c r="M1537" s="2" t="str">
        <f>IF(ESales_DB[[#This Row],[Total_Amount]]&gt;1000,"High","Low")</f>
        <v>High</v>
      </c>
      <c r="N1537" s="2" t="str">
        <f>VLOOKUP(ESales_DB[[#This Row],[Customer_ID]],Ecustom_DB[],3,FALSE)</f>
        <v>William Jackson</v>
      </c>
      <c r="O1537" s="2" t="str">
        <f>_xlfn.XLOOKUP(ESales_DB[[#This Row],[Product_ID]],Eproduct_DB[Product_ID],Eproduct_DB[Category])</f>
        <v>Sports</v>
      </c>
      <c r="P1537" s="2" t="str">
        <f>_xlfn.XLOOKUP(ESales_DB[[#This Row],[Product_ID]],Eproduct_DB[Product_ID],Eproduct_DB[Product_Name])</f>
        <v>Badminton Racket Set</v>
      </c>
      <c r="Q1537" s="2" t="str">
        <f>_xlfn.XLOOKUP(ESales_DB[[#This Row],[Store_ID]],Estore_DB[Store_ID],Estore_DB[Region])</f>
        <v>South</v>
      </c>
      <c r="R1537" t="str">
        <f>VLOOKUP(ESales_DB[[#This Row],[Customer_ID]],Ecustom_DB[],10,FALSE)</f>
        <v>Silver</v>
      </c>
      <c r="S1537" t="str">
        <f>IF(ESales_DB[[#This Row],[Quantity1]]&gt;3,"Bulk order","Normal order")</f>
        <v>Bulk order</v>
      </c>
    </row>
    <row r="1538" spans="1:19" x14ac:dyDescent="0.3">
      <c r="A1538" t="s">
        <v>2407</v>
      </c>
      <c r="B1538" s="4">
        <v>45250</v>
      </c>
      <c r="C1538" s="4" t="str">
        <f>TEXT(ESales_DB[[#This Row],[Order_Date]],"mmm")</f>
        <v>Nov</v>
      </c>
      <c r="D1538" t="s">
        <v>78</v>
      </c>
      <c r="E1538" t="s">
        <v>1724</v>
      </c>
      <c r="F1538" t="s">
        <v>1773</v>
      </c>
      <c r="G1538">
        <v>4</v>
      </c>
      <c r="H1538" s="10">
        <f>IF(ISBLANK(ESales_DB[[#This Row],[Quantity]]),AVERAGEIF(ESales_DB[Product_ID],ESales_DB[[#This Row],[Product_ID]],ESales_DB[Quantity]),ESales_DB[[#This Row],[Quantity]])</f>
        <v>4</v>
      </c>
      <c r="I1538" s="2">
        <v>510.33</v>
      </c>
      <c r="J1538">
        <v>0.2</v>
      </c>
      <c r="K1538" t="s">
        <v>1826</v>
      </c>
      <c r="L1538" s="2">
        <v>1633.056</v>
      </c>
      <c r="M1538" s="2" t="str">
        <f>IF(ESales_DB[[#This Row],[Total_Amount]]&gt;1000,"High","Low")</f>
        <v>High</v>
      </c>
      <c r="N1538" s="2" t="str">
        <f>VLOOKUP(ESales_DB[[#This Row],[Customer_ID]],Ecustom_DB[],3,FALSE)</f>
        <v>Adam Cruz</v>
      </c>
      <c r="O1538" s="2" t="str">
        <f>_xlfn.XLOOKUP(ESales_DB[[#This Row],[Product_ID]],Eproduct_DB[Product_ID],Eproduct_DB[Category])</f>
        <v>Sports</v>
      </c>
      <c r="P1538" s="2" t="str">
        <f>_xlfn.XLOOKUP(ESales_DB[[#This Row],[Product_ID]],Eproduct_DB[Product_ID],Eproduct_DB[Product_Name])</f>
        <v>Sports Wrist Sweatbands</v>
      </c>
      <c r="Q1538" s="2" t="str">
        <f>_xlfn.XLOOKUP(ESales_DB[[#This Row],[Store_ID]],Estore_DB[Store_ID],Estore_DB[Region])</f>
        <v>North</v>
      </c>
      <c r="R1538" t="str">
        <f>VLOOKUP(ESales_DB[[#This Row],[Customer_ID]],Ecustom_DB[],10,FALSE)</f>
        <v>Platinum</v>
      </c>
      <c r="S1538" t="str">
        <f>IF(ESales_DB[[#This Row],[Quantity1]]&gt;3,"Bulk order","Normal order")</f>
        <v>Bulk order</v>
      </c>
    </row>
    <row r="1539" spans="1:19" x14ac:dyDescent="0.3">
      <c r="A1539" t="s">
        <v>2408</v>
      </c>
      <c r="B1539" s="4">
        <v>45539</v>
      </c>
      <c r="C1539" s="4" t="str">
        <f>TEXT(ESales_DB[[#This Row],[Order_Date]],"mmm")</f>
        <v>Sep</v>
      </c>
      <c r="D1539" t="s">
        <v>55</v>
      </c>
      <c r="E1539" t="s">
        <v>1636</v>
      </c>
      <c r="F1539" t="s">
        <v>1813</v>
      </c>
      <c r="G1539">
        <v>2</v>
      </c>
      <c r="H1539" s="10">
        <f>IF(ISBLANK(ESales_DB[[#This Row],[Quantity]]),AVERAGEIF(ESales_DB[Product_ID],ESales_DB[[#This Row],[Product_ID]],ESales_DB[Quantity]),ESales_DB[[#This Row],[Quantity]])</f>
        <v>2</v>
      </c>
      <c r="I1539" s="2">
        <v>156.72999999999999</v>
      </c>
      <c r="J1539">
        <v>0.18</v>
      </c>
      <c r="K1539" t="s">
        <v>1829</v>
      </c>
      <c r="L1539" s="2">
        <v>257.03719999999998</v>
      </c>
      <c r="M1539" s="2" t="str">
        <f>IF(ESales_DB[[#This Row],[Total_Amount]]&gt;1000,"High","Low")</f>
        <v>Low</v>
      </c>
      <c r="N1539" s="2" t="str">
        <f>VLOOKUP(ESales_DB[[#This Row],[Customer_ID]],Ecustom_DB[],3,FALSE)</f>
        <v>Brian Lopez</v>
      </c>
      <c r="O1539" s="2" t="str">
        <f>_xlfn.XLOOKUP(ESales_DB[[#This Row],[Product_ID]],Eproduct_DB[Product_ID],Eproduct_DB[Category])</f>
        <v>Sports</v>
      </c>
      <c r="P1539" s="2" t="str">
        <f>_xlfn.XLOOKUP(ESales_DB[[#This Row],[Product_ID]],Eproduct_DB[Product_ID],Eproduct_DB[Product_Name])</f>
        <v>Adjustable Jump Rope</v>
      </c>
      <c r="Q1539" s="2" t="str">
        <f>_xlfn.XLOOKUP(ESales_DB[[#This Row],[Store_ID]],Estore_DB[Store_ID],Estore_DB[Region])</f>
        <v>East</v>
      </c>
      <c r="R1539" t="str">
        <f>VLOOKUP(ESales_DB[[#This Row],[Customer_ID]],Ecustom_DB[],10,FALSE)</f>
        <v>Gold</v>
      </c>
      <c r="S1539" t="str">
        <f>IF(ESales_DB[[#This Row],[Quantity1]]&gt;3,"Bulk order","Normal order")</f>
        <v>Normal order</v>
      </c>
    </row>
    <row r="1540" spans="1:19" x14ac:dyDescent="0.3">
      <c r="A1540" t="s">
        <v>2409</v>
      </c>
      <c r="B1540" s="4">
        <v>45810</v>
      </c>
      <c r="C1540" s="4" t="str">
        <f>TEXT(ESales_DB[[#This Row],[Order_Date]],"mmm")</f>
        <v>Jun</v>
      </c>
      <c r="D1540" t="s">
        <v>481</v>
      </c>
      <c r="E1540" t="s">
        <v>1746</v>
      </c>
      <c r="F1540" t="s">
        <v>1789</v>
      </c>
      <c r="G1540">
        <v>3</v>
      </c>
      <c r="H1540" s="10">
        <f>IF(ISBLANK(ESales_DB[[#This Row],[Quantity]]),AVERAGEIF(ESales_DB[Product_ID],ESales_DB[[#This Row],[Product_ID]],ESales_DB[Quantity]),ESales_DB[[#This Row],[Quantity]])</f>
        <v>3</v>
      </c>
      <c r="I1540" s="2">
        <v>53.83</v>
      </c>
      <c r="J1540">
        <v>0.24</v>
      </c>
      <c r="K1540" t="s">
        <v>1824</v>
      </c>
      <c r="L1540" s="2">
        <v>122.7324</v>
      </c>
      <c r="M1540" s="2" t="str">
        <f>IF(ESales_DB[[#This Row],[Total_Amount]]&gt;1000,"High","Low")</f>
        <v>Low</v>
      </c>
      <c r="N1540" s="2" t="str">
        <f>VLOOKUP(ESales_DB[[#This Row],[Customer_ID]],Ecustom_DB[],3,FALSE)</f>
        <v>Maria Ramirez</v>
      </c>
      <c r="O1540" s="2" t="str">
        <f>_xlfn.XLOOKUP(ESales_DB[[#This Row],[Product_ID]],Eproduct_DB[Product_ID],Eproduct_DB[Category])</f>
        <v>Home</v>
      </c>
      <c r="P1540" s="2" t="str">
        <f>_xlfn.XLOOKUP(ESales_DB[[#This Row],[Product_ID]],Eproduct_DB[Product_ID],Eproduct_DB[Product_Name])</f>
        <v>Stainless Steel Cookware Set</v>
      </c>
      <c r="Q1540" s="2" t="str">
        <f>_xlfn.XLOOKUP(ESales_DB[[#This Row],[Store_ID]],Estore_DB[Store_ID],Estore_DB[Region])</f>
        <v>East</v>
      </c>
      <c r="R1540" t="str">
        <f>VLOOKUP(ESales_DB[[#This Row],[Customer_ID]],Ecustom_DB[],10,FALSE)</f>
        <v>Bronze</v>
      </c>
      <c r="S1540" t="str">
        <f>IF(ESales_DB[[#This Row],[Quantity1]]&gt;3,"Bulk order","Normal order")</f>
        <v>Normal order</v>
      </c>
    </row>
    <row r="1541" spans="1:19" x14ac:dyDescent="0.3">
      <c r="A1541" t="s">
        <v>2410</v>
      </c>
      <c r="B1541" s="4">
        <v>45350</v>
      </c>
      <c r="C1541" s="4" t="str">
        <f>TEXT(ESales_DB[[#This Row],[Order_Date]],"mmm")</f>
        <v>Feb</v>
      </c>
      <c r="D1541" t="s">
        <v>1178</v>
      </c>
      <c r="E1541" t="s">
        <v>1704</v>
      </c>
      <c r="F1541" t="s">
        <v>1769</v>
      </c>
      <c r="G1541">
        <v>1</v>
      </c>
      <c r="H1541" s="10">
        <f>IF(ISBLANK(ESales_DB[[#This Row],[Quantity]]),AVERAGEIF(ESales_DB[Product_ID],ESales_DB[[#This Row],[Product_ID]],ESales_DB[Quantity]),ESales_DB[[#This Row],[Quantity]])</f>
        <v>1</v>
      </c>
      <c r="I1541" s="2">
        <v>34.71</v>
      </c>
      <c r="J1541">
        <v>0.1</v>
      </c>
      <c r="K1541" t="s">
        <v>1829</v>
      </c>
      <c r="L1541" s="2">
        <v>31.239000000000001</v>
      </c>
      <c r="M1541" s="2" t="str">
        <f>IF(ESales_DB[[#This Row],[Total_Amount]]&gt;1000,"High","Low")</f>
        <v>Low</v>
      </c>
      <c r="N1541" s="2" t="str">
        <f>VLOOKUP(ESales_DB[[#This Row],[Customer_ID]],Ecustom_DB[],3,FALSE)</f>
        <v>Charles Conley</v>
      </c>
      <c r="O1541" s="2" t="str">
        <f>_xlfn.XLOOKUP(ESales_DB[[#This Row],[Product_ID]],Eproduct_DB[Product_ID],Eproduct_DB[Category])</f>
        <v>Home</v>
      </c>
      <c r="P1541" s="2" t="str">
        <f>_xlfn.XLOOKUP(ESales_DB[[#This Row],[Product_ID]],Eproduct_DB[Product_ID],Eproduct_DB[Product_Name])</f>
        <v>Essential Oil Diffuser</v>
      </c>
      <c r="Q1541" s="2" t="str">
        <f>_xlfn.XLOOKUP(ESales_DB[[#This Row],[Store_ID]],Estore_DB[Store_ID],Estore_DB[Region])</f>
        <v>South</v>
      </c>
      <c r="R1541" t="str">
        <f>VLOOKUP(ESales_DB[[#This Row],[Customer_ID]],Ecustom_DB[],10,FALSE)</f>
        <v>Gold</v>
      </c>
      <c r="S1541" t="str">
        <f>IF(ESales_DB[[#This Row],[Quantity1]]&gt;3,"Bulk order","Normal order")</f>
        <v>Normal order</v>
      </c>
    </row>
    <row r="1542" spans="1:19" x14ac:dyDescent="0.3">
      <c r="A1542" t="s">
        <v>2411</v>
      </c>
      <c r="B1542" s="4">
        <v>45633</v>
      </c>
      <c r="C1542" s="4" t="str">
        <f>TEXT(ESales_DB[[#This Row],[Order_Date]],"mmm")</f>
        <v>Dec</v>
      </c>
      <c r="D1542" t="s">
        <v>737</v>
      </c>
      <c r="E1542" t="s">
        <v>1702</v>
      </c>
      <c r="F1542" t="s">
        <v>1757</v>
      </c>
      <c r="G1542">
        <v>2</v>
      </c>
      <c r="H1542" s="10">
        <f>IF(ISBLANK(ESales_DB[[#This Row],[Quantity]]),AVERAGEIF(ESales_DB[Product_ID],ESales_DB[[#This Row],[Product_ID]],ESales_DB[Quantity]),ESales_DB[[#This Row],[Quantity]])</f>
        <v>2</v>
      </c>
      <c r="I1542" s="2">
        <v>829.15</v>
      </c>
      <c r="J1542">
        <v>0.11</v>
      </c>
      <c r="K1542" t="s">
        <v>1826</v>
      </c>
      <c r="L1542" s="2">
        <v>1475.8869999999999</v>
      </c>
      <c r="M1542" s="2" t="str">
        <f>IF(ESales_DB[[#This Row],[Total_Amount]]&gt;1000,"High","Low")</f>
        <v>High</v>
      </c>
      <c r="N1542" s="2" t="str">
        <f>VLOOKUP(ESales_DB[[#This Row],[Customer_ID]],Ecustom_DB[],3,FALSE)</f>
        <v>Tanner Thompson</v>
      </c>
      <c r="O1542" s="2" t="str">
        <f>_xlfn.XLOOKUP(ESales_DB[[#This Row],[Product_ID]],Eproduct_DB[Product_ID],Eproduct_DB[Category])</f>
        <v>Electronics</v>
      </c>
      <c r="P1542" s="2" t="str">
        <f>_xlfn.XLOOKUP(ESales_DB[[#This Row],[Product_ID]],Eproduct_DB[Product_ID],Eproduct_DB[Product_Name])</f>
        <v>WiFi Mesh Router</v>
      </c>
      <c r="Q1542" s="2" t="str">
        <f>_xlfn.XLOOKUP(ESales_DB[[#This Row],[Store_ID]],Estore_DB[Store_ID],Estore_DB[Region])</f>
        <v>North</v>
      </c>
      <c r="R1542" t="str">
        <f>VLOOKUP(ESales_DB[[#This Row],[Customer_ID]],Ecustom_DB[],10,FALSE)</f>
        <v>Bronze</v>
      </c>
      <c r="S1542" t="str">
        <f>IF(ESales_DB[[#This Row],[Quantity1]]&gt;3,"Bulk order","Normal order")</f>
        <v>Normal order</v>
      </c>
    </row>
    <row r="1543" spans="1:19" x14ac:dyDescent="0.3">
      <c r="A1543" t="s">
        <v>2412</v>
      </c>
      <c r="B1543" s="4">
        <v>45798</v>
      </c>
      <c r="C1543" s="4" t="str">
        <f>TEXT(ESales_DB[[#This Row],[Order_Date]],"mmm")</f>
        <v>May</v>
      </c>
      <c r="D1543" t="s">
        <v>842</v>
      </c>
      <c r="E1543" t="s">
        <v>1744</v>
      </c>
      <c r="F1543" t="s">
        <v>1766</v>
      </c>
      <c r="G1543">
        <v>2</v>
      </c>
      <c r="H1543" s="10">
        <f>IF(ISBLANK(ESales_DB[[#This Row],[Quantity]]),AVERAGEIF(ESales_DB[Product_ID],ESales_DB[[#This Row],[Product_ID]],ESales_DB[Quantity]),ESales_DB[[#This Row],[Quantity]])</f>
        <v>2</v>
      </c>
      <c r="I1543" s="2">
        <v>481.86</v>
      </c>
      <c r="J1543">
        <v>0.1</v>
      </c>
      <c r="K1543" t="s">
        <v>1829</v>
      </c>
      <c r="L1543" s="2">
        <v>867.34800000000007</v>
      </c>
      <c r="M1543" s="2" t="str">
        <f>IF(ESales_DB[[#This Row],[Total_Amount]]&gt;1000,"High","Low")</f>
        <v>Low</v>
      </c>
      <c r="N1543" s="2" t="str">
        <f>VLOOKUP(ESales_DB[[#This Row],[Customer_ID]],Ecustom_DB[],3,FALSE)</f>
        <v>Matthew Payne</v>
      </c>
      <c r="O1543" s="2" t="str">
        <f>_xlfn.XLOOKUP(ESales_DB[[#This Row],[Product_ID]],Eproduct_DB[Product_ID],Eproduct_DB[Category])</f>
        <v>Electronics</v>
      </c>
      <c r="P1543" s="2" t="str">
        <f>_xlfn.XLOOKUP(ESales_DB[[#This Row],[Product_ID]],Eproduct_DB[Product_ID],Eproduct_DB[Product_Name])</f>
        <v>Portable Bluetooth Speaker</v>
      </c>
      <c r="Q1543" s="2" t="str">
        <f>_xlfn.XLOOKUP(ESales_DB[[#This Row],[Store_ID]],Estore_DB[Store_ID],Estore_DB[Region])</f>
        <v>North</v>
      </c>
      <c r="R1543" t="str">
        <f>VLOOKUP(ESales_DB[[#This Row],[Customer_ID]],Ecustom_DB[],10,FALSE)</f>
        <v>Gold</v>
      </c>
      <c r="S1543" t="str">
        <f>IF(ESales_DB[[#This Row],[Quantity1]]&gt;3,"Bulk order","Normal order")</f>
        <v>Normal order</v>
      </c>
    </row>
    <row r="1544" spans="1:19" x14ac:dyDescent="0.3">
      <c r="A1544" t="s">
        <v>2413</v>
      </c>
      <c r="B1544" s="4">
        <v>45354</v>
      </c>
      <c r="C1544" s="4" t="str">
        <f>TEXT(ESales_DB[[#This Row],[Order_Date]],"mmm")</f>
        <v>Mar</v>
      </c>
      <c r="D1544" t="s">
        <v>496</v>
      </c>
      <c r="E1544" t="s">
        <v>1652</v>
      </c>
      <c r="F1544" t="s">
        <v>1779</v>
      </c>
      <c r="G1544">
        <v>4</v>
      </c>
      <c r="H1544" s="10">
        <f>IF(ISBLANK(ESales_DB[[#This Row],[Quantity]]),AVERAGEIF(ESales_DB[Product_ID],ESales_DB[[#This Row],[Product_ID]],ESales_DB[Quantity]),ESales_DB[[#This Row],[Quantity]])</f>
        <v>4</v>
      </c>
      <c r="I1544" s="2">
        <v>915.17</v>
      </c>
      <c r="J1544">
        <v>0.19</v>
      </c>
      <c r="K1544" t="s">
        <v>1829</v>
      </c>
      <c r="L1544" s="2">
        <v>2965.1507999999999</v>
      </c>
      <c r="M1544" s="2" t="str">
        <f>IF(ESales_DB[[#This Row],[Total_Amount]]&gt;1000,"High","Low")</f>
        <v>High</v>
      </c>
      <c r="N1544" s="2" t="str">
        <f>VLOOKUP(ESales_DB[[#This Row],[Customer_ID]],Ecustom_DB[],3,FALSE)</f>
        <v>Rhonda Young</v>
      </c>
      <c r="O1544" s="2" t="str">
        <f>_xlfn.XLOOKUP(ESales_DB[[#This Row],[Product_ID]],Eproduct_DB[Product_ID],Eproduct_DB[Category])</f>
        <v>Sports</v>
      </c>
      <c r="P1544" s="2" t="str">
        <f>_xlfn.XLOOKUP(ESales_DB[[#This Row],[Product_ID]],Eproduct_DB[Product_ID],Eproduct_DB[Product_Name])</f>
        <v>Rugby Ball</v>
      </c>
      <c r="Q1544" s="2" t="str">
        <f>_xlfn.XLOOKUP(ESales_DB[[#This Row],[Store_ID]],Estore_DB[Store_ID],Estore_DB[Region])</f>
        <v>South</v>
      </c>
      <c r="R1544" t="str">
        <f>VLOOKUP(ESales_DB[[#This Row],[Customer_ID]],Ecustom_DB[],10,FALSE)</f>
        <v>Platinum</v>
      </c>
      <c r="S1544" t="str">
        <f>IF(ESales_DB[[#This Row],[Quantity1]]&gt;3,"Bulk order","Normal order")</f>
        <v>Bulk order</v>
      </c>
    </row>
    <row r="1545" spans="1:19" x14ac:dyDescent="0.3">
      <c r="A1545" t="s">
        <v>2414</v>
      </c>
      <c r="B1545" s="4">
        <v>45357</v>
      </c>
      <c r="C1545" s="4" t="str">
        <f>TEXT(ESales_DB[[#This Row],[Order_Date]],"mmm")</f>
        <v>Mar</v>
      </c>
      <c r="D1545" t="s">
        <v>696</v>
      </c>
      <c r="E1545" t="s">
        <v>1690</v>
      </c>
      <c r="F1545" t="s">
        <v>1810</v>
      </c>
      <c r="G1545">
        <v>1</v>
      </c>
      <c r="H1545" s="10">
        <f>IF(ISBLANK(ESales_DB[[#This Row],[Quantity]]),AVERAGEIF(ESales_DB[Product_ID],ESales_DB[[#This Row],[Product_ID]],ESales_DB[Quantity]),ESales_DB[[#This Row],[Quantity]])</f>
        <v>1</v>
      </c>
      <c r="I1545" s="2">
        <v>250.95</v>
      </c>
      <c r="J1545">
        <v>0.03</v>
      </c>
      <c r="K1545" t="s">
        <v>1826</v>
      </c>
      <c r="L1545" s="2">
        <v>243.42150000000001</v>
      </c>
      <c r="M1545" s="2" t="str">
        <f>IF(ESales_DB[[#This Row],[Total_Amount]]&gt;1000,"High","Low")</f>
        <v>Low</v>
      </c>
      <c r="N1545" s="2" t="str">
        <f>VLOOKUP(ESales_DB[[#This Row],[Customer_ID]],Ecustom_DB[],3,FALSE)</f>
        <v>Eric Todd</v>
      </c>
      <c r="O1545" s="2" t="str">
        <f>_xlfn.XLOOKUP(ESales_DB[[#This Row],[Product_ID]],Eproduct_DB[Product_ID],Eproduct_DB[Category])</f>
        <v>Beauty</v>
      </c>
      <c r="P1545" s="2" t="str">
        <f>_xlfn.XLOOKUP(ESales_DB[[#This Row],[Product_ID]],Eproduct_DB[Product_ID],Eproduct_DB[Product_Name])</f>
        <v>Hair Repair Oil Treatment</v>
      </c>
      <c r="Q1545" s="2" t="str">
        <f>_xlfn.XLOOKUP(ESales_DB[[#This Row],[Store_ID]],Estore_DB[Store_ID],Estore_DB[Region])</f>
        <v>East</v>
      </c>
      <c r="R1545" t="str">
        <f>VLOOKUP(ESales_DB[[#This Row],[Customer_ID]],Ecustom_DB[],10,FALSE)</f>
        <v>Gold</v>
      </c>
      <c r="S1545" t="str">
        <f>IF(ESales_DB[[#This Row],[Quantity1]]&gt;3,"Bulk order","Normal order")</f>
        <v>Normal order</v>
      </c>
    </row>
    <row r="1546" spans="1:19" x14ac:dyDescent="0.3">
      <c r="A1546" t="s">
        <v>2415</v>
      </c>
      <c r="B1546" s="4">
        <v>45257</v>
      </c>
      <c r="C1546" s="4" t="str">
        <f>TEXT(ESales_DB[[#This Row],[Order_Date]],"mmm")</f>
        <v>Nov</v>
      </c>
      <c r="D1546" t="s">
        <v>1023</v>
      </c>
      <c r="E1546" t="s">
        <v>1740</v>
      </c>
      <c r="F1546" t="s">
        <v>1773</v>
      </c>
      <c r="G1546">
        <v>3</v>
      </c>
      <c r="H1546" s="10">
        <f>IF(ISBLANK(ESales_DB[[#This Row],[Quantity]]),AVERAGEIF(ESales_DB[Product_ID],ESales_DB[[#This Row],[Product_ID]],ESales_DB[Quantity]),ESales_DB[[#This Row],[Quantity]])</f>
        <v>3</v>
      </c>
      <c r="I1546" s="2">
        <v>882.84</v>
      </c>
      <c r="J1546">
        <v>0.1</v>
      </c>
      <c r="K1546" t="s">
        <v>1824</v>
      </c>
      <c r="L1546" s="2">
        <v>2383.6680000000001</v>
      </c>
      <c r="M1546" s="2" t="str">
        <f>IF(ESales_DB[[#This Row],[Total_Amount]]&gt;1000,"High","Low")</f>
        <v>High</v>
      </c>
      <c r="N1546" s="2" t="str">
        <f>VLOOKUP(ESales_DB[[#This Row],[Customer_ID]],Ecustom_DB[],3,FALSE)</f>
        <v>Andrew Smith</v>
      </c>
      <c r="O1546" s="2" t="str">
        <f>_xlfn.XLOOKUP(ESales_DB[[#This Row],[Product_ID]],Eproduct_DB[Product_ID],Eproduct_DB[Category])</f>
        <v>Clothing</v>
      </c>
      <c r="P1546" s="2" t="str">
        <f>_xlfn.XLOOKUP(ESales_DB[[#This Row],[Product_ID]],Eproduct_DB[Product_ID],Eproduct_DB[Product_Name])</f>
        <v>Women's Formal Blazer</v>
      </c>
      <c r="Q1546" s="2" t="str">
        <f>_xlfn.XLOOKUP(ESales_DB[[#This Row],[Store_ID]],Estore_DB[Store_ID],Estore_DB[Region])</f>
        <v>North</v>
      </c>
      <c r="R1546" t="str">
        <f>VLOOKUP(ESales_DB[[#This Row],[Customer_ID]],Ecustom_DB[],10,FALSE)</f>
        <v>Bronze</v>
      </c>
      <c r="S1546" t="str">
        <f>IF(ESales_DB[[#This Row],[Quantity1]]&gt;3,"Bulk order","Normal order")</f>
        <v>Normal order</v>
      </c>
    </row>
    <row r="1547" spans="1:19" x14ac:dyDescent="0.3">
      <c r="A1547" t="s">
        <v>1885</v>
      </c>
      <c r="B1547" s="4">
        <v>45257</v>
      </c>
      <c r="C1547" s="4" t="str">
        <f>TEXT(ESales_DB[[#This Row],[Order_Date]],"mmm")</f>
        <v>Nov</v>
      </c>
      <c r="D1547" t="s">
        <v>1148</v>
      </c>
      <c r="E1547" t="s">
        <v>1726</v>
      </c>
      <c r="F1547" t="s">
        <v>1792</v>
      </c>
      <c r="G1547">
        <v>1</v>
      </c>
      <c r="H1547" s="10">
        <f>IF(ISBLANK(ESales_DB[[#This Row],[Quantity]]),AVERAGEIF(ESales_DB[Product_ID],ESales_DB[[#This Row],[Product_ID]],ESales_DB[Quantity]),ESales_DB[[#This Row],[Quantity]])</f>
        <v>1</v>
      </c>
      <c r="I1547" s="2">
        <v>996.33</v>
      </c>
      <c r="J1547">
        <v>0.23</v>
      </c>
      <c r="K1547" t="s">
        <v>1826</v>
      </c>
      <c r="L1547" s="2">
        <v>767.17410000000007</v>
      </c>
      <c r="M1547" s="2" t="str">
        <f>IF(ESales_DB[[#This Row],[Total_Amount]]&gt;1000,"High","Low")</f>
        <v>Low</v>
      </c>
      <c r="N1547" s="2" t="str">
        <f>VLOOKUP(ESales_DB[[#This Row],[Customer_ID]],Ecustom_DB[],3,FALSE)</f>
        <v>Melinda Johnson</v>
      </c>
      <c r="O1547" s="2" t="str">
        <f>_xlfn.XLOOKUP(ESales_DB[[#This Row],[Product_ID]],Eproduct_DB[Product_ID],Eproduct_DB[Category])</f>
        <v>Beauty</v>
      </c>
      <c r="P1547" s="2" t="str">
        <f>_xlfn.XLOOKUP(ESales_DB[[#This Row],[Product_ID]],Eproduct_DB[Product_ID],Eproduct_DB[Product_Name])</f>
        <v>Face Foundation Kit</v>
      </c>
      <c r="Q1547" s="2" t="str">
        <f>_xlfn.XLOOKUP(ESales_DB[[#This Row],[Store_ID]],Estore_DB[Store_ID],Estore_DB[Region])</f>
        <v>South</v>
      </c>
      <c r="R1547" t="str">
        <f>VLOOKUP(ESales_DB[[#This Row],[Customer_ID]],Ecustom_DB[],10,FALSE)</f>
        <v>Bronze</v>
      </c>
      <c r="S1547" t="str">
        <f>IF(ESales_DB[[#This Row],[Quantity1]]&gt;3,"Bulk order","Normal order")</f>
        <v>Normal order</v>
      </c>
    </row>
    <row r="1548" spans="1:19" x14ac:dyDescent="0.3">
      <c r="A1548" t="s">
        <v>2416</v>
      </c>
      <c r="B1548" s="4">
        <v>45702</v>
      </c>
      <c r="C1548" s="4" t="str">
        <f>TEXT(ESales_DB[[#This Row],[Order_Date]],"mmm")</f>
        <v>Feb</v>
      </c>
      <c r="D1548" t="s">
        <v>470</v>
      </c>
      <c r="E1548" t="s">
        <v>1586</v>
      </c>
      <c r="F1548" t="s">
        <v>1810</v>
      </c>
      <c r="G1548">
        <v>4</v>
      </c>
      <c r="H1548" s="10">
        <f>IF(ISBLANK(ESales_DB[[#This Row],[Quantity]]),AVERAGEIF(ESales_DB[Product_ID],ESales_DB[[#This Row],[Product_ID]],ESales_DB[Quantity]),ESales_DB[[#This Row],[Quantity]])</f>
        <v>4</v>
      </c>
      <c r="I1548" s="2">
        <v>573.37</v>
      </c>
      <c r="J1548">
        <v>0.04</v>
      </c>
      <c r="K1548" t="s">
        <v>1829</v>
      </c>
      <c r="L1548" s="2">
        <v>2201.7408</v>
      </c>
      <c r="M1548" s="2" t="str">
        <f>IF(ESales_DB[[#This Row],[Total_Amount]]&gt;1000,"High","Low")</f>
        <v>High</v>
      </c>
      <c r="N1548" s="2" t="str">
        <f>VLOOKUP(ESales_DB[[#This Row],[Customer_ID]],Ecustom_DB[],3,FALSE)</f>
        <v>Sean Roth</v>
      </c>
      <c r="O1548" s="2" t="str">
        <f>_xlfn.XLOOKUP(ESales_DB[[#This Row],[Product_ID]],Eproduct_DB[Product_ID],Eproduct_DB[Category])</f>
        <v>Sports</v>
      </c>
      <c r="P1548" s="2" t="str">
        <f>_xlfn.XLOOKUP(ESales_DB[[#This Row],[Product_ID]],Eproduct_DB[Product_ID],Eproduct_DB[Product_Name])</f>
        <v>Knee Support Brace</v>
      </c>
      <c r="Q1548" s="2" t="str">
        <f>_xlfn.XLOOKUP(ESales_DB[[#This Row],[Store_ID]],Estore_DB[Store_ID],Estore_DB[Region])</f>
        <v>East</v>
      </c>
      <c r="R1548" t="str">
        <f>VLOOKUP(ESales_DB[[#This Row],[Customer_ID]],Ecustom_DB[],10,FALSE)</f>
        <v>Gold</v>
      </c>
      <c r="S1548" t="str">
        <f>IF(ESales_DB[[#This Row],[Quantity1]]&gt;3,"Bulk order","Normal order")</f>
        <v>Bulk order</v>
      </c>
    </row>
    <row r="1549" spans="1:19" x14ac:dyDescent="0.3">
      <c r="A1549" t="s">
        <v>2417</v>
      </c>
      <c r="B1549" s="4">
        <v>45318</v>
      </c>
      <c r="C1549" s="4" t="str">
        <f>TEXT(ESales_DB[[#This Row],[Order_Date]],"mmm")</f>
        <v>Jan</v>
      </c>
      <c r="D1549" t="s">
        <v>218</v>
      </c>
      <c r="E1549" t="s">
        <v>1612</v>
      </c>
      <c r="F1549" t="s">
        <v>1794</v>
      </c>
      <c r="G1549">
        <v>3</v>
      </c>
      <c r="H1549" s="10">
        <f>IF(ISBLANK(ESales_DB[[#This Row],[Quantity]]),AVERAGEIF(ESales_DB[Product_ID],ESales_DB[[#This Row],[Product_ID]],ESales_DB[Quantity]),ESales_DB[[#This Row],[Quantity]])</f>
        <v>3</v>
      </c>
      <c r="I1549" s="2">
        <v>622.72</v>
      </c>
      <c r="J1549">
        <v>0.04</v>
      </c>
      <c r="K1549" t="s">
        <v>1824</v>
      </c>
      <c r="L1549" s="2">
        <v>1793.4336000000001</v>
      </c>
      <c r="M1549" s="2" t="str">
        <f>IF(ESales_DB[[#This Row],[Total_Amount]]&gt;1000,"High","Low")</f>
        <v>High</v>
      </c>
      <c r="N1549" s="2" t="str">
        <f>VLOOKUP(ESales_DB[[#This Row],[Customer_ID]],Ecustom_DB[],3,FALSE)</f>
        <v>Cheryl Copeland</v>
      </c>
      <c r="O1549" s="2" t="str">
        <f>_xlfn.XLOOKUP(ESales_DB[[#This Row],[Product_ID]],Eproduct_DB[Product_ID],Eproduct_DB[Category])</f>
        <v>Beauty</v>
      </c>
      <c r="P1549" s="2" t="str">
        <f>_xlfn.XLOOKUP(ESales_DB[[#This Row],[Product_ID]],Eproduct_DB[Product_ID],Eproduct_DB[Product_Name])</f>
        <v>Vitamin C Face Serum</v>
      </c>
      <c r="Q1549" s="2" t="str">
        <f>_xlfn.XLOOKUP(ESales_DB[[#This Row],[Store_ID]],Estore_DB[Store_ID],Estore_DB[Region])</f>
        <v>North</v>
      </c>
      <c r="R1549" t="str">
        <f>VLOOKUP(ESales_DB[[#This Row],[Customer_ID]],Ecustom_DB[],10,FALSE)</f>
        <v>Platinum</v>
      </c>
      <c r="S1549" t="str">
        <f>IF(ESales_DB[[#This Row],[Quantity1]]&gt;3,"Bulk order","Normal order")</f>
        <v>Normal order</v>
      </c>
    </row>
    <row r="1550" spans="1:19" x14ac:dyDescent="0.3">
      <c r="A1550" t="s">
        <v>2418</v>
      </c>
      <c r="B1550" s="4">
        <v>45943</v>
      </c>
      <c r="C1550" s="4" t="str">
        <f>TEXT(ESales_DB[[#This Row],[Order_Date]],"mmm")</f>
        <v>Oct</v>
      </c>
      <c r="D1550" t="s">
        <v>1211</v>
      </c>
      <c r="E1550" t="s">
        <v>1732</v>
      </c>
      <c r="F1550" t="s">
        <v>1807</v>
      </c>
      <c r="G1550">
        <v>3</v>
      </c>
      <c r="H1550" s="10">
        <f>IF(ISBLANK(ESales_DB[[#This Row],[Quantity]]),AVERAGEIF(ESales_DB[Product_ID],ESales_DB[[#This Row],[Product_ID]],ESales_DB[Quantity]),ESales_DB[[#This Row],[Quantity]])</f>
        <v>3</v>
      </c>
      <c r="I1550" s="2">
        <v>259.74</v>
      </c>
      <c r="J1550">
        <v>0.24</v>
      </c>
      <c r="K1550" t="s">
        <v>1824</v>
      </c>
      <c r="L1550" s="2">
        <v>592.20720000000006</v>
      </c>
      <c r="M1550" s="2" t="str">
        <f>IF(ESales_DB[[#This Row],[Total_Amount]]&gt;1000,"High","Low")</f>
        <v>Low</v>
      </c>
      <c r="N1550" s="2" t="str">
        <f>VLOOKUP(ESales_DB[[#This Row],[Customer_ID]],Ecustom_DB[],3,FALSE)</f>
        <v>Timothy Valenzuela</v>
      </c>
      <c r="O1550" s="2" t="str">
        <f>_xlfn.XLOOKUP(ESales_DB[[#This Row],[Product_ID]],Eproduct_DB[Product_ID],Eproduct_DB[Category])</f>
        <v>Home</v>
      </c>
      <c r="P1550" s="2" t="str">
        <f>_xlfn.XLOOKUP(ESales_DB[[#This Row],[Product_ID]],Eproduct_DB[Product_ID],Eproduct_DB[Product_Name])</f>
        <v>Microwave Oven</v>
      </c>
      <c r="Q1550" s="2" t="str">
        <f>_xlfn.XLOOKUP(ESales_DB[[#This Row],[Store_ID]],Estore_DB[Store_ID],Estore_DB[Region])</f>
        <v>North</v>
      </c>
      <c r="R1550" t="str">
        <f>VLOOKUP(ESales_DB[[#This Row],[Customer_ID]],Ecustom_DB[],10,FALSE)</f>
        <v>Platinum</v>
      </c>
      <c r="S1550" t="str">
        <f>IF(ESales_DB[[#This Row],[Quantity1]]&gt;3,"Bulk order","Normal order")</f>
        <v>Normal order</v>
      </c>
    </row>
    <row r="1551" spans="1:19" x14ac:dyDescent="0.3">
      <c r="A1551" t="s">
        <v>2419</v>
      </c>
      <c r="B1551" s="4">
        <v>45769</v>
      </c>
      <c r="C1551" s="4" t="str">
        <f>TEXT(ESales_DB[[#This Row],[Order_Date]],"mmm")</f>
        <v>Apr</v>
      </c>
      <c r="D1551" t="s">
        <v>205</v>
      </c>
      <c r="E1551" t="s">
        <v>1604</v>
      </c>
      <c r="F1551" t="s">
        <v>1797</v>
      </c>
      <c r="G1551">
        <v>4</v>
      </c>
      <c r="H1551" s="10">
        <f>IF(ISBLANK(ESales_DB[[#This Row],[Quantity]]),AVERAGEIF(ESales_DB[Product_ID],ESales_DB[[#This Row],[Product_ID]],ESales_DB[Quantity]),ESales_DB[[#This Row],[Quantity]])</f>
        <v>4</v>
      </c>
      <c r="I1551" s="2">
        <v>951.09</v>
      </c>
      <c r="J1551">
        <v>0.14000000000000001</v>
      </c>
      <c r="K1551" t="s">
        <v>1829</v>
      </c>
      <c r="L1551" s="2">
        <v>3271.7496000000001</v>
      </c>
      <c r="M1551" s="2" t="str">
        <f>IF(ESales_DB[[#This Row],[Total_Amount]]&gt;1000,"High","Low")</f>
        <v>High</v>
      </c>
      <c r="N1551" s="2" t="str">
        <f>VLOOKUP(ESales_DB[[#This Row],[Customer_ID]],Ecustom_DB[],3,FALSE)</f>
        <v>Katherine Dorsey</v>
      </c>
      <c r="O1551" s="2" t="str">
        <f>_xlfn.XLOOKUP(ESales_DB[[#This Row],[Product_ID]],Eproduct_DB[Product_ID],Eproduct_DB[Category])</f>
        <v>Sports</v>
      </c>
      <c r="P1551" s="2" t="str">
        <f>_xlfn.XLOOKUP(ESales_DB[[#This Row],[Product_ID]],Eproduct_DB[Product_ID],Eproduct_DB[Product_Name])</f>
        <v>Sports Stopwatch Timer</v>
      </c>
      <c r="Q1551" s="2" t="str">
        <f>_xlfn.XLOOKUP(ESales_DB[[#This Row],[Store_ID]],Estore_DB[Store_ID],Estore_DB[Region])</f>
        <v>East</v>
      </c>
      <c r="R1551" t="str">
        <f>VLOOKUP(ESales_DB[[#This Row],[Customer_ID]],Ecustom_DB[],10,FALSE)</f>
        <v>Platinum</v>
      </c>
      <c r="S1551" t="str">
        <f>IF(ESales_DB[[#This Row],[Quantity1]]&gt;3,"Bulk order","Normal order")</f>
        <v>Bulk order</v>
      </c>
    </row>
    <row r="1552" spans="1:19" x14ac:dyDescent="0.3">
      <c r="A1552" t="s">
        <v>2420</v>
      </c>
      <c r="B1552" s="4">
        <v>45765</v>
      </c>
      <c r="C1552" s="4" t="str">
        <f>TEXT(ESales_DB[[#This Row],[Order_Date]],"mmm")</f>
        <v>Apr</v>
      </c>
      <c r="D1552" t="s">
        <v>651</v>
      </c>
      <c r="E1552" t="s">
        <v>1746</v>
      </c>
      <c r="F1552" t="s">
        <v>1761</v>
      </c>
      <c r="G1552">
        <v>1</v>
      </c>
      <c r="H1552" s="10">
        <f>IF(ISBLANK(ESales_DB[[#This Row],[Quantity]]),AVERAGEIF(ESales_DB[Product_ID],ESales_DB[[#This Row],[Product_ID]],ESales_DB[Quantity]),ESales_DB[[#This Row],[Quantity]])</f>
        <v>1</v>
      </c>
      <c r="I1552" s="2">
        <v>71.709999999999994</v>
      </c>
      <c r="J1552">
        <v>0.23</v>
      </c>
      <c r="K1552" t="s">
        <v>1829</v>
      </c>
      <c r="L1552" s="2">
        <v>55.216700000000003</v>
      </c>
      <c r="M1552" s="2" t="str">
        <f>IF(ESales_DB[[#This Row],[Total_Amount]]&gt;1000,"High","Low")</f>
        <v>Low</v>
      </c>
      <c r="N1552" s="2" t="str">
        <f>VLOOKUP(ESales_DB[[#This Row],[Customer_ID]],Ecustom_DB[],3,FALSE)</f>
        <v>Carmen Price</v>
      </c>
      <c r="O1552" s="2" t="str">
        <f>_xlfn.XLOOKUP(ESales_DB[[#This Row],[Product_ID]],Eproduct_DB[Product_ID],Eproduct_DB[Category])</f>
        <v>Home</v>
      </c>
      <c r="P1552" s="2" t="str">
        <f>_xlfn.XLOOKUP(ESales_DB[[#This Row],[Product_ID]],Eproduct_DB[Product_ID],Eproduct_DB[Product_Name])</f>
        <v>Stainless Steel Cookware Set</v>
      </c>
      <c r="Q1552" s="2" t="str">
        <f>_xlfn.XLOOKUP(ESales_DB[[#This Row],[Store_ID]],Estore_DB[Store_ID],Estore_DB[Region])</f>
        <v>South</v>
      </c>
      <c r="R1552" t="str">
        <f>VLOOKUP(ESales_DB[[#This Row],[Customer_ID]],Ecustom_DB[],10,FALSE)</f>
        <v>Bronze</v>
      </c>
      <c r="S1552" t="str">
        <f>IF(ESales_DB[[#This Row],[Quantity1]]&gt;3,"Bulk order","Normal order")</f>
        <v>Normal order</v>
      </c>
    </row>
    <row r="1553" spans="1:19" x14ac:dyDescent="0.3">
      <c r="A1553" t="s">
        <v>2421</v>
      </c>
      <c r="B1553" s="4">
        <v>45891</v>
      </c>
      <c r="C1553" s="4" t="str">
        <f>TEXT(ESales_DB[[#This Row],[Order_Date]],"mmm")</f>
        <v>Aug</v>
      </c>
      <c r="D1553" t="s">
        <v>574</v>
      </c>
      <c r="E1553" t="s">
        <v>1588</v>
      </c>
      <c r="F1553" t="s">
        <v>1779</v>
      </c>
      <c r="G1553">
        <v>4</v>
      </c>
      <c r="H1553" s="10">
        <f>IF(ISBLANK(ESales_DB[[#This Row],[Quantity]]),AVERAGEIF(ESales_DB[Product_ID],ESales_DB[[#This Row],[Product_ID]],ESales_DB[Quantity]),ESales_DB[[#This Row],[Quantity]])</f>
        <v>4</v>
      </c>
      <c r="I1553" s="2">
        <v>894.93</v>
      </c>
      <c r="J1553">
        <v>0.05</v>
      </c>
      <c r="K1553" t="s">
        <v>1829</v>
      </c>
      <c r="L1553" s="2">
        <v>3400.733999999999</v>
      </c>
      <c r="M1553" s="2" t="str">
        <f>IF(ESales_DB[[#This Row],[Total_Amount]]&gt;1000,"High","Low")</f>
        <v>High</v>
      </c>
      <c r="N1553" s="2" t="str">
        <f>VLOOKUP(ESales_DB[[#This Row],[Customer_ID]],Ecustom_DB[],3,FALSE)</f>
        <v>Teresa Stokes</v>
      </c>
      <c r="O1553" s="2" t="str">
        <f>_xlfn.XLOOKUP(ESales_DB[[#This Row],[Product_ID]],Eproduct_DB[Product_ID],Eproduct_DB[Category])</f>
        <v>Sports</v>
      </c>
      <c r="P1553" s="2" t="str">
        <f>_xlfn.XLOOKUP(ESales_DB[[#This Row],[Product_ID]],Eproduct_DB[Product_ID],Eproduct_DB[Product_Name])</f>
        <v>Outdoor Sports Water Bottle</v>
      </c>
      <c r="Q1553" s="2" t="str">
        <f>_xlfn.XLOOKUP(ESales_DB[[#This Row],[Store_ID]],Estore_DB[Store_ID],Estore_DB[Region])</f>
        <v>South</v>
      </c>
      <c r="R1553" t="str">
        <f>VLOOKUP(ESales_DB[[#This Row],[Customer_ID]],Ecustom_DB[],10,FALSE)</f>
        <v>Platinum</v>
      </c>
      <c r="S1553" t="str">
        <f>IF(ESales_DB[[#This Row],[Quantity1]]&gt;3,"Bulk order","Normal order")</f>
        <v>Bulk order</v>
      </c>
    </row>
    <row r="1554" spans="1:19" x14ac:dyDescent="0.3">
      <c r="A1554" t="s">
        <v>2422</v>
      </c>
      <c r="B1554" s="4">
        <v>45842</v>
      </c>
      <c r="C1554" s="4" t="str">
        <f>TEXT(ESales_DB[[#This Row],[Order_Date]],"mmm")</f>
        <v>Jul</v>
      </c>
      <c r="D1554" t="s">
        <v>660</v>
      </c>
      <c r="E1554" t="s">
        <v>1704</v>
      </c>
      <c r="F1554" t="s">
        <v>1782</v>
      </c>
      <c r="G1554">
        <v>4</v>
      </c>
      <c r="H1554" s="10">
        <f>IF(ISBLANK(ESales_DB[[#This Row],[Quantity]]),AVERAGEIF(ESales_DB[Product_ID],ESales_DB[[#This Row],[Product_ID]],ESales_DB[Quantity]),ESales_DB[[#This Row],[Quantity]])</f>
        <v>4</v>
      </c>
      <c r="I1554" s="2">
        <v>870.18</v>
      </c>
      <c r="J1554">
        <v>0.13</v>
      </c>
      <c r="K1554" t="s">
        <v>1829</v>
      </c>
      <c r="L1554" s="2">
        <v>3028.2264</v>
      </c>
      <c r="M1554" s="2" t="str">
        <f>IF(ESales_DB[[#This Row],[Total_Amount]]&gt;1000,"High","Low")</f>
        <v>High</v>
      </c>
      <c r="N1554" s="2" t="str">
        <f>VLOOKUP(ESales_DB[[#This Row],[Customer_ID]],Ecustom_DB[],3,FALSE)</f>
        <v>Christina Garcia</v>
      </c>
      <c r="O1554" s="2" t="str">
        <f>_xlfn.XLOOKUP(ESales_DB[[#This Row],[Product_ID]],Eproduct_DB[Product_ID],Eproduct_DB[Category])</f>
        <v>Home</v>
      </c>
      <c r="P1554" s="2" t="str">
        <f>_xlfn.XLOOKUP(ESales_DB[[#This Row],[Product_ID]],Eproduct_DB[Product_ID],Eproduct_DB[Product_Name])</f>
        <v>Essential Oil Diffuser</v>
      </c>
      <c r="Q1554" s="2" t="str">
        <f>_xlfn.XLOOKUP(ESales_DB[[#This Row],[Store_ID]],Estore_DB[Store_ID],Estore_DB[Region])</f>
        <v>West</v>
      </c>
      <c r="R1554" t="str">
        <f>VLOOKUP(ESales_DB[[#This Row],[Customer_ID]],Ecustom_DB[],10,FALSE)</f>
        <v>Platinum</v>
      </c>
      <c r="S1554" t="str">
        <f>IF(ESales_DB[[#This Row],[Quantity1]]&gt;3,"Bulk order","Normal order")</f>
        <v>Bulk order</v>
      </c>
    </row>
    <row r="1555" spans="1:19" x14ac:dyDescent="0.3">
      <c r="A1555" t="s">
        <v>2423</v>
      </c>
      <c r="B1555" s="4">
        <v>45382</v>
      </c>
      <c r="C1555" s="4" t="str">
        <f>TEXT(ESales_DB[[#This Row],[Order_Date]],"mmm")</f>
        <v>Mar</v>
      </c>
      <c r="D1555" t="s">
        <v>884</v>
      </c>
      <c r="E1555" t="s">
        <v>1676</v>
      </c>
      <c r="F1555" t="s">
        <v>1761</v>
      </c>
      <c r="G1555">
        <v>2</v>
      </c>
      <c r="H1555" s="10">
        <f>IF(ISBLANK(ESales_DB[[#This Row],[Quantity]]),AVERAGEIF(ESales_DB[Product_ID],ESales_DB[[#This Row],[Product_ID]],ESales_DB[Quantity]),ESales_DB[[#This Row],[Quantity]])</f>
        <v>2</v>
      </c>
      <c r="I1555" s="2">
        <v>552.72</v>
      </c>
      <c r="J1555">
        <v>0.06</v>
      </c>
      <c r="K1555" t="s">
        <v>1826</v>
      </c>
      <c r="L1555" s="2">
        <v>1039.1135999999999</v>
      </c>
      <c r="M1555" s="2" t="str">
        <f>IF(ESales_DB[[#This Row],[Total_Amount]]&gt;1000,"High","Low")</f>
        <v>High</v>
      </c>
      <c r="N1555" s="2" t="str">
        <f>VLOOKUP(ESales_DB[[#This Row],[Customer_ID]],Ecustom_DB[],3,FALSE)</f>
        <v>Stephen Fowler</v>
      </c>
      <c r="O1555" s="2" t="str">
        <f>_xlfn.XLOOKUP(ESales_DB[[#This Row],[Product_ID]],Eproduct_DB[Product_ID],Eproduct_DB[Category])</f>
        <v>Beauty</v>
      </c>
      <c r="P1555" s="2" t="str">
        <f>_xlfn.XLOOKUP(ESales_DB[[#This Row],[Product_ID]],Eproduct_DB[Product_ID],Eproduct_DB[Product_Name])</f>
        <v>Matte Lipstick Set</v>
      </c>
      <c r="Q1555" s="2" t="str">
        <f>_xlfn.XLOOKUP(ESales_DB[[#This Row],[Store_ID]],Estore_DB[Store_ID],Estore_DB[Region])</f>
        <v>South</v>
      </c>
      <c r="R1555" t="str">
        <f>VLOOKUP(ESales_DB[[#This Row],[Customer_ID]],Ecustom_DB[],10,FALSE)</f>
        <v>Platinum</v>
      </c>
      <c r="S1555" t="str">
        <f>IF(ESales_DB[[#This Row],[Quantity1]]&gt;3,"Bulk order","Normal order")</f>
        <v>Normal order</v>
      </c>
    </row>
    <row r="1556" spans="1:19" x14ac:dyDescent="0.3">
      <c r="A1556" t="s">
        <v>2424</v>
      </c>
      <c r="B1556" s="4">
        <v>45236</v>
      </c>
      <c r="C1556" s="4" t="str">
        <f>TEXT(ESales_DB[[#This Row],[Order_Date]],"mmm")</f>
        <v>Nov</v>
      </c>
      <c r="D1556" t="s">
        <v>788</v>
      </c>
      <c r="E1556" t="s">
        <v>1626</v>
      </c>
      <c r="F1556" t="s">
        <v>1782</v>
      </c>
      <c r="G1556">
        <v>3</v>
      </c>
      <c r="H1556" s="10">
        <f>IF(ISBLANK(ESales_DB[[#This Row],[Quantity]]),AVERAGEIF(ESales_DB[Product_ID],ESales_DB[[#This Row],[Product_ID]],ESales_DB[Quantity]),ESales_DB[[#This Row],[Quantity]])</f>
        <v>3</v>
      </c>
      <c r="I1556" s="2">
        <v>700.43</v>
      </c>
      <c r="J1556">
        <v>0.01</v>
      </c>
      <c r="K1556" t="s">
        <v>1829</v>
      </c>
      <c r="L1556" s="2">
        <v>2080.2770999999998</v>
      </c>
      <c r="M1556" s="2" t="str">
        <f>IF(ESales_DB[[#This Row],[Total_Amount]]&gt;1000,"High","Low")</f>
        <v>High</v>
      </c>
      <c r="N1556" s="2" t="str">
        <f>VLOOKUP(ESales_DB[[#This Row],[Customer_ID]],Ecustom_DB[],3,FALSE)</f>
        <v>Mary Russell</v>
      </c>
      <c r="O1556" s="2" t="str">
        <f>_xlfn.XLOOKUP(ESales_DB[[#This Row],[Product_ID]],Eproduct_DB[Product_ID],Eproduct_DB[Category])</f>
        <v>Electronics</v>
      </c>
      <c r="P1556" s="2" t="str">
        <f>_xlfn.XLOOKUP(ESales_DB[[#This Row],[Product_ID]],Eproduct_DB[Product_ID],Eproduct_DB[Product_Name])</f>
        <v>Portable Power Bank</v>
      </c>
      <c r="Q1556" s="2" t="str">
        <f>_xlfn.XLOOKUP(ESales_DB[[#This Row],[Store_ID]],Estore_DB[Store_ID],Estore_DB[Region])</f>
        <v>West</v>
      </c>
      <c r="R1556" t="str">
        <f>VLOOKUP(ESales_DB[[#This Row],[Customer_ID]],Ecustom_DB[],10,FALSE)</f>
        <v>Bronze</v>
      </c>
      <c r="S1556" t="str">
        <f>IF(ESales_DB[[#This Row],[Quantity1]]&gt;3,"Bulk order","Normal order")</f>
        <v>Normal order</v>
      </c>
    </row>
    <row r="1557" spans="1:19" x14ac:dyDescent="0.3">
      <c r="A1557" t="s">
        <v>2425</v>
      </c>
      <c r="B1557" s="4">
        <v>45806</v>
      </c>
      <c r="C1557" s="4" t="str">
        <f>TEXT(ESales_DB[[#This Row],[Order_Date]],"mmm")</f>
        <v>May</v>
      </c>
      <c r="D1557" t="s">
        <v>1065</v>
      </c>
      <c r="E1557" t="s">
        <v>1565</v>
      </c>
      <c r="F1557" t="s">
        <v>1761</v>
      </c>
      <c r="G1557">
        <v>2</v>
      </c>
      <c r="H1557" s="10">
        <f>IF(ISBLANK(ESales_DB[[#This Row],[Quantity]]),AVERAGEIF(ESales_DB[Product_ID],ESales_DB[[#This Row],[Product_ID]],ESales_DB[Quantity]),ESales_DB[[#This Row],[Quantity]])</f>
        <v>2</v>
      </c>
      <c r="I1557" s="2">
        <v>823.03</v>
      </c>
      <c r="J1557">
        <v>0.18</v>
      </c>
      <c r="K1557" t="s">
        <v>1826</v>
      </c>
      <c r="L1557" s="2">
        <v>1349.7692</v>
      </c>
      <c r="M1557" s="2" t="str">
        <f>IF(ESales_DB[[#This Row],[Total_Amount]]&gt;1000,"High","Low")</f>
        <v>High</v>
      </c>
      <c r="N1557" s="2" t="str">
        <f>VLOOKUP(ESales_DB[[#This Row],[Customer_ID]],Ecustom_DB[],3,FALSE)</f>
        <v>Mrs. Susan Buckley</v>
      </c>
      <c r="O1557" s="2" t="str">
        <f>_xlfn.XLOOKUP(ESales_DB[[#This Row],[Product_ID]],Eproduct_DB[Product_ID],Eproduct_DB[Category])</f>
        <v>Sports</v>
      </c>
      <c r="P1557" s="2" t="str">
        <f>_xlfn.XLOOKUP(ESales_DB[[#This Row],[Product_ID]],Eproduct_DB[Product_ID],Eproduct_DB[Product_Name])</f>
        <v>Adjustable Dumbbell Set</v>
      </c>
      <c r="Q1557" s="2" t="str">
        <f>_xlfn.XLOOKUP(ESales_DB[[#This Row],[Store_ID]],Estore_DB[Store_ID],Estore_DB[Region])</f>
        <v>South</v>
      </c>
      <c r="R1557" t="str">
        <f>VLOOKUP(ESales_DB[[#This Row],[Customer_ID]],Ecustom_DB[],10,FALSE)</f>
        <v>Platinum</v>
      </c>
      <c r="S1557" t="str">
        <f>IF(ESales_DB[[#This Row],[Quantity1]]&gt;3,"Bulk order","Normal order")</f>
        <v>Normal order</v>
      </c>
    </row>
    <row r="1558" spans="1:19" x14ac:dyDescent="0.3">
      <c r="A1558" t="s">
        <v>1832</v>
      </c>
      <c r="B1558" s="4">
        <v>45850</v>
      </c>
      <c r="C1558" s="4" t="str">
        <f>TEXT(ESales_DB[[#This Row],[Order_Date]],"mmm")</f>
        <v>Jul</v>
      </c>
      <c r="D1558" t="s">
        <v>75</v>
      </c>
      <c r="E1558" t="s">
        <v>1660</v>
      </c>
      <c r="F1558" t="s">
        <v>1769</v>
      </c>
      <c r="G1558">
        <v>2</v>
      </c>
      <c r="H1558" s="10">
        <f>IF(ISBLANK(ESales_DB[[#This Row],[Quantity]]),AVERAGEIF(ESales_DB[Product_ID],ESales_DB[[#This Row],[Product_ID]],ESales_DB[Quantity]),ESales_DB[[#This Row],[Quantity]])</f>
        <v>2</v>
      </c>
      <c r="I1558" s="2">
        <v>785.31</v>
      </c>
      <c r="J1558">
        <v>0.15</v>
      </c>
      <c r="K1558" t="s">
        <v>1826</v>
      </c>
      <c r="L1558" s="2">
        <v>1335.027</v>
      </c>
      <c r="M1558" s="2" t="str">
        <f>IF(ESales_DB[[#This Row],[Total_Amount]]&gt;1000,"High","Low")</f>
        <v>High</v>
      </c>
      <c r="N1558" s="2" t="str">
        <f>VLOOKUP(ESales_DB[[#This Row],[Customer_ID]],Ecustom_DB[],3,FALSE)</f>
        <v>John Scott</v>
      </c>
      <c r="O1558" s="2" t="str">
        <f>_xlfn.XLOOKUP(ESales_DB[[#This Row],[Product_ID]],Eproduct_DB[Product_ID],Eproduct_DB[Category])</f>
        <v>Home</v>
      </c>
      <c r="P1558" s="2" t="str">
        <f>_xlfn.XLOOKUP(ESales_DB[[#This Row],[Product_ID]],Eproduct_DB[Product_ID],Eproduct_DB[Product_Name])</f>
        <v>Premium Blanket Throw</v>
      </c>
      <c r="Q1558" s="2" t="str">
        <f>_xlfn.XLOOKUP(ESales_DB[[#This Row],[Store_ID]],Estore_DB[Store_ID],Estore_DB[Region])</f>
        <v>South</v>
      </c>
      <c r="R1558" t="str">
        <f>VLOOKUP(ESales_DB[[#This Row],[Customer_ID]],Ecustom_DB[],10,FALSE)</f>
        <v>Bronze</v>
      </c>
      <c r="S1558" t="str">
        <f>IF(ESales_DB[[#This Row],[Quantity1]]&gt;3,"Bulk order","Normal order")</f>
        <v>Normal order</v>
      </c>
    </row>
    <row r="1559" spans="1:19" x14ac:dyDescent="0.3">
      <c r="A1559" t="s">
        <v>1886</v>
      </c>
      <c r="B1559" s="4">
        <v>45854</v>
      </c>
      <c r="C1559" s="4" t="str">
        <f>TEXT(ESales_DB[[#This Row],[Order_Date]],"mmm")</f>
        <v>Jul</v>
      </c>
      <c r="D1559" t="s">
        <v>1269</v>
      </c>
      <c r="E1559" t="s">
        <v>1610</v>
      </c>
      <c r="F1559" t="s">
        <v>1789</v>
      </c>
      <c r="G1559">
        <v>1</v>
      </c>
      <c r="H1559" s="10">
        <f>IF(ISBLANK(ESales_DB[[#This Row],[Quantity]]),AVERAGEIF(ESales_DB[Product_ID],ESales_DB[[#This Row],[Product_ID]],ESales_DB[Quantity]),ESales_DB[[#This Row],[Quantity]])</f>
        <v>1</v>
      </c>
      <c r="I1559" s="2">
        <v>198.83</v>
      </c>
      <c r="J1559">
        <v>0.09</v>
      </c>
      <c r="K1559" t="s">
        <v>1829</v>
      </c>
      <c r="L1559" s="2">
        <v>180.93530000000001</v>
      </c>
      <c r="M1559" s="2" t="str">
        <f>IF(ESales_DB[[#This Row],[Total_Amount]]&gt;1000,"High","Low")</f>
        <v>Low</v>
      </c>
      <c r="N1559" s="2" t="str">
        <f>VLOOKUP(ESales_DB[[#This Row],[Customer_ID]],Ecustom_DB[],3,FALSE)</f>
        <v>Isabel Foster</v>
      </c>
      <c r="O1559" s="2" t="str">
        <f>_xlfn.XLOOKUP(ESales_DB[[#This Row],[Product_ID]],Eproduct_DB[Product_ID],Eproduct_DB[Category])</f>
        <v>Sports</v>
      </c>
      <c r="P1559" s="2" t="str">
        <f>_xlfn.XLOOKUP(ESales_DB[[#This Row],[Product_ID]],Eproduct_DB[Product_ID],Eproduct_DB[Product_Name])</f>
        <v>Basketball</v>
      </c>
      <c r="Q1559" s="2" t="str">
        <f>_xlfn.XLOOKUP(ESales_DB[[#This Row],[Store_ID]],Estore_DB[Store_ID],Estore_DB[Region])</f>
        <v>East</v>
      </c>
      <c r="R1559" t="str">
        <f>VLOOKUP(ESales_DB[[#This Row],[Customer_ID]],Ecustom_DB[],10,FALSE)</f>
        <v>Gold</v>
      </c>
      <c r="S1559" t="str">
        <f>IF(ESales_DB[[#This Row],[Quantity1]]&gt;3,"Bulk order","Normal order")</f>
        <v>Normal order</v>
      </c>
    </row>
    <row r="1560" spans="1:19" x14ac:dyDescent="0.3">
      <c r="A1560" t="s">
        <v>2426</v>
      </c>
      <c r="B1560" s="4">
        <v>45401</v>
      </c>
      <c r="C1560" s="4" t="str">
        <f>TEXT(ESales_DB[[#This Row],[Order_Date]],"mmm")</f>
        <v>Apr</v>
      </c>
      <c r="D1560" t="s">
        <v>815</v>
      </c>
      <c r="E1560" t="s">
        <v>1732</v>
      </c>
      <c r="F1560" t="s">
        <v>1776</v>
      </c>
      <c r="G1560">
        <v>1</v>
      </c>
      <c r="H1560" s="10">
        <f>IF(ISBLANK(ESales_DB[[#This Row],[Quantity]]),AVERAGEIF(ESales_DB[Product_ID],ESales_DB[[#This Row],[Product_ID]],ESales_DB[Quantity]),ESales_DB[[#This Row],[Quantity]])</f>
        <v>1</v>
      </c>
      <c r="I1560" s="2">
        <v>117.37</v>
      </c>
      <c r="J1560">
        <v>0.21</v>
      </c>
      <c r="K1560" t="s">
        <v>1824</v>
      </c>
      <c r="L1560" s="2">
        <v>92.722300000000004</v>
      </c>
      <c r="M1560" s="2" t="str">
        <f>IF(ESales_DB[[#This Row],[Total_Amount]]&gt;1000,"High","Low")</f>
        <v>Low</v>
      </c>
      <c r="N1560" s="2" t="str">
        <f>VLOOKUP(ESales_DB[[#This Row],[Customer_ID]],Ecustom_DB[],3,FALSE)</f>
        <v>Damon Perez</v>
      </c>
      <c r="O1560" s="2" t="str">
        <f>_xlfn.XLOOKUP(ESales_DB[[#This Row],[Product_ID]],Eproduct_DB[Product_ID],Eproduct_DB[Category])</f>
        <v>Home</v>
      </c>
      <c r="P1560" s="2" t="str">
        <f>_xlfn.XLOOKUP(ESales_DB[[#This Row],[Product_ID]],Eproduct_DB[Product_ID],Eproduct_DB[Product_Name])</f>
        <v>Microwave Oven</v>
      </c>
      <c r="Q1560" s="2" t="str">
        <f>_xlfn.XLOOKUP(ESales_DB[[#This Row],[Store_ID]],Estore_DB[Store_ID],Estore_DB[Region])</f>
        <v>East</v>
      </c>
      <c r="R1560" t="str">
        <f>VLOOKUP(ESales_DB[[#This Row],[Customer_ID]],Ecustom_DB[],10,FALSE)</f>
        <v>Gold</v>
      </c>
      <c r="S1560" t="str">
        <f>IF(ESales_DB[[#This Row],[Quantity1]]&gt;3,"Bulk order","Normal order")</f>
        <v>Normal order</v>
      </c>
    </row>
    <row r="1561" spans="1:19" x14ac:dyDescent="0.3">
      <c r="A1561" t="s">
        <v>2427</v>
      </c>
      <c r="B1561" s="4">
        <v>45716</v>
      </c>
      <c r="C1561" s="4" t="str">
        <f>TEXT(ESales_DB[[#This Row],[Order_Date]],"mmm")</f>
        <v>Feb</v>
      </c>
      <c r="D1561" t="s">
        <v>369</v>
      </c>
      <c r="E1561" t="s">
        <v>1660</v>
      </c>
      <c r="F1561" t="s">
        <v>1757</v>
      </c>
      <c r="G1561">
        <v>4</v>
      </c>
      <c r="H1561" s="10">
        <f>IF(ISBLANK(ESales_DB[[#This Row],[Quantity]]),AVERAGEIF(ESales_DB[Product_ID],ESales_DB[[#This Row],[Product_ID]],ESales_DB[Quantity]),ESales_DB[[#This Row],[Quantity]])</f>
        <v>4</v>
      </c>
      <c r="I1561" s="2">
        <v>165.37</v>
      </c>
      <c r="J1561">
        <v>0.28999999999999998</v>
      </c>
      <c r="K1561" t="s">
        <v>1824</v>
      </c>
      <c r="L1561" s="2">
        <v>469.6508</v>
      </c>
      <c r="M1561" s="2" t="str">
        <f>IF(ESales_DB[[#This Row],[Total_Amount]]&gt;1000,"High","Low")</f>
        <v>Low</v>
      </c>
      <c r="N1561" s="2" t="str">
        <f>VLOOKUP(ESales_DB[[#This Row],[Customer_ID]],Ecustom_DB[],3,FALSE)</f>
        <v>Christopher Lester</v>
      </c>
      <c r="O1561" s="2" t="str">
        <f>_xlfn.XLOOKUP(ESales_DB[[#This Row],[Product_ID]],Eproduct_DB[Product_ID],Eproduct_DB[Category])</f>
        <v>Home</v>
      </c>
      <c r="P1561" s="2" t="str">
        <f>_xlfn.XLOOKUP(ESales_DB[[#This Row],[Product_ID]],Eproduct_DB[Product_ID],Eproduct_DB[Product_Name])</f>
        <v>Premium Blanket Throw</v>
      </c>
      <c r="Q1561" s="2" t="str">
        <f>_xlfn.XLOOKUP(ESales_DB[[#This Row],[Store_ID]],Estore_DB[Store_ID],Estore_DB[Region])</f>
        <v>North</v>
      </c>
      <c r="R1561" t="str">
        <f>VLOOKUP(ESales_DB[[#This Row],[Customer_ID]],Ecustom_DB[],10,FALSE)</f>
        <v>Silver</v>
      </c>
      <c r="S1561" t="str">
        <f>IF(ESales_DB[[#This Row],[Quantity1]]&gt;3,"Bulk order","Normal order")</f>
        <v>Bulk order</v>
      </c>
    </row>
    <row r="1562" spans="1:19" x14ac:dyDescent="0.3">
      <c r="A1562" t="s">
        <v>2428</v>
      </c>
      <c r="B1562" s="4">
        <v>45718</v>
      </c>
      <c r="C1562" s="4" t="str">
        <f>TEXT(ESales_DB[[#This Row],[Order_Date]],"mmm")</f>
        <v>Mar</v>
      </c>
      <c r="D1562" t="s">
        <v>1181</v>
      </c>
      <c r="E1562" t="s">
        <v>1557</v>
      </c>
      <c r="F1562" t="s">
        <v>1789</v>
      </c>
      <c r="G1562">
        <v>3</v>
      </c>
      <c r="H1562" s="10">
        <f>IF(ISBLANK(ESales_DB[[#This Row],[Quantity]]),AVERAGEIF(ESales_DB[Product_ID],ESales_DB[[#This Row],[Product_ID]],ESales_DB[Quantity]),ESales_DB[[#This Row],[Quantity]])</f>
        <v>3</v>
      </c>
      <c r="I1562" s="2">
        <v>483.06</v>
      </c>
      <c r="J1562">
        <v>0.05</v>
      </c>
      <c r="K1562" t="s">
        <v>1824</v>
      </c>
      <c r="L1562" s="2">
        <v>1376.721</v>
      </c>
      <c r="M1562" s="2" t="str">
        <f>IF(ESales_DB[[#This Row],[Total_Amount]]&gt;1000,"High","Low")</f>
        <v>High</v>
      </c>
      <c r="N1562" s="2" t="str">
        <f>VLOOKUP(ESales_DB[[#This Row],[Customer_ID]],Ecustom_DB[],3,FALSE)</f>
        <v>Frank Stewart</v>
      </c>
      <c r="O1562" s="2" t="str">
        <f>_xlfn.XLOOKUP(ESales_DB[[#This Row],[Product_ID]],Eproduct_DB[Product_ID],Eproduct_DB[Category])</f>
        <v>Beauty</v>
      </c>
      <c r="P1562" s="2" t="str">
        <f>_xlfn.XLOOKUP(ESales_DB[[#This Row],[Product_ID]],Eproduct_DB[Product_ID],Eproduct_DB[Product_Name])</f>
        <v>Herbal Face Moisturizer</v>
      </c>
      <c r="Q1562" s="2" t="str">
        <f>_xlfn.XLOOKUP(ESales_DB[[#This Row],[Store_ID]],Estore_DB[Store_ID],Estore_DB[Region])</f>
        <v>East</v>
      </c>
      <c r="R1562" t="str">
        <f>VLOOKUP(ESales_DB[[#This Row],[Customer_ID]],Ecustom_DB[],10,FALSE)</f>
        <v>Bronze</v>
      </c>
      <c r="S1562" t="str">
        <f>IF(ESales_DB[[#This Row],[Quantity1]]&gt;3,"Bulk order","Normal order")</f>
        <v>Normal order</v>
      </c>
    </row>
    <row r="1563" spans="1:19" x14ac:dyDescent="0.3">
      <c r="A1563" t="s">
        <v>2429</v>
      </c>
      <c r="B1563" s="4">
        <v>45379</v>
      </c>
      <c r="C1563" s="4" t="str">
        <f>TEXT(ESales_DB[[#This Row],[Order_Date]],"mmm")</f>
        <v>Mar</v>
      </c>
      <c r="D1563" t="s">
        <v>929</v>
      </c>
      <c r="E1563" t="s">
        <v>1710</v>
      </c>
      <c r="F1563" t="s">
        <v>1779</v>
      </c>
      <c r="G1563">
        <v>4</v>
      </c>
      <c r="H1563" s="10">
        <f>IF(ISBLANK(ESales_DB[[#This Row],[Quantity]]),AVERAGEIF(ESales_DB[Product_ID],ESales_DB[[#This Row],[Product_ID]],ESales_DB[Quantity]),ESales_DB[[#This Row],[Quantity]])</f>
        <v>4</v>
      </c>
      <c r="I1563" s="2">
        <v>262.05</v>
      </c>
      <c r="J1563">
        <v>0.24</v>
      </c>
      <c r="K1563" t="s">
        <v>1826</v>
      </c>
      <c r="L1563" s="2">
        <v>796.63200000000006</v>
      </c>
      <c r="M1563" s="2" t="str">
        <f>IF(ESales_DB[[#This Row],[Total_Amount]]&gt;1000,"High","Low")</f>
        <v>Low</v>
      </c>
      <c r="N1563" s="2" t="str">
        <f>VLOOKUP(ESales_DB[[#This Row],[Customer_ID]],Ecustom_DB[],3,FALSE)</f>
        <v>Gloria Taylor</v>
      </c>
      <c r="O1563" s="2" t="str">
        <f>_xlfn.XLOOKUP(ESales_DB[[#This Row],[Product_ID]],Eproduct_DB[Product_ID],Eproduct_DB[Category])</f>
        <v>Sports</v>
      </c>
      <c r="P1563" s="2" t="str">
        <f>_xlfn.XLOOKUP(ESales_DB[[#This Row],[Product_ID]],Eproduct_DB[Product_ID],Eproduct_DB[Product_Name])</f>
        <v>Badminton Racket Set</v>
      </c>
      <c r="Q1563" s="2" t="str">
        <f>_xlfn.XLOOKUP(ESales_DB[[#This Row],[Store_ID]],Estore_DB[Store_ID],Estore_DB[Region])</f>
        <v>South</v>
      </c>
      <c r="R1563" t="str">
        <f>VLOOKUP(ESales_DB[[#This Row],[Customer_ID]],Ecustom_DB[],10,FALSE)</f>
        <v>Platinum</v>
      </c>
      <c r="S1563" t="str">
        <f>IF(ESales_DB[[#This Row],[Quantity1]]&gt;3,"Bulk order","Normal order")</f>
        <v>Bulk order</v>
      </c>
    </row>
    <row r="1564" spans="1:19" x14ac:dyDescent="0.3">
      <c r="A1564" t="s">
        <v>2430</v>
      </c>
      <c r="B1564" s="4">
        <v>45635</v>
      </c>
      <c r="C1564" s="4" t="str">
        <f>TEXT(ESales_DB[[#This Row],[Order_Date]],"mmm")</f>
        <v>Dec</v>
      </c>
      <c r="D1564" t="s">
        <v>1428</v>
      </c>
      <c r="E1564" t="s">
        <v>1576</v>
      </c>
      <c r="F1564" t="s">
        <v>1799</v>
      </c>
      <c r="G1564">
        <v>3</v>
      </c>
      <c r="H1564" s="10">
        <f>IF(ISBLANK(ESales_DB[[#This Row],[Quantity]]),AVERAGEIF(ESales_DB[Product_ID],ESales_DB[[#This Row],[Product_ID]],ESales_DB[Quantity]),ESales_DB[[#This Row],[Quantity]])</f>
        <v>3</v>
      </c>
      <c r="I1564" s="2">
        <v>970.89</v>
      </c>
      <c r="J1564">
        <v>0.11</v>
      </c>
      <c r="K1564" t="s">
        <v>1829</v>
      </c>
      <c r="L1564" s="2">
        <v>2592.2763</v>
      </c>
      <c r="M1564" s="2" t="str">
        <f>IF(ESales_DB[[#This Row],[Total_Amount]]&gt;1000,"High","Low")</f>
        <v>High</v>
      </c>
      <c r="N1564" s="2" t="str">
        <f>VLOOKUP(ESales_DB[[#This Row],[Customer_ID]],Ecustom_DB[],3,FALSE)</f>
        <v>Samantha Lee</v>
      </c>
      <c r="O1564" s="2" t="str">
        <f>_xlfn.XLOOKUP(ESales_DB[[#This Row],[Product_ID]],Eproduct_DB[Product_ID],Eproduct_DB[Category])</f>
        <v>Home</v>
      </c>
      <c r="P1564" s="2" t="str">
        <f>_xlfn.XLOOKUP(ESales_DB[[#This Row],[Product_ID]],Eproduct_DB[Product_ID],Eproduct_DB[Product_Name])</f>
        <v>Decorative Wall Mirror</v>
      </c>
      <c r="Q1564" s="2" t="str">
        <f>_xlfn.XLOOKUP(ESales_DB[[#This Row],[Store_ID]],Estore_DB[Store_ID],Estore_DB[Region])</f>
        <v>South</v>
      </c>
      <c r="R1564" t="str">
        <f>VLOOKUP(ESales_DB[[#This Row],[Customer_ID]],Ecustom_DB[],10,FALSE)</f>
        <v>Bronze</v>
      </c>
      <c r="S1564" t="str">
        <f>IF(ESales_DB[[#This Row],[Quantity1]]&gt;3,"Bulk order","Normal order")</f>
        <v>Normal order</v>
      </c>
    </row>
    <row r="1565" spans="1:19" x14ac:dyDescent="0.3">
      <c r="A1565" t="s">
        <v>2431</v>
      </c>
      <c r="B1565" s="4">
        <v>45222</v>
      </c>
      <c r="C1565" s="4" t="str">
        <f>TEXT(ESales_DB[[#This Row],[Order_Date]],"mmm")</f>
        <v>Oct</v>
      </c>
      <c r="D1565" t="s">
        <v>702</v>
      </c>
      <c r="E1565" t="s">
        <v>1692</v>
      </c>
      <c r="F1565" t="s">
        <v>1752</v>
      </c>
      <c r="G1565">
        <v>1</v>
      </c>
      <c r="H1565" s="10">
        <f>IF(ISBLANK(ESales_DB[[#This Row],[Quantity]]),AVERAGEIF(ESales_DB[Product_ID],ESales_DB[[#This Row],[Product_ID]],ESales_DB[Quantity]),ESales_DB[[#This Row],[Quantity]])</f>
        <v>1</v>
      </c>
      <c r="I1565" s="2">
        <v>61.11</v>
      </c>
      <c r="J1565">
        <v>0.1</v>
      </c>
      <c r="K1565" t="s">
        <v>1826</v>
      </c>
      <c r="L1565" s="2">
        <v>54.999000000000002</v>
      </c>
      <c r="M1565" s="2" t="str">
        <f>IF(ESales_DB[[#This Row],[Total_Amount]]&gt;1000,"High","Low")</f>
        <v>Low</v>
      </c>
      <c r="N1565" s="2" t="str">
        <f>VLOOKUP(ESales_DB[[#This Row],[Customer_ID]],Ecustom_DB[],3,FALSE)</f>
        <v>Kathryn Garcia</v>
      </c>
      <c r="O1565" s="2" t="str">
        <f>_xlfn.XLOOKUP(ESales_DB[[#This Row],[Product_ID]],Eproduct_DB[Product_ID],Eproduct_DB[Category])</f>
        <v>Sports</v>
      </c>
      <c r="P1565" s="2" t="str">
        <f>_xlfn.XLOOKUP(ESales_DB[[#This Row],[Product_ID]],Eproduct_DB[Product_ID],Eproduct_DB[Product_Name])</f>
        <v>Professional Jump Rope</v>
      </c>
      <c r="Q1565" s="2" t="str">
        <f>_xlfn.XLOOKUP(ESales_DB[[#This Row],[Store_ID]],Estore_DB[Store_ID],Estore_DB[Region])</f>
        <v>East</v>
      </c>
      <c r="R1565" t="str">
        <f>VLOOKUP(ESales_DB[[#This Row],[Customer_ID]],Ecustom_DB[],10,FALSE)</f>
        <v>Platinum</v>
      </c>
      <c r="S1565" t="str">
        <f>IF(ESales_DB[[#This Row],[Quantity1]]&gt;3,"Bulk order","Normal order")</f>
        <v>Normal order</v>
      </c>
    </row>
    <row r="1566" spans="1:19" x14ac:dyDescent="0.3">
      <c r="A1566" t="s">
        <v>2432</v>
      </c>
      <c r="B1566" s="4">
        <v>45555</v>
      </c>
      <c r="C1566" s="4" t="str">
        <f>TEXT(ESales_DB[[#This Row],[Order_Date]],"mmm")</f>
        <v>Sep</v>
      </c>
      <c r="D1566" t="s">
        <v>121</v>
      </c>
      <c r="E1566" t="s">
        <v>1602</v>
      </c>
      <c r="F1566" t="s">
        <v>1782</v>
      </c>
      <c r="G1566">
        <v>3</v>
      </c>
      <c r="H1566" s="10">
        <f>IF(ISBLANK(ESales_DB[[#This Row],[Quantity]]),AVERAGEIF(ESales_DB[Product_ID],ESales_DB[[#This Row],[Product_ID]],ESales_DB[Quantity]),ESales_DB[[#This Row],[Quantity]])</f>
        <v>3</v>
      </c>
      <c r="I1566" s="2">
        <v>827.88</v>
      </c>
      <c r="J1566">
        <v>0.19</v>
      </c>
      <c r="K1566" t="s">
        <v>1826</v>
      </c>
      <c r="L1566" s="2">
        <v>2011.7483999999999</v>
      </c>
      <c r="M1566" s="2" t="str">
        <f>IF(ESales_DB[[#This Row],[Total_Amount]]&gt;1000,"High","Low")</f>
        <v>High</v>
      </c>
      <c r="N1566" s="2" t="str">
        <f>VLOOKUP(ESales_DB[[#This Row],[Customer_ID]],Ecustom_DB[],3,FALSE)</f>
        <v>David Arnold</v>
      </c>
      <c r="O1566" s="2" t="str">
        <f>_xlfn.XLOOKUP(ESales_DB[[#This Row],[Product_ID]],Eproduct_DB[Product_ID],Eproduct_DB[Category])</f>
        <v>Home</v>
      </c>
      <c r="P1566" s="2" t="str">
        <f>_xlfn.XLOOKUP(ESales_DB[[#This Row],[Product_ID]],Eproduct_DB[Product_ID],Eproduct_DB[Product_Name])</f>
        <v>Decorative Floor Vase</v>
      </c>
      <c r="Q1566" s="2" t="str">
        <f>_xlfn.XLOOKUP(ESales_DB[[#This Row],[Store_ID]],Estore_DB[Store_ID],Estore_DB[Region])</f>
        <v>West</v>
      </c>
      <c r="R1566" t="str">
        <f>VLOOKUP(ESales_DB[[#This Row],[Customer_ID]],Ecustom_DB[],10,FALSE)</f>
        <v>Silver</v>
      </c>
      <c r="S1566" t="str">
        <f>IF(ESales_DB[[#This Row],[Quantity1]]&gt;3,"Bulk order","Normal order")</f>
        <v>Normal order</v>
      </c>
    </row>
    <row r="1567" spans="1:19" x14ac:dyDescent="0.3">
      <c r="A1567" t="s">
        <v>2433</v>
      </c>
      <c r="B1567" s="4">
        <v>45583</v>
      </c>
      <c r="C1567" s="4" t="str">
        <f>TEXT(ESales_DB[[#This Row],[Order_Date]],"mmm")</f>
        <v>Oct</v>
      </c>
      <c r="D1567" t="s">
        <v>1334</v>
      </c>
      <c r="E1567" t="s">
        <v>1722</v>
      </c>
      <c r="F1567" t="s">
        <v>1797</v>
      </c>
      <c r="G1567">
        <v>3</v>
      </c>
      <c r="H1567" s="10">
        <f>IF(ISBLANK(ESales_DB[[#This Row],[Quantity]]),AVERAGEIF(ESales_DB[Product_ID],ESales_DB[[#This Row],[Product_ID]],ESales_DB[Quantity]),ESales_DB[[#This Row],[Quantity]])</f>
        <v>3</v>
      </c>
      <c r="I1567" s="2">
        <v>926.85</v>
      </c>
      <c r="J1567">
        <v>0.18</v>
      </c>
      <c r="K1567" t="s">
        <v>1829</v>
      </c>
      <c r="L1567" s="2">
        <v>2280.0509999999999</v>
      </c>
      <c r="M1567" s="2" t="str">
        <f>IF(ESales_DB[[#This Row],[Total_Amount]]&gt;1000,"High","Low")</f>
        <v>High</v>
      </c>
      <c r="N1567" s="2" t="str">
        <f>VLOOKUP(ESales_DB[[#This Row],[Customer_ID]],Ecustom_DB[],3,FALSE)</f>
        <v>Kimberly Roberts</v>
      </c>
      <c r="O1567" s="2" t="str">
        <f>_xlfn.XLOOKUP(ESales_DB[[#This Row],[Product_ID]],Eproduct_DB[Product_ID],Eproduct_DB[Category])</f>
        <v>Home</v>
      </c>
      <c r="P1567" s="2" t="str">
        <f>_xlfn.XLOOKUP(ESales_DB[[#This Row],[Product_ID]],Eproduct_DB[Product_ID],Eproduct_DB[Product_Name])</f>
        <v>LED Bedside Lamp</v>
      </c>
      <c r="Q1567" s="2" t="str">
        <f>_xlfn.XLOOKUP(ESales_DB[[#This Row],[Store_ID]],Estore_DB[Store_ID],Estore_DB[Region])</f>
        <v>East</v>
      </c>
      <c r="R1567" t="str">
        <f>VLOOKUP(ESales_DB[[#This Row],[Customer_ID]],Ecustom_DB[],10,FALSE)</f>
        <v>Gold</v>
      </c>
      <c r="S1567" t="str">
        <f>IF(ESales_DB[[#This Row],[Quantity1]]&gt;3,"Bulk order","Normal order")</f>
        <v>Normal order</v>
      </c>
    </row>
    <row r="1568" spans="1:19" x14ac:dyDescent="0.3">
      <c r="A1568" t="s">
        <v>2434</v>
      </c>
      <c r="B1568" s="4">
        <v>45662</v>
      </c>
      <c r="C1568" s="4" t="str">
        <f>TEXT(ESales_DB[[#This Row],[Order_Date]],"mmm")</f>
        <v>Jan</v>
      </c>
      <c r="D1568" t="s">
        <v>999</v>
      </c>
      <c r="E1568" t="s">
        <v>1568</v>
      </c>
      <c r="F1568" t="s">
        <v>1799</v>
      </c>
      <c r="G1568">
        <v>1</v>
      </c>
      <c r="H1568" s="10">
        <f>IF(ISBLANK(ESales_DB[[#This Row],[Quantity]]),AVERAGEIF(ESales_DB[Product_ID],ESales_DB[[#This Row],[Product_ID]],ESales_DB[Quantity]),ESales_DB[[#This Row],[Quantity]])</f>
        <v>1</v>
      </c>
      <c r="I1568" s="2">
        <v>874.59</v>
      </c>
      <c r="J1568">
        <v>0.28999999999999998</v>
      </c>
      <c r="K1568" t="s">
        <v>1826</v>
      </c>
      <c r="L1568" s="2">
        <v>620.95889999999997</v>
      </c>
      <c r="M1568" s="2" t="str">
        <f>IF(ESales_DB[[#This Row],[Total_Amount]]&gt;1000,"High","Low")</f>
        <v>Low</v>
      </c>
      <c r="N1568" s="2" t="str">
        <f>VLOOKUP(ESales_DB[[#This Row],[Customer_ID]],Ecustom_DB[],3,FALSE)</f>
        <v>Tiffany Williams</v>
      </c>
      <c r="O1568" s="2" t="str">
        <f>_xlfn.XLOOKUP(ESales_DB[[#This Row],[Product_ID]],Eproduct_DB[Product_ID],Eproduct_DB[Category])</f>
        <v>Home</v>
      </c>
      <c r="P1568" s="2" t="str">
        <f>_xlfn.XLOOKUP(ESales_DB[[#This Row],[Product_ID]],Eproduct_DB[Product_ID],Eproduct_DB[Product_Name])</f>
        <v>Ceramic Kitchen Bowl Set</v>
      </c>
      <c r="Q1568" s="2" t="str">
        <f>_xlfn.XLOOKUP(ESales_DB[[#This Row],[Store_ID]],Estore_DB[Store_ID],Estore_DB[Region])</f>
        <v>South</v>
      </c>
      <c r="R1568" t="str">
        <f>VLOOKUP(ESales_DB[[#This Row],[Customer_ID]],Ecustom_DB[],10,FALSE)</f>
        <v>Gold</v>
      </c>
      <c r="S1568" t="str">
        <f>IF(ESales_DB[[#This Row],[Quantity1]]&gt;3,"Bulk order","Normal order")</f>
        <v>Normal order</v>
      </c>
    </row>
    <row r="1569" spans="1:19" x14ac:dyDescent="0.3">
      <c r="A1569" t="s">
        <v>2435</v>
      </c>
      <c r="B1569" s="4">
        <v>45921</v>
      </c>
      <c r="C1569" s="4" t="str">
        <f>TEXT(ESales_DB[[#This Row],[Order_Date]],"mmm")</f>
        <v>Sep</v>
      </c>
      <c r="D1569" t="s">
        <v>1449</v>
      </c>
      <c r="E1569" t="s">
        <v>1578</v>
      </c>
      <c r="F1569" t="s">
        <v>1757</v>
      </c>
      <c r="G1569">
        <v>4</v>
      </c>
      <c r="H1569" s="10">
        <f>IF(ISBLANK(ESales_DB[[#This Row],[Quantity]]),AVERAGEIF(ESales_DB[Product_ID],ESales_DB[[#This Row],[Product_ID]],ESales_DB[Quantity]),ESales_DB[[#This Row],[Quantity]])</f>
        <v>4</v>
      </c>
      <c r="I1569" s="2">
        <v>479.11</v>
      </c>
      <c r="J1569">
        <v>0.24</v>
      </c>
      <c r="K1569" t="s">
        <v>1826</v>
      </c>
      <c r="L1569" s="2">
        <v>1456.4944</v>
      </c>
      <c r="M1569" s="2" t="str">
        <f>IF(ESales_DB[[#This Row],[Total_Amount]]&gt;1000,"High","Low")</f>
        <v>High</v>
      </c>
      <c r="N1569" s="2" t="str">
        <f>VLOOKUP(ESales_DB[[#This Row],[Customer_ID]],Ecustom_DB[],3,FALSE)</f>
        <v>Manuel Fisher</v>
      </c>
      <c r="O1569" s="2" t="str">
        <f>_xlfn.XLOOKUP(ESales_DB[[#This Row],[Product_ID]],Eproduct_DB[Product_ID],Eproduct_DB[Category])</f>
        <v>Electronics</v>
      </c>
      <c r="P1569" s="2" t="str">
        <f>_xlfn.XLOOKUP(ESales_DB[[#This Row],[Product_ID]],Eproduct_DB[Product_ID],Eproduct_DB[Product_Name])</f>
        <v>4K Home Projector</v>
      </c>
      <c r="Q1569" s="2" t="str">
        <f>_xlfn.XLOOKUP(ESales_DB[[#This Row],[Store_ID]],Estore_DB[Store_ID],Estore_DB[Region])</f>
        <v>North</v>
      </c>
      <c r="R1569" t="str">
        <f>VLOOKUP(ESales_DB[[#This Row],[Customer_ID]],Ecustom_DB[],10,FALSE)</f>
        <v>Gold</v>
      </c>
      <c r="S1569" t="str">
        <f>IF(ESales_DB[[#This Row],[Quantity1]]&gt;3,"Bulk order","Normal order")</f>
        <v>Bulk order</v>
      </c>
    </row>
    <row r="1570" spans="1:19" x14ac:dyDescent="0.3">
      <c r="A1570" t="s">
        <v>1887</v>
      </c>
      <c r="B1570" s="4">
        <v>45716</v>
      </c>
      <c r="C1570" s="4" t="str">
        <f>TEXT(ESales_DB[[#This Row],[Order_Date]],"mmm")</f>
        <v>Feb</v>
      </c>
      <c r="D1570" t="s">
        <v>767</v>
      </c>
      <c r="E1570" t="s">
        <v>1586</v>
      </c>
      <c r="F1570" t="s">
        <v>1779</v>
      </c>
      <c r="G1570">
        <v>1</v>
      </c>
      <c r="H1570" s="10">
        <f>IF(ISBLANK(ESales_DB[[#This Row],[Quantity]]),AVERAGEIF(ESales_DB[Product_ID],ESales_DB[[#This Row],[Product_ID]],ESales_DB[Quantity]),ESales_DB[[#This Row],[Quantity]])</f>
        <v>1</v>
      </c>
      <c r="I1570" s="2">
        <v>374.92</v>
      </c>
      <c r="J1570">
        <v>0.18</v>
      </c>
      <c r="K1570" t="s">
        <v>1826</v>
      </c>
      <c r="L1570" s="2">
        <v>307.43439999999998</v>
      </c>
      <c r="M1570" s="2" t="str">
        <f>IF(ESales_DB[[#This Row],[Total_Amount]]&gt;1000,"High","Low")</f>
        <v>Low</v>
      </c>
      <c r="N1570" s="2" t="str">
        <f>VLOOKUP(ESales_DB[[#This Row],[Customer_ID]],Ecustom_DB[],3,FALSE)</f>
        <v>Maria Hill</v>
      </c>
      <c r="O1570" s="2" t="str">
        <f>_xlfn.XLOOKUP(ESales_DB[[#This Row],[Product_ID]],Eproduct_DB[Product_ID],Eproduct_DB[Category])</f>
        <v>Sports</v>
      </c>
      <c r="P1570" s="2" t="str">
        <f>_xlfn.XLOOKUP(ESales_DB[[#This Row],[Product_ID]],Eproduct_DB[Product_ID],Eproduct_DB[Product_Name])</f>
        <v>Knee Support Brace</v>
      </c>
      <c r="Q1570" s="2" t="str">
        <f>_xlfn.XLOOKUP(ESales_DB[[#This Row],[Store_ID]],Estore_DB[Store_ID],Estore_DB[Region])</f>
        <v>South</v>
      </c>
      <c r="R1570" t="str">
        <f>VLOOKUP(ESales_DB[[#This Row],[Customer_ID]],Ecustom_DB[],10,FALSE)</f>
        <v>Platinum</v>
      </c>
      <c r="S1570" t="str">
        <f>IF(ESales_DB[[#This Row],[Quantity1]]&gt;3,"Bulk order","Normal order")</f>
        <v>Normal order</v>
      </c>
    </row>
    <row r="1571" spans="1:19" x14ac:dyDescent="0.3">
      <c r="A1571" t="s">
        <v>2436</v>
      </c>
      <c r="B1571" s="4">
        <v>45490</v>
      </c>
      <c r="C1571" s="4" t="str">
        <f>TEXT(ESales_DB[[#This Row],[Order_Date]],"mmm")</f>
        <v>Jul</v>
      </c>
      <c r="D1571" t="s">
        <v>693</v>
      </c>
      <c r="E1571" t="s">
        <v>1612</v>
      </c>
      <c r="F1571" t="s">
        <v>1807</v>
      </c>
      <c r="G1571">
        <v>3</v>
      </c>
      <c r="H1571" s="10">
        <f>IF(ISBLANK(ESales_DB[[#This Row],[Quantity]]),AVERAGEIF(ESales_DB[Product_ID],ESales_DB[[#This Row],[Product_ID]],ESales_DB[Quantity]),ESales_DB[[#This Row],[Quantity]])</f>
        <v>3</v>
      </c>
      <c r="I1571" s="2">
        <v>182.91</v>
      </c>
      <c r="J1571">
        <v>0.28999999999999998</v>
      </c>
      <c r="K1571" t="s">
        <v>1824</v>
      </c>
      <c r="L1571" s="2">
        <v>389.59829999999999</v>
      </c>
      <c r="M1571" s="2" t="str">
        <f>IF(ESales_DB[[#This Row],[Total_Amount]]&gt;1000,"High","Low")</f>
        <v>Low</v>
      </c>
      <c r="N1571" s="2" t="str">
        <f>VLOOKUP(ESales_DB[[#This Row],[Customer_ID]],Ecustom_DB[],3,FALSE)</f>
        <v>Stuart Johnson</v>
      </c>
      <c r="O1571" s="2" t="str">
        <f>_xlfn.XLOOKUP(ESales_DB[[#This Row],[Product_ID]],Eproduct_DB[Product_ID],Eproduct_DB[Category])</f>
        <v>Beauty</v>
      </c>
      <c r="P1571" s="2" t="str">
        <f>_xlfn.XLOOKUP(ESales_DB[[#This Row],[Product_ID]],Eproduct_DB[Product_ID],Eproduct_DB[Product_Name])</f>
        <v>Vitamin C Face Serum</v>
      </c>
      <c r="Q1571" s="2" t="str">
        <f>_xlfn.XLOOKUP(ESales_DB[[#This Row],[Store_ID]],Estore_DB[Store_ID],Estore_DB[Region])</f>
        <v>North</v>
      </c>
      <c r="R1571" t="str">
        <f>VLOOKUP(ESales_DB[[#This Row],[Customer_ID]],Ecustom_DB[],10,FALSE)</f>
        <v>Platinum</v>
      </c>
      <c r="S1571" t="str">
        <f>IF(ESales_DB[[#This Row],[Quantity1]]&gt;3,"Bulk order","Normal order")</f>
        <v>Normal order</v>
      </c>
    </row>
    <row r="1572" spans="1:19" x14ac:dyDescent="0.3">
      <c r="A1572" t="s">
        <v>2437</v>
      </c>
      <c r="B1572" s="4">
        <v>45652</v>
      </c>
      <c r="C1572" s="4" t="str">
        <f>TEXT(ESales_DB[[#This Row],[Order_Date]],"mmm")</f>
        <v>Dec</v>
      </c>
      <c r="D1572" t="s">
        <v>866</v>
      </c>
      <c r="E1572" t="s">
        <v>1616</v>
      </c>
      <c r="F1572" t="s">
        <v>1773</v>
      </c>
      <c r="G1572">
        <v>4</v>
      </c>
      <c r="H1572" s="10">
        <f>IF(ISBLANK(ESales_DB[[#This Row],[Quantity]]),AVERAGEIF(ESales_DB[Product_ID],ESales_DB[[#This Row],[Product_ID]],ESales_DB[Quantity]),ESales_DB[[#This Row],[Quantity]])</f>
        <v>4</v>
      </c>
      <c r="I1572" s="2">
        <v>745.51</v>
      </c>
      <c r="J1572">
        <v>0.05</v>
      </c>
      <c r="K1572" t="s">
        <v>1824</v>
      </c>
      <c r="L1572" s="2">
        <v>2832.9380000000001</v>
      </c>
      <c r="M1572" s="2" t="str">
        <f>IF(ESales_DB[[#This Row],[Total_Amount]]&gt;1000,"High","Low")</f>
        <v>High</v>
      </c>
      <c r="N1572" s="2" t="str">
        <f>VLOOKUP(ESales_DB[[#This Row],[Customer_ID]],Ecustom_DB[],3,FALSE)</f>
        <v>Adam Rowland</v>
      </c>
      <c r="O1572" s="2" t="str">
        <f>_xlfn.XLOOKUP(ESales_DB[[#This Row],[Product_ID]],Eproduct_DB[Product_ID],Eproduct_DB[Category])</f>
        <v>Electronics</v>
      </c>
      <c r="P1572" s="2" t="str">
        <f>_xlfn.XLOOKUP(ESales_DB[[#This Row],[Product_ID]],Eproduct_DB[Product_ID],Eproduct_DB[Product_Name])</f>
        <v>Gaming Mechanical Keyboard</v>
      </c>
      <c r="Q1572" s="2" t="str">
        <f>_xlfn.XLOOKUP(ESales_DB[[#This Row],[Store_ID]],Estore_DB[Store_ID],Estore_DB[Region])</f>
        <v>North</v>
      </c>
      <c r="R1572" t="str">
        <f>VLOOKUP(ESales_DB[[#This Row],[Customer_ID]],Ecustom_DB[],10,FALSE)</f>
        <v>Gold</v>
      </c>
      <c r="S1572" t="str">
        <f>IF(ESales_DB[[#This Row],[Quantity1]]&gt;3,"Bulk order","Normal order")</f>
        <v>Bulk order</v>
      </c>
    </row>
    <row r="1573" spans="1:19" x14ac:dyDescent="0.3">
      <c r="A1573" t="s">
        <v>2438</v>
      </c>
      <c r="B1573" s="4">
        <v>45598</v>
      </c>
      <c r="C1573" s="4" t="str">
        <f>TEXT(ESales_DB[[#This Row],[Order_Date]],"mmm")</f>
        <v>Nov</v>
      </c>
      <c r="D1573" t="s">
        <v>1481</v>
      </c>
      <c r="E1573" t="s">
        <v>1724</v>
      </c>
      <c r="F1573" t="s">
        <v>1801</v>
      </c>
      <c r="G1573">
        <v>3</v>
      </c>
      <c r="H1573" s="10">
        <f>IF(ISBLANK(ESales_DB[[#This Row],[Quantity]]),AVERAGEIF(ESales_DB[Product_ID],ESales_DB[[#This Row],[Product_ID]],ESales_DB[Quantity]),ESales_DB[[#This Row],[Quantity]])</f>
        <v>3</v>
      </c>
      <c r="I1573" s="2">
        <v>920.61</v>
      </c>
      <c r="J1573">
        <v>0.04</v>
      </c>
      <c r="K1573" t="s">
        <v>1824</v>
      </c>
      <c r="L1573" s="2">
        <v>2651.3568</v>
      </c>
      <c r="M1573" s="2" t="str">
        <f>IF(ESales_DB[[#This Row],[Total_Amount]]&gt;1000,"High","Low")</f>
        <v>High</v>
      </c>
      <c r="N1573" s="2" t="str">
        <f>VLOOKUP(ESales_DB[[#This Row],[Customer_ID]],Ecustom_DB[],3,FALSE)</f>
        <v>Bryan Tran</v>
      </c>
      <c r="O1573" s="2" t="str">
        <f>_xlfn.XLOOKUP(ESales_DB[[#This Row],[Product_ID]],Eproduct_DB[Product_ID],Eproduct_DB[Category])</f>
        <v>Sports</v>
      </c>
      <c r="P1573" s="2" t="str">
        <f>_xlfn.XLOOKUP(ESales_DB[[#This Row],[Product_ID]],Eproduct_DB[Product_ID],Eproduct_DB[Product_Name])</f>
        <v>Sports Wrist Sweatbands</v>
      </c>
      <c r="Q1573" s="2" t="str">
        <f>_xlfn.XLOOKUP(ESales_DB[[#This Row],[Store_ID]],Estore_DB[Store_ID],Estore_DB[Region])</f>
        <v>North</v>
      </c>
      <c r="R1573" t="str">
        <f>VLOOKUP(ESales_DB[[#This Row],[Customer_ID]],Ecustom_DB[],10,FALSE)</f>
        <v>Gold</v>
      </c>
      <c r="S1573" t="str">
        <f>IF(ESales_DB[[#This Row],[Quantity1]]&gt;3,"Bulk order","Normal order")</f>
        <v>Normal order</v>
      </c>
    </row>
    <row r="1574" spans="1:19" x14ac:dyDescent="0.3">
      <c r="A1574" t="s">
        <v>2439</v>
      </c>
      <c r="B1574" s="4">
        <v>45772</v>
      </c>
      <c r="C1574" s="4" t="str">
        <f>TEXT(ESales_DB[[#This Row],[Order_Date]],"mmm")</f>
        <v>Apr</v>
      </c>
      <c r="D1574" t="s">
        <v>1319</v>
      </c>
      <c r="E1574" t="s">
        <v>1698</v>
      </c>
      <c r="F1574" t="s">
        <v>1789</v>
      </c>
      <c r="G1574">
        <v>4</v>
      </c>
      <c r="H1574" s="10">
        <f>IF(ISBLANK(ESales_DB[[#This Row],[Quantity]]),AVERAGEIF(ESales_DB[Product_ID],ESales_DB[[#This Row],[Product_ID]],ESales_DB[Quantity]),ESales_DB[[#This Row],[Quantity]])</f>
        <v>4</v>
      </c>
      <c r="I1574" s="2">
        <v>659.03</v>
      </c>
      <c r="J1574">
        <v>0.15</v>
      </c>
      <c r="K1574" t="s">
        <v>1824</v>
      </c>
      <c r="L1574" s="2">
        <v>2240.7020000000002</v>
      </c>
      <c r="M1574" s="2" t="str">
        <f>IF(ESales_DB[[#This Row],[Total_Amount]]&gt;1000,"High","Low")</f>
        <v>High</v>
      </c>
      <c r="N1574" s="2" t="str">
        <f>VLOOKUP(ESales_DB[[#This Row],[Customer_ID]],Ecustom_DB[],3,FALSE)</f>
        <v>Bryce Hawkins</v>
      </c>
      <c r="O1574" s="2" t="str">
        <f>_xlfn.XLOOKUP(ESales_DB[[#This Row],[Product_ID]],Eproduct_DB[Product_ID],Eproduct_DB[Category])</f>
        <v>Clothing</v>
      </c>
      <c r="P1574" s="2" t="str">
        <f>_xlfn.XLOOKUP(ESales_DB[[#This Row],[Product_ID]],Eproduct_DB[Product_ID],Eproduct_DB[Product_Name])</f>
        <v>Women's Ankle Boots</v>
      </c>
      <c r="Q1574" s="2" t="str">
        <f>_xlfn.XLOOKUP(ESales_DB[[#This Row],[Store_ID]],Estore_DB[Store_ID],Estore_DB[Region])</f>
        <v>East</v>
      </c>
      <c r="R1574" t="str">
        <f>VLOOKUP(ESales_DB[[#This Row],[Customer_ID]],Ecustom_DB[],10,FALSE)</f>
        <v>Bronze</v>
      </c>
      <c r="S1574" t="str">
        <f>IF(ESales_DB[[#This Row],[Quantity1]]&gt;3,"Bulk order","Normal order")</f>
        <v>Bulk order</v>
      </c>
    </row>
    <row r="1575" spans="1:19" x14ac:dyDescent="0.3">
      <c r="A1575" t="s">
        <v>2440</v>
      </c>
      <c r="B1575" s="4">
        <v>45338</v>
      </c>
      <c r="C1575" s="4" t="str">
        <f>TEXT(ESales_DB[[#This Row],[Order_Date]],"mmm")</f>
        <v>Feb</v>
      </c>
      <c r="D1575" t="s">
        <v>1510</v>
      </c>
      <c r="E1575" t="s">
        <v>1565</v>
      </c>
      <c r="F1575" t="s">
        <v>1761</v>
      </c>
      <c r="G1575">
        <v>1</v>
      </c>
      <c r="H1575" s="10">
        <f>IF(ISBLANK(ESales_DB[[#This Row],[Quantity]]),AVERAGEIF(ESales_DB[Product_ID],ESales_DB[[#This Row],[Product_ID]],ESales_DB[Quantity]),ESales_DB[[#This Row],[Quantity]])</f>
        <v>1</v>
      </c>
      <c r="I1575" s="2">
        <v>312.91000000000003</v>
      </c>
      <c r="J1575">
        <v>0.12</v>
      </c>
      <c r="K1575" t="s">
        <v>1826</v>
      </c>
      <c r="L1575" s="2">
        <v>275.36079999999998</v>
      </c>
      <c r="M1575" s="2" t="str">
        <f>IF(ESales_DB[[#This Row],[Total_Amount]]&gt;1000,"High","Low")</f>
        <v>Low</v>
      </c>
      <c r="N1575" s="2" t="str">
        <f>VLOOKUP(ESales_DB[[#This Row],[Customer_ID]],Ecustom_DB[],3,FALSE)</f>
        <v>Kaitlin Brown</v>
      </c>
      <c r="O1575" s="2" t="str">
        <f>_xlfn.XLOOKUP(ESales_DB[[#This Row],[Product_ID]],Eproduct_DB[Product_ID],Eproduct_DB[Category])</f>
        <v>Sports</v>
      </c>
      <c r="P1575" s="2" t="str">
        <f>_xlfn.XLOOKUP(ESales_DB[[#This Row],[Product_ID]],Eproduct_DB[Product_ID],Eproduct_DB[Product_Name])</f>
        <v>Adjustable Dumbbell Set</v>
      </c>
      <c r="Q1575" s="2" t="str">
        <f>_xlfn.XLOOKUP(ESales_DB[[#This Row],[Store_ID]],Estore_DB[Store_ID],Estore_DB[Region])</f>
        <v>South</v>
      </c>
      <c r="R1575" t="str">
        <f>VLOOKUP(ESales_DB[[#This Row],[Customer_ID]],Ecustom_DB[],10,FALSE)</f>
        <v>Gold</v>
      </c>
      <c r="S1575" t="str">
        <f>IF(ESales_DB[[#This Row],[Quantity1]]&gt;3,"Bulk order","Normal order")</f>
        <v>Normal order</v>
      </c>
    </row>
    <row r="1576" spans="1:19" x14ac:dyDescent="0.3">
      <c r="A1576" t="s">
        <v>2441</v>
      </c>
      <c r="B1576" s="4">
        <v>45524</v>
      </c>
      <c r="C1576" s="4" t="str">
        <f>TEXT(ESales_DB[[#This Row],[Order_Date]],"mmm")</f>
        <v>Aug</v>
      </c>
      <c r="D1576" t="s">
        <v>735</v>
      </c>
      <c r="E1576" t="s">
        <v>1572</v>
      </c>
      <c r="F1576" t="s">
        <v>1810</v>
      </c>
      <c r="G1576">
        <v>4</v>
      </c>
      <c r="H1576" s="10">
        <f>IF(ISBLANK(ESales_DB[[#This Row],[Quantity]]),AVERAGEIF(ESales_DB[Product_ID],ESales_DB[[#This Row],[Product_ID]],ESales_DB[Quantity]),ESales_DB[[#This Row],[Quantity]])</f>
        <v>4</v>
      </c>
      <c r="I1576" s="2">
        <v>705.64</v>
      </c>
      <c r="J1576">
        <v>0.11</v>
      </c>
      <c r="K1576" t="s">
        <v>1826</v>
      </c>
      <c r="L1576" s="2">
        <v>2512.0783999999999</v>
      </c>
      <c r="M1576" s="2" t="str">
        <f>IF(ESales_DB[[#This Row],[Total_Amount]]&gt;1000,"High","Low")</f>
        <v>High</v>
      </c>
      <c r="N1576" s="2" t="str">
        <f>VLOOKUP(ESales_DB[[#This Row],[Customer_ID]],Ecustom_DB[],3,FALSE)</f>
        <v>Casey Flores</v>
      </c>
      <c r="O1576" s="2" t="str">
        <f>_xlfn.XLOOKUP(ESales_DB[[#This Row],[Product_ID]],Eproduct_DB[Product_ID],Eproduct_DB[Category])</f>
        <v>Beauty</v>
      </c>
      <c r="P1576" s="2" t="str">
        <f>_xlfn.XLOOKUP(ESales_DB[[#This Row],[Product_ID]],Eproduct_DB[Product_ID],Eproduct_DB[Product_Name])</f>
        <v>Hair Strengthening Shampoo</v>
      </c>
      <c r="Q1576" s="2" t="str">
        <f>_xlfn.XLOOKUP(ESales_DB[[#This Row],[Store_ID]],Estore_DB[Store_ID],Estore_DB[Region])</f>
        <v>East</v>
      </c>
      <c r="R1576" t="str">
        <f>VLOOKUP(ESales_DB[[#This Row],[Customer_ID]],Ecustom_DB[],10,FALSE)</f>
        <v>Gold</v>
      </c>
      <c r="S1576" t="str">
        <f>IF(ESales_DB[[#This Row],[Quantity1]]&gt;3,"Bulk order","Normal order")</f>
        <v>Bulk order</v>
      </c>
    </row>
    <row r="1577" spans="1:19" x14ac:dyDescent="0.3">
      <c r="A1577" t="s">
        <v>2442</v>
      </c>
      <c r="B1577" s="4">
        <v>45497</v>
      </c>
      <c r="C1577" s="4" t="str">
        <f>TEXT(ESales_DB[[#This Row],[Order_Date]],"mmm")</f>
        <v>Jul</v>
      </c>
      <c r="D1577" t="s">
        <v>487</v>
      </c>
      <c r="E1577" t="s">
        <v>1565</v>
      </c>
      <c r="F1577" t="s">
        <v>1789</v>
      </c>
      <c r="G1577">
        <v>4</v>
      </c>
      <c r="H1577" s="10">
        <f>IF(ISBLANK(ESales_DB[[#This Row],[Quantity]]),AVERAGEIF(ESales_DB[Product_ID],ESales_DB[[#This Row],[Product_ID]],ESales_DB[Quantity]),ESales_DB[[#This Row],[Quantity]])</f>
        <v>4</v>
      </c>
      <c r="I1577" s="2">
        <v>386.41</v>
      </c>
      <c r="J1577">
        <v>0.13</v>
      </c>
      <c r="K1577" t="s">
        <v>1829</v>
      </c>
      <c r="L1577" s="2">
        <v>1344.7067999999999</v>
      </c>
      <c r="M1577" s="2" t="str">
        <f>IF(ESales_DB[[#This Row],[Total_Amount]]&gt;1000,"High","Low")</f>
        <v>High</v>
      </c>
      <c r="N1577" s="2" t="str">
        <f>VLOOKUP(ESales_DB[[#This Row],[Customer_ID]],Ecustom_DB[],3,FALSE)</f>
        <v>Justin Cross</v>
      </c>
      <c r="O1577" s="2" t="str">
        <f>_xlfn.XLOOKUP(ESales_DB[[#This Row],[Product_ID]],Eproduct_DB[Product_ID],Eproduct_DB[Category])</f>
        <v>Sports</v>
      </c>
      <c r="P1577" s="2" t="str">
        <f>_xlfn.XLOOKUP(ESales_DB[[#This Row],[Product_ID]],Eproduct_DB[Product_ID],Eproduct_DB[Product_Name])</f>
        <v>Adjustable Dumbbell Set</v>
      </c>
      <c r="Q1577" s="2" t="str">
        <f>_xlfn.XLOOKUP(ESales_DB[[#This Row],[Store_ID]],Estore_DB[Store_ID],Estore_DB[Region])</f>
        <v>East</v>
      </c>
      <c r="R1577" t="str">
        <f>VLOOKUP(ESales_DB[[#This Row],[Customer_ID]],Ecustom_DB[],10,FALSE)</f>
        <v>Bronze</v>
      </c>
      <c r="S1577" t="str">
        <f>IF(ESales_DB[[#This Row],[Quantity1]]&gt;3,"Bulk order","Normal order")</f>
        <v>Bulk order</v>
      </c>
    </row>
    <row r="1578" spans="1:19" x14ac:dyDescent="0.3">
      <c r="A1578" t="s">
        <v>2443</v>
      </c>
      <c r="B1578" s="4">
        <v>45534</v>
      </c>
      <c r="C1578" s="4" t="str">
        <f>TEXT(ESales_DB[[#This Row],[Order_Date]],"mmm")</f>
        <v>Aug</v>
      </c>
      <c r="D1578" t="s">
        <v>121</v>
      </c>
      <c r="E1578" t="s">
        <v>1736</v>
      </c>
      <c r="F1578" t="s">
        <v>1792</v>
      </c>
      <c r="G1578">
        <v>3</v>
      </c>
      <c r="H1578" s="10">
        <f>IF(ISBLANK(ESales_DB[[#This Row],[Quantity]]),AVERAGEIF(ESales_DB[Product_ID],ESales_DB[[#This Row],[Product_ID]],ESales_DB[Quantity]),ESales_DB[[#This Row],[Quantity]])</f>
        <v>3</v>
      </c>
      <c r="I1578" s="2">
        <v>265.89</v>
      </c>
      <c r="J1578">
        <v>0.08</v>
      </c>
      <c r="K1578" t="s">
        <v>1829</v>
      </c>
      <c r="L1578" s="2">
        <v>733.85640000000001</v>
      </c>
      <c r="M1578" s="2" t="str">
        <f>IF(ESales_DB[[#This Row],[Total_Amount]]&gt;1000,"High","Low")</f>
        <v>Low</v>
      </c>
      <c r="N1578" s="2" t="str">
        <f>VLOOKUP(ESales_DB[[#This Row],[Customer_ID]],Ecustom_DB[],3,FALSE)</f>
        <v>David Arnold</v>
      </c>
      <c r="O1578" s="2" t="str">
        <f>_xlfn.XLOOKUP(ESales_DB[[#This Row],[Product_ID]],Eproduct_DB[Product_ID],Eproduct_DB[Category])</f>
        <v>Beauty</v>
      </c>
      <c r="P1578" s="2" t="str">
        <f>_xlfn.XLOOKUP(ESales_DB[[#This Row],[Product_ID]],Eproduct_DB[Product_ID],Eproduct_DB[Product_Name])</f>
        <v>Vitamin E Body Lotion</v>
      </c>
      <c r="Q1578" s="2" t="str">
        <f>_xlfn.XLOOKUP(ESales_DB[[#This Row],[Store_ID]],Estore_DB[Store_ID],Estore_DB[Region])</f>
        <v>South</v>
      </c>
      <c r="R1578" t="str">
        <f>VLOOKUP(ESales_DB[[#This Row],[Customer_ID]],Ecustom_DB[],10,FALSE)</f>
        <v>Silver</v>
      </c>
      <c r="S1578" t="str">
        <f>IF(ESales_DB[[#This Row],[Quantity1]]&gt;3,"Bulk order","Normal order")</f>
        <v>Normal order</v>
      </c>
    </row>
    <row r="1579" spans="1:19" x14ac:dyDescent="0.3">
      <c r="A1579" t="s">
        <v>2444</v>
      </c>
      <c r="B1579" s="4">
        <v>45925</v>
      </c>
      <c r="C1579" s="4" t="str">
        <f>TEXT(ESales_DB[[#This Row],[Order_Date]],"mmm")</f>
        <v>Sep</v>
      </c>
      <c r="D1579" t="s">
        <v>275</v>
      </c>
      <c r="E1579" t="s">
        <v>1608</v>
      </c>
      <c r="F1579" t="s">
        <v>1804</v>
      </c>
      <c r="G1579">
        <v>1</v>
      </c>
      <c r="H1579" s="10">
        <f>IF(ISBLANK(ESales_DB[[#This Row],[Quantity]]),AVERAGEIF(ESales_DB[Product_ID],ESales_DB[[#This Row],[Product_ID]],ESales_DB[Quantity]),ESales_DB[[#This Row],[Quantity]])</f>
        <v>1</v>
      </c>
      <c r="I1579" s="2">
        <v>703.16</v>
      </c>
      <c r="J1579">
        <v>0.28999999999999998</v>
      </c>
      <c r="K1579" t="s">
        <v>1824</v>
      </c>
      <c r="L1579" s="2">
        <v>499.24360000000001</v>
      </c>
      <c r="M1579" s="2" t="str">
        <f>IF(ESales_DB[[#This Row],[Total_Amount]]&gt;1000,"High","Low")</f>
        <v>Low</v>
      </c>
      <c r="N1579" s="2" t="str">
        <f>VLOOKUP(ESales_DB[[#This Row],[Customer_ID]],Ecustom_DB[],3,FALSE)</f>
        <v>Rhonda Morales</v>
      </c>
      <c r="O1579" s="2" t="str">
        <f>_xlfn.XLOOKUP(ESales_DB[[#This Row],[Product_ID]],Eproduct_DB[Product_ID],Eproduct_DB[Category])</f>
        <v>Home</v>
      </c>
      <c r="P1579" s="2" t="str">
        <f>_xlfn.XLOOKUP(ESales_DB[[#This Row],[Product_ID]],Eproduct_DB[Product_ID],Eproduct_DB[Product_Name])</f>
        <v>Stainless Steel Cutlery Set</v>
      </c>
      <c r="Q1579" s="2" t="str">
        <f>_xlfn.XLOOKUP(ESales_DB[[#This Row],[Store_ID]],Estore_DB[Store_ID],Estore_DB[Region])</f>
        <v>West</v>
      </c>
      <c r="R1579" t="str">
        <f>VLOOKUP(ESales_DB[[#This Row],[Customer_ID]],Ecustom_DB[],10,FALSE)</f>
        <v>Gold</v>
      </c>
      <c r="S1579" t="str">
        <f>IF(ESales_DB[[#This Row],[Quantity1]]&gt;3,"Bulk order","Normal order")</f>
        <v>Normal order</v>
      </c>
    </row>
    <row r="1580" spans="1:19" x14ac:dyDescent="0.3">
      <c r="A1580" t="s">
        <v>2445</v>
      </c>
      <c r="B1580" s="4">
        <v>45765</v>
      </c>
      <c r="C1580" s="4" t="str">
        <f>TEXT(ESales_DB[[#This Row],[Order_Date]],"mmm")</f>
        <v>Apr</v>
      </c>
      <c r="D1580" t="s">
        <v>1452</v>
      </c>
      <c r="E1580" t="s">
        <v>1742</v>
      </c>
      <c r="F1580" t="s">
        <v>1797</v>
      </c>
      <c r="G1580">
        <v>2</v>
      </c>
      <c r="H1580" s="10">
        <f>IF(ISBLANK(ESales_DB[[#This Row],[Quantity]]),AVERAGEIF(ESales_DB[Product_ID],ESales_DB[[#This Row],[Product_ID]],ESales_DB[Quantity]),ESales_DB[[#This Row],[Quantity]])</f>
        <v>2</v>
      </c>
      <c r="I1580" s="2">
        <v>394.5</v>
      </c>
      <c r="J1580">
        <v>0.28999999999999998</v>
      </c>
      <c r="K1580" t="s">
        <v>1829</v>
      </c>
      <c r="L1580" s="2">
        <v>560.18999999999994</v>
      </c>
      <c r="M1580" s="2" t="str">
        <f>IF(ESales_DB[[#This Row],[Total_Amount]]&gt;1000,"High","Low")</f>
        <v>Low</v>
      </c>
      <c r="N1580" s="2" t="str">
        <f>VLOOKUP(ESales_DB[[#This Row],[Customer_ID]],Ecustom_DB[],3,FALSE)</f>
        <v>Debra Mccullough</v>
      </c>
      <c r="O1580" s="2" t="str">
        <f>_xlfn.XLOOKUP(ESales_DB[[#This Row],[Product_ID]],Eproduct_DB[Product_ID],Eproduct_DB[Category])</f>
        <v>Sports</v>
      </c>
      <c r="P1580" s="2" t="str">
        <f>_xlfn.XLOOKUP(ESales_DB[[#This Row],[Product_ID]],Eproduct_DB[Product_ID],Eproduct_DB[Product_Name])</f>
        <v>Cricket Bat</v>
      </c>
      <c r="Q1580" s="2" t="str">
        <f>_xlfn.XLOOKUP(ESales_DB[[#This Row],[Store_ID]],Estore_DB[Store_ID],Estore_DB[Region])</f>
        <v>East</v>
      </c>
      <c r="R1580" t="str">
        <f>VLOOKUP(ESales_DB[[#This Row],[Customer_ID]],Ecustom_DB[],10,FALSE)</f>
        <v>Platinum</v>
      </c>
      <c r="S1580" t="str">
        <f>IF(ESales_DB[[#This Row],[Quantity1]]&gt;3,"Bulk order","Normal order")</f>
        <v>Normal order</v>
      </c>
    </row>
    <row r="1581" spans="1:19" x14ac:dyDescent="0.3">
      <c r="A1581" t="s">
        <v>1888</v>
      </c>
      <c r="B1581" s="4">
        <v>45515</v>
      </c>
      <c r="C1581" s="4" t="str">
        <f>TEXT(ESales_DB[[#This Row],[Order_Date]],"mmm")</f>
        <v>Aug</v>
      </c>
      <c r="D1581" t="s">
        <v>1431</v>
      </c>
      <c r="E1581" t="s">
        <v>1734</v>
      </c>
      <c r="F1581" t="s">
        <v>1804</v>
      </c>
      <c r="G1581">
        <v>1</v>
      </c>
      <c r="H1581" s="10">
        <f>IF(ISBLANK(ESales_DB[[#This Row],[Quantity]]),AVERAGEIF(ESales_DB[Product_ID],ESales_DB[[#This Row],[Product_ID]],ESales_DB[Quantity]),ESales_DB[[#This Row],[Quantity]])</f>
        <v>1</v>
      </c>
      <c r="I1581" s="2">
        <v>468.94</v>
      </c>
      <c r="J1581">
        <v>0.12</v>
      </c>
      <c r="K1581" t="s">
        <v>1824</v>
      </c>
      <c r="L1581" s="2">
        <v>412.66719999999998</v>
      </c>
      <c r="M1581" s="2" t="str">
        <f>IF(ESales_DB[[#This Row],[Total_Amount]]&gt;1000,"High","Low")</f>
        <v>Low</v>
      </c>
      <c r="N1581" s="2" t="str">
        <f>VLOOKUP(ESales_DB[[#This Row],[Customer_ID]],Ecustom_DB[],3,FALSE)</f>
        <v>David Pierce</v>
      </c>
      <c r="O1581" s="2" t="str">
        <f>_xlfn.XLOOKUP(ESales_DB[[#This Row],[Product_ID]],Eproduct_DB[Product_ID],Eproduct_DB[Category])</f>
        <v>Electronics</v>
      </c>
      <c r="P1581" s="2" t="str">
        <f>_xlfn.XLOOKUP(ESales_DB[[#This Row],[Product_ID]],Eproduct_DB[Product_ID],Eproduct_DB[Product_Name])</f>
        <v>USB-C Laptop Charger</v>
      </c>
      <c r="Q1581" s="2" t="str">
        <f>_xlfn.XLOOKUP(ESales_DB[[#This Row],[Store_ID]],Estore_DB[Store_ID],Estore_DB[Region])</f>
        <v>West</v>
      </c>
      <c r="R1581" t="str">
        <f>VLOOKUP(ESales_DB[[#This Row],[Customer_ID]],Ecustom_DB[],10,FALSE)</f>
        <v>Platinum</v>
      </c>
      <c r="S1581" t="str">
        <f>IF(ESales_DB[[#This Row],[Quantity1]]&gt;3,"Bulk order","Normal order")</f>
        <v>Normal order</v>
      </c>
    </row>
    <row r="1582" spans="1:19" x14ac:dyDescent="0.3">
      <c r="A1582" t="s">
        <v>2446</v>
      </c>
      <c r="B1582" s="4">
        <v>45882</v>
      </c>
      <c r="C1582" s="4" t="str">
        <f>TEXT(ESales_DB[[#This Row],[Order_Date]],"mmm")</f>
        <v>Aug</v>
      </c>
      <c r="D1582" t="s">
        <v>408</v>
      </c>
      <c r="E1582" t="s">
        <v>1742</v>
      </c>
      <c r="F1582" t="s">
        <v>1779</v>
      </c>
      <c r="G1582">
        <v>3</v>
      </c>
      <c r="H1582" s="10">
        <f>IF(ISBLANK(ESales_DB[[#This Row],[Quantity]]),AVERAGEIF(ESales_DB[Product_ID],ESales_DB[[#This Row],[Product_ID]],ESales_DB[Quantity]),ESales_DB[[#This Row],[Quantity]])</f>
        <v>3</v>
      </c>
      <c r="I1582" s="2">
        <v>411.25</v>
      </c>
      <c r="J1582">
        <v>0.05</v>
      </c>
      <c r="K1582" t="s">
        <v>1824</v>
      </c>
      <c r="L1582" s="2">
        <v>1172.0625</v>
      </c>
      <c r="M1582" s="2" t="str">
        <f>IF(ESales_DB[[#This Row],[Total_Amount]]&gt;1000,"High","Low")</f>
        <v>High</v>
      </c>
      <c r="N1582" s="2" t="str">
        <f>VLOOKUP(ESales_DB[[#This Row],[Customer_ID]],Ecustom_DB[],3,FALSE)</f>
        <v>Colleen Mccarthy</v>
      </c>
      <c r="O1582" s="2" t="str">
        <f>_xlfn.XLOOKUP(ESales_DB[[#This Row],[Product_ID]],Eproduct_DB[Product_ID],Eproduct_DB[Category])</f>
        <v>Sports</v>
      </c>
      <c r="P1582" s="2" t="str">
        <f>_xlfn.XLOOKUP(ESales_DB[[#This Row],[Product_ID]],Eproduct_DB[Product_ID],Eproduct_DB[Product_Name])</f>
        <v>Cricket Bat</v>
      </c>
      <c r="Q1582" s="2" t="str">
        <f>_xlfn.XLOOKUP(ESales_DB[[#This Row],[Store_ID]],Estore_DB[Store_ID],Estore_DB[Region])</f>
        <v>South</v>
      </c>
      <c r="R1582" t="str">
        <f>VLOOKUP(ESales_DB[[#This Row],[Customer_ID]],Ecustom_DB[],10,FALSE)</f>
        <v>Platinum</v>
      </c>
      <c r="S1582" t="str">
        <f>IF(ESales_DB[[#This Row],[Quantity1]]&gt;3,"Bulk order","Normal order")</f>
        <v>Normal order</v>
      </c>
    </row>
    <row r="1583" spans="1:19" x14ac:dyDescent="0.3">
      <c r="A1583" t="s">
        <v>2447</v>
      </c>
      <c r="B1583" s="4">
        <v>45923</v>
      </c>
      <c r="C1583" s="4" t="str">
        <f>TEXT(ESales_DB[[#This Row],[Order_Date]],"mmm")</f>
        <v>Sep</v>
      </c>
      <c r="D1583" t="s">
        <v>1107</v>
      </c>
      <c r="E1583" t="s">
        <v>1644</v>
      </c>
      <c r="F1583" t="s">
        <v>1761</v>
      </c>
      <c r="G1583">
        <v>4</v>
      </c>
      <c r="H1583" s="10">
        <f>IF(ISBLANK(ESales_DB[[#This Row],[Quantity]]),AVERAGEIF(ESales_DB[Product_ID],ESales_DB[[#This Row],[Product_ID]],ESales_DB[Quantity]),ESales_DB[[#This Row],[Quantity]])</f>
        <v>4</v>
      </c>
      <c r="I1583" s="2">
        <v>395.45</v>
      </c>
      <c r="J1583">
        <v>0.01</v>
      </c>
      <c r="K1583" t="s">
        <v>1824</v>
      </c>
      <c r="L1583" s="2">
        <v>1565.982</v>
      </c>
      <c r="M1583" s="2" t="str">
        <f>IF(ESales_DB[[#This Row],[Total_Amount]]&gt;1000,"High","Low")</f>
        <v>High</v>
      </c>
      <c r="N1583" s="2" t="str">
        <f>VLOOKUP(ESales_DB[[#This Row],[Customer_ID]],Ecustom_DB[],3,FALSE)</f>
        <v>Laura Green</v>
      </c>
      <c r="O1583" s="2" t="str">
        <f>_xlfn.XLOOKUP(ESales_DB[[#This Row],[Product_ID]],Eproduct_DB[Product_ID],Eproduct_DB[Category])</f>
        <v>Electronics</v>
      </c>
      <c r="P1583" s="2" t="str">
        <f>_xlfn.XLOOKUP(ESales_DB[[#This Row],[Product_ID]],Eproduct_DB[Product_ID],Eproduct_DB[Product_Name])</f>
        <v>Car Dashboard Phone Holder</v>
      </c>
      <c r="Q1583" s="2" t="str">
        <f>_xlfn.XLOOKUP(ESales_DB[[#This Row],[Store_ID]],Estore_DB[Store_ID],Estore_DB[Region])</f>
        <v>South</v>
      </c>
      <c r="R1583" t="str">
        <f>VLOOKUP(ESales_DB[[#This Row],[Customer_ID]],Ecustom_DB[],10,FALSE)</f>
        <v>Platinum</v>
      </c>
      <c r="S1583" t="str">
        <f>IF(ESales_DB[[#This Row],[Quantity1]]&gt;3,"Bulk order","Normal order")</f>
        <v>Bulk order</v>
      </c>
    </row>
    <row r="1584" spans="1:19" x14ac:dyDescent="0.3">
      <c r="A1584" t="s">
        <v>2448</v>
      </c>
      <c r="B1584" s="4">
        <v>45421</v>
      </c>
      <c r="C1584" s="4" t="str">
        <f>TEXT(ESales_DB[[#This Row],[Order_Date]],"mmm")</f>
        <v>May</v>
      </c>
      <c r="D1584" t="s">
        <v>144</v>
      </c>
      <c r="E1584" t="s">
        <v>1728</v>
      </c>
      <c r="F1584" t="s">
        <v>1773</v>
      </c>
      <c r="G1584">
        <v>2</v>
      </c>
      <c r="H1584" s="10">
        <f>IF(ISBLANK(ESales_DB[[#This Row],[Quantity]]),AVERAGEIF(ESales_DB[Product_ID],ESales_DB[[#This Row],[Product_ID]],ESales_DB[Quantity]),ESales_DB[[#This Row],[Quantity]])</f>
        <v>2</v>
      </c>
      <c r="I1584" s="2">
        <v>678.98</v>
      </c>
      <c r="J1584">
        <v>0.23</v>
      </c>
      <c r="K1584" t="s">
        <v>1824</v>
      </c>
      <c r="L1584" s="2">
        <v>1045.6292000000001</v>
      </c>
      <c r="M1584" s="2" t="str">
        <f>IF(ESales_DB[[#This Row],[Total_Amount]]&gt;1000,"High","Low")</f>
        <v>High</v>
      </c>
      <c r="N1584" s="2" t="str">
        <f>VLOOKUP(ESales_DB[[#This Row],[Customer_ID]],Ecustom_DB[],3,FALSE)</f>
        <v>Thomas Phillips</v>
      </c>
      <c r="O1584" s="2" t="str">
        <f>_xlfn.XLOOKUP(ESales_DB[[#This Row],[Product_ID]],Eproduct_DB[Product_ID],Eproduct_DB[Category])</f>
        <v>Electronics</v>
      </c>
      <c r="P1584" s="2" t="str">
        <f>_xlfn.XLOOKUP(ESales_DB[[#This Row],[Product_ID]],Eproduct_DB[Product_ID],Eproduct_DB[Product_Name])</f>
        <v>Gaming Mouse Pad XL</v>
      </c>
      <c r="Q1584" s="2" t="str">
        <f>_xlfn.XLOOKUP(ESales_DB[[#This Row],[Store_ID]],Estore_DB[Store_ID],Estore_DB[Region])</f>
        <v>North</v>
      </c>
      <c r="R1584" t="str">
        <f>VLOOKUP(ESales_DB[[#This Row],[Customer_ID]],Ecustom_DB[],10,FALSE)</f>
        <v>Gold</v>
      </c>
      <c r="S1584" t="str">
        <f>IF(ESales_DB[[#This Row],[Quantity1]]&gt;3,"Bulk order","Normal order")</f>
        <v>Normal order</v>
      </c>
    </row>
    <row r="1585" spans="1:19" x14ac:dyDescent="0.3">
      <c r="A1585" t="s">
        <v>2449</v>
      </c>
      <c r="B1585" s="4">
        <v>45608</v>
      </c>
      <c r="C1585" s="4" t="str">
        <f>TEXT(ESales_DB[[#This Row],[Order_Date]],"mmm")</f>
        <v>Nov</v>
      </c>
      <c r="D1585" t="s">
        <v>264</v>
      </c>
      <c r="E1585" t="s">
        <v>1602</v>
      </c>
      <c r="F1585" t="s">
        <v>1799</v>
      </c>
      <c r="G1585">
        <v>4</v>
      </c>
      <c r="H1585" s="10">
        <f>IF(ISBLANK(ESales_DB[[#This Row],[Quantity]]),AVERAGEIF(ESales_DB[Product_ID],ESales_DB[[#This Row],[Product_ID]],ESales_DB[Quantity]),ESales_DB[[#This Row],[Quantity]])</f>
        <v>4</v>
      </c>
      <c r="I1585" s="2">
        <v>757.71</v>
      </c>
      <c r="J1585">
        <v>0.26</v>
      </c>
      <c r="K1585" t="s">
        <v>1829</v>
      </c>
      <c r="L1585" s="2">
        <v>2242.8216000000002</v>
      </c>
      <c r="M1585" s="2" t="str">
        <f>IF(ESales_DB[[#This Row],[Total_Amount]]&gt;1000,"High","Low")</f>
        <v>High</v>
      </c>
      <c r="N1585" s="2" t="str">
        <f>VLOOKUP(ESales_DB[[#This Row],[Customer_ID]],Ecustom_DB[],3,FALSE)</f>
        <v>Tonya Burch</v>
      </c>
      <c r="O1585" s="2" t="str">
        <f>_xlfn.XLOOKUP(ESales_DB[[#This Row],[Product_ID]],Eproduct_DB[Product_ID],Eproduct_DB[Category])</f>
        <v>Home</v>
      </c>
      <c r="P1585" s="2" t="str">
        <f>_xlfn.XLOOKUP(ESales_DB[[#This Row],[Product_ID]],Eproduct_DB[Product_ID],Eproduct_DB[Product_Name])</f>
        <v>Decorative Floor Vase</v>
      </c>
      <c r="Q1585" s="2" t="str">
        <f>_xlfn.XLOOKUP(ESales_DB[[#This Row],[Store_ID]],Estore_DB[Store_ID],Estore_DB[Region])</f>
        <v>South</v>
      </c>
      <c r="R1585" t="str">
        <f>VLOOKUP(ESales_DB[[#This Row],[Customer_ID]],Ecustom_DB[],10,FALSE)</f>
        <v>Gold</v>
      </c>
      <c r="S1585" t="str">
        <f>IF(ESales_DB[[#This Row],[Quantity1]]&gt;3,"Bulk order","Normal order")</f>
        <v>Bulk order</v>
      </c>
    </row>
    <row r="1586" spans="1:19" x14ac:dyDescent="0.3">
      <c r="A1586" t="s">
        <v>2450</v>
      </c>
      <c r="B1586" s="4">
        <v>45644</v>
      </c>
      <c r="C1586" s="4" t="str">
        <f>TEXT(ESales_DB[[#This Row],[Order_Date]],"mmm")</f>
        <v>Dec</v>
      </c>
      <c r="D1586" t="s">
        <v>221</v>
      </c>
      <c r="E1586" t="s">
        <v>1736</v>
      </c>
      <c r="F1586" t="s">
        <v>1769</v>
      </c>
      <c r="G1586">
        <v>1</v>
      </c>
      <c r="H1586" s="10">
        <f>IF(ISBLANK(ESales_DB[[#This Row],[Quantity]]),AVERAGEIF(ESales_DB[Product_ID],ESales_DB[[#This Row],[Product_ID]],ESales_DB[Quantity]),ESales_DB[[#This Row],[Quantity]])</f>
        <v>1</v>
      </c>
      <c r="I1586" s="2">
        <v>647.86</v>
      </c>
      <c r="J1586">
        <v>0.05</v>
      </c>
      <c r="K1586" t="s">
        <v>1829</v>
      </c>
      <c r="L1586" s="2">
        <v>615.46699999999998</v>
      </c>
      <c r="M1586" s="2" t="str">
        <f>IF(ESales_DB[[#This Row],[Total_Amount]]&gt;1000,"High","Low")</f>
        <v>Low</v>
      </c>
      <c r="N1586" s="2" t="str">
        <f>VLOOKUP(ESales_DB[[#This Row],[Customer_ID]],Ecustom_DB[],3,FALSE)</f>
        <v>Alyssa Vargas</v>
      </c>
      <c r="O1586" s="2" t="str">
        <f>_xlfn.XLOOKUP(ESales_DB[[#This Row],[Product_ID]],Eproduct_DB[Product_ID],Eproduct_DB[Category])</f>
        <v>Beauty</v>
      </c>
      <c r="P1586" s="2" t="str">
        <f>_xlfn.XLOOKUP(ESales_DB[[#This Row],[Product_ID]],Eproduct_DB[Product_ID],Eproduct_DB[Product_Name])</f>
        <v>Vitamin E Body Lotion</v>
      </c>
      <c r="Q1586" s="2" t="str">
        <f>_xlfn.XLOOKUP(ESales_DB[[#This Row],[Store_ID]],Estore_DB[Store_ID],Estore_DB[Region])</f>
        <v>South</v>
      </c>
      <c r="R1586" t="str">
        <f>VLOOKUP(ESales_DB[[#This Row],[Customer_ID]],Ecustom_DB[],10,FALSE)</f>
        <v>Platinum</v>
      </c>
      <c r="S1586" t="str">
        <f>IF(ESales_DB[[#This Row],[Quantity1]]&gt;3,"Bulk order","Normal order")</f>
        <v>Normal order</v>
      </c>
    </row>
    <row r="1587" spans="1:19" x14ac:dyDescent="0.3">
      <c r="A1587" t="s">
        <v>2451</v>
      </c>
      <c r="B1587" s="4">
        <v>45517</v>
      </c>
      <c r="C1587" s="4" t="str">
        <f>TEXT(ESales_DB[[#This Row],[Order_Date]],"mmm")</f>
        <v>Aug</v>
      </c>
      <c r="D1587" t="s">
        <v>461</v>
      </c>
      <c r="E1587" t="s">
        <v>1572</v>
      </c>
      <c r="F1587" t="s">
        <v>1776</v>
      </c>
      <c r="G1587">
        <v>2</v>
      </c>
      <c r="H1587" s="10">
        <f>IF(ISBLANK(ESales_DB[[#This Row],[Quantity]]),AVERAGEIF(ESales_DB[Product_ID],ESales_DB[[#This Row],[Product_ID]],ESales_DB[Quantity]),ESales_DB[[#This Row],[Quantity]])</f>
        <v>2</v>
      </c>
      <c r="I1587" s="2">
        <v>179.64</v>
      </c>
      <c r="J1587">
        <v>0.1</v>
      </c>
      <c r="K1587" t="s">
        <v>1826</v>
      </c>
      <c r="L1587" s="2">
        <v>323.35199999999998</v>
      </c>
      <c r="M1587" s="2" t="str">
        <f>IF(ESales_DB[[#This Row],[Total_Amount]]&gt;1000,"High","Low")</f>
        <v>Low</v>
      </c>
      <c r="N1587" s="2" t="str">
        <f>VLOOKUP(ESales_DB[[#This Row],[Customer_ID]],Ecustom_DB[],3,FALSE)</f>
        <v>Matthew Hanna</v>
      </c>
      <c r="O1587" s="2" t="str">
        <f>_xlfn.XLOOKUP(ESales_DB[[#This Row],[Product_ID]],Eproduct_DB[Product_ID],Eproduct_DB[Category])</f>
        <v>Beauty</v>
      </c>
      <c r="P1587" s="2" t="str">
        <f>_xlfn.XLOOKUP(ESales_DB[[#This Row],[Product_ID]],Eproduct_DB[Product_ID],Eproduct_DB[Product_Name])</f>
        <v>Hair Strengthening Shampoo</v>
      </c>
      <c r="Q1587" s="2" t="str">
        <f>_xlfn.XLOOKUP(ESales_DB[[#This Row],[Store_ID]],Estore_DB[Store_ID],Estore_DB[Region])</f>
        <v>East</v>
      </c>
      <c r="R1587" t="str">
        <f>VLOOKUP(ESales_DB[[#This Row],[Customer_ID]],Ecustom_DB[],10,FALSE)</f>
        <v>Platinum</v>
      </c>
      <c r="S1587" t="str">
        <f>IF(ESales_DB[[#This Row],[Quantity1]]&gt;3,"Bulk order","Normal order")</f>
        <v>Normal order</v>
      </c>
    </row>
    <row r="1588" spans="1:19" x14ac:dyDescent="0.3">
      <c r="A1588" t="s">
        <v>2452</v>
      </c>
      <c r="B1588" s="4">
        <v>45545</v>
      </c>
      <c r="C1588" s="4" t="str">
        <f>TEXT(ESales_DB[[#This Row],[Order_Date]],"mmm")</f>
        <v>Sep</v>
      </c>
      <c r="D1588" t="s">
        <v>1235</v>
      </c>
      <c r="E1588" t="s">
        <v>1672</v>
      </c>
      <c r="F1588" t="s">
        <v>1769</v>
      </c>
      <c r="G1588">
        <v>3</v>
      </c>
      <c r="H1588" s="10">
        <f>IF(ISBLANK(ESales_DB[[#This Row],[Quantity]]),AVERAGEIF(ESales_DB[Product_ID],ESales_DB[[#This Row],[Product_ID]],ESales_DB[Quantity]),ESales_DB[[#This Row],[Quantity]])</f>
        <v>3</v>
      </c>
      <c r="I1588" s="2">
        <v>392.65</v>
      </c>
      <c r="J1588">
        <v>0.17</v>
      </c>
      <c r="K1588" t="s">
        <v>1826</v>
      </c>
      <c r="L1588" s="2">
        <v>977.69849999999985</v>
      </c>
      <c r="M1588" s="2" t="str">
        <f>IF(ESales_DB[[#This Row],[Total_Amount]]&gt;1000,"High","Low")</f>
        <v>Low</v>
      </c>
      <c r="N1588" s="2" t="str">
        <f>VLOOKUP(ESales_DB[[#This Row],[Customer_ID]],Ecustom_DB[],3,FALSE)</f>
        <v>Alexander Byrd</v>
      </c>
      <c r="O1588" s="2" t="str">
        <f>_xlfn.XLOOKUP(ESales_DB[[#This Row],[Product_ID]],Eproduct_DB[Product_ID],Eproduct_DB[Category])</f>
        <v>Electronics</v>
      </c>
      <c r="P1588" s="2" t="str">
        <f>_xlfn.XLOOKUP(ESales_DB[[#This Row],[Product_ID]],Eproduct_DB[Product_ID],Eproduct_DB[Product_Name])</f>
        <v>Laptop Cooling Pad</v>
      </c>
      <c r="Q1588" s="2" t="str">
        <f>_xlfn.XLOOKUP(ESales_DB[[#This Row],[Store_ID]],Estore_DB[Store_ID],Estore_DB[Region])</f>
        <v>South</v>
      </c>
      <c r="R1588" t="str">
        <f>VLOOKUP(ESales_DB[[#This Row],[Customer_ID]],Ecustom_DB[],10,FALSE)</f>
        <v>Silver</v>
      </c>
      <c r="S1588" t="str">
        <f>IF(ESales_DB[[#This Row],[Quantity1]]&gt;3,"Bulk order","Normal order")</f>
        <v>Normal order</v>
      </c>
    </row>
    <row r="1589" spans="1:19" x14ac:dyDescent="0.3">
      <c r="A1589" t="s">
        <v>2453</v>
      </c>
      <c r="B1589" s="4">
        <v>45547</v>
      </c>
      <c r="C1589" s="4" t="str">
        <f>TEXT(ESales_DB[[#This Row],[Order_Date]],"mmm")</f>
        <v>Sep</v>
      </c>
      <c r="D1589" t="s">
        <v>582</v>
      </c>
      <c r="E1589" t="s">
        <v>1730</v>
      </c>
      <c r="F1589" t="s">
        <v>1804</v>
      </c>
      <c r="G1589">
        <v>4</v>
      </c>
      <c r="H1589" s="10">
        <f>IF(ISBLANK(ESales_DB[[#This Row],[Quantity]]),AVERAGEIF(ESales_DB[Product_ID],ESales_DB[[#This Row],[Product_ID]],ESales_DB[Quantity]),ESales_DB[[#This Row],[Quantity]])</f>
        <v>4</v>
      </c>
      <c r="I1589" s="2">
        <v>969.55</v>
      </c>
      <c r="J1589">
        <v>0.09</v>
      </c>
      <c r="K1589" t="s">
        <v>1829</v>
      </c>
      <c r="L1589" s="2">
        <v>3529.1619999999998</v>
      </c>
      <c r="M1589" s="2" t="str">
        <f>IF(ESales_DB[[#This Row],[Total_Amount]]&gt;1000,"High","Low")</f>
        <v>High</v>
      </c>
      <c r="N1589" s="2" t="str">
        <f>VLOOKUP(ESales_DB[[#This Row],[Customer_ID]],Ecustom_DB[],3,FALSE)</f>
        <v>John Bradford</v>
      </c>
      <c r="O1589" s="2" t="str">
        <f>_xlfn.XLOOKUP(ESales_DB[[#This Row],[Product_ID]],Eproduct_DB[Product_ID],Eproduct_DB[Category])</f>
        <v>Clothing</v>
      </c>
      <c r="P1589" s="2" t="str">
        <f>_xlfn.XLOOKUP(ESales_DB[[#This Row],[Product_ID]],Eproduct_DB[Product_ID],Eproduct_DB[Product_Name])</f>
        <v>Women's High Heels</v>
      </c>
      <c r="Q1589" s="2" t="str">
        <f>_xlfn.XLOOKUP(ESales_DB[[#This Row],[Store_ID]],Estore_DB[Store_ID],Estore_DB[Region])</f>
        <v>West</v>
      </c>
      <c r="R1589" t="str">
        <f>VLOOKUP(ESales_DB[[#This Row],[Customer_ID]],Ecustom_DB[],10,FALSE)</f>
        <v>Silver</v>
      </c>
      <c r="S1589" t="str">
        <f>IF(ESales_DB[[#This Row],[Quantity1]]&gt;3,"Bulk order","Normal order")</f>
        <v>Bulk order</v>
      </c>
    </row>
    <row r="1590" spans="1:19" x14ac:dyDescent="0.3">
      <c r="A1590" t="s">
        <v>2454</v>
      </c>
      <c r="B1590" s="4">
        <v>45433</v>
      </c>
      <c r="C1590" s="4" t="str">
        <f>TEXT(ESales_DB[[#This Row],[Order_Date]],"mmm")</f>
        <v>May</v>
      </c>
      <c r="D1590" t="s">
        <v>1425</v>
      </c>
      <c r="E1590" t="s">
        <v>1696</v>
      </c>
      <c r="F1590" t="s">
        <v>1794</v>
      </c>
      <c r="G1590">
        <v>3</v>
      </c>
      <c r="H1590" s="10">
        <f>IF(ISBLANK(ESales_DB[[#This Row],[Quantity]]),AVERAGEIF(ESales_DB[Product_ID],ESales_DB[[#This Row],[Product_ID]],ESales_DB[Quantity]),ESales_DB[[#This Row],[Quantity]])</f>
        <v>3</v>
      </c>
      <c r="I1590" s="2">
        <v>322.94</v>
      </c>
      <c r="J1590">
        <v>0.01</v>
      </c>
      <c r="K1590" t="s">
        <v>1824</v>
      </c>
      <c r="L1590" s="2">
        <v>959.13179999999988</v>
      </c>
      <c r="M1590" s="2" t="str">
        <f>IF(ESales_DB[[#This Row],[Total_Amount]]&gt;1000,"High","Low")</f>
        <v>Low</v>
      </c>
      <c r="N1590" s="2" t="str">
        <f>VLOOKUP(ESales_DB[[#This Row],[Customer_ID]],Ecustom_DB[],3,FALSE)</f>
        <v>Beth Martin</v>
      </c>
      <c r="O1590" s="2" t="str">
        <f>_xlfn.XLOOKUP(ESales_DB[[#This Row],[Product_ID]],Eproduct_DB[Product_ID],Eproduct_DB[Category])</f>
        <v>Electronics</v>
      </c>
      <c r="P1590" s="2" t="str">
        <f>_xlfn.XLOOKUP(ESales_DB[[#This Row],[Product_ID]],Eproduct_DB[Product_ID],Eproduct_DB[Product_Name])</f>
        <v>Bluetooth Car Audio System</v>
      </c>
      <c r="Q1590" s="2" t="str">
        <f>_xlfn.XLOOKUP(ESales_DB[[#This Row],[Store_ID]],Estore_DB[Store_ID],Estore_DB[Region])</f>
        <v>North</v>
      </c>
      <c r="R1590" t="str">
        <f>VLOOKUP(ESales_DB[[#This Row],[Customer_ID]],Ecustom_DB[],10,FALSE)</f>
        <v>Silver</v>
      </c>
      <c r="S1590" t="str">
        <f>IF(ESales_DB[[#This Row],[Quantity1]]&gt;3,"Bulk order","Normal order")</f>
        <v>Normal order</v>
      </c>
    </row>
    <row r="1591" spans="1:19" x14ac:dyDescent="0.3">
      <c r="A1591" t="s">
        <v>2455</v>
      </c>
      <c r="B1591" s="4">
        <v>45792</v>
      </c>
      <c r="C1591" s="4" t="str">
        <f>TEXT(ESales_DB[[#This Row],[Order_Date]],"mmm")</f>
        <v>May</v>
      </c>
      <c r="D1591" t="s">
        <v>1133</v>
      </c>
      <c r="E1591" t="s">
        <v>1714</v>
      </c>
      <c r="F1591" t="s">
        <v>1752</v>
      </c>
      <c r="G1591">
        <v>1</v>
      </c>
      <c r="H1591" s="10">
        <f>IF(ISBLANK(ESales_DB[[#This Row],[Quantity]]),AVERAGEIF(ESales_DB[Product_ID],ESales_DB[[#This Row],[Product_ID]],ESales_DB[Quantity]),ESales_DB[[#This Row],[Quantity]])</f>
        <v>1</v>
      </c>
      <c r="I1591" s="2">
        <v>92.83</v>
      </c>
      <c r="J1591">
        <v>0.26</v>
      </c>
      <c r="K1591" t="s">
        <v>1826</v>
      </c>
      <c r="L1591" s="2">
        <v>68.694199999999995</v>
      </c>
      <c r="M1591" s="2" t="str">
        <f>IF(ESales_DB[[#This Row],[Total_Amount]]&gt;1000,"High","Low")</f>
        <v>Low</v>
      </c>
      <c r="N1591" s="2" t="str">
        <f>VLOOKUP(ESales_DB[[#This Row],[Customer_ID]],Ecustom_DB[],3,FALSE)</f>
        <v>Joshua Smith Dvm</v>
      </c>
      <c r="O1591" s="2" t="str">
        <f>_xlfn.XLOOKUP(ESales_DB[[#This Row],[Product_ID]],Eproduct_DB[Product_ID],Eproduct_DB[Category])</f>
        <v>Beauty</v>
      </c>
      <c r="P1591" s="2" t="str">
        <f>_xlfn.XLOOKUP(ESales_DB[[#This Row],[Product_ID]],Eproduct_DB[Product_ID],Eproduct_DB[Product_Name])</f>
        <v>Hydrating Face Cleanser</v>
      </c>
      <c r="Q1591" s="2" t="str">
        <f>_xlfn.XLOOKUP(ESales_DB[[#This Row],[Store_ID]],Estore_DB[Store_ID],Estore_DB[Region])</f>
        <v>East</v>
      </c>
      <c r="R1591" t="str">
        <f>VLOOKUP(ESales_DB[[#This Row],[Customer_ID]],Ecustom_DB[],10,FALSE)</f>
        <v>Gold</v>
      </c>
      <c r="S1591" t="str">
        <f>IF(ESales_DB[[#This Row],[Quantity1]]&gt;3,"Bulk order","Normal order")</f>
        <v>Normal order</v>
      </c>
    </row>
    <row r="1592" spans="1:19" x14ac:dyDescent="0.3">
      <c r="A1592" t="s">
        <v>1889</v>
      </c>
      <c r="B1592" s="4">
        <v>45927</v>
      </c>
      <c r="C1592" s="4" t="str">
        <f>TEXT(ESales_DB[[#This Row],[Order_Date]],"mmm")</f>
        <v>Sep</v>
      </c>
      <c r="D1592" t="s">
        <v>435</v>
      </c>
      <c r="E1592" t="s">
        <v>1726</v>
      </c>
      <c r="F1592" t="s">
        <v>1794</v>
      </c>
      <c r="G1592">
        <v>2</v>
      </c>
      <c r="H1592" s="10">
        <f>IF(ISBLANK(ESales_DB[[#This Row],[Quantity]]),AVERAGEIF(ESales_DB[Product_ID],ESales_DB[[#This Row],[Product_ID]],ESales_DB[Quantity]),ESales_DB[[#This Row],[Quantity]])</f>
        <v>2</v>
      </c>
      <c r="I1592" s="2">
        <v>121.37</v>
      </c>
      <c r="J1592">
        <v>0.05</v>
      </c>
      <c r="K1592" t="s">
        <v>1824</v>
      </c>
      <c r="L1592" s="2">
        <v>230.60300000000001</v>
      </c>
      <c r="M1592" s="2" t="str">
        <f>IF(ESales_DB[[#This Row],[Total_Amount]]&gt;1000,"High","Low")</f>
        <v>Low</v>
      </c>
      <c r="N1592" s="2" t="str">
        <f>VLOOKUP(ESales_DB[[#This Row],[Customer_ID]],Ecustom_DB[],3,FALSE)</f>
        <v>James Wolfe</v>
      </c>
      <c r="O1592" s="2" t="str">
        <f>_xlfn.XLOOKUP(ESales_DB[[#This Row],[Product_ID]],Eproduct_DB[Product_ID],Eproduct_DB[Category])</f>
        <v>Beauty</v>
      </c>
      <c r="P1592" s="2" t="str">
        <f>_xlfn.XLOOKUP(ESales_DB[[#This Row],[Product_ID]],Eproduct_DB[Product_ID],Eproduct_DB[Product_Name])</f>
        <v>Face Foundation Kit</v>
      </c>
      <c r="Q1592" s="2" t="str">
        <f>_xlfn.XLOOKUP(ESales_DB[[#This Row],[Store_ID]],Estore_DB[Store_ID],Estore_DB[Region])</f>
        <v>North</v>
      </c>
      <c r="R1592" t="str">
        <f>VLOOKUP(ESales_DB[[#This Row],[Customer_ID]],Ecustom_DB[],10,FALSE)</f>
        <v>Gold</v>
      </c>
      <c r="S1592" t="str">
        <f>IF(ESales_DB[[#This Row],[Quantity1]]&gt;3,"Bulk order","Normal order")</f>
        <v>Normal order</v>
      </c>
    </row>
    <row r="1593" spans="1:19" x14ac:dyDescent="0.3">
      <c r="A1593" t="s">
        <v>2456</v>
      </c>
      <c r="B1593" s="4">
        <v>45804</v>
      </c>
      <c r="C1593" s="4" t="str">
        <f>TEXT(ESales_DB[[#This Row],[Order_Date]],"mmm")</f>
        <v>May</v>
      </c>
      <c r="D1593" t="s">
        <v>1304</v>
      </c>
      <c r="E1593" t="s">
        <v>1562</v>
      </c>
      <c r="F1593" t="s">
        <v>1766</v>
      </c>
      <c r="G1593">
        <v>4</v>
      </c>
      <c r="H1593" s="10">
        <f>IF(ISBLANK(ESales_DB[[#This Row],[Quantity]]),AVERAGEIF(ESales_DB[Product_ID],ESales_DB[[#This Row],[Product_ID]],ESales_DB[Quantity]),ESales_DB[[#This Row],[Quantity]])</f>
        <v>4</v>
      </c>
      <c r="I1593" s="2">
        <v>432.29</v>
      </c>
      <c r="J1593">
        <v>0.16</v>
      </c>
      <c r="K1593" t="s">
        <v>1829</v>
      </c>
      <c r="L1593" s="2">
        <v>1452.4944</v>
      </c>
      <c r="M1593" s="2" t="str">
        <f>IF(ESales_DB[[#This Row],[Total_Amount]]&gt;1000,"High","Low")</f>
        <v>High</v>
      </c>
      <c r="N1593" s="2" t="str">
        <f>VLOOKUP(ESales_DB[[#This Row],[Customer_ID]],Ecustom_DB[],3,FALSE)</f>
        <v>Dr. Tamara White Md</v>
      </c>
      <c r="O1593" s="2" t="str">
        <f>_xlfn.XLOOKUP(ESales_DB[[#This Row],[Product_ID]],Eproduct_DB[Product_ID],Eproduct_DB[Category])</f>
        <v>Electronics</v>
      </c>
      <c r="P1593" s="2" t="str">
        <f>_xlfn.XLOOKUP(ESales_DB[[#This Row],[Product_ID]],Eproduct_DB[Product_ID],Eproduct_DB[Product_Name])</f>
        <v>Wireless Bluetooth Earbuds</v>
      </c>
      <c r="Q1593" s="2" t="str">
        <f>_xlfn.XLOOKUP(ESales_DB[[#This Row],[Store_ID]],Estore_DB[Store_ID],Estore_DB[Region])</f>
        <v>North</v>
      </c>
      <c r="R1593" t="str">
        <f>VLOOKUP(ESales_DB[[#This Row],[Customer_ID]],Ecustom_DB[],10,FALSE)</f>
        <v>Bronze</v>
      </c>
      <c r="S1593" t="str">
        <f>IF(ESales_DB[[#This Row],[Quantity1]]&gt;3,"Bulk order","Normal order")</f>
        <v>Bulk order</v>
      </c>
    </row>
    <row r="1594" spans="1:19" x14ac:dyDescent="0.3">
      <c r="A1594" t="s">
        <v>2457</v>
      </c>
      <c r="B1594" s="4">
        <v>45311</v>
      </c>
      <c r="C1594" s="4" t="str">
        <f>TEXT(ESales_DB[[#This Row],[Order_Date]],"mmm")</f>
        <v>Jan</v>
      </c>
      <c r="D1594" t="s">
        <v>292</v>
      </c>
      <c r="E1594" t="s">
        <v>1626</v>
      </c>
      <c r="F1594" t="s">
        <v>1797</v>
      </c>
      <c r="G1594">
        <v>2</v>
      </c>
      <c r="H1594" s="10">
        <f>IF(ISBLANK(ESales_DB[[#This Row],[Quantity]]),AVERAGEIF(ESales_DB[Product_ID],ESales_DB[[#This Row],[Product_ID]],ESales_DB[Quantity]),ESales_DB[[#This Row],[Quantity]])</f>
        <v>2</v>
      </c>
      <c r="I1594" s="2">
        <v>925.78</v>
      </c>
      <c r="J1594">
        <v>0.14000000000000001</v>
      </c>
      <c r="K1594" t="s">
        <v>1829</v>
      </c>
      <c r="L1594" s="2">
        <v>1592.3416</v>
      </c>
      <c r="M1594" s="2" t="str">
        <f>IF(ESales_DB[[#This Row],[Total_Amount]]&gt;1000,"High","Low")</f>
        <v>High</v>
      </c>
      <c r="N1594" s="2" t="str">
        <f>VLOOKUP(ESales_DB[[#This Row],[Customer_ID]],Ecustom_DB[],3,FALSE)</f>
        <v>Jennifer Garcia</v>
      </c>
      <c r="O1594" s="2" t="str">
        <f>_xlfn.XLOOKUP(ESales_DB[[#This Row],[Product_ID]],Eproduct_DB[Product_ID],Eproduct_DB[Category])</f>
        <v>Electronics</v>
      </c>
      <c r="P1594" s="2" t="str">
        <f>_xlfn.XLOOKUP(ESales_DB[[#This Row],[Product_ID]],Eproduct_DB[Product_ID],Eproduct_DB[Product_Name])</f>
        <v>Portable Power Bank</v>
      </c>
      <c r="Q1594" s="2" t="str">
        <f>_xlfn.XLOOKUP(ESales_DB[[#This Row],[Store_ID]],Estore_DB[Store_ID],Estore_DB[Region])</f>
        <v>East</v>
      </c>
      <c r="R1594" t="str">
        <f>VLOOKUP(ESales_DB[[#This Row],[Customer_ID]],Ecustom_DB[],10,FALSE)</f>
        <v>Bronze</v>
      </c>
      <c r="S1594" t="str">
        <f>IF(ESales_DB[[#This Row],[Quantity1]]&gt;3,"Bulk order","Normal order")</f>
        <v>Normal order</v>
      </c>
    </row>
    <row r="1595" spans="1:19" x14ac:dyDescent="0.3">
      <c r="A1595" t="s">
        <v>2458</v>
      </c>
      <c r="B1595" s="4">
        <v>45605</v>
      </c>
      <c r="C1595" s="4" t="str">
        <f>TEXT(ESales_DB[[#This Row],[Order_Date]],"mmm")</f>
        <v>Nov</v>
      </c>
      <c r="D1595" t="s">
        <v>1469</v>
      </c>
      <c r="E1595" t="s">
        <v>1598</v>
      </c>
      <c r="F1595" t="s">
        <v>1792</v>
      </c>
      <c r="G1595">
        <v>2</v>
      </c>
      <c r="H1595" s="10">
        <f>IF(ISBLANK(ESales_DB[[#This Row],[Quantity]]),AVERAGEIF(ESales_DB[Product_ID],ESales_DB[[#This Row],[Product_ID]],ESales_DB[Quantity]),ESales_DB[[#This Row],[Quantity]])</f>
        <v>2</v>
      </c>
      <c r="I1595" s="2">
        <v>151.47</v>
      </c>
      <c r="J1595">
        <v>0.21</v>
      </c>
      <c r="K1595" t="s">
        <v>1826</v>
      </c>
      <c r="L1595" s="2">
        <v>239.32259999999999</v>
      </c>
      <c r="M1595" s="2" t="str">
        <f>IF(ESales_DB[[#This Row],[Total_Amount]]&gt;1000,"High","Low")</f>
        <v>Low</v>
      </c>
      <c r="N1595" s="2" t="str">
        <f>VLOOKUP(ESales_DB[[#This Row],[Customer_ID]],Ecustom_DB[],3,FALSE)</f>
        <v>Andrea Harris</v>
      </c>
      <c r="O1595" s="2" t="str">
        <f>_xlfn.XLOOKUP(ESales_DB[[#This Row],[Product_ID]],Eproduct_DB[Product_ID],Eproduct_DB[Category])</f>
        <v>Clothing</v>
      </c>
      <c r="P1595" s="2" t="str">
        <f>_xlfn.XLOOKUP(ESales_DB[[#This Row],[Product_ID]],Eproduct_DB[Product_ID],Eproduct_DB[Product_Name])</f>
        <v>Women's Scarf Set</v>
      </c>
      <c r="Q1595" s="2" t="str">
        <f>_xlfn.XLOOKUP(ESales_DB[[#This Row],[Store_ID]],Estore_DB[Store_ID],Estore_DB[Region])</f>
        <v>South</v>
      </c>
      <c r="R1595" t="str">
        <f>VLOOKUP(ESales_DB[[#This Row],[Customer_ID]],Ecustom_DB[],10,FALSE)</f>
        <v>Platinum</v>
      </c>
      <c r="S1595" t="str">
        <f>IF(ESales_DB[[#This Row],[Quantity1]]&gt;3,"Bulk order","Normal order")</f>
        <v>Normal order</v>
      </c>
    </row>
    <row r="1596" spans="1:19" x14ac:dyDescent="0.3">
      <c r="A1596" t="s">
        <v>2459</v>
      </c>
      <c r="B1596" s="4">
        <v>45338</v>
      </c>
      <c r="C1596" s="4" t="str">
        <f>TEXT(ESales_DB[[#This Row],[Order_Date]],"mmm")</f>
        <v>Feb</v>
      </c>
      <c r="D1596" t="s">
        <v>1389</v>
      </c>
      <c r="E1596" t="s">
        <v>1714</v>
      </c>
      <c r="F1596" t="s">
        <v>1789</v>
      </c>
      <c r="G1596">
        <v>1</v>
      </c>
      <c r="H1596" s="10">
        <f>IF(ISBLANK(ESales_DB[[#This Row],[Quantity]]),AVERAGEIF(ESales_DB[Product_ID],ESales_DB[[#This Row],[Product_ID]],ESales_DB[Quantity]),ESales_DB[[#This Row],[Quantity]])</f>
        <v>1</v>
      </c>
      <c r="I1596" s="2">
        <v>343.05</v>
      </c>
      <c r="J1596">
        <v>0.28000000000000003</v>
      </c>
      <c r="K1596" t="s">
        <v>1826</v>
      </c>
      <c r="L1596" s="2">
        <v>246.99600000000001</v>
      </c>
      <c r="M1596" s="2" t="str">
        <f>IF(ESales_DB[[#This Row],[Total_Amount]]&gt;1000,"High","Low")</f>
        <v>Low</v>
      </c>
      <c r="N1596" s="2" t="str">
        <f>VLOOKUP(ESales_DB[[#This Row],[Customer_ID]],Ecustom_DB[],3,FALSE)</f>
        <v>William Cortez</v>
      </c>
      <c r="O1596" s="2" t="str">
        <f>_xlfn.XLOOKUP(ESales_DB[[#This Row],[Product_ID]],Eproduct_DB[Product_ID],Eproduct_DB[Category])</f>
        <v>Beauty</v>
      </c>
      <c r="P1596" s="2" t="str">
        <f>_xlfn.XLOOKUP(ESales_DB[[#This Row],[Product_ID]],Eproduct_DB[Product_ID],Eproduct_DB[Product_Name])</f>
        <v>Hydrating Face Cleanser</v>
      </c>
      <c r="Q1596" s="2" t="str">
        <f>_xlfn.XLOOKUP(ESales_DB[[#This Row],[Store_ID]],Estore_DB[Store_ID],Estore_DB[Region])</f>
        <v>East</v>
      </c>
      <c r="R1596" t="str">
        <f>VLOOKUP(ESales_DB[[#This Row],[Customer_ID]],Ecustom_DB[],10,FALSE)</f>
        <v>Bronze</v>
      </c>
      <c r="S1596" t="str">
        <f>IF(ESales_DB[[#This Row],[Quantity1]]&gt;3,"Bulk order","Normal order")</f>
        <v>Normal order</v>
      </c>
    </row>
    <row r="1597" spans="1:19" x14ac:dyDescent="0.3">
      <c r="A1597" t="s">
        <v>2460</v>
      </c>
      <c r="B1597" s="4">
        <v>45642</v>
      </c>
      <c r="C1597" s="4" t="str">
        <f>TEXT(ESales_DB[[#This Row],[Order_Date]],"mmm")</f>
        <v>Dec</v>
      </c>
      <c r="D1597" t="s">
        <v>244</v>
      </c>
      <c r="E1597" t="s">
        <v>1582</v>
      </c>
      <c r="F1597" t="s">
        <v>1769</v>
      </c>
      <c r="G1597">
        <v>1</v>
      </c>
      <c r="H1597" s="10">
        <f>IF(ISBLANK(ESales_DB[[#This Row],[Quantity]]),AVERAGEIF(ESales_DB[Product_ID],ESales_DB[[#This Row],[Product_ID]],ESales_DB[Quantity]),ESales_DB[[#This Row],[Quantity]])</f>
        <v>1</v>
      </c>
      <c r="I1597" s="2">
        <v>373.06</v>
      </c>
      <c r="J1597">
        <v>0.11</v>
      </c>
      <c r="K1597" t="s">
        <v>1826</v>
      </c>
      <c r="L1597" s="2">
        <v>332.02339999999998</v>
      </c>
      <c r="M1597" s="2" t="str">
        <f>IF(ESales_DB[[#This Row],[Total_Amount]]&gt;1000,"High","Low")</f>
        <v>Low</v>
      </c>
      <c r="N1597" s="2" t="str">
        <f>VLOOKUP(ESales_DB[[#This Row],[Customer_ID]],Ecustom_DB[],3,FALSE)</f>
        <v>Cody Diaz</v>
      </c>
      <c r="O1597" s="2" t="str">
        <f>_xlfn.XLOOKUP(ESales_DB[[#This Row],[Product_ID]],Eproduct_DB[Product_ID],Eproduct_DB[Category])</f>
        <v>Sports</v>
      </c>
      <c r="P1597" s="2" t="str">
        <f>_xlfn.XLOOKUP(ESales_DB[[#This Row],[Product_ID]],Eproduct_DB[Product_ID],Eproduct_DB[Product_Name])</f>
        <v>Soccer Training Cone Set</v>
      </c>
      <c r="Q1597" s="2" t="str">
        <f>_xlfn.XLOOKUP(ESales_DB[[#This Row],[Store_ID]],Estore_DB[Store_ID],Estore_DB[Region])</f>
        <v>South</v>
      </c>
      <c r="R1597" t="str">
        <f>VLOOKUP(ESales_DB[[#This Row],[Customer_ID]],Ecustom_DB[],10,FALSE)</f>
        <v>Silver</v>
      </c>
      <c r="S1597" t="str">
        <f>IF(ESales_DB[[#This Row],[Quantity1]]&gt;3,"Bulk order","Normal order")</f>
        <v>Normal order</v>
      </c>
    </row>
    <row r="1598" spans="1:19" x14ac:dyDescent="0.3">
      <c r="A1598" t="s">
        <v>2461</v>
      </c>
      <c r="B1598" s="4">
        <v>45693</v>
      </c>
      <c r="C1598" s="4" t="str">
        <f>TEXT(ESales_DB[[#This Row],[Order_Date]],"mmm")</f>
        <v>Feb</v>
      </c>
      <c r="D1598" t="s">
        <v>1278</v>
      </c>
      <c r="E1598" t="s">
        <v>1584</v>
      </c>
      <c r="F1598" t="s">
        <v>1801</v>
      </c>
      <c r="G1598">
        <v>1</v>
      </c>
      <c r="H1598" s="10">
        <f>IF(ISBLANK(ESales_DB[[#This Row],[Quantity]]),AVERAGEIF(ESales_DB[Product_ID],ESales_DB[[#This Row],[Product_ID]],ESales_DB[Quantity]),ESales_DB[[#This Row],[Quantity]])</f>
        <v>1</v>
      </c>
      <c r="I1598" s="2">
        <v>124.98</v>
      </c>
      <c r="J1598">
        <v>7.0000000000000007E-2</v>
      </c>
      <c r="K1598" t="s">
        <v>1829</v>
      </c>
      <c r="L1598" s="2">
        <v>116.23139999999999</v>
      </c>
      <c r="M1598" s="2" t="str">
        <f>IF(ESales_DB[[#This Row],[Total_Amount]]&gt;1000,"High","Low")</f>
        <v>Low</v>
      </c>
      <c r="N1598" s="2" t="str">
        <f>VLOOKUP(ESales_DB[[#This Row],[Customer_ID]],Ecustom_DB[],3,FALSE)</f>
        <v>Katrina Perez</v>
      </c>
      <c r="O1598" s="2" t="str">
        <f>_xlfn.XLOOKUP(ESales_DB[[#This Row],[Product_ID]],Eproduct_DB[Product_ID],Eproduct_DB[Category])</f>
        <v>Clothing</v>
      </c>
      <c r="P1598" s="2" t="str">
        <f>_xlfn.XLOOKUP(ESales_DB[[#This Row],[Product_ID]],Eproduct_DB[Product_ID],Eproduct_DB[Product_Name])</f>
        <v>Women's Denim Jeans</v>
      </c>
      <c r="Q1598" s="2" t="str">
        <f>_xlfn.XLOOKUP(ESales_DB[[#This Row],[Store_ID]],Estore_DB[Store_ID],Estore_DB[Region])</f>
        <v>North</v>
      </c>
      <c r="R1598" t="str">
        <f>VLOOKUP(ESales_DB[[#This Row],[Customer_ID]],Ecustom_DB[],10,FALSE)</f>
        <v>Silver</v>
      </c>
      <c r="S1598" t="str">
        <f>IF(ESales_DB[[#This Row],[Quantity1]]&gt;3,"Bulk order","Normal order")</f>
        <v>Normal order</v>
      </c>
    </row>
    <row r="1599" spans="1:19" x14ac:dyDescent="0.3">
      <c r="A1599" t="s">
        <v>2462</v>
      </c>
      <c r="B1599" s="4">
        <v>45763</v>
      </c>
      <c r="C1599" s="4" t="str">
        <f>TEXT(ESales_DB[[#This Row],[Order_Date]],"mmm")</f>
        <v>Apr</v>
      </c>
      <c r="D1599" t="s">
        <v>866</v>
      </c>
      <c r="E1599" t="s">
        <v>1694</v>
      </c>
      <c r="F1599" t="s">
        <v>1813</v>
      </c>
      <c r="G1599">
        <v>4</v>
      </c>
      <c r="H1599" s="10">
        <f>IF(ISBLANK(ESales_DB[[#This Row],[Quantity]]),AVERAGEIF(ESales_DB[Product_ID],ESales_DB[[#This Row],[Product_ID]],ESales_DB[Quantity]),ESales_DB[[#This Row],[Quantity]])</f>
        <v>4</v>
      </c>
      <c r="I1599" s="2">
        <v>221.49</v>
      </c>
      <c r="J1599">
        <v>0.26</v>
      </c>
      <c r="K1599" t="s">
        <v>1826</v>
      </c>
      <c r="L1599" s="2">
        <v>655.61040000000003</v>
      </c>
      <c r="M1599" s="2" t="str">
        <f>IF(ESales_DB[[#This Row],[Total_Amount]]&gt;1000,"High","Low")</f>
        <v>Low</v>
      </c>
      <c r="N1599" s="2" t="str">
        <f>VLOOKUP(ESales_DB[[#This Row],[Customer_ID]],Ecustom_DB[],3,FALSE)</f>
        <v>Adam Rowland</v>
      </c>
      <c r="O1599" s="2" t="str">
        <f>_xlfn.XLOOKUP(ESales_DB[[#This Row],[Product_ID]],Eproduct_DB[Product_ID],Eproduct_DB[Category])</f>
        <v>Sports</v>
      </c>
      <c r="P1599" s="2" t="str">
        <f>_xlfn.XLOOKUP(ESales_DB[[#This Row],[Product_ID]],Eproduct_DB[Product_ID],Eproduct_DB[Product_Name])</f>
        <v>Shin Guards – Adult</v>
      </c>
      <c r="Q1599" s="2" t="str">
        <f>_xlfn.XLOOKUP(ESales_DB[[#This Row],[Store_ID]],Estore_DB[Store_ID],Estore_DB[Region])</f>
        <v>East</v>
      </c>
      <c r="R1599" t="str">
        <f>VLOOKUP(ESales_DB[[#This Row],[Customer_ID]],Ecustom_DB[],10,FALSE)</f>
        <v>Gold</v>
      </c>
      <c r="S1599" t="str">
        <f>IF(ESales_DB[[#This Row],[Quantity1]]&gt;3,"Bulk order","Normal order")</f>
        <v>Bulk order</v>
      </c>
    </row>
    <row r="1600" spans="1:19" x14ac:dyDescent="0.3">
      <c r="A1600" t="s">
        <v>2463</v>
      </c>
      <c r="B1600" s="4">
        <v>45572</v>
      </c>
      <c r="C1600" s="4" t="str">
        <f>TEXT(ESales_DB[[#This Row],[Order_Date]],"mmm")</f>
        <v>Oct</v>
      </c>
      <c r="D1600" t="s">
        <v>565</v>
      </c>
      <c r="E1600" t="s">
        <v>1594</v>
      </c>
      <c r="F1600" t="s">
        <v>1801</v>
      </c>
      <c r="G1600">
        <v>1</v>
      </c>
      <c r="H1600" s="10">
        <f>IF(ISBLANK(ESales_DB[[#This Row],[Quantity]]),AVERAGEIF(ESales_DB[Product_ID],ESales_DB[[#This Row],[Product_ID]],ESales_DB[Quantity]),ESales_DB[[#This Row],[Quantity]])</f>
        <v>1</v>
      </c>
      <c r="I1600" s="2">
        <v>563.32000000000005</v>
      </c>
      <c r="J1600">
        <v>0.01</v>
      </c>
      <c r="K1600" t="s">
        <v>1826</v>
      </c>
      <c r="L1600" s="2">
        <v>557.68680000000006</v>
      </c>
      <c r="M1600" s="2" t="str">
        <f>IF(ESales_DB[[#This Row],[Total_Amount]]&gt;1000,"High","Low")</f>
        <v>Low</v>
      </c>
      <c r="N1600" s="2" t="str">
        <f>VLOOKUP(ESales_DB[[#This Row],[Customer_ID]],Ecustom_DB[],3,FALSE)</f>
        <v>Christopher Garcia Dds</v>
      </c>
      <c r="O1600" s="2" t="str">
        <f>_xlfn.XLOOKUP(ESales_DB[[#This Row],[Product_ID]],Eproduct_DB[Product_ID],Eproduct_DB[Category])</f>
        <v>Clothing</v>
      </c>
      <c r="P1600" s="2" t="str">
        <f>_xlfn.XLOOKUP(ESales_DB[[#This Row],[Product_ID]],Eproduct_DB[Product_ID],Eproduct_DB[Product_Name])</f>
        <v>Men's Formal Shirt</v>
      </c>
      <c r="Q1600" s="2" t="str">
        <f>_xlfn.XLOOKUP(ESales_DB[[#This Row],[Store_ID]],Estore_DB[Store_ID],Estore_DB[Region])</f>
        <v>North</v>
      </c>
      <c r="R1600" t="str">
        <f>VLOOKUP(ESales_DB[[#This Row],[Customer_ID]],Ecustom_DB[],10,FALSE)</f>
        <v>Gold</v>
      </c>
      <c r="S1600" t="str">
        <f>IF(ESales_DB[[#This Row],[Quantity1]]&gt;3,"Bulk order","Normal order")</f>
        <v>Normal order</v>
      </c>
    </row>
    <row r="1601" spans="1:19" x14ac:dyDescent="0.3">
      <c r="A1601" t="s">
        <v>2464</v>
      </c>
      <c r="B1601" s="4">
        <v>45338</v>
      </c>
      <c r="C1601" s="4" t="str">
        <f>TEXT(ESales_DB[[#This Row],[Order_Date]],"mmm")</f>
        <v>Feb</v>
      </c>
      <c r="D1601" t="s">
        <v>1217</v>
      </c>
      <c r="E1601" t="s">
        <v>1570</v>
      </c>
      <c r="F1601" t="s">
        <v>1752</v>
      </c>
      <c r="G1601">
        <v>1</v>
      </c>
      <c r="H1601" s="10">
        <f>IF(ISBLANK(ESales_DB[[#This Row],[Quantity]]),AVERAGEIF(ESales_DB[Product_ID],ESales_DB[[#This Row],[Product_ID]],ESales_DB[Quantity]),ESales_DB[[#This Row],[Quantity]])</f>
        <v>1</v>
      </c>
      <c r="I1601" s="2">
        <v>362.93</v>
      </c>
      <c r="J1601">
        <v>0.27</v>
      </c>
      <c r="K1601" t="s">
        <v>1824</v>
      </c>
      <c r="L1601" s="2">
        <v>264.93889999999999</v>
      </c>
      <c r="M1601" s="2" t="str">
        <f>IF(ESales_DB[[#This Row],[Total_Amount]]&gt;1000,"High","Low")</f>
        <v>Low</v>
      </c>
      <c r="N1601" s="2" t="str">
        <f>VLOOKUP(ESales_DB[[#This Row],[Customer_ID]],Ecustom_DB[],3,FALSE)</f>
        <v>Daniel Bell</v>
      </c>
      <c r="O1601" s="2" t="str">
        <f>_xlfn.XLOOKUP(ESales_DB[[#This Row],[Product_ID]],Eproduct_DB[Product_ID],Eproduct_DB[Category])</f>
        <v>Electronics</v>
      </c>
      <c r="P1601" s="2" t="str">
        <f>_xlfn.XLOOKUP(ESales_DB[[#This Row],[Product_ID]],Eproduct_DB[Product_ID],Eproduct_DB[Product_Name])</f>
        <v>HD Smart TV Stick</v>
      </c>
      <c r="Q1601" s="2" t="str">
        <f>_xlfn.XLOOKUP(ESales_DB[[#This Row],[Store_ID]],Estore_DB[Store_ID],Estore_DB[Region])</f>
        <v>East</v>
      </c>
      <c r="R1601" t="str">
        <f>VLOOKUP(ESales_DB[[#This Row],[Customer_ID]],Ecustom_DB[],10,FALSE)</f>
        <v>Silver</v>
      </c>
      <c r="S1601" t="str">
        <f>IF(ESales_DB[[#This Row],[Quantity1]]&gt;3,"Bulk order","Normal order")</f>
        <v>Normal order</v>
      </c>
    </row>
    <row r="1602" spans="1:19" x14ac:dyDescent="0.3">
      <c r="A1602" t="s">
        <v>2465</v>
      </c>
      <c r="B1602" s="4">
        <v>45373</v>
      </c>
      <c r="C1602" s="4" t="str">
        <f>TEXT(ESales_DB[[#This Row],[Order_Date]],"mmm")</f>
        <v>Mar</v>
      </c>
      <c r="D1602" t="s">
        <v>1056</v>
      </c>
      <c r="E1602" t="s">
        <v>1570</v>
      </c>
      <c r="F1602" t="s">
        <v>1801</v>
      </c>
      <c r="G1602">
        <v>4</v>
      </c>
      <c r="H1602" s="10">
        <f>IF(ISBLANK(ESales_DB[[#This Row],[Quantity]]),AVERAGEIF(ESales_DB[Product_ID],ESales_DB[[#This Row],[Product_ID]],ESales_DB[Quantity]),ESales_DB[[#This Row],[Quantity]])</f>
        <v>4</v>
      </c>
      <c r="I1602" s="2">
        <v>369.22</v>
      </c>
      <c r="J1602">
        <v>0.18</v>
      </c>
      <c r="K1602" t="s">
        <v>1829</v>
      </c>
      <c r="L1602" s="2">
        <v>1211.0416</v>
      </c>
      <c r="M1602" s="2" t="str">
        <f>IF(ESales_DB[[#This Row],[Total_Amount]]&gt;1000,"High","Low")</f>
        <v>High</v>
      </c>
      <c r="N1602" s="2" t="str">
        <f>VLOOKUP(ESales_DB[[#This Row],[Customer_ID]],Ecustom_DB[],3,FALSE)</f>
        <v>John Jones</v>
      </c>
      <c r="O1602" s="2" t="str">
        <f>_xlfn.XLOOKUP(ESales_DB[[#This Row],[Product_ID]],Eproduct_DB[Product_ID],Eproduct_DB[Category])</f>
        <v>Electronics</v>
      </c>
      <c r="P1602" s="2" t="str">
        <f>_xlfn.XLOOKUP(ESales_DB[[#This Row],[Product_ID]],Eproduct_DB[Product_ID],Eproduct_DB[Product_Name])</f>
        <v>HD Smart TV Stick</v>
      </c>
      <c r="Q1602" s="2" t="str">
        <f>_xlfn.XLOOKUP(ESales_DB[[#This Row],[Store_ID]],Estore_DB[Store_ID],Estore_DB[Region])</f>
        <v>North</v>
      </c>
      <c r="R1602" t="str">
        <f>VLOOKUP(ESales_DB[[#This Row],[Customer_ID]],Ecustom_DB[],10,FALSE)</f>
        <v>Silver</v>
      </c>
      <c r="S1602" t="str">
        <f>IF(ESales_DB[[#This Row],[Quantity1]]&gt;3,"Bulk order","Normal order")</f>
        <v>Bulk order</v>
      </c>
    </row>
    <row r="1603" spans="1:19" x14ac:dyDescent="0.3">
      <c r="A1603" t="s">
        <v>1890</v>
      </c>
      <c r="B1603" s="4">
        <v>45914</v>
      </c>
      <c r="C1603" s="4" t="str">
        <f>TEXT(ESales_DB[[#This Row],[Order_Date]],"mmm")</f>
        <v>Sep</v>
      </c>
      <c r="D1603" t="s">
        <v>815</v>
      </c>
      <c r="E1603" t="s">
        <v>1654</v>
      </c>
      <c r="F1603" t="s">
        <v>1789</v>
      </c>
      <c r="G1603">
        <v>3</v>
      </c>
      <c r="H1603" s="10">
        <f>IF(ISBLANK(ESales_DB[[#This Row],[Quantity]]),AVERAGEIF(ESales_DB[Product_ID],ESales_DB[[#This Row],[Product_ID]],ESales_DB[Quantity]),ESales_DB[[#This Row],[Quantity]])</f>
        <v>3</v>
      </c>
      <c r="I1603" s="2">
        <v>480.06</v>
      </c>
      <c r="J1603">
        <v>0.01</v>
      </c>
      <c r="K1603" t="s">
        <v>1824</v>
      </c>
      <c r="M1603" s="2" t="str">
        <f>IF(ESales_DB[[#This Row],[Total_Amount]]&gt;1000,"High","Low")</f>
        <v>Low</v>
      </c>
      <c r="N1603" s="2" t="str">
        <f>VLOOKUP(ESales_DB[[#This Row],[Customer_ID]],Ecustom_DB[],3,FALSE)</f>
        <v>Damon Perez</v>
      </c>
      <c r="O1603" s="2" t="str">
        <f>_xlfn.XLOOKUP(ESales_DB[[#This Row],[Product_ID]],Eproduct_DB[Product_ID],Eproduct_DB[Category])</f>
        <v>Clothing</v>
      </c>
      <c r="P1603" s="2" t="str">
        <f>_xlfn.XLOOKUP(ESales_DB[[#This Row],[Product_ID]],Eproduct_DB[Product_ID],Eproduct_DB[Product_Name])</f>
        <v>Men's Track Pants</v>
      </c>
      <c r="Q1603" s="2" t="str">
        <f>_xlfn.XLOOKUP(ESales_DB[[#This Row],[Store_ID]],Estore_DB[Store_ID],Estore_DB[Region])</f>
        <v>East</v>
      </c>
      <c r="R1603" t="str">
        <f>VLOOKUP(ESales_DB[[#This Row],[Customer_ID]],Ecustom_DB[],10,FALSE)</f>
        <v>Gold</v>
      </c>
      <c r="S1603" t="str">
        <f>IF(ESales_DB[[#This Row],[Quantity1]]&gt;3,"Bulk order","Normal order")</f>
        <v>Normal order</v>
      </c>
    </row>
    <row r="1604" spans="1:19" x14ac:dyDescent="0.3">
      <c r="A1604" t="s">
        <v>2466</v>
      </c>
      <c r="B1604" s="4">
        <v>45590</v>
      </c>
      <c r="C1604" s="4" t="str">
        <f>TEXT(ESales_DB[[#This Row],[Order_Date]],"mmm")</f>
        <v>Oct</v>
      </c>
      <c r="D1604" t="s">
        <v>1275</v>
      </c>
      <c r="E1604" t="s">
        <v>1740</v>
      </c>
      <c r="F1604" t="s">
        <v>1799</v>
      </c>
      <c r="G1604">
        <v>3</v>
      </c>
      <c r="H1604" s="10">
        <f>IF(ISBLANK(ESales_DB[[#This Row],[Quantity]]),AVERAGEIF(ESales_DB[Product_ID],ESales_DB[[#This Row],[Product_ID]],ESales_DB[Quantity]),ESales_DB[[#This Row],[Quantity]])</f>
        <v>3</v>
      </c>
      <c r="I1604" s="2">
        <v>950.83</v>
      </c>
      <c r="J1604">
        <v>0.06</v>
      </c>
      <c r="K1604" t="s">
        <v>1826</v>
      </c>
      <c r="L1604" s="2">
        <v>2681.3406</v>
      </c>
      <c r="M1604" s="2" t="str">
        <f>IF(ESales_DB[[#This Row],[Total_Amount]]&gt;1000,"High","Low")</f>
        <v>High</v>
      </c>
      <c r="N1604" s="2" t="str">
        <f>VLOOKUP(ESales_DB[[#This Row],[Customer_ID]],Ecustom_DB[],3,FALSE)</f>
        <v>Jackie Thompson</v>
      </c>
      <c r="O1604" s="2" t="str">
        <f>_xlfn.XLOOKUP(ESales_DB[[#This Row],[Product_ID]],Eproduct_DB[Product_ID],Eproduct_DB[Category])</f>
        <v>Clothing</v>
      </c>
      <c r="P1604" s="2" t="str">
        <f>_xlfn.XLOOKUP(ESales_DB[[#This Row],[Product_ID]],Eproduct_DB[Product_ID],Eproduct_DB[Product_Name])</f>
        <v>Women's Formal Blazer</v>
      </c>
      <c r="Q1604" s="2" t="str">
        <f>_xlfn.XLOOKUP(ESales_DB[[#This Row],[Store_ID]],Estore_DB[Store_ID],Estore_DB[Region])</f>
        <v>South</v>
      </c>
      <c r="R1604" t="str">
        <f>VLOOKUP(ESales_DB[[#This Row],[Customer_ID]],Ecustom_DB[],10,FALSE)</f>
        <v>Bronze</v>
      </c>
      <c r="S1604" t="str">
        <f>IF(ESales_DB[[#This Row],[Quantity1]]&gt;3,"Bulk order","Normal order")</f>
        <v>Normal order</v>
      </c>
    </row>
    <row r="1605" spans="1:19" x14ac:dyDescent="0.3">
      <c r="A1605" t="s">
        <v>2467</v>
      </c>
      <c r="B1605" s="4">
        <v>45365</v>
      </c>
      <c r="C1605" s="4" t="str">
        <f>TEXT(ESales_DB[[#This Row],[Order_Date]],"mmm")</f>
        <v>Mar</v>
      </c>
      <c r="D1605" t="s">
        <v>484</v>
      </c>
      <c r="E1605" t="s">
        <v>1622</v>
      </c>
      <c r="F1605" t="s">
        <v>1797</v>
      </c>
      <c r="G1605">
        <v>3</v>
      </c>
      <c r="H1605" s="10">
        <f>IF(ISBLANK(ESales_DB[[#This Row],[Quantity]]),AVERAGEIF(ESales_DB[Product_ID],ESales_DB[[#This Row],[Product_ID]],ESales_DB[Quantity]),ESales_DB[[#This Row],[Quantity]])</f>
        <v>3</v>
      </c>
      <c r="I1605" s="2">
        <v>338.79</v>
      </c>
      <c r="J1605">
        <v>0.01</v>
      </c>
      <c r="K1605" t="s">
        <v>1824</v>
      </c>
      <c r="L1605" s="2">
        <v>1006.2063000000001</v>
      </c>
      <c r="M1605" s="2" t="str">
        <f>IF(ESales_DB[[#This Row],[Total_Amount]]&gt;1000,"High","Low")</f>
        <v>High</v>
      </c>
      <c r="N1605" s="2" t="str">
        <f>VLOOKUP(ESales_DB[[#This Row],[Customer_ID]],Ecustom_DB[],3,FALSE)</f>
        <v>Carlos Skinner</v>
      </c>
      <c r="O1605" s="2" t="str">
        <f>_xlfn.XLOOKUP(ESales_DB[[#This Row],[Product_ID]],Eproduct_DB[Product_ID],Eproduct_DB[Category])</f>
        <v>Clothing</v>
      </c>
      <c r="P1605" s="2" t="str">
        <f>_xlfn.XLOOKUP(ESales_DB[[#This Row],[Product_ID]],Eproduct_DB[Product_ID],Eproduct_DB[Product_Name])</f>
        <v>Men's Casual Sneakers</v>
      </c>
      <c r="Q1605" s="2" t="str">
        <f>_xlfn.XLOOKUP(ESales_DB[[#This Row],[Store_ID]],Estore_DB[Store_ID],Estore_DB[Region])</f>
        <v>East</v>
      </c>
      <c r="R1605" t="str">
        <f>VLOOKUP(ESales_DB[[#This Row],[Customer_ID]],Ecustom_DB[],10,FALSE)</f>
        <v>Bronze</v>
      </c>
      <c r="S1605" t="str">
        <f>IF(ESales_DB[[#This Row],[Quantity1]]&gt;3,"Bulk order","Normal order")</f>
        <v>Normal order</v>
      </c>
    </row>
    <row r="1606" spans="1:19" x14ac:dyDescent="0.3">
      <c r="A1606" t="s">
        <v>2468</v>
      </c>
      <c r="B1606" s="4">
        <v>45711</v>
      </c>
      <c r="C1606" s="4" t="str">
        <f>TEXT(ESales_DB[[#This Row],[Order_Date]],"mmm")</f>
        <v>Feb</v>
      </c>
      <c r="D1606" t="s">
        <v>493</v>
      </c>
      <c r="E1606" t="s">
        <v>1728</v>
      </c>
      <c r="F1606" t="s">
        <v>1757</v>
      </c>
      <c r="G1606">
        <v>3</v>
      </c>
      <c r="H1606" s="10">
        <f>IF(ISBLANK(ESales_DB[[#This Row],[Quantity]]),AVERAGEIF(ESales_DB[Product_ID],ESales_DB[[#This Row],[Product_ID]],ESales_DB[Quantity]),ESales_DB[[#This Row],[Quantity]])</f>
        <v>3</v>
      </c>
      <c r="I1606" s="2">
        <v>853.32</v>
      </c>
      <c r="J1606">
        <v>7.0000000000000007E-2</v>
      </c>
      <c r="K1606" t="s">
        <v>1829</v>
      </c>
      <c r="L1606" s="2">
        <v>2380.7628</v>
      </c>
      <c r="M1606" s="2" t="str">
        <f>IF(ESales_DB[[#This Row],[Total_Amount]]&gt;1000,"High","Low")</f>
        <v>High</v>
      </c>
      <c r="N1606" s="2" t="str">
        <f>VLOOKUP(ESales_DB[[#This Row],[Customer_ID]],Ecustom_DB[],3,FALSE)</f>
        <v>Edward Rivera</v>
      </c>
      <c r="O1606" s="2" t="str">
        <f>_xlfn.XLOOKUP(ESales_DB[[#This Row],[Product_ID]],Eproduct_DB[Product_ID],Eproduct_DB[Category])</f>
        <v>Electronics</v>
      </c>
      <c r="P1606" s="2" t="str">
        <f>_xlfn.XLOOKUP(ESales_DB[[#This Row],[Product_ID]],Eproduct_DB[Product_ID],Eproduct_DB[Product_Name])</f>
        <v>Gaming Mouse Pad XL</v>
      </c>
      <c r="Q1606" s="2" t="str">
        <f>_xlfn.XLOOKUP(ESales_DB[[#This Row],[Store_ID]],Estore_DB[Store_ID],Estore_DB[Region])</f>
        <v>North</v>
      </c>
      <c r="R1606" t="str">
        <f>VLOOKUP(ESales_DB[[#This Row],[Customer_ID]],Ecustom_DB[],10,FALSE)</f>
        <v>Gold</v>
      </c>
      <c r="S1606" t="str">
        <f>IF(ESales_DB[[#This Row],[Quantity1]]&gt;3,"Bulk order","Normal order")</f>
        <v>Normal order</v>
      </c>
    </row>
    <row r="1607" spans="1:19" x14ac:dyDescent="0.3">
      <c r="A1607" t="s">
        <v>2469</v>
      </c>
      <c r="B1607" s="4">
        <v>45586</v>
      </c>
      <c r="C1607" s="4" t="str">
        <f>TEXT(ESales_DB[[#This Row],[Order_Date]],"mmm")</f>
        <v>Oct</v>
      </c>
      <c r="D1607" t="s">
        <v>502</v>
      </c>
      <c r="E1607" t="s">
        <v>1700</v>
      </c>
      <c r="F1607" t="s">
        <v>1776</v>
      </c>
      <c r="G1607">
        <v>3</v>
      </c>
      <c r="H1607" s="10">
        <f>IF(ISBLANK(ESales_DB[[#This Row],[Quantity]]),AVERAGEIF(ESales_DB[Product_ID],ESales_DB[[#This Row],[Product_ID]],ESales_DB[Quantity]),ESales_DB[[#This Row],[Quantity]])</f>
        <v>3</v>
      </c>
      <c r="I1607" s="2">
        <v>89.78</v>
      </c>
      <c r="J1607">
        <v>0.2</v>
      </c>
      <c r="K1607" t="s">
        <v>1829</v>
      </c>
      <c r="L1607" s="2">
        <v>215.47200000000001</v>
      </c>
      <c r="M1607" s="2" t="str">
        <f>IF(ESales_DB[[#This Row],[Total_Amount]]&gt;1000,"High","Low")</f>
        <v>Low</v>
      </c>
      <c r="N1607" s="2" t="str">
        <f>VLOOKUP(ESales_DB[[#This Row],[Customer_ID]],Ecustom_DB[],3,FALSE)</f>
        <v>Denise Griffin</v>
      </c>
      <c r="O1607" s="2" t="str">
        <f>_xlfn.XLOOKUP(ESales_DB[[#This Row],[Product_ID]],Eproduct_DB[Product_ID],Eproduct_DB[Category])</f>
        <v>Electronics</v>
      </c>
      <c r="P1607" s="2" t="str">
        <f>_xlfn.XLOOKUP(ESales_DB[[#This Row],[Product_ID]],Eproduct_DB[Product_ID],Eproduct_DB[Product_Name])</f>
        <v>Wireless Mouse</v>
      </c>
      <c r="Q1607" s="2" t="str">
        <f>_xlfn.XLOOKUP(ESales_DB[[#This Row],[Store_ID]],Estore_DB[Store_ID],Estore_DB[Region])</f>
        <v>East</v>
      </c>
      <c r="R1607" t="str">
        <f>VLOOKUP(ESales_DB[[#This Row],[Customer_ID]],Ecustom_DB[],10,FALSE)</f>
        <v>Platinum</v>
      </c>
      <c r="S1607" t="str">
        <f>IF(ESales_DB[[#This Row],[Quantity1]]&gt;3,"Bulk order","Normal order")</f>
        <v>Normal order</v>
      </c>
    </row>
    <row r="1608" spans="1:19" x14ac:dyDescent="0.3">
      <c r="A1608" t="s">
        <v>2470</v>
      </c>
      <c r="B1608" s="4">
        <v>45334</v>
      </c>
      <c r="C1608" s="4" t="str">
        <f>TEXT(ESales_DB[[#This Row],[Order_Date]],"mmm")</f>
        <v>Feb</v>
      </c>
      <c r="D1608" t="s">
        <v>628</v>
      </c>
      <c r="E1608" t="s">
        <v>1658</v>
      </c>
      <c r="F1608" t="s">
        <v>1757</v>
      </c>
      <c r="G1608">
        <v>1</v>
      </c>
      <c r="H1608" s="10">
        <f>IF(ISBLANK(ESales_DB[[#This Row],[Quantity]]),AVERAGEIF(ESales_DB[Product_ID],ESales_DB[[#This Row],[Product_ID]],ESales_DB[Quantity]),ESales_DB[[#This Row],[Quantity]])</f>
        <v>1</v>
      </c>
      <c r="I1608" s="2">
        <v>172.04</v>
      </c>
      <c r="J1608">
        <v>0.04</v>
      </c>
      <c r="K1608" t="s">
        <v>1826</v>
      </c>
      <c r="L1608" s="2">
        <v>165.1584</v>
      </c>
      <c r="M1608" s="2" t="str">
        <f>IF(ESales_DB[[#This Row],[Total_Amount]]&gt;1000,"High","Low")</f>
        <v>Low</v>
      </c>
      <c r="N1608" s="2" t="str">
        <f>VLOOKUP(ESales_DB[[#This Row],[Customer_ID]],Ecustom_DB[],3,FALSE)</f>
        <v>Todd Poole</v>
      </c>
      <c r="O1608" s="2" t="str">
        <f>_xlfn.XLOOKUP(ESales_DB[[#This Row],[Product_ID]],Eproduct_DB[Product_ID],Eproduct_DB[Category])</f>
        <v>Home</v>
      </c>
      <c r="P1608" s="2" t="str">
        <f>_xlfn.XLOOKUP(ESales_DB[[#This Row],[Product_ID]],Eproduct_DB[Product_ID],Eproduct_DB[Product_Name])</f>
        <v>Ceramic Plant Pot</v>
      </c>
      <c r="Q1608" s="2" t="str">
        <f>_xlfn.XLOOKUP(ESales_DB[[#This Row],[Store_ID]],Estore_DB[Store_ID],Estore_DB[Region])</f>
        <v>North</v>
      </c>
      <c r="R1608" t="str">
        <f>VLOOKUP(ESales_DB[[#This Row],[Customer_ID]],Ecustom_DB[],10,FALSE)</f>
        <v>Bronze</v>
      </c>
      <c r="S1608" t="str">
        <f>IF(ESales_DB[[#This Row],[Quantity1]]&gt;3,"Bulk order","Normal order")</f>
        <v>Normal order</v>
      </c>
    </row>
    <row r="1609" spans="1:19" x14ac:dyDescent="0.3">
      <c r="A1609" t="s">
        <v>2471</v>
      </c>
      <c r="B1609" s="4">
        <v>45333</v>
      </c>
      <c r="C1609" s="4" t="str">
        <f>TEXT(ESales_DB[[#This Row],[Order_Date]],"mmm")</f>
        <v>Feb</v>
      </c>
      <c r="D1609" t="s">
        <v>1440</v>
      </c>
      <c r="E1609" t="s">
        <v>1656</v>
      </c>
      <c r="F1609" t="s">
        <v>1757</v>
      </c>
      <c r="G1609">
        <v>1</v>
      </c>
      <c r="H1609" s="10">
        <f>IF(ISBLANK(ESales_DB[[#This Row],[Quantity]]),AVERAGEIF(ESales_DB[Product_ID],ESales_DB[[#This Row],[Product_ID]],ESales_DB[Quantity]),ESales_DB[[#This Row],[Quantity]])</f>
        <v>1</v>
      </c>
      <c r="I1609" s="2">
        <v>389.2</v>
      </c>
      <c r="J1609">
        <v>0.05</v>
      </c>
      <c r="K1609" t="s">
        <v>1824</v>
      </c>
      <c r="L1609" s="2">
        <v>369.74</v>
      </c>
      <c r="M1609" s="2" t="str">
        <f>IF(ESales_DB[[#This Row],[Total_Amount]]&gt;1000,"High","Low")</f>
        <v>Low</v>
      </c>
      <c r="N1609" s="2" t="str">
        <f>VLOOKUP(ESales_DB[[#This Row],[Customer_ID]],Ecustom_DB[],3,FALSE)</f>
        <v>Michael Foley</v>
      </c>
      <c r="O1609" s="2" t="str">
        <f>_xlfn.XLOOKUP(ESales_DB[[#This Row],[Product_ID]],Eproduct_DB[Product_ID],Eproduct_DB[Category])</f>
        <v>Sports</v>
      </c>
      <c r="P1609" s="2" t="str">
        <f>_xlfn.XLOOKUP(ESales_DB[[#This Row],[Product_ID]],Eproduct_DB[Product_ID],Eproduct_DB[Product_Name])</f>
        <v>Sports Stopwatch Pro</v>
      </c>
      <c r="Q1609" s="2" t="str">
        <f>_xlfn.XLOOKUP(ESales_DB[[#This Row],[Store_ID]],Estore_DB[Store_ID],Estore_DB[Region])</f>
        <v>North</v>
      </c>
      <c r="R1609" t="str">
        <f>VLOOKUP(ESales_DB[[#This Row],[Customer_ID]],Ecustom_DB[],10,FALSE)</f>
        <v>Gold</v>
      </c>
      <c r="S1609" t="str">
        <f>IF(ESales_DB[[#This Row],[Quantity1]]&gt;3,"Bulk order","Normal order")</f>
        <v>Normal order</v>
      </c>
    </row>
    <row r="1610" spans="1:19" x14ac:dyDescent="0.3">
      <c r="A1610" t="s">
        <v>2472</v>
      </c>
      <c r="B1610" s="4">
        <v>45778</v>
      </c>
      <c r="C1610" s="4" t="str">
        <f>TEXT(ESales_DB[[#This Row],[Order_Date]],"mmm")</f>
        <v>May</v>
      </c>
      <c r="D1610" t="s">
        <v>1422</v>
      </c>
      <c r="E1610" t="s">
        <v>1702</v>
      </c>
      <c r="F1610" t="s">
        <v>1797</v>
      </c>
      <c r="G1610">
        <v>3</v>
      </c>
      <c r="H1610" s="10">
        <f>IF(ISBLANK(ESales_DB[[#This Row],[Quantity]]),AVERAGEIF(ESales_DB[Product_ID],ESales_DB[[#This Row],[Product_ID]],ESales_DB[Quantity]),ESales_DB[[#This Row],[Quantity]])</f>
        <v>3</v>
      </c>
      <c r="I1610" s="2">
        <v>865.96</v>
      </c>
      <c r="J1610">
        <v>0.12</v>
      </c>
      <c r="K1610" t="s">
        <v>1826</v>
      </c>
      <c r="L1610" s="2">
        <v>2286.1343999999999</v>
      </c>
      <c r="M1610" s="2" t="str">
        <f>IF(ESales_DB[[#This Row],[Total_Amount]]&gt;1000,"High","Low")</f>
        <v>High</v>
      </c>
      <c r="N1610" s="2" t="str">
        <f>VLOOKUP(ESales_DB[[#This Row],[Customer_ID]],Ecustom_DB[],3,FALSE)</f>
        <v>Paul Cox</v>
      </c>
      <c r="O1610" s="2" t="str">
        <f>_xlfn.XLOOKUP(ESales_DB[[#This Row],[Product_ID]],Eproduct_DB[Product_ID],Eproduct_DB[Category])</f>
        <v>Electronics</v>
      </c>
      <c r="P1610" s="2" t="str">
        <f>_xlfn.XLOOKUP(ESales_DB[[#This Row],[Product_ID]],Eproduct_DB[Product_ID],Eproduct_DB[Product_Name])</f>
        <v>WiFi Mesh Router</v>
      </c>
      <c r="Q1610" s="2" t="str">
        <f>_xlfn.XLOOKUP(ESales_DB[[#This Row],[Store_ID]],Estore_DB[Store_ID],Estore_DB[Region])</f>
        <v>East</v>
      </c>
      <c r="R1610" t="str">
        <f>VLOOKUP(ESales_DB[[#This Row],[Customer_ID]],Ecustom_DB[],10,FALSE)</f>
        <v>Silver</v>
      </c>
      <c r="S1610" t="str">
        <f>IF(ESales_DB[[#This Row],[Quantity1]]&gt;3,"Bulk order","Normal order")</f>
        <v>Normal order</v>
      </c>
    </row>
    <row r="1611" spans="1:19" x14ac:dyDescent="0.3">
      <c r="A1611" t="s">
        <v>2473</v>
      </c>
      <c r="B1611" s="4">
        <v>45592</v>
      </c>
      <c r="C1611" s="4" t="str">
        <f>TEXT(ESales_DB[[#This Row],[Order_Date]],"mmm")</f>
        <v>Oct</v>
      </c>
      <c r="D1611" t="s">
        <v>562</v>
      </c>
      <c r="E1611" t="s">
        <v>1586</v>
      </c>
      <c r="F1611" t="s">
        <v>1757</v>
      </c>
      <c r="G1611">
        <v>3</v>
      </c>
      <c r="H1611" s="10">
        <f>IF(ISBLANK(ESales_DB[[#This Row],[Quantity]]),AVERAGEIF(ESales_DB[Product_ID],ESales_DB[[#This Row],[Product_ID]],ESales_DB[Quantity]),ESales_DB[[#This Row],[Quantity]])</f>
        <v>3</v>
      </c>
      <c r="I1611" s="2">
        <v>79.95</v>
      </c>
      <c r="J1611">
        <v>0.2</v>
      </c>
      <c r="K1611" t="s">
        <v>1829</v>
      </c>
      <c r="L1611" s="2">
        <v>191.88</v>
      </c>
      <c r="M1611" s="2" t="str">
        <f>IF(ESales_DB[[#This Row],[Total_Amount]]&gt;1000,"High","Low")</f>
        <v>Low</v>
      </c>
      <c r="N1611" s="2" t="str">
        <f>VLOOKUP(ESales_DB[[#This Row],[Customer_ID]],Ecustom_DB[],3,FALSE)</f>
        <v>Steve Mclaughlin</v>
      </c>
      <c r="O1611" s="2" t="str">
        <f>_xlfn.XLOOKUP(ESales_DB[[#This Row],[Product_ID]],Eproduct_DB[Product_ID],Eproduct_DB[Category])</f>
        <v>Sports</v>
      </c>
      <c r="P1611" s="2" t="str">
        <f>_xlfn.XLOOKUP(ESales_DB[[#This Row],[Product_ID]],Eproduct_DB[Product_ID],Eproduct_DB[Product_Name])</f>
        <v>Knee Support Brace</v>
      </c>
      <c r="Q1611" s="2" t="str">
        <f>_xlfn.XLOOKUP(ESales_DB[[#This Row],[Store_ID]],Estore_DB[Store_ID],Estore_DB[Region])</f>
        <v>North</v>
      </c>
      <c r="R1611" t="str">
        <f>VLOOKUP(ESales_DB[[#This Row],[Customer_ID]],Ecustom_DB[],10,FALSE)</f>
        <v>Bronze</v>
      </c>
      <c r="S1611" t="str">
        <f>IF(ESales_DB[[#This Row],[Quantity1]]&gt;3,"Bulk order","Normal order")</f>
        <v>Normal order</v>
      </c>
    </row>
    <row r="1612" spans="1:19" x14ac:dyDescent="0.3">
      <c r="A1612" t="s">
        <v>2474</v>
      </c>
      <c r="B1612" s="4">
        <v>45259</v>
      </c>
      <c r="C1612" s="4" t="str">
        <f>TEXT(ESales_DB[[#This Row],[Order_Date]],"mmm")</f>
        <v>Nov</v>
      </c>
      <c r="D1612" t="s">
        <v>1190</v>
      </c>
      <c r="E1612" t="s">
        <v>1600</v>
      </c>
      <c r="F1612" t="s">
        <v>1779</v>
      </c>
      <c r="G1612">
        <v>1</v>
      </c>
      <c r="H1612" s="10">
        <f>IF(ISBLANK(ESales_DB[[#This Row],[Quantity]]),AVERAGEIF(ESales_DB[Product_ID],ESales_DB[[#This Row],[Product_ID]],ESales_DB[Quantity]),ESales_DB[[#This Row],[Quantity]])</f>
        <v>1</v>
      </c>
      <c r="I1612" s="2">
        <v>566.5</v>
      </c>
      <c r="J1612">
        <v>0.25</v>
      </c>
      <c r="K1612" t="s">
        <v>1829</v>
      </c>
      <c r="L1612" s="2">
        <v>424.875</v>
      </c>
      <c r="M1612" s="2" t="str">
        <f>IF(ESales_DB[[#This Row],[Total_Amount]]&gt;1000,"High","Low")</f>
        <v>Low</v>
      </c>
      <c r="N1612" s="2" t="str">
        <f>VLOOKUP(ESales_DB[[#This Row],[Customer_ID]],Ecustom_DB[],3,FALSE)</f>
        <v>Erika Padilla</v>
      </c>
      <c r="O1612" s="2" t="str">
        <f>_xlfn.XLOOKUP(ESales_DB[[#This Row],[Product_ID]],Eproduct_DB[Product_ID],Eproduct_DB[Category])</f>
        <v>Electronics</v>
      </c>
      <c r="P1612" s="2" t="str">
        <f>_xlfn.XLOOKUP(ESales_DB[[#This Row],[Product_ID]],Eproduct_DB[Product_ID],Eproduct_DB[Product_Name])</f>
        <v>Wireless Bluetooth Speaker</v>
      </c>
      <c r="Q1612" s="2" t="str">
        <f>_xlfn.XLOOKUP(ESales_DB[[#This Row],[Store_ID]],Estore_DB[Store_ID],Estore_DB[Region])</f>
        <v>South</v>
      </c>
      <c r="R1612" t="str">
        <f>VLOOKUP(ESales_DB[[#This Row],[Customer_ID]],Ecustom_DB[],10,FALSE)</f>
        <v>Silver</v>
      </c>
      <c r="S1612" t="str">
        <f>IF(ESales_DB[[#This Row],[Quantity1]]&gt;3,"Bulk order","Normal order")</f>
        <v>Normal order</v>
      </c>
    </row>
    <row r="1613" spans="1:19" x14ac:dyDescent="0.3">
      <c r="A1613" t="s">
        <v>2475</v>
      </c>
      <c r="B1613" s="4">
        <v>45801</v>
      </c>
      <c r="C1613" s="4" t="str">
        <f>TEXT(ESales_DB[[#This Row],[Order_Date]],"mmm")</f>
        <v>May</v>
      </c>
      <c r="D1613" t="s">
        <v>1252</v>
      </c>
      <c r="E1613" t="s">
        <v>1590</v>
      </c>
      <c r="F1613" t="s">
        <v>1752</v>
      </c>
      <c r="G1613">
        <v>2</v>
      </c>
      <c r="H1613" s="10">
        <f>IF(ISBLANK(ESales_DB[[#This Row],[Quantity]]),AVERAGEIF(ESales_DB[Product_ID],ESales_DB[[#This Row],[Product_ID]],ESales_DB[Quantity]),ESales_DB[[#This Row],[Quantity]])</f>
        <v>2</v>
      </c>
      <c r="I1613" s="2">
        <v>347.95</v>
      </c>
      <c r="J1613">
        <v>0.13</v>
      </c>
      <c r="K1613" t="s">
        <v>1829</v>
      </c>
      <c r="L1613" s="2">
        <v>605.43299999999999</v>
      </c>
      <c r="M1613" s="2" t="str">
        <f>IF(ESales_DB[[#This Row],[Total_Amount]]&gt;1000,"High","Low")</f>
        <v>Low</v>
      </c>
      <c r="N1613" s="2" t="str">
        <f>VLOOKUP(ESales_DB[[#This Row],[Customer_ID]],Ecustom_DB[],3,FALSE)</f>
        <v>Cassandra Perez</v>
      </c>
      <c r="O1613" s="2" t="str">
        <f>_xlfn.XLOOKUP(ESales_DB[[#This Row],[Product_ID]],Eproduct_DB[Product_ID],Eproduct_DB[Category])</f>
        <v>Home</v>
      </c>
      <c r="P1613" s="2" t="str">
        <f>_xlfn.XLOOKUP(ESales_DB[[#This Row],[Product_ID]],Eproduct_DB[Product_ID],Eproduct_DB[Product_Name])</f>
        <v>Multi-Purpose Storage Box</v>
      </c>
      <c r="Q1613" s="2" t="str">
        <f>_xlfn.XLOOKUP(ESales_DB[[#This Row],[Store_ID]],Estore_DB[Store_ID],Estore_DB[Region])</f>
        <v>East</v>
      </c>
      <c r="R1613" t="str">
        <f>VLOOKUP(ESales_DB[[#This Row],[Customer_ID]],Ecustom_DB[],10,FALSE)</f>
        <v>Bronze</v>
      </c>
      <c r="S1613" t="str">
        <f>IF(ESales_DB[[#This Row],[Quantity1]]&gt;3,"Bulk order","Normal order")</f>
        <v>Normal order</v>
      </c>
    </row>
    <row r="1614" spans="1:19" x14ac:dyDescent="0.3">
      <c r="A1614" t="s">
        <v>1891</v>
      </c>
      <c r="B1614" s="4">
        <v>45290</v>
      </c>
      <c r="C1614" s="4" t="str">
        <f>TEXT(ESales_DB[[#This Row],[Order_Date]],"mmm")</f>
        <v>Dec</v>
      </c>
      <c r="D1614" t="s">
        <v>541</v>
      </c>
      <c r="E1614" t="s">
        <v>1746</v>
      </c>
      <c r="F1614" t="s">
        <v>1807</v>
      </c>
      <c r="G1614">
        <v>2</v>
      </c>
      <c r="H1614" s="10">
        <f>IF(ISBLANK(ESales_DB[[#This Row],[Quantity]]),AVERAGEIF(ESales_DB[Product_ID],ESales_DB[[#This Row],[Product_ID]],ESales_DB[Quantity]),ESales_DB[[#This Row],[Quantity]])</f>
        <v>2</v>
      </c>
      <c r="I1614" s="2">
        <v>856.57</v>
      </c>
      <c r="J1614">
        <v>0.24</v>
      </c>
      <c r="K1614" t="s">
        <v>1824</v>
      </c>
      <c r="L1614" s="2">
        <v>1301.9864</v>
      </c>
      <c r="M1614" s="2" t="str">
        <f>IF(ESales_DB[[#This Row],[Total_Amount]]&gt;1000,"High","Low")</f>
        <v>High</v>
      </c>
      <c r="N1614" s="2" t="str">
        <f>VLOOKUP(ESales_DB[[#This Row],[Customer_ID]],Ecustom_DB[],3,FALSE)</f>
        <v>Mariah Brown</v>
      </c>
      <c r="O1614" s="2" t="str">
        <f>_xlfn.XLOOKUP(ESales_DB[[#This Row],[Product_ID]],Eproduct_DB[Product_ID],Eproduct_DB[Category])</f>
        <v>Home</v>
      </c>
      <c r="P1614" s="2" t="str">
        <f>_xlfn.XLOOKUP(ESales_DB[[#This Row],[Product_ID]],Eproduct_DB[Product_ID],Eproduct_DB[Product_Name])</f>
        <v>Stainless Steel Cookware Set</v>
      </c>
      <c r="Q1614" s="2" t="str">
        <f>_xlfn.XLOOKUP(ESales_DB[[#This Row],[Store_ID]],Estore_DB[Store_ID],Estore_DB[Region])</f>
        <v>North</v>
      </c>
      <c r="R1614" t="str">
        <f>VLOOKUP(ESales_DB[[#This Row],[Customer_ID]],Ecustom_DB[],10,FALSE)</f>
        <v>Silver</v>
      </c>
      <c r="S1614" t="str">
        <f>IF(ESales_DB[[#This Row],[Quantity1]]&gt;3,"Bulk order","Normal order")</f>
        <v>Normal order</v>
      </c>
    </row>
    <row r="1615" spans="1:19" x14ac:dyDescent="0.3">
      <c r="A1615" t="s">
        <v>2476</v>
      </c>
      <c r="B1615" s="4">
        <v>45347</v>
      </c>
      <c r="C1615" s="4" t="str">
        <f>TEXT(ESales_DB[[#This Row],[Order_Date]],"mmm")</f>
        <v>Feb</v>
      </c>
      <c r="D1615" t="s">
        <v>681</v>
      </c>
      <c r="E1615" t="s">
        <v>1664</v>
      </c>
      <c r="F1615" t="s">
        <v>1766</v>
      </c>
      <c r="G1615">
        <v>2</v>
      </c>
      <c r="H1615" s="10">
        <f>IF(ISBLANK(ESales_DB[[#This Row],[Quantity]]),AVERAGEIF(ESales_DB[Product_ID],ESales_DB[[#This Row],[Product_ID]],ESales_DB[Quantity]),ESales_DB[[#This Row],[Quantity]])</f>
        <v>2</v>
      </c>
      <c r="I1615" s="2">
        <v>250.83</v>
      </c>
      <c r="J1615">
        <v>0.15</v>
      </c>
      <c r="K1615" t="s">
        <v>1826</v>
      </c>
      <c r="L1615" s="2">
        <v>426.411</v>
      </c>
      <c r="M1615" s="2" t="str">
        <f>IF(ESales_DB[[#This Row],[Total_Amount]]&gt;1000,"High","Low")</f>
        <v>Low</v>
      </c>
      <c r="N1615" s="2" t="str">
        <f>VLOOKUP(ESales_DB[[#This Row],[Customer_ID]],Ecustom_DB[],3,FALSE)</f>
        <v>Joan Johnson</v>
      </c>
      <c r="O1615" s="2" t="str">
        <f>_xlfn.XLOOKUP(ESales_DB[[#This Row],[Product_ID]],Eproduct_DB[Product_ID],Eproduct_DB[Category])</f>
        <v>Clothing</v>
      </c>
      <c r="P1615" s="2" t="str">
        <f>_xlfn.XLOOKUP(ESales_DB[[#This Row],[Product_ID]],Eproduct_DB[Product_ID],Eproduct_DB[Product_Name])</f>
        <v>Womens Cotton Scarf</v>
      </c>
      <c r="Q1615" s="2" t="str">
        <f>_xlfn.XLOOKUP(ESales_DB[[#This Row],[Store_ID]],Estore_DB[Store_ID],Estore_DB[Region])</f>
        <v>North</v>
      </c>
      <c r="R1615" t="str">
        <f>VLOOKUP(ESales_DB[[#This Row],[Customer_ID]],Ecustom_DB[],10,FALSE)</f>
        <v>Platinum</v>
      </c>
      <c r="S1615" t="str">
        <f>IF(ESales_DB[[#This Row],[Quantity1]]&gt;3,"Bulk order","Normal order")</f>
        <v>Normal order</v>
      </c>
    </row>
    <row r="1616" spans="1:19" x14ac:dyDescent="0.3">
      <c r="A1616" t="s">
        <v>2477</v>
      </c>
      <c r="B1616" s="4">
        <v>45721</v>
      </c>
      <c r="C1616" s="4" t="str">
        <f>TEXT(ESales_DB[[#This Row],[Order_Date]],"mmm")</f>
        <v>Mar</v>
      </c>
      <c r="D1616" t="s">
        <v>502</v>
      </c>
      <c r="E1616" t="s">
        <v>1690</v>
      </c>
      <c r="F1616" t="s">
        <v>1757</v>
      </c>
      <c r="G1616">
        <v>1</v>
      </c>
      <c r="H1616" s="10">
        <f>IF(ISBLANK(ESales_DB[[#This Row],[Quantity]]),AVERAGEIF(ESales_DB[Product_ID],ESales_DB[[#This Row],[Product_ID]],ESales_DB[Quantity]),ESales_DB[[#This Row],[Quantity]])</f>
        <v>1</v>
      </c>
      <c r="I1616" s="2">
        <v>888.05</v>
      </c>
      <c r="J1616">
        <v>0.2</v>
      </c>
      <c r="K1616" t="s">
        <v>1826</v>
      </c>
      <c r="L1616" s="2">
        <v>710.44</v>
      </c>
      <c r="M1616" s="2" t="str">
        <f>IF(ESales_DB[[#This Row],[Total_Amount]]&gt;1000,"High","Low")</f>
        <v>Low</v>
      </c>
      <c r="N1616" s="2" t="str">
        <f>VLOOKUP(ESales_DB[[#This Row],[Customer_ID]],Ecustom_DB[],3,FALSE)</f>
        <v>Denise Griffin</v>
      </c>
      <c r="O1616" s="2" t="str">
        <f>_xlfn.XLOOKUP(ESales_DB[[#This Row],[Product_ID]],Eproduct_DB[Product_ID],Eproduct_DB[Category])</f>
        <v>Beauty</v>
      </c>
      <c r="P1616" s="2" t="str">
        <f>_xlfn.XLOOKUP(ESales_DB[[#This Row],[Product_ID]],Eproduct_DB[Product_ID],Eproduct_DB[Product_Name])</f>
        <v>Hair Repair Oil Treatment</v>
      </c>
      <c r="Q1616" s="2" t="str">
        <f>_xlfn.XLOOKUP(ESales_DB[[#This Row],[Store_ID]],Estore_DB[Store_ID],Estore_DB[Region])</f>
        <v>North</v>
      </c>
      <c r="R1616" t="str">
        <f>VLOOKUP(ESales_DB[[#This Row],[Customer_ID]],Ecustom_DB[],10,FALSE)</f>
        <v>Platinum</v>
      </c>
      <c r="S1616" t="str">
        <f>IF(ESales_DB[[#This Row],[Quantity1]]&gt;3,"Bulk order","Normal order")</f>
        <v>Normal order</v>
      </c>
    </row>
    <row r="1617" spans="1:19" x14ac:dyDescent="0.3">
      <c r="A1617" t="s">
        <v>2478</v>
      </c>
      <c r="B1617" s="4">
        <v>45531</v>
      </c>
      <c r="C1617" s="4" t="str">
        <f>TEXT(ESales_DB[[#This Row],[Order_Date]],"mmm")</f>
        <v>Aug</v>
      </c>
      <c r="D1617" t="s">
        <v>36</v>
      </c>
      <c r="E1617" t="s">
        <v>1626</v>
      </c>
      <c r="F1617" t="s">
        <v>1810</v>
      </c>
      <c r="G1617">
        <v>2</v>
      </c>
      <c r="H1617" s="10">
        <f>IF(ISBLANK(ESales_DB[[#This Row],[Quantity]]),AVERAGEIF(ESales_DB[Product_ID],ESales_DB[[#This Row],[Product_ID]],ESales_DB[Quantity]),ESales_DB[[#This Row],[Quantity]])</f>
        <v>2</v>
      </c>
      <c r="I1617" s="2">
        <v>673.02</v>
      </c>
      <c r="J1617">
        <v>0.11</v>
      </c>
      <c r="K1617" t="s">
        <v>1826</v>
      </c>
      <c r="L1617" s="2">
        <v>1197.9756</v>
      </c>
      <c r="M1617" s="2" t="str">
        <f>IF(ESales_DB[[#This Row],[Total_Amount]]&gt;1000,"High","Low")</f>
        <v>High</v>
      </c>
      <c r="N1617" s="2" t="str">
        <f>VLOOKUP(ESales_DB[[#This Row],[Customer_ID]],Ecustom_DB[],3,FALSE)</f>
        <v>Amber Jackson</v>
      </c>
      <c r="O1617" s="2" t="str">
        <f>_xlfn.XLOOKUP(ESales_DB[[#This Row],[Product_ID]],Eproduct_DB[Product_ID],Eproduct_DB[Category])</f>
        <v>Electronics</v>
      </c>
      <c r="P1617" s="2" t="str">
        <f>_xlfn.XLOOKUP(ESales_DB[[#This Row],[Product_ID]],Eproduct_DB[Product_ID],Eproduct_DB[Product_Name])</f>
        <v>Portable Power Bank</v>
      </c>
      <c r="Q1617" s="2" t="str">
        <f>_xlfn.XLOOKUP(ESales_DB[[#This Row],[Store_ID]],Estore_DB[Store_ID],Estore_DB[Region])</f>
        <v>East</v>
      </c>
      <c r="R1617" t="str">
        <f>VLOOKUP(ESales_DB[[#This Row],[Customer_ID]],Ecustom_DB[],10,FALSE)</f>
        <v>Platinum</v>
      </c>
      <c r="S1617" t="str">
        <f>IF(ESales_DB[[#This Row],[Quantity1]]&gt;3,"Bulk order","Normal order")</f>
        <v>Normal order</v>
      </c>
    </row>
    <row r="1618" spans="1:19" x14ac:dyDescent="0.3">
      <c r="A1618" t="s">
        <v>2479</v>
      </c>
      <c r="B1618" s="4">
        <v>45332</v>
      </c>
      <c r="C1618" s="4" t="str">
        <f>TEXT(ESales_DB[[#This Row],[Order_Date]],"mmm")</f>
        <v>Feb</v>
      </c>
      <c r="D1618" t="s">
        <v>1362</v>
      </c>
      <c r="E1618" t="s">
        <v>1676</v>
      </c>
      <c r="F1618" t="s">
        <v>1766</v>
      </c>
      <c r="G1618">
        <v>2</v>
      </c>
      <c r="H1618" s="10">
        <f>IF(ISBLANK(ESales_DB[[#This Row],[Quantity]]),AVERAGEIF(ESales_DB[Product_ID],ESales_DB[[#This Row],[Product_ID]],ESales_DB[Quantity]),ESales_DB[[#This Row],[Quantity]])</f>
        <v>2</v>
      </c>
      <c r="I1618" s="2">
        <v>492.62</v>
      </c>
      <c r="J1618">
        <v>0.26</v>
      </c>
      <c r="K1618" t="s">
        <v>1829</v>
      </c>
      <c r="L1618" s="2">
        <v>729.07759999999996</v>
      </c>
      <c r="M1618" s="2" t="str">
        <f>IF(ESales_DB[[#This Row],[Total_Amount]]&gt;1000,"High","Low")</f>
        <v>Low</v>
      </c>
      <c r="N1618" s="2" t="str">
        <f>VLOOKUP(ESales_DB[[#This Row],[Customer_ID]],Ecustom_DB[],3,FALSE)</f>
        <v>Tammy Trevino</v>
      </c>
      <c r="O1618" s="2" t="str">
        <f>_xlfn.XLOOKUP(ESales_DB[[#This Row],[Product_ID]],Eproduct_DB[Product_ID],Eproduct_DB[Category])</f>
        <v>Beauty</v>
      </c>
      <c r="P1618" s="2" t="str">
        <f>_xlfn.XLOOKUP(ESales_DB[[#This Row],[Product_ID]],Eproduct_DB[Product_ID],Eproduct_DB[Product_Name])</f>
        <v>Matte Lipstick Set</v>
      </c>
      <c r="Q1618" s="2" t="str">
        <f>_xlfn.XLOOKUP(ESales_DB[[#This Row],[Store_ID]],Estore_DB[Store_ID],Estore_DB[Region])</f>
        <v>North</v>
      </c>
      <c r="R1618" t="str">
        <f>VLOOKUP(ESales_DB[[#This Row],[Customer_ID]],Ecustom_DB[],10,FALSE)</f>
        <v>Silver</v>
      </c>
      <c r="S1618" t="str">
        <f>IF(ESales_DB[[#This Row],[Quantity1]]&gt;3,"Bulk order","Normal order")</f>
        <v>Normal order</v>
      </c>
    </row>
    <row r="1619" spans="1:19" x14ac:dyDescent="0.3">
      <c r="A1619" t="s">
        <v>2480</v>
      </c>
      <c r="B1619" s="4">
        <v>45344</v>
      </c>
      <c r="C1619" s="4" t="str">
        <f>TEXT(ESales_DB[[#This Row],[Order_Date]],"mmm")</f>
        <v>Feb</v>
      </c>
      <c r="D1619" t="s">
        <v>1175</v>
      </c>
      <c r="E1619" t="s">
        <v>1718</v>
      </c>
      <c r="F1619" t="s">
        <v>1766</v>
      </c>
      <c r="G1619">
        <v>4</v>
      </c>
      <c r="H1619" s="10">
        <f>IF(ISBLANK(ESales_DB[[#This Row],[Quantity]]),AVERAGEIF(ESales_DB[Product_ID],ESales_DB[[#This Row],[Product_ID]],ESales_DB[Quantity]),ESales_DB[[#This Row],[Quantity]])</f>
        <v>4</v>
      </c>
      <c r="I1619" s="2">
        <v>986.93</v>
      </c>
      <c r="J1619">
        <v>0.01</v>
      </c>
      <c r="K1619" t="s">
        <v>1824</v>
      </c>
      <c r="L1619" s="2">
        <v>3908.2428</v>
      </c>
      <c r="M1619" s="2" t="str">
        <f>IF(ESales_DB[[#This Row],[Total_Amount]]&gt;1000,"High","Low")</f>
        <v>High</v>
      </c>
      <c r="N1619" s="2" t="str">
        <f>VLOOKUP(ESales_DB[[#This Row],[Customer_ID]],Ecustom_DB[],3,FALSE)</f>
        <v>Michele Burke</v>
      </c>
      <c r="O1619" s="2" t="str">
        <f>_xlfn.XLOOKUP(ESales_DB[[#This Row],[Product_ID]],Eproduct_DB[Product_ID],Eproduct_DB[Category])</f>
        <v>Clothing</v>
      </c>
      <c r="P1619" s="2" t="str">
        <f>_xlfn.XLOOKUP(ESales_DB[[#This Row],[Product_ID]],Eproduct_DB[Product_ID],Eproduct_DB[Product_Name])</f>
        <v>Women's Beanie Hat</v>
      </c>
      <c r="Q1619" s="2" t="str">
        <f>_xlfn.XLOOKUP(ESales_DB[[#This Row],[Store_ID]],Estore_DB[Store_ID],Estore_DB[Region])</f>
        <v>North</v>
      </c>
      <c r="R1619" t="str">
        <f>VLOOKUP(ESales_DB[[#This Row],[Customer_ID]],Ecustom_DB[],10,FALSE)</f>
        <v>Bronze</v>
      </c>
      <c r="S1619" t="str">
        <f>IF(ESales_DB[[#This Row],[Quantity1]]&gt;3,"Bulk order","Normal order")</f>
        <v>Bulk order</v>
      </c>
    </row>
    <row r="1620" spans="1:19" x14ac:dyDescent="0.3">
      <c r="A1620" t="s">
        <v>2481</v>
      </c>
      <c r="B1620" s="4">
        <v>45388</v>
      </c>
      <c r="C1620" s="4" t="str">
        <f>TEXT(ESales_DB[[#This Row],[Order_Date]],"mmm")</f>
        <v>Apr</v>
      </c>
      <c r="D1620" t="s">
        <v>1475</v>
      </c>
      <c r="E1620" t="s">
        <v>1592</v>
      </c>
      <c r="F1620" t="s">
        <v>1794</v>
      </c>
      <c r="G1620">
        <v>4</v>
      </c>
      <c r="H1620" s="10">
        <f>IF(ISBLANK(ESales_DB[[#This Row],[Quantity]]),AVERAGEIF(ESales_DB[Product_ID],ESales_DB[[#This Row],[Product_ID]],ESales_DB[Quantity]),ESales_DB[[#This Row],[Quantity]])</f>
        <v>4</v>
      </c>
      <c r="I1620" s="2">
        <v>411.68</v>
      </c>
      <c r="J1620">
        <v>0.06</v>
      </c>
      <c r="K1620" t="s">
        <v>1826</v>
      </c>
      <c r="L1620" s="2">
        <v>1547.9168</v>
      </c>
      <c r="M1620" s="2" t="str">
        <f>IF(ESales_DB[[#This Row],[Total_Amount]]&gt;1000,"High","Low")</f>
        <v>High</v>
      </c>
      <c r="N1620" s="2" t="str">
        <f>VLOOKUP(ESales_DB[[#This Row],[Customer_ID]],Ecustom_DB[],3,FALSE)</f>
        <v>Dylan Gutierrez</v>
      </c>
      <c r="O1620" s="2" t="str">
        <f>_xlfn.XLOOKUP(ESales_DB[[#This Row],[Product_ID]],Eproduct_DB[Product_ID],Eproduct_DB[Category])</f>
        <v>Sports</v>
      </c>
      <c r="P1620" s="2" t="str">
        <f>_xlfn.XLOOKUP(ESales_DB[[#This Row],[Product_ID]],Eproduct_DB[Product_ID],Eproduct_DB[Product_Name])</f>
        <v>Carbon Fiber Tennis Racket</v>
      </c>
      <c r="Q1620" s="2" t="str">
        <f>_xlfn.XLOOKUP(ESales_DB[[#This Row],[Store_ID]],Estore_DB[Store_ID],Estore_DB[Region])</f>
        <v>North</v>
      </c>
      <c r="R1620" t="str">
        <f>VLOOKUP(ESales_DB[[#This Row],[Customer_ID]],Ecustom_DB[],10,FALSE)</f>
        <v>Bronze</v>
      </c>
      <c r="S1620" t="str">
        <f>IF(ESales_DB[[#This Row],[Quantity1]]&gt;3,"Bulk order","Normal order")</f>
        <v>Bulk order</v>
      </c>
    </row>
    <row r="1621" spans="1:19" x14ac:dyDescent="0.3">
      <c r="A1621" t="s">
        <v>2482</v>
      </c>
      <c r="B1621" s="4">
        <v>45397</v>
      </c>
      <c r="C1621" s="4" t="str">
        <f>TEXT(ESales_DB[[#This Row],[Order_Date]],"mmm")</f>
        <v>Apr</v>
      </c>
      <c r="D1621" t="s">
        <v>711</v>
      </c>
      <c r="E1621" t="s">
        <v>1620</v>
      </c>
      <c r="F1621" t="s">
        <v>1807</v>
      </c>
      <c r="G1621">
        <v>2</v>
      </c>
      <c r="H1621" s="10">
        <f>IF(ISBLANK(ESales_DB[[#This Row],[Quantity]]),AVERAGEIF(ESales_DB[Product_ID],ESales_DB[[#This Row],[Product_ID]],ESales_DB[Quantity]),ESales_DB[[#This Row],[Quantity]])</f>
        <v>2</v>
      </c>
      <c r="I1621" s="2">
        <v>637.55999999999995</v>
      </c>
      <c r="J1621">
        <v>0.05</v>
      </c>
      <c r="K1621" t="s">
        <v>1829</v>
      </c>
      <c r="L1621" s="2">
        <v>1211.364</v>
      </c>
      <c r="M1621" s="2" t="str">
        <f>IF(ESales_DB[[#This Row],[Total_Amount]]&gt;1000,"High","Low")</f>
        <v>High</v>
      </c>
      <c r="N1621" s="2" t="str">
        <f>VLOOKUP(ESales_DB[[#This Row],[Customer_ID]],Ecustom_DB[],3,FALSE)</f>
        <v>Jordan Wells</v>
      </c>
      <c r="O1621" s="2" t="str">
        <f>_xlfn.XLOOKUP(ESales_DB[[#This Row],[Product_ID]],Eproduct_DB[Product_ID],Eproduct_DB[Category])</f>
        <v>Clothing</v>
      </c>
      <c r="P1621" s="2" t="str">
        <f>_xlfn.XLOOKUP(ESales_DB[[#This Row],[Product_ID]],Eproduct_DB[Product_ID],Eproduct_DB[Product_Name])</f>
        <v>Women's Summer Dress</v>
      </c>
      <c r="Q1621" s="2" t="str">
        <f>_xlfn.XLOOKUP(ESales_DB[[#This Row],[Store_ID]],Estore_DB[Store_ID],Estore_DB[Region])</f>
        <v>North</v>
      </c>
      <c r="R1621" t="str">
        <f>VLOOKUP(ESales_DB[[#This Row],[Customer_ID]],Ecustom_DB[],10,FALSE)</f>
        <v>Gold</v>
      </c>
      <c r="S1621" t="str">
        <f>IF(ESales_DB[[#This Row],[Quantity1]]&gt;3,"Bulk order","Normal order")</f>
        <v>Normal order</v>
      </c>
    </row>
    <row r="1622" spans="1:19" x14ac:dyDescent="0.3">
      <c r="A1622" t="s">
        <v>2483</v>
      </c>
      <c r="B1622" s="4">
        <v>45633</v>
      </c>
      <c r="C1622" s="4" t="str">
        <f>TEXT(ESales_DB[[#This Row],[Order_Date]],"mmm")</f>
        <v>Dec</v>
      </c>
      <c r="D1622" t="s">
        <v>67</v>
      </c>
      <c r="E1622" t="s">
        <v>1574</v>
      </c>
      <c r="F1622" t="s">
        <v>1766</v>
      </c>
      <c r="G1622">
        <v>3</v>
      </c>
      <c r="H1622" s="10">
        <f>IF(ISBLANK(ESales_DB[[#This Row],[Quantity]]),AVERAGEIF(ESales_DB[Product_ID],ESales_DB[[#This Row],[Product_ID]],ESales_DB[Quantity]),ESales_DB[[#This Row],[Quantity]])</f>
        <v>3</v>
      </c>
      <c r="I1622" s="2">
        <v>706.87</v>
      </c>
      <c r="J1622">
        <v>0.27</v>
      </c>
      <c r="K1622" t="s">
        <v>1824</v>
      </c>
      <c r="L1622" s="2">
        <v>1548.0453</v>
      </c>
      <c r="M1622" s="2" t="str">
        <f>IF(ESales_DB[[#This Row],[Total_Amount]]&gt;1000,"High","Low")</f>
        <v>High</v>
      </c>
      <c r="N1622" s="2" t="str">
        <f>VLOOKUP(ESales_DB[[#This Row],[Customer_ID]],Ecustom_DB[],3,FALSE)</f>
        <v>Ashley Cohen</v>
      </c>
      <c r="O1622" s="2" t="str">
        <f>_xlfn.XLOOKUP(ESales_DB[[#This Row],[Product_ID]],Eproduct_DB[Product_ID],Eproduct_DB[Category])</f>
        <v>Electronics</v>
      </c>
      <c r="P1622" s="2" t="str">
        <f>_xlfn.XLOOKUP(ESales_DB[[#This Row],[Product_ID]],Eproduct_DB[Product_ID],Eproduct_DB[Product_Name])</f>
        <v>USB-C Fast Charger</v>
      </c>
      <c r="Q1622" s="2" t="str">
        <f>_xlfn.XLOOKUP(ESales_DB[[#This Row],[Store_ID]],Estore_DB[Store_ID],Estore_DB[Region])</f>
        <v>North</v>
      </c>
      <c r="R1622" t="str">
        <f>VLOOKUP(ESales_DB[[#This Row],[Customer_ID]],Ecustom_DB[],10,FALSE)</f>
        <v>Silver</v>
      </c>
      <c r="S1622" t="str">
        <f>IF(ESales_DB[[#This Row],[Quantity1]]&gt;3,"Bulk order","Normal order")</f>
        <v>Normal order</v>
      </c>
    </row>
    <row r="1623" spans="1:19" x14ac:dyDescent="0.3">
      <c r="A1623" t="s">
        <v>2484</v>
      </c>
      <c r="B1623" s="4">
        <v>45629</v>
      </c>
      <c r="C1623" s="4" t="str">
        <f>TEXT(ESales_DB[[#This Row],[Order_Date]],"mmm")</f>
        <v>Dec</v>
      </c>
      <c r="D1623" t="s">
        <v>208</v>
      </c>
      <c r="E1623" t="s">
        <v>1578</v>
      </c>
      <c r="F1623" t="s">
        <v>1776</v>
      </c>
      <c r="G1623">
        <v>2</v>
      </c>
      <c r="H1623" s="10">
        <f>IF(ISBLANK(ESales_DB[[#This Row],[Quantity]]),AVERAGEIF(ESales_DB[Product_ID],ESales_DB[[#This Row],[Product_ID]],ESales_DB[Quantity]),ESales_DB[[#This Row],[Quantity]])</f>
        <v>2</v>
      </c>
      <c r="I1623" s="2">
        <v>884.48</v>
      </c>
      <c r="J1623">
        <v>0</v>
      </c>
      <c r="K1623" t="s">
        <v>1829</v>
      </c>
      <c r="L1623" s="2">
        <v>1768.96</v>
      </c>
      <c r="M1623" s="2" t="str">
        <f>IF(ESales_DB[[#This Row],[Total_Amount]]&gt;1000,"High","Low")</f>
        <v>High</v>
      </c>
      <c r="N1623" s="2" t="str">
        <f>VLOOKUP(ESales_DB[[#This Row],[Customer_ID]],Ecustom_DB[],3,FALSE)</f>
        <v>Wayne Mcpherson</v>
      </c>
      <c r="O1623" s="2" t="str">
        <f>_xlfn.XLOOKUP(ESales_DB[[#This Row],[Product_ID]],Eproduct_DB[Product_ID],Eproduct_DB[Category])</f>
        <v>Electronics</v>
      </c>
      <c r="P1623" s="2" t="str">
        <f>_xlfn.XLOOKUP(ESales_DB[[#This Row],[Product_ID]],Eproduct_DB[Product_ID],Eproduct_DB[Product_Name])</f>
        <v>4K Home Projector</v>
      </c>
      <c r="Q1623" s="2" t="str">
        <f>_xlfn.XLOOKUP(ESales_DB[[#This Row],[Store_ID]],Estore_DB[Store_ID],Estore_DB[Region])</f>
        <v>East</v>
      </c>
      <c r="R1623" t="str">
        <f>VLOOKUP(ESales_DB[[#This Row],[Customer_ID]],Ecustom_DB[],10,FALSE)</f>
        <v>Bronze</v>
      </c>
      <c r="S1623" t="str">
        <f>IF(ESales_DB[[#This Row],[Quantity1]]&gt;3,"Bulk order","Normal order")</f>
        <v>Normal order</v>
      </c>
    </row>
    <row r="1624" spans="1:19" x14ac:dyDescent="0.3">
      <c r="A1624" t="s">
        <v>2485</v>
      </c>
      <c r="B1624" s="4">
        <v>45291</v>
      </c>
      <c r="C1624" s="4" t="str">
        <f>TEXT(ESales_DB[[#This Row],[Order_Date]],"mmm")</f>
        <v>Dec</v>
      </c>
      <c r="D1624" t="s">
        <v>181</v>
      </c>
      <c r="E1624" t="s">
        <v>1732</v>
      </c>
      <c r="F1624" t="s">
        <v>1769</v>
      </c>
      <c r="G1624">
        <v>3</v>
      </c>
      <c r="H1624" s="10">
        <f>IF(ISBLANK(ESales_DB[[#This Row],[Quantity]]),AVERAGEIF(ESales_DB[Product_ID],ESales_DB[[#This Row],[Product_ID]],ESales_DB[Quantity]),ESales_DB[[#This Row],[Quantity]])</f>
        <v>3</v>
      </c>
      <c r="I1624" s="2">
        <v>718.23</v>
      </c>
      <c r="J1624">
        <v>0.19</v>
      </c>
      <c r="K1624" t="s">
        <v>1826</v>
      </c>
      <c r="L1624" s="2">
        <v>1745.2989</v>
      </c>
      <c r="M1624" s="2" t="str">
        <f>IF(ESales_DB[[#This Row],[Total_Amount]]&gt;1000,"High","Low")</f>
        <v>High</v>
      </c>
      <c r="N1624" s="2" t="str">
        <f>VLOOKUP(ESales_DB[[#This Row],[Customer_ID]],Ecustom_DB[],3,FALSE)</f>
        <v>Gina Knight</v>
      </c>
      <c r="O1624" s="2" t="str">
        <f>_xlfn.XLOOKUP(ESales_DB[[#This Row],[Product_ID]],Eproduct_DB[Product_ID],Eproduct_DB[Category])</f>
        <v>Home</v>
      </c>
      <c r="P1624" s="2" t="str">
        <f>_xlfn.XLOOKUP(ESales_DB[[#This Row],[Product_ID]],Eproduct_DB[Product_ID],Eproduct_DB[Product_Name])</f>
        <v>Microwave Oven</v>
      </c>
      <c r="Q1624" s="2" t="str">
        <f>_xlfn.XLOOKUP(ESales_DB[[#This Row],[Store_ID]],Estore_DB[Store_ID],Estore_DB[Region])</f>
        <v>South</v>
      </c>
      <c r="R1624" t="str">
        <f>VLOOKUP(ESales_DB[[#This Row],[Customer_ID]],Ecustom_DB[],10,FALSE)</f>
        <v>Silver</v>
      </c>
      <c r="S1624" t="str">
        <f>IF(ESales_DB[[#This Row],[Quantity1]]&gt;3,"Bulk order","Normal order")</f>
        <v>Normal order</v>
      </c>
    </row>
    <row r="1625" spans="1:19" x14ac:dyDescent="0.3">
      <c r="A1625" t="s">
        <v>1892</v>
      </c>
      <c r="B1625" s="4">
        <v>45213</v>
      </c>
      <c r="C1625" s="4" t="str">
        <f>TEXT(ESales_DB[[#This Row],[Order_Date]],"mmm")</f>
        <v>Oct</v>
      </c>
      <c r="D1625" t="s">
        <v>857</v>
      </c>
      <c r="E1625" t="s">
        <v>1702</v>
      </c>
      <c r="F1625" t="s">
        <v>1761</v>
      </c>
      <c r="G1625">
        <v>4</v>
      </c>
      <c r="H1625" s="10">
        <f>IF(ISBLANK(ESales_DB[[#This Row],[Quantity]]),AVERAGEIF(ESales_DB[Product_ID],ESales_DB[[#This Row],[Product_ID]],ESales_DB[Quantity]),ESales_DB[[#This Row],[Quantity]])</f>
        <v>4</v>
      </c>
      <c r="I1625" s="2">
        <v>814.25</v>
      </c>
      <c r="J1625">
        <v>0.18</v>
      </c>
      <c r="K1625" t="s">
        <v>1824</v>
      </c>
      <c r="L1625" s="2">
        <v>2670.74</v>
      </c>
      <c r="M1625" s="2" t="str">
        <f>IF(ESales_DB[[#This Row],[Total_Amount]]&gt;1000,"High","Low")</f>
        <v>High</v>
      </c>
      <c r="N1625" s="2" t="str">
        <f>VLOOKUP(ESales_DB[[#This Row],[Customer_ID]],Ecustom_DB[],3,FALSE)</f>
        <v>Tyrone Olson</v>
      </c>
      <c r="O1625" s="2" t="str">
        <f>_xlfn.XLOOKUP(ESales_DB[[#This Row],[Product_ID]],Eproduct_DB[Product_ID],Eproduct_DB[Category])</f>
        <v>Electronics</v>
      </c>
      <c r="P1625" s="2" t="str">
        <f>_xlfn.XLOOKUP(ESales_DB[[#This Row],[Product_ID]],Eproduct_DB[Product_ID],Eproduct_DB[Product_Name])</f>
        <v>WiFi Mesh Router</v>
      </c>
      <c r="Q1625" s="2" t="str">
        <f>_xlfn.XLOOKUP(ESales_DB[[#This Row],[Store_ID]],Estore_DB[Store_ID],Estore_DB[Region])</f>
        <v>South</v>
      </c>
      <c r="R1625" t="str">
        <f>VLOOKUP(ESales_DB[[#This Row],[Customer_ID]],Ecustom_DB[],10,FALSE)</f>
        <v>Silver</v>
      </c>
      <c r="S1625" t="str">
        <f>IF(ESales_DB[[#This Row],[Quantity1]]&gt;3,"Bulk order","Normal order")</f>
        <v>Bulk order</v>
      </c>
    </row>
    <row r="1626" spans="1:19" x14ac:dyDescent="0.3">
      <c r="A1626" t="s">
        <v>2486</v>
      </c>
      <c r="B1626" s="4">
        <v>45914</v>
      </c>
      <c r="C1626" s="4" t="str">
        <f>TEXT(ESales_DB[[#This Row],[Order_Date]],"mmm")</f>
        <v>Sep</v>
      </c>
      <c r="D1626" t="s">
        <v>595</v>
      </c>
      <c r="E1626" t="s">
        <v>1728</v>
      </c>
      <c r="F1626" t="s">
        <v>1810</v>
      </c>
      <c r="G1626">
        <v>3</v>
      </c>
      <c r="H1626" s="10">
        <f>IF(ISBLANK(ESales_DB[[#This Row],[Quantity]]),AVERAGEIF(ESales_DB[Product_ID],ESales_DB[[#This Row],[Product_ID]],ESales_DB[Quantity]),ESales_DB[[#This Row],[Quantity]])</f>
        <v>3</v>
      </c>
      <c r="I1626" s="2">
        <v>107.44</v>
      </c>
      <c r="J1626">
        <v>0.27</v>
      </c>
      <c r="K1626" t="s">
        <v>1826</v>
      </c>
      <c r="L1626" s="2">
        <v>235.2936</v>
      </c>
      <c r="M1626" s="2" t="str">
        <f>IF(ESales_DB[[#This Row],[Total_Amount]]&gt;1000,"High","Low")</f>
        <v>Low</v>
      </c>
      <c r="N1626" s="2" t="str">
        <f>VLOOKUP(ESales_DB[[#This Row],[Customer_ID]],Ecustom_DB[],3,FALSE)</f>
        <v>Wesley Thompson</v>
      </c>
      <c r="O1626" s="2" t="str">
        <f>_xlfn.XLOOKUP(ESales_DB[[#This Row],[Product_ID]],Eproduct_DB[Product_ID],Eproduct_DB[Category])</f>
        <v>Electronics</v>
      </c>
      <c r="P1626" s="2" t="str">
        <f>_xlfn.XLOOKUP(ESales_DB[[#This Row],[Product_ID]],Eproduct_DB[Product_ID],Eproduct_DB[Product_Name])</f>
        <v>Gaming Mouse Pad XL</v>
      </c>
      <c r="Q1626" s="2" t="str">
        <f>_xlfn.XLOOKUP(ESales_DB[[#This Row],[Store_ID]],Estore_DB[Store_ID],Estore_DB[Region])</f>
        <v>East</v>
      </c>
      <c r="R1626" t="str">
        <f>VLOOKUP(ESales_DB[[#This Row],[Customer_ID]],Ecustom_DB[],10,FALSE)</f>
        <v>Bronze</v>
      </c>
      <c r="S1626" t="str">
        <f>IF(ESales_DB[[#This Row],[Quantity1]]&gt;3,"Bulk order","Normal order")</f>
        <v>Normal order</v>
      </c>
    </row>
    <row r="1627" spans="1:19" x14ac:dyDescent="0.3">
      <c r="A1627" t="s">
        <v>2487</v>
      </c>
      <c r="B1627" s="4">
        <v>45673</v>
      </c>
      <c r="C1627" s="4" t="str">
        <f>TEXT(ESales_DB[[#This Row],[Order_Date]],"mmm")</f>
        <v>Jan</v>
      </c>
      <c r="D1627" t="s">
        <v>211</v>
      </c>
      <c r="E1627" t="s">
        <v>1640</v>
      </c>
      <c r="F1627" t="s">
        <v>1766</v>
      </c>
      <c r="G1627">
        <v>4</v>
      </c>
      <c r="H1627" s="10">
        <f>IF(ISBLANK(ESales_DB[[#This Row],[Quantity]]),AVERAGEIF(ESales_DB[Product_ID],ESales_DB[[#This Row],[Product_ID]],ESales_DB[Quantity]),ESales_DB[[#This Row],[Quantity]])</f>
        <v>4</v>
      </c>
      <c r="I1627" s="2">
        <v>608.97</v>
      </c>
      <c r="J1627">
        <v>0.14000000000000001</v>
      </c>
      <c r="K1627" t="s">
        <v>1829</v>
      </c>
      <c r="L1627" s="2">
        <v>2094.8568</v>
      </c>
      <c r="M1627" s="2" t="str">
        <f>IF(ESales_DB[[#This Row],[Total_Amount]]&gt;1000,"High","Low")</f>
        <v>High</v>
      </c>
      <c r="N1627" s="2" t="str">
        <f>VLOOKUP(ESales_DB[[#This Row],[Customer_ID]],Ecustom_DB[],3,FALSE)</f>
        <v>Christopher Sutton</v>
      </c>
      <c r="O1627" s="2" t="str">
        <f>_xlfn.XLOOKUP(ESales_DB[[#This Row],[Product_ID]],Eproduct_DB[Product_ID],Eproduct_DB[Category])</f>
        <v>Clothing</v>
      </c>
      <c r="P1627" s="2" t="str">
        <f>_xlfn.XLOOKUP(ESales_DB[[#This Row],[Product_ID]],Eproduct_DB[Product_ID],Eproduct_DB[Product_Name])</f>
        <v>Men's Winter Jacket</v>
      </c>
      <c r="Q1627" s="2" t="str">
        <f>_xlfn.XLOOKUP(ESales_DB[[#This Row],[Store_ID]],Estore_DB[Store_ID],Estore_DB[Region])</f>
        <v>North</v>
      </c>
      <c r="R1627" t="str">
        <f>VLOOKUP(ESales_DB[[#This Row],[Customer_ID]],Ecustom_DB[],10,FALSE)</f>
        <v>Gold</v>
      </c>
      <c r="S1627" t="str">
        <f>IF(ESales_DB[[#This Row],[Quantity1]]&gt;3,"Bulk order","Normal order")</f>
        <v>Bulk order</v>
      </c>
    </row>
    <row r="1628" spans="1:19" x14ac:dyDescent="0.3">
      <c r="A1628" t="s">
        <v>2488</v>
      </c>
      <c r="B1628" s="4">
        <v>45689</v>
      </c>
      <c r="C1628" s="4" t="str">
        <f>TEXT(ESales_DB[[#This Row],[Order_Date]],"mmm")</f>
        <v>Feb</v>
      </c>
      <c r="D1628" t="s">
        <v>1109</v>
      </c>
      <c r="E1628" t="s">
        <v>1670</v>
      </c>
      <c r="F1628" t="s">
        <v>1776</v>
      </c>
      <c r="G1628">
        <v>3</v>
      </c>
      <c r="H1628" s="10">
        <f>IF(ISBLANK(ESales_DB[[#This Row],[Quantity]]),AVERAGEIF(ESales_DB[Product_ID],ESales_DB[[#This Row],[Product_ID]],ESales_DB[Quantity]),ESales_DB[[#This Row],[Quantity]])</f>
        <v>3</v>
      </c>
      <c r="I1628" s="2">
        <v>260.45999999999998</v>
      </c>
      <c r="J1628">
        <v>0.09</v>
      </c>
      <c r="K1628" t="s">
        <v>1824</v>
      </c>
      <c r="L1628" s="2">
        <v>711.05579999999986</v>
      </c>
      <c r="M1628" s="2" t="str">
        <f>IF(ESales_DB[[#This Row],[Total_Amount]]&gt;1000,"High","Low")</f>
        <v>Low</v>
      </c>
      <c r="N1628" s="2" t="str">
        <f>VLOOKUP(ESales_DB[[#This Row],[Customer_ID]],Ecustom_DB[],3,FALSE)</f>
        <v>Ryan Torres</v>
      </c>
      <c r="O1628" s="2" t="str">
        <f>_xlfn.XLOOKUP(ESales_DB[[#This Row],[Product_ID]],Eproduct_DB[Product_ID],Eproduct_DB[Category])</f>
        <v>Sports</v>
      </c>
      <c r="P1628" s="2" t="str">
        <f>_xlfn.XLOOKUP(ESales_DB[[#This Row],[Product_ID]],Eproduct_DB[Product_ID],Eproduct_DB[Product_Name])</f>
        <v>Tennis Ball 3-Pack</v>
      </c>
      <c r="Q1628" s="2" t="str">
        <f>_xlfn.XLOOKUP(ESales_DB[[#This Row],[Store_ID]],Estore_DB[Store_ID],Estore_DB[Region])</f>
        <v>East</v>
      </c>
      <c r="R1628" t="str">
        <f>VLOOKUP(ESales_DB[[#This Row],[Customer_ID]],Ecustom_DB[],10,FALSE)</f>
        <v>Silver</v>
      </c>
      <c r="S1628" t="str">
        <f>IF(ESales_DB[[#This Row],[Quantity1]]&gt;3,"Bulk order","Normal order")</f>
        <v>Normal order</v>
      </c>
    </row>
    <row r="1629" spans="1:19" x14ac:dyDescent="0.3">
      <c r="A1629" t="s">
        <v>2489</v>
      </c>
      <c r="B1629" s="4">
        <v>45646</v>
      </c>
      <c r="C1629" s="4" t="str">
        <f>TEXT(ESales_DB[[#This Row],[Order_Date]],"mmm")</f>
        <v>Dec</v>
      </c>
      <c r="D1629" t="s">
        <v>425</v>
      </c>
      <c r="E1629" t="s">
        <v>1592</v>
      </c>
      <c r="F1629" t="s">
        <v>1776</v>
      </c>
      <c r="G1629">
        <v>1</v>
      </c>
      <c r="H1629" s="10">
        <f>IF(ISBLANK(ESales_DB[[#This Row],[Quantity]]),AVERAGEIF(ESales_DB[Product_ID],ESales_DB[[#This Row],[Product_ID]],ESales_DB[Quantity]),ESales_DB[[#This Row],[Quantity]])</f>
        <v>1</v>
      </c>
      <c r="I1629" s="2">
        <v>747.03</v>
      </c>
      <c r="J1629">
        <v>0.01</v>
      </c>
      <c r="K1629" t="s">
        <v>1824</v>
      </c>
      <c r="L1629" s="2">
        <v>739.55970000000002</v>
      </c>
      <c r="M1629" s="2" t="str">
        <f>IF(ESales_DB[[#This Row],[Total_Amount]]&gt;1000,"High","Low")</f>
        <v>Low</v>
      </c>
      <c r="N1629" s="2" t="str">
        <f>VLOOKUP(ESales_DB[[#This Row],[Customer_ID]],Ecustom_DB[],3,FALSE)</f>
        <v>Erin Hopkins</v>
      </c>
      <c r="O1629" s="2" t="str">
        <f>_xlfn.XLOOKUP(ESales_DB[[#This Row],[Product_ID]],Eproduct_DB[Product_ID],Eproduct_DB[Category])</f>
        <v>Sports</v>
      </c>
      <c r="P1629" s="2" t="str">
        <f>_xlfn.XLOOKUP(ESales_DB[[#This Row],[Product_ID]],Eproduct_DB[Product_ID],Eproduct_DB[Product_Name])</f>
        <v>Carbon Fiber Tennis Racket</v>
      </c>
      <c r="Q1629" s="2" t="str">
        <f>_xlfn.XLOOKUP(ESales_DB[[#This Row],[Store_ID]],Estore_DB[Store_ID],Estore_DB[Region])</f>
        <v>East</v>
      </c>
      <c r="R1629" t="str">
        <f>VLOOKUP(ESales_DB[[#This Row],[Customer_ID]],Ecustom_DB[],10,FALSE)</f>
        <v>Silver</v>
      </c>
      <c r="S1629" t="str">
        <f>IF(ESales_DB[[#This Row],[Quantity1]]&gt;3,"Bulk order","Normal order")</f>
        <v>Normal order</v>
      </c>
    </row>
    <row r="1630" spans="1:19" x14ac:dyDescent="0.3">
      <c r="A1630" t="s">
        <v>2490</v>
      </c>
      <c r="B1630" s="4">
        <v>45475</v>
      </c>
      <c r="C1630" s="4" t="str">
        <f>TEXT(ESales_DB[[#This Row],[Order_Date]],"mmm")</f>
        <v>Jul</v>
      </c>
      <c r="D1630" t="s">
        <v>1257</v>
      </c>
      <c r="E1630" t="s">
        <v>1580</v>
      </c>
      <c r="F1630" t="s">
        <v>1782</v>
      </c>
      <c r="G1630">
        <v>4</v>
      </c>
      <c r="H1630" s="10">
        <f>IF(ISBLANK(ESales_DB[[#This Row],[Quantity]]),AVERAGEIF(ESales_DB[Product_ID],ESales_DB[[#This Row],[Product_ID]],ESales_DB[Quantity]),ESales_DB[[#This Row],[Quantity]])</f>
        <v>4</v>
      </c>
      <c r="I1630" s="2">
        <v>700.88</v>
      </c>
      <c r="J1630">
        <v>0.23</v>
      </c>
      <c r="K1630" t="s">
        <v>1826</v>
      </c>
      <c r="L1630" s="2">
        <v>2158.7103999999999</v>
      </c>
      <c r="M1630" s="2" t="str">
        <f>IF(ESales_DB[[#This Row],[Total_Amount]]&gt;1000,"High","Low")</f>
        <v>High</v>
      </c>
      <c r="N1630" s="2" t="str">
        <f>VLOOKUP(ESales_DB[[#This Row],[Customer_ID]],Ecustom_DB[],3,FALSE)</f>
        <v>David Ross</v>
      </c>
      <c r="O1630" s="2" t="str">
        <f>_xlfn.XLOOKUP(ESales_DB[[#This Row],[Product_ID]],Eproduct_DB[Product_ID],Eproduct_DB[Category])</f>
        <v>Beauty</v>
      </c>
      <c r="P1630" s="2" t="str">
        <f>_xlfn.XLOOKUP(ESales_DB[[#This Row],[Product_ID]],Eproduct_DB[Product_ID],Eproduct_DB[Product_Name])</f>
        <v>Beard Grooming Kit</v>
      </c>
      <c r="Q1630" s="2" t="str">
        <f>_xlfn.XLOOKUP(ESales_DB[[#This Row],[Store_ID]],Estore_DB[Store_ID],Estore_DB[Region])</f>
        <v>West</v>
      </c>
      <c r="R1630" t="str">
        <f>VLOOKUP(ESales_DB[[#This Row],[Customer_ID]],Ecustom_DB[],10,FALSE)</f>
        <v>Silver</v>
      </c>
      <c r="S1630" t="str">
        <f>IF(ESales_DB[[#This Row],[Quantity1]]&gt;3,"Bulk order","Normal order")</f>
        <v>Bulk order</v>
      </c>
    </row>
    <row r="1631" spans="1:19" x14ac:dyDescent="0.3">
      <c r="A1631" t="s">
        <v>2491</v>
      </c>
      <c r="B1631" s="4">
        <v>45781</v>
      </c>
      <c r="C1631" s="4" t="str">
        <f>TEXT(ESales_DB[[#This Row],[Order_Date]],"mmm")</f>
        <v>May</v>
      </c>
      <c r="D1631" t="s">
        <v>185</v>
      </c>
      <c r="E1631" t="s">
        <v>1738</v>
      </c>
      <c r="F1631" t="s">
        <v>1799</v>
      </c>
      <c r="G1631">
        <v>4</v>
      </c>
      <c r="H1631" s="10">
        <f>IF(ISBLANK(ESales_DB[[#This Row],[Quantity]]),AVERAGEIF(ESales_DB[Product_ID],ESales_DB[[#This Row],[Product_ID]],ESales_DB[Quantity]),ESales_DB[[#This Row],[Quantity]])</f>
        <v>4</v>
      </c>
      <c r="I1631" s="2">
        <v>20.09</v>
      </c>
      <c r="J1631">
        <v>0.16</v>
      </c>
      <c r="K1631" t="s">
        <v>1826</v>
      </c>
      <c r="L1631" s="2">
        <v>67.502399999999994</v>
      </c>
      <c r="M1631" s="2" t="str">
        <f>IF(ESales_DB[[#This Row],[Total_Amount]]&gt;1000,"High","Low")</f>
        <v>Low</v>
      </c>
      <c r="N1631" s="2" t="str">
        <f>VLOOKUP(ESales_DB[[#This Row],[Customer_ID]],Ecustom_DB[],3,FALSE)</f>
        <v>April Mullins</v>
      </c>
      <c r="O1631" s="2" t="str">
        <f>_xlfn.XLOOKUP(ESales_DB[[#This Row],[Product_ID]],Eproduct_DB[Product_ID],Eproduct_DB[Category])</f>
        <v>Sports</v>
      </c>
      <c r="P1631" s="2" t="str">
        <f>_xlfn.XLOOKUP(ESales_DB[[#This Row],[Product_ID]],Eproduct_DB[Product_ID],Eproduct_DB[Product_Name])</f>
        <v>Sports Stopwatch Basic</v>
      </c>
      <c r="Q1631" s="2" t="str">
        <f>_xlfn.XLOOKUP(ESales_DB[[#This Row],[Store_ID]],Estore_DB[Store_ID],Estore_DB[Region])</f>
        <v>South</v>
      </c>
      <c r="R1631" t="str">
        <f>VLOOKUP(ESales_DB[[#This Row],[Customer_ID]],Ecustom_DB[],10,FALSE)</f>
        <v>Platinum</v>
      </c>
      <c r="S1631" t="str">
        <f>IF(ESales_DB[[#This Row],[Quantity1]]&gt;3,"Bulk order","Normal order")</f>
        <v>Bulk order</v>
      </c>
    </row>
    <row r="1632" spans="1:19" x14ac:dyDescent="0.3">
      <c r="A1632" t="s">
        <v>2492</v>
      </c>
      <c r="B1632" s="4">
        <v>45654</v>
      </c>
      <c r="C1632" s="4" t="str">
        <f>TEXT(ESales_DB[[#This Row],[Order_Date]],"mmm")</f>
        <v>Dec</v>
      </c>
      <c r="D1632" t="s">
        <v>230</v>
      </c>
      <c r="E1632" t="s">
        <v>1622</v>
      </c>
      <c r="F1632" t="s">
        <v>1792</v>
      </c>
      <c r="G1632">
        <v>3</v>
      </c>
      <c r="H1632" s="10">
        <f>IF(ISBLANK(ESales_DB[[#This Row],[Quantity]]),AVERAGEIF(ESales_DB[Product_ID],ESales_DB[[#This Row],[Product_ID]],ESales_DB[Quantity]),ESales_DB[[#This Row],[Quantity]])</f>
        <v>3</v>
      </c>
      <c r="I1632" s="2">
        <v>917.64</v>
      </c>
      <c r="J1632">
        <v>0.24</v>
      </c>
      <c r="K1632" t="s">
        <v>1826</v>
      </c>
      <c r="L1632" s="2">
        <v>2092.2192</v>
      </c>
      <c r="M1632" s="2" t="str">
        <f>IF(ESales_DB[[#This Row],[Total_Amount]]&gt;1000,"High","Low")</f>
        <v>High</v>
      </c>
      <c r="N1632" s="2" t="str">
        <f>VLOOKUP(ESales_DB[[#This Row],[Customer_ID]],Ecustom_DB[],3,FALSE)</f>
        <v>James Bean</v>
      </c>
      <c r="O1632" s="2" t="str">
        <f>_xlfn.XLOOKUP(ESales_DB[[#This Row],[Product_ID]],Eproduct_DB[Product_ID],Eproduct_DB[Category])</f>
        <v>Clothing</v>
      </c>
      <c r="P1632" s="2" t="str">
        <f>_xlfn.XLOOKUP(ESales_DB[[#This Row],[Product_ID]],Eproduct_DB[Product_ID],Eproduct_DB[Product_Name])</f>
        <v>Men's Casual Sneakers</v>
      </c>
      <c r="Q1632" s="2" t="str">
        <f>_xlfn.XLOOKUP(ESales_DB[[#This Row],[Store_ID]],Estore_DB[Store_ID],Estore_DB[Region])</f>
        <v>South</v>
      </c>
      <c r="R1632" t="str">
        <f>VLOOKUP(ESales_DB[[#This Row],[Customer_ID]],Ecustom_DB[],10,FALSE)</f>
        <v>Bronze</v>
      </c>
      <c r="S1632" t="str">
        <f>IF(ESales_DB[[#This Row],[Quantity1]]&gt;3,"Bulk order","Normal order")</f>
        <v>Normal order</v>
      </c>
    </row>
    <row r="1633" spans="1:19" x14ac:dyDescent="0.3">
      <c r="A1633" t="s">
        <v>2493</v>
      </c>
      <c r="B1633" s="4">
        <v>45594</v>
      </c>
      <c r="C1633" s="4" t="str">
        <f>TEXT(ESales_DB[[#This Row],[Order_Date]],"mmm")</f>
        <v>Oct</v>
      </c>
      <c r="D1633" t="s">
        <v>195</v>
      </c>
      <c r="E1633" t="s">
        <v>1590</v>
      </c>
      <c r="F1633" t="s">
        <v>1752</v>
      </c>
      <c r="G1633">
        <v>1</v>
      </c>
      <c r="H1633" s="10">
        <f>IF(ISBLANK(ESales_DB[[#This Row],[Quantity]]),AVERAGEIF(ESales_DB[Product_ID],ESales_DB[[#This Row],[Product_ID]],ESales_DB[Quantity]),ESales_DB[[#This Row],[Quantity]])</f>
        <v>1</v>
      </c>
      <c r="I1633" s="2">
        <v>242.08</v>
      </c>
      <c r="J1633">
        <v>0.18</v>
      </c>
      <c r="K1633" t="s">
        <v>1826</v>
      </c>
      <c r="L1633" s="2">
        <v>198.50559999999999</v>
      </c>
      <c r="M1633" s="2" t="str">
        <f>IF(ESales_DB[[#This Row],[Total_Amount]]&gt;1000,"High","Low")</f>
        <v>Low</v>
      </c>
      <c r="N1633" s="2" t="str">
        <f>VLOOKUP(ESales_DB[[#This Row],[Customer_ID]],Ecustom_DB[],3,FALSE)</f>
        <v>Sarah Rodgers</v>
      </c>
      <c r="O1633" s="2" t="str">
        <f>_xlfn.XLOOKUP(ESales_DB[[#This Row],[Product_ID]],Eproduct_DB[Product_ID],Eproduct_DB[Category])</f>
        <v>Home</v>
      </c>
      <c r="P1633" s="2" t="str">
        <f>_xlfn.XLOOKUP(ESales_DB[[#This Row],[Product_ID]],Eproduct_DB[Product_ID],Eproduct_DB[Product_Name])</f>
        <v>Multi-Purpose Storage Box</v>
      </c>
      <c r="Q1633" s="2" t="str">
        <f>_xlfn.XLOOKUP(ESales_DB[[#This Row],[Store_ID]],Estore_DB[Store_ID],Estore_DB[Region])</f>
        <v>East</v>
      </c>
      <c r="R1633" t="str">
        <f>VLOOKUP(ESales_DB[[#This Row],[Customer_ID]],Ecustom_DB[],10,FALSE)</f>
        <v>Gold</v>
      </c>
      <c r="S1633" t="str">
        <f>IF(ESales_DB[[#This Row],[Quantity1]]&gt;3,"Bulk order","Normal order")</f>
        <v>Normal order</v>
      </c>
    </row>
    <row r="1634" spans="1:19" x14ac:dyDescent="0.3">
      <c r="A1634" t="s">
        <v>2494</v>
      </c>
      <c r="B1634" s="4">
        <v>45581</v>
      </c>
      <c r="C1634" s="4" t="str">
        <f>TEXT(ESales_DB[[#This Row],[Order_Date]],"mmm")</f>
        <v>Oct</v>
      </c>
      <c r="D1634" t="s">
        <v>214</v>
      </c>
      <c r="E1634" t="s">
        <v>1674</v>
      </c>
      <c r="F1634" t="s">
        <v>1779</v>
      </c>
      <c r="G1634">
        <v>1</v>
      </c>
      <c r="H1634" s="10">
        <f>IF(ISBLANK(ESales_DB[[#This Row],[Quantity]]),AVERAGEIF(ESales_DB[Product_ID],ESales_DB[[#This Row],[Product_ID]],ESales_DB[Quantity]),ESales_DB[[#This Row],[Quantity]])</f>
        <v>1</v>
      </c>
      <c r="I1634" s="2">
        <v>536.67999999999995</v>
      </c>
      <c r="J1634">
        <v>0.27</v>
      </c>
      <c r="K1634" t="s">
        <v>1824</v>
      </c>
      <c r="L1634" s="2">
        <v>391.77640000000002</v>
      </c>
      <c r="M1634" s="2" t="str">
        <f>IF(ESales_DB[[#This Row],[Total_Amount]]&gt;1000,"High","Low")</f>
        <v>Low</v>
      </c>
      <c r="N1634" s="2" t="str">
        <f>VLOOKUP(ESales_DB[[#This Row],[Customer_ID]],Ecustom_DB[],3,FALSE)</f>
        <v>Jay Patel</v>
      </c>
      <c r="O1634" s="2" t="str">
        <f>_xlfn.XLOOKUP(ESales_DB[[#This Row],[Product_ID]],Eproduct_DB[Product_ID],Eproduct_DB[Category])</f>
        <v>Beauty</v>
      </c>
      <c r="P1634" s="2" t="str">
        <f>_xlfn.XLOOKUP(ESales_DB[[#This Row],[Product_ID]],Eproduct_DB[Product_ID],Eproduct_DB[Product_Name])</f>
        <v>Organic Sunscreen Lotion</v>
      </c>
      <c r="Q1634" s="2" t="str">
        <f>_xlfn.XLOOKUP(ESales_DB[[#This Row],[Store_ID]],Estore_DB[Store_ID],Estore_DB[Region])</f>
        <v>South</v>
      </c>
      <c r="R1634" t="str">
        <f>VLOOKUP(ESales_DB[[#This Row],[Customer_ID]],Ecustom_DB[],10,FALSE)</f>
        <v>Platinum</v>
      </c>
      <c r="S1634" t="str">
        <f>IF(ESales_DB[[#This Row],[Quantity1]]&gt;3,"Bulk order","Normal order")</f>
        <v>Normal order</v>
      </c>
    </row>
    <row r="1635" spans="1:19" x14ac:dyDescent="0.3">
      <c r="A1635" t="s">
        <v>2495</v>
      </c>
      <c r="B1635" s="4">
        <v>45748</v>
      </c>
      <c r="C1635" s="4" t="str">
        <f>TEXT(ESales_DB[[#This Row],[Order_Date]],"mmm")</f>
        <v>Apr</v>
      </c>
      <c r="D1635" t="s">
        <v>338</v>
      </c>
      <c r="E1635" t="s">
        <v>1606</v>
      </c>
      <c r="F1635" t="s">
        <v>1769</v>
      </c>
      <c r="G1635">
        <v>2</v>
      </c>
      <c r="H1635" s="10">
        <f>IF(ISBLANK(ESales_DB[[#This Row],[Quantity]]),AVERAGEIF(ESales_DB[Product_ID],ESales_DB[[#This Row],[Product_ID]],ESales_DB[Quantity]),ESales_DB[[#This Row],[Quantity]])</f>
        <v>2</v>
      </c>
      <c r="I1635" s="2">
        <v>145.18</v>
      </c>
      <c r="J1635">
        <v>0.26</v>
      </c>
      <c r="K1635" t="s">
        <v>1826</v>
      </c>
      <c r="L1635" s="2">
        <v>214.8664</v>
      </c>
      <c r="M1635" s="2" t="str">
        <f>IF(ESales_DB[[#This Row],[Total_Amount]]&gt;1000,"High","Low")</f>
        <v>Low</v>
      </c>
      <c r="N1635" s="2" t="str">
        <f>VLOOKUP(ESales_DB[[#This Row],[Customer_ID]],Ecustom_DB[],3,FALSE)</f>
        <v>David Patterson</v>
      </c>
      <c r="O1635" s="2" t="str">
        <f>_xlfn.XLOOKUP(ESales_DB[[#This Row],[Product_ID]],Eproduct_DB[Product_ID],Eproduct_DB[Category])</f>
        <v>Home</v>
      </c>
      <c r="P1635" s="2" t="str">
        <f>_xlfn.XLOOKUP(ESales_DB[[#This Row],[Product_ID]],Eproduct_DB[Product_ID],Eproduct_DB[Product_Name])</f>
        <v>Fabric Sofa Throw Blanket</v>
      </c>
      <c r="Q1635" s="2" t="str">
        <f>_xlfn.XLOOKUP(ESales_DB[[#This Row],[Store_ID]],Estore_DB[Store_ID],Estore_DB[Region])</f>
        <v>South</v>
      </c>
      <c r="R1635" t="str">
        <f>VLOOKUP(ESales_DB[[#This Row],[Customer_ID]],Ecustom_DB[],10,FALSE)</f>
        <v>Gold</v>
      </c>
      <c r="S1635" t="str">
        <f>IF(ESales_DB[[#This Row],[Quantity1]]&gt;3,"Bulk order","Normal order")</f>
        <v>Normal order</v>
      </c>
    </row>
    <row r="1636" spans="1:19" x14ac:dyDescent="0.3">
      <c r="A1636" t="s">
        <v>1893</v>
      </c>
      <c r="B1636" s="4">
        <v>45255</v>
      </c>
      <c r="C1636" s="4" t="str">
        <f>TEXT(ESales_DB[[#This Row],[Order_Date]],"mmm")</f>
        <v>Nov</v>
      </c>
      <c r="D1636" t="s">
        <v>1487</v>
      </c>
      <c r="E1636" t="s">
        <v>1572</v>
      </c>
      <c r="F1636" t="s">
        <v>1761</v>
      </c>
      <c r="G1636">
        <v>1</v>
      </c>
      <c r="H1636" s="10">
        <f>IF(ISBLANK(ESales_DB[[#This Row],[Quantity]]),AVERAGEIF(ESales_DB[Product_ID],ESales_DB[[#This Row],[Product_ID]],ESales_DB[Quantity]),ESales_DB[[#This Row],[Quantity]])</f>
        <v>1</v>
      </c>
      <c r="I1636" s="2">
        <v>989.17</v>
      </c>
      <c r="J1636">
        <v>0.2</v>
      </c>
      <c r="K1636" t="s">
        <v>1826</v>
      </c>
      <c r="L1636" s="2">
        <v>791.33600000000001</v>
      </c>
      <c r="M1636" s="2" t="str">
        <f>IF(ESales_DB[[#This Row],[Total_Amount]]&gt;1000,"High","Low")</f>
        <v>Low</v>
      </c>
      <c r="N1636" s="2" t="str">
        <f>VLOOKUP(ESales_DB[[#This Row],[Customer_ID]],Ecustom_DB[],3,FALSE)</f>
        <v>Sarah Smith</v>
      </c>
      <c r="O1636" s="2" t="str">
        <f>_xlfn.XLOOKUP(ESales_DB[[#This Row],[Product_ID]],Eproduct_DB[Product_ID],Eproduct_DB[Category])</f>
        <v>Beauty</v>
      </c>
      <c r="P1636" s="2" t="str">
        <f>_xlfn.XLOOKUP(ESales_DB[[#This Row],[Product_ID]],Eproduct_DB[Product_ID],Eproduct_DB[Product_Name])</f>
        <v>Hair Strengthening Shampoo</v>
      </c>
      <c r="Q1636" s="2" t="str">
        <f>_xlfn.XLOOKUP(ESales_DB[[#This Row],[Store_ID]],Estore_DB[Store_ID],Estore_DB[Region])</f>
        <v>South</v>
      </c>
      <c r="R1636" t="str">
        <f>VLOOKUP(ESales_DB[[#This Row],[Customer_ID]],Ecustom_DB[],10,FALSE)</f>
        <v>Gold</v>
      </c>
      <c r="S1636" t="str">
        <f>IF(ESales_DB[[#This Row],[Quantity1]]&gt;3,"Bulk order","Normal order")</f>
        <v>Normal order</v>
      </c>
    </row>
    <row r="1637" spans="1:19" x14ac:dyDescent="0.3">
      <c r="A1637" t="s">
        <v>2496</v>
      </c>
      <c r="B1637" s="4">
        <v>45369</v>
      </c>
      <c r="C1637" s="4" t="str">
        <f>TEXT(ESales_DB[[#This Row],[Order_Date]],"mmm")</f>
        <v>Mar</v>
      </c>
      <c r="D1637" t="s">
        <v>716</v>
      </c>
      <c r="E1637" t="s">
        <v>1682</v>
      </c>
      <c r="F1637" t="s">
        <v>1769</v>
      </c>
      <c r="G1637">
        <v>2</v>
      </c>
      <c r="H1637" s="10">
        <f>IF(ISBLANK(ESales_DB[[#This Row],[Quantity]]),AVERAGEIF(ESales_DB[Product_ID],ESales_DB[[#This Row],[Product_ID]],ESales_DB[Quantity]),ESales_DB[[#This Row],[Quantity]])</f>
        <v>2</v>
      </c>
      <c r="I1637" s="2">
        <v>132.77000000000001</v>
      </c>
      <c r="J1637">
        <v>0.13</v>
      </c>
      <c r="K1637" t="s">
        <v>1829</v>
      </c>
      <c r="L1637" s="2">
        <v>231.0198</v>
      </c>
      <c r="M1637" s="2" t="str">
        <f>IF(ESales_DB[[#This Row],[Total_Amount]]&gt;1000,"High","Low")</f>
        <v>Low</v>
      </c>
      <c r="N1637" s="2" t="str">
        <f>VLOOKUP(ESales_DB[[#This Row],[Customer_ID]],Ecustom_DB[],3,FALSE)</f>
        <v>Lisa Young</v>
      </c>
      <c r="O1637" s="2" t="str">
        <f>_xlfn.XLOOKUP(ESales_DB[[#This Row],[Product_ID]],Eproduct_DB[Product_ID],Eproduct_DB[Category])</f>
        <v>Electronics</v>
      </c>
      <c r="P1637" s="2" t="str">
        <f>_xlfn.XLOOKUP(ESales_DB[[#This Row],[Product_ID]],Eproduct_DB[Product_ID],Eproduct_DB[Product_Name])</f>
        <v>Smart LED Light Strip</v>
      </c>
      <c r="Q1637" s="2" t="str">
        <f>_xlfn.XLOOKUP(ESales_DB[[#This Row],[Store_ID]],Estore_DB[Store_ID],Estore_DB[Region])</f>
        <v>South</v>
      </c>
      <c r="R1637" t="str">
        <f>VLOOKUP(ESales_DB[[#This Row],[Customer_ID]],Ecustom_DB[],10,FALSE)</f>
        <v>Platinum</v>
      </c>
      <c r="S1637" t="str">
        <f>IF(ESales_DB[[#This Row],[Quantity1]]&gt;3,"Bulk order","Normal order")</f>
        <v>Normal order</v>
      </c>
    </row>
    <row r="1638" spans="1:19" x14ac:dyDescent="0.3">
      <c r="A1638" t="s">
        <v>2497</v>
      </c>
      <c r="B1638" s="4">
        <v>45701</v>
      </c>
      <c r="C1638" s="4" t="str">
        <f>TEXT(ESales_DB[[#This Row],[Order_Date]],"mmm")</f>
        <v>Feb</v>
      </c>
      <c r="D1638" t="s">
        <v>63</v>
      </c>
      <c r="E1638" t="s">
        <v>1630</v>
      </c>
      <c r="F1638" t="s">
        <v>1786</v>
      </c>
      <c r="G1638">
        <v>4</v>
      </c>
      <c r="H1638" s="10">
        <f>IF(ISBLANK(ESales_DB[[#This Row],[Quantity]]),AVERAGEIF(ESales_DB[Product_ID],ESales_DB[[#This Row],[Product_ID]],ESales_DB[Quantity]),ESales_DB[[#This Row],[Quantity]])</f>
        <v>4</v>
      </c>
      <c r="I1638" s="2">
        <v>682.11</v>
      </c>
      <c r="J1638">
        <v>0.14000000000000001</v>
      </c>
      <c r="K1638" t="s">
        <v>1824</v>
      </c>
      <c r="L1638" s="2">
        <v>2346.4584</v>
      </c>
      <c r="M1638" s="2" t="str">
        <f>IF(ESales_DB[[#This Row],[Total_Amount]]&gt;1000,"High","Low")</f>
        <v>High</v>
      </c>
      <c r="N1638" s="2" t="str">
        <f>VLOOKUP(ESales_DB[[#This Row],[Customer_ID]],Ecustom_DB[],3,FALSE)</f>
        <v>Nathan Hernandez</v>
      </c>
      <c r="O1638" s="2" t="str">
        <f>_xlfn.XLOOKUP(ESales_DB[[#This Row],[Product_ID]],Eproduct_DB[Product_ID],Eproduct_DB[Category])</f>
        <v>Sports</v>
      </c>
      <c r="P1638" s="2" t="str">
        <f>_xlfn.XLOOKUP(ESales_DB[[#This Row],[Product_ID]],Eproduct_DB[Product_ID],Eproduct_DB[Product_Name])</f>
        <v>Yoga Exercise Mat</v>
      </c>
      <c r="Q1638" s="2" t="str">
        <f>_xlfn.XLOOKUP(ESales_DB[[#This Row],[Store_ID]],Estore_DB[Store_ID],Estore_DB[Region])</f>
        <v>South</v>
      </c>
      <c r="R1638" t="str">
        <f>VLOOKUP(ESales_DB[[#This Row],[Customer_ID]],Ecustom_DB[],10,FALSE)</f>
        <v>Silver</v>
      </c>
      <c r="S1638" t="str">
        <f>IF(ESales_DB[[#This Row],[Quantity1]]&gt;3,"Bulk order","Normal order")</f>
        <v>Bulk order</v>
      </c>
    </row>
    <row r="1639" spans="1:19" x14ac:dyDescent="0.3">
      <c r="A1639" t="s">
        <v>2498</v>
      </c>
      <c r="B1639" s="4">
        <v>45510</v>
      </c>
      <c r="C1639" s="4" t="str">
        <f>TEXT(ESales_DB[[#This Row],[Order_Date]],"mmm")</f>
        <v>Aug</v>
      </c>
      <c r="D1639" t="s">
        <v>1495</v>
      </c>
      <c r="E1639" t="s">
        <v>1628</v>
      </c>
      <c r="F1639" t="s">
        <v>1807</v>
      </c>
      <c r="G1639">
        <v>4</v>
      </c>
      <c r="H1639" s="10">
        <f>IF(ISBLANK(ESales_DB[[#This Row],[Quantity]]),AVERAGEIF(ESales_DB[Product_ID],ESales_DB[[#This Row],[Product_ID]],ESales_DB[Quantity]),ESales_DB[[#This Row],[Quantity]])</f>
        <v>4</v>
      </c>
      <c r="I1639" s="2">
        <v>502.95</v>
      </c>
      <c r="J1639">
        <v>0.14000000000000001</v>
      </c>
      <c r="K1639" t="s">
        <v>1829</v>
      </c>
      <c r="L1639" s="2">
        <v>1730.1479999999999</v>
      </c>
      <c r="M1639" s="2" t="str">
        <f>IF(ESales_DB[[#This Row],[Total_Amount]]&gt;1000,"High","Low")</f>
        <v>High</v>
      </c>
      <c r="N1639" s="2" t="str">
        <f>VLOOKUP(ESales_DB[[#This Row],[Customer_ID]],Ecustom_DB[],3,FALSE)</f>
        <v>Eric Lee</v>
      </c>
      <c r="O1639" s="2" t="str">
        <f>_xlfn.XLOOKUP(ESales_DB[[#This Row],[Product_ID]],Eproduct_DB[Product_ID],Eproduct_DB[Category])</f>
        <v>Electronics</v>
      </c>
      <c r="P1639" s="2" t="str">
        <f>_xlfn.XLOOKUP(ESales_DB[[#This Row],[Product_ID]],Eproduct_DB[Product_ID],Eproduct_DB[Product_Name])</f>
        <v>Noise-Canceling Headphones</v>
      </c>
      <c r="Q1639" s="2" t="str">
        <f>_xlfn.XLOOKUP(ESales_DB[[#This Row],[Store_ID]],Estore_DB[Store_ID],Estore_DB[Region])</f>
        <v>North</v>
      </c>
      <c r="R1639" t="str">
        <f>VLOOKUP(ESales_DB[[#This Row],[Customer_ID]],Ecustom_DB[],10,FALSE)</f>
        <v>Bronze</v>
      </c>
      <c r="S1639" t="str">
        <f>IF(ESales_DB[[#This Row],[Quantity1]]&gt;3,"Bulk order","Normal order")</f>
        <v>Bulk order</v>
      </c>
    </row>
    <row r="1640" spans="1:19" x14ac:dyDescent="0.3">
      <c r="A1640" t="s">
        <v>2499</v>
      </c>
      <c r="B1640" s="4">
        <v>45538</v>
      </c>
      <c r="C1640" s="4" t="str">
        <f>TEXT(ESales_DB[[#This Row],[Order_Date]],"mmm")</f>
        <v>Sep</v>
      </c>
      <c r="D1640" t="s">
        <v>752</v>
      </c>
      <c r="E1640" t="s">
        <v>1622</v>
      </c>
      <c r="F1640" t="s">
        <v>1804</v>
      </c>
      <c r="G1640">
        <v>2</v>
      </c>
      <c r="H1640" s="10">
        <f>IF(ISBLANK(ESales_DB[[#This Row],[Quantity]]),AVERAGEIF(ESales_DB[Product_ID],ESales_DB[[#This Row],[Product_ID]],ESales_DB[Quantity]),ESales_DB[[#This Row],[Quantity]])</f>
        <v>2</v>
      </c>
      <c r="I1640" s="2">
        <v>472.08</v>
      </c>
      <c r="J1640">
        <v>7.0000000000000007E-2</v>
      </c>
      <c r="K1640" t="s">
        <v>1824</v>
      </c>
      <c r="L1640" s="2">
        <v>878.0687999999999</v>
      </c>
      <c r="M1640" s="2" t="str">
        <f>IF(ESales_DB[[#This Row],[Total_Amount]]&gt;1000,"High","Low")</f>
        <v>Low</v>
      </c>
      <c r="N1640" s="2" t="str">
        <f>VLOOKUP(ESales_DB[[#This Row],[Customer_ID]],Ecustom_DB[],3,FALSE)</f>
        <v>Nathaniel Hill</v>
      </c>
      <c r="O1640" s="2" t="str">
        <f>_xlfn.XLOOKUP(ESales_DB[[#This Row],[Product_ID]],Eproduct_DB[Product_ID],Eproduct_DB[Category])</f>
        <v>Clothing</v>
      </c>
      <c r="P1640" s="2" t="str">
        <f>_xlfn.XLOOKUP(ESales_DB[[#This Row],[Product_ID]],Eproduct_DB[Product_ID],Eproduct_DB[Product_Name])</f>
        <v>Men's Casual Sneakers</v>
      </c>
      <c r="Q1640" s="2" t="str">
        <f>_xlfn.XLOOKUP(ESales_DB[[#This Row],[Store_ID]],Estore_DB[Store_ID],Estore_DB[Region])</f>
        <v>West</v>
      </c>
      <c r="R1640" t="str">
        <f>VLOOKUP(ESales_DB[[#This Row],[Customer_ID]],Ecustom_DB[],10,FALSE)</f>
        <v>Gold</v>
      </c>
      <c r="S1640" t="str">
        <f>IF(ESales_DB[[#This Row],[Quantity1]]&gt;3,"Bulk order","Normal order")</f>
        <v>Normal order</v>
      </c>
    </row>
    <row r="1641" spans="1:19" x14ac:dyDescent="0.3">
      <c r="A1641" t="s">
        <v>2500</v>
      </c>
      <c r="B1641" s="4">
        <v>45665</v>
      </c>
      <c r="C1641" s="4" t="str">
        <f>TEXT(ESales_DB[[#This Row],[Order_Date]],"mmm")</f>
        <v>Jan</v>
      </c>
      <c r="D1641" t="s">
        <v>1458</v>
      </c>
      <c r="E1641" t="s">
        <v>1662</v>
      </c>
      <c r="F1641" t="s">
        <v>1807</v>
      </c>
      <c r="G1641">
        <v>2</v>
      </c>
      <c r="H1641" s="10">
        <f>IF(ISBLANK(ESales_DB[[#This Row],[Quantity]]),AVERAGEIF(ESales_DB[Product_ID],ESales_DB[[#This Row],[Product_ID]],ESales_DB[Quantity]),ESales_DB[[#This Row],[Quantity]])</f>
        <v>2</v>
      </c>
      <c r="I1641" s="2">
        <v>218.11</v>
      </c>
      <c r="J1641">
        <v>0.02</v>
      </c>
      <c r="K1641" t="s">
        <v>1829</v>
      </c>
      <c r="L1641" s="2">
        <v>427.49560000000002</v>
      </c>
      <c r="M1641" s="2" t="str">
        <f>IF(ESales_DB[[#This Row],[Total_Amount]]&gt;1000,"High","Low")</f>
        <v>Low</v>
      </c>
      <c r="N1641" s="2" t="str">
        <f>VLOOKUP(ESales_DB[[#This Row],[Customer_ID]],Ecustom_DB[],3,FALSE)</f>
        <v>Laura Mathews</v>
      </c>
      <c r="O1641" s="2" t="str">
        <f>_xlfn.XLOOKUP(ESales_DB[[#This Row],[Product_ID]],Eproduct_DB[Product_ID],Eproduct_DB[Category])</f>
        <v>Sports</v>
      </c>
      <c r="P1641" s="2" t="str">
        <f>_xlfn.XLOOKUP(ESales_DB[[#This Row],[Product_ID]],Eproduct_DB[Product_ID],Eproduct_DB[Product_Name])</f>
        <v>Foam Roller</v>
      </c>
      <c r="Q1641" s="2" t="str">
        <f>_xlfn.XLOOKUP(ESales_DB[[#This Row],[Store_ID]],Estore_DB[Store_ID],Estore_DB[Region])</f>
        <v>North</v>
      </c>
      <c r="R1641" t="str">
        <f>VLOOKUP(ESales_DB[[#This Row],[Customer_ID]],Ecustom_DB[],10,FALSE)</f>
        <v>Bronze</v>
      </c>
      <c r="S1641" t="str">
        <f>IF(ESales_DB[[#This Row],[Quantity1]]&gt;3,"Bulk order","Normal order")</f>
        <v>Normal order</v>
      </c>
    </row>
    <row r="1642" spans="1:19" x14ac:dyDescent="0.3">
      <c r="A1642" t="s">
        <v>2501</v>
      </c>
      <c r="B1642" s="4">
        <v>45859</v>
      </c>
      <c r="C1642" s="4" t="str">
        <f>TEXT(ESales_DB[[#This Row],[Order_Date]],"mmm")</f>
        <v>Jul</v>
      </c>
      <c r="D1642" t="s">
        <v>214</v>
      </c>
      <c r="E1642" t="s">
        <v>1546</v>
      </c>
      <c r="F1642" t="s">
        <v>1776</v>
      </c>
      <c r="G1642">
        <v>4</v>
      </c>
      <c r="H1642" s="10">
        <f>IF(ISBLANK(ESales_DB[[#This Row],[Quantity]]),AVERAGEIF(ESales_DB[Product_ID],ESales_DB[[#This Row],[Product_ID]],ESales_DB[Quantity]),ESales_DB[[#This Row],[Quantity]])</f>
        <v>4</v>
      </c>
      <c r="I1642" s="2">
        <v>845.58</v>
      </c>
      <c r="J1642">
        <v>0.06</v>
      </c>
      <c r="K1642" t="s">
        <v>1826</v>
      </c>
      <c r="L1642" s="2">
        <v>3179.3807999999999</v>
      </c>
      <c r="M1642" s="2" t="str">
        <f>IF(ESales_DB[[#This Row],[Total_Amount]]&gt;1000,"High","Low")</f>
        <v>High</v>
      </c>
      <c r="N1642" s="2" t="str">
        <f>VLOOKUP(ESales_DB[[#This Row],[Customer_ID]],Ecustom_DB[],3,FALSE)</f>
        <v>Jay Patel</v>
      </c>
      <c r="O1642" s="2" t="str">
        <f>_xlfn.XLOOKUP(ESales_DB[[#This Row],[Product_ID]],Eproduct_DB[Product_ID],Eproduct_DB[Category])</f>
        <v>Clothing</v>
      </c>
      <c r="P1642" s="2" t="str">
        <f>_xlfn.XLOOKUP(ESales_DB[[#This Row],[Product_ID]],Eproduct_DB[Product_ID],Eproduct_DB[Product_Name])</f>
        <v>Men's Graphic T-Shirt</v>
      </c>
      <c r="Q1642" s="2" t="str">
        <f>_xlfn.XLOOKUP(ESales_DB[[#This Row],[Store_ID]],Estore_DB[Store_ID],Estore_DB[Region])</f>
        <v>East</v>
      </c>
      <c r="R1642" t="str">
        <f>VLOOKUP(ESales_DB[[#This Row],[Customer_ID]],Ecustom_DB[],10,FALSE)</f>
        <v>Platinum</v>
      </c>
      <c r="S1642" t="str">
        <f>IF(ESales_DB[[#This Row],[Quantity1]]&gt;3,"Bulk order","Normal order")</f>
        <v>Bulk order</v>
      </c>
    </row>
    <row r="1643" spans="1:19" x14ac:dyDescent="0.3">
      <c r="A1643" t="s">
        <v>2502</v>
      </c>
      <c r="B1643" s="4">
        <v>45255</v>
      </c>
      <c r="C1643" s="4" t="str">
        <f>TEXT(ESales_DB[[#This Row],[Order_Date]],"mmm")</f>
        <v>Nov</v>
      </c>
      <c r="D1643" t="s">
        <v>441</v>
      </c>
      <c r="E1643" t="s">
        <v>1708</v>
      </c>
      <c r="F1643" t="s">
        <v>1761</v>
      </c>
      <c r="G1643">
        <v>2</v>
      </c>
      <c r="H1643" s="10">
        <f>IF(ISBLANK(ESales_DB[[#This Row],[Quantity]]),AVERAGEIF(ESales_DB[Product_ID],ESales_DB[[#This Row],[Product_ID]],ESales_DB[Quantity]),ESales_DB[[#This Row],[Quantity]])</f>
        <v>2</v>
      </c>
      <c r="I1643" s="2">
        <v>111.28</v>
      </c>
      <c r="J1643">
        <v>0.14000000000000001</v>
      </c>
      <c r="K1643" t="s">
        <v>1824</v>
      </c>
      <c r="L1643" s="2">
        <v>191.4016</v>
      </c>
      <c r="M1643" s="2" t="str">
        <f>IF(ESales_DB[[#This Row],[Total_Amount]]&gt;1000,"High","Low")</f>
        <v>Low</v>
      </c>
      <c r="N1643" s="2" t="str">
        <f>VLOOKUP(ESales_DB[[#This Row],[Customer_ID]],Ecustom_DB[],3,FALSE)</f>
        <v>Susan Mcdonald</v>
      </c>
      <c r="O1643" s="2" t="str">
        <f>_xlfn.XLOOKUP(ESales_DB[[#This Row],[Product_ID]],Eproduct_DB[Product_ID],Eproduct_DB[Category])</f>
        <v>Home</v>
      </c>
      <c r="P1643" s="2" t="str">
        <f>_xlfn.XLOOKUP(ESales_DB[[#This Row],[Product_ID]],Eproduct_DB[Product_ID],Eproduct_DB[Product_Name])</f>
        <v>Wall-Mounted Spice Rack</v>
      </c>
      <c r="Q1643" s="2" t="str">
        <f>_xlfn.XLOOKUP(ESales_DB[[#This Row],[Store_ID]],Estore_DB[Store_ID],Estore_DB[Region])</f>
        <v>South</v>
      </c>
      <c r="R1643" t="str">
        <f>VLOOKUP(ESales_DB[[#This Row],[Customer_ID]],Ecustom_DB[],10,FALSE)</f>
        <v>Silver</v>
      </c>
      <c r="S1643" t="str">
        <f>IF(ESales_DB[[#This Row],[Quantity1]]&gt;3,"Bulk order","Normal order")</f>
        <v>Normal order</v>
      </c>
    </row>
    <row r="1644" spans="1:19" x14ac:dyDescent="0.3">
      <c r="A1644" t="s">
        <v>2503</v>
      </c>
      <c r="B1644" s="4">
        <v>45842</v>
      </c>
      <c r="C1644" s="4" t="str">
        <f>TEXT(ESales_DB[[#This Row],[Order_Date]],"mmm")</f>
        <v>Jul</v>
      </c>
      <c r="D1644" t="s">
        <v>585</v>
      </c>
      <c r="E1644" t="s">
        <v>1666</v>
      </c>
      <c r="F1644" t="s">
        <v>1799</v>
      </c>
      <c r="G1644">
        <v>2</v>
      </c>
      <c r="H1644" s="10">
        <f>IF(ISBLANK(ESales_DB[[#This Row],[Quantity]]),AVERAGEIF(ESales_DB[Product_ID],ESales_DB[[#This Row],[Product_ID]],ESales_DB[Quantity]),ESales_DB[[#This Row],[Quantity]])</f>
        <v>2</v>
      </c>
      <c r="I1644" s="2">
        <v>37.21</v>
      </c>
      <c r="J1644">
        <v>0.19</v>
      </c>
      <c r="K1644" t="s">
        <v>1824</v>
      </c>
      <c r="L1644" s="2">
        <v>60.280200000000008</v>
      </c>
      <c r="M1644" s="2" t="str">
        <f>IF(ESales_DB[[#This Row],[Total_Amount]]&gt;1000,"High","Low")</f>
        <v>Low</v>
      </c>
      <c r="N1644" s="2" t="str">
        <f>VLOOKUP(ESales_DB[[#This Row],[Customer_ID]],Ecustom_DB[],3,FALSE)</f>
        <v>Curtis Lam</v>
      </c>
      <c r="O1644" s="2" t="str">
        <f>_xlfn.XLOOKUP(ESales_DB[[#This Row],[Product_ID]],Eproduct_DB[Product_ID],Eproduct_DB[Category])</f>
        <v>Beauty</v>
      </c>
      <c r="P1644" s="2" t="str">
        <f>_xlfn.XLOOKUP(ESales_DB[[#This Row],[Product_ID]],Eproduct_DB[Product_ID],Eproduct_DB[Product_Name])</f>
        <v>Men's Hair Styling Gel</v>
      </c>
      <c r="Q1644" s="2" t="str">
        <f>_xlfn.XLOOKUP(ESales_DB[[#This Row],[Store_ID]],Estore_DB[Store_ID],Estore_DB[Region])</f>
        <v>South</v>
      </c>
      <c r="R1644" t="str">
        <f>VLOOKUP(ESales_DB[[#This Row],[Customer_ID]],Ecustom_DB[],10,FALSE)</f>
        <v>Platinum</v>
      </c>
      <c r="S1644" t="str">
        <f>IF(ESales_DB[[#This Row],[Quantity1]]&gt;3,"Bulk order","Normal order")</f>
        <v>Normal order</v>
      </c>
    </row>
    <row r="1645" spans="1:19" x14ac:dyDescent="0.3">
      <c r="A1645" t="s">
        <v>2504</v>
      </c>
      <c r="B1645" s="4">
        <v>45220</v>
      </c>
      <c r="C1645" s="4" t="str">
        <f>TEXT(ESales_DB[[#This Row],[Order_Date]],"mmm")</f>
        <v>Oct</v>
      </c>
      <c r="D1645" t="s">
        <v>1295</v>
      </c>
      <c r="E1645" t="s">
        <v>1672</v>
      </c>
      <c r="F1645" t="s">
        <v>1797</v>
      </c>
      <c r="G1645">
        <v>1</v>
      </c>
      <c r="H1645" s="10">
        <f>IF(ISBLANK(ESales_DB[[#This Row],[Quantity]]),AVERAGEIF(ESales_DB[Product_ID],ESales_DB[[#This Row],[Product_ID]],ESales_DB[Quantity]),ESales_DB[[#This Row],[Quantity]])</f>
        <v>1</v>
      </c>
      <c r="I1645" s="2">
        <v>331.73</v>
      </c>
      <c r="J1645">
        <v>0.04</v>
      </c>
      <c r="K1645" t="s">
        <v>1824</v>
      </c>
      <c r="L1645" s="2">
        <v>318.46080000000001</v>
      </c>
      <c r="M1645" s="2" t="str">
        <f>IF(ESales_DB[[#This Row],[Total_Amount]]&gt;1000,"High","Low")</f>
        <v>Low</v>
      </c>
      <c r="N1645" s="2" t="str">
        <f>VLOOKUP(ESales_DB[[#This Row],[Customer_ID]],Ecustom_DB[],3,FALSE)</f>
        <v>Karen King</v>
      </c>
      <c r="O1645" s="2" t="str">
        <f>_xlfn.XLOOKUP(ESales_DB[[#This Row],[Product_ID]],Eproduct_DB[Product_ID],Eproduct_DB[Category])</f>
        <v>Electronics</v>
      </c>
      <c r="P1645" s="2" t="str">
        <f>_xlfn.XLOOKUP(ESales_DB[[#This Row],[Product_ID]],Eproduct_DB[Product_ID],Eproduct_DB[Product_Name])</f>
        <v>Laptop Cooling Pad</v>
      </c>
      <c r="Q1645" s="2" t="str">
        <f>_xlfn.XLOOKUP(ESales_DB[[#This Row],[Store_ID]],Estore_DB[Store_ID],Estore_DB[Region])</f>
        <v>East</v>
      </c>
      <c r="R1645" t="str">
        <f>VLOOKUP(ESales_DB[[#This Row],[Customer_ID]],Ecustom_DB[],10,FALSE)</f>
        <v>Bronze</v>
      </c>
      <c r="S1645" t="str">
        <f>IF(ESales_DB[[#This Row],[Quantity1]]&gt;3,"Bulk order","Normal order")</f>
        <v>Normal order</v>
      </c>
    </row>
    <row r="1646" spans="1:19" x14ac:dyDescent="0.3">
      <c r="A1646" t="s">
        <v>2505</v>
      </c>
      <c r="B1646" s="4">
        <v>45273</v>
      </c>
      <c r="C1646" s="4" t="str">
        <f>TEXT(ESales_DB[[#This Row],[Order_Date]],"mmm")</f>
        <v>Dec</v>
      </c>
      <c r="D1646" t="s">
        <v>1139</v>
      </c>
      <c r="E1646" t="s">
        <v>1688</v>
      </c>
      <c r="F1646" t="s">
        <v>1794</v>
      </c>
      <c r="G1646">
        <v>3</v>
      </c>
      <c r="H1646" s="10">
        <f>IF(ISBLANK(ESales_DB[[#This Row],[Quantity]]),AVERAGEIF(ESales_DB[Product_ID],ESales_DB[[#This Row],[Product_ID]],ESales_DB[Quantity]),ESales_DB[[#This Row],[Quantity]])</f>
        <v>3</v>
      </c>
      <c r="I1646" s="2">
        <v>306.70999999999998</v>
      </c>
      <c r="J1646">
        <v>0.09</v>
      </c>
      <c r="K1646" t="s">
        <v>1826</v>
      </c>
      <c r="L1646" s="2">
        <v>837.31829999999991</v>
      </c>
      <c r="M1646" s="2" t="str">
        <f>IF(ESales_DB[[#This Row],[Total_Amount]]&gt;1000,"High","Low")</f>
        <v>Low</v>
      </c>
      <c r="N1646" s="2" t="str">
        <f>VLOOKUP(ESales_DB[[#This Row],[Customer_ID]],Ecustom_DB[],3,FALSE)</f>
        <v>Chloe Aguilar</v>
      </c>
      <c r="O1646" s="2" t="str">
        <f>_xlfn.XLOOKUP(ESales_DB[[#This Row],[Product_ID]],Eproduct_DB[Product_ID],Eproduct_DB[Category])</f>
        <v>Home</v>
      </c>
      <c r="P1646" s="2" t="str">
        <f>_xlfn.XLOOKUP(ESales_DB[[#This Row],[Product_ID]],Eproduct_DB[Product_ID],Eproduct_DB[Product_Name])</f>
        <v>Kitchen Storage Rack</v>
      </c>
      <c r="Q1646" s="2" t="str">
        <f>_xlfn.XLOOKUP(ESales_DB[[#This Row],[Store_ID]],Estore_DB[Store_ID],Estore_DB[Region])</f>
        <v>North</v>
      </c>
      <c r="R1646" t="str">
        <f>VLOOKUP(ESales_DB[[#This Row],[Customer_ID]],Ecustom_DB[],10,FALSE)</f>
        <v>Bronze</v>
      </c>
      <c r="S1646" t="str">
        <f>IF(ESales_DB[[#This Row],[Quantity1]]&gt;3,"Bulk order","Normal order")</f>
        <v>Normal order</v>
      </c>
    </row>
    <row r="1647" spans="1:19" x14ac:dyDescent="0.3">
      <c r="A1647" t="s">
        <v>1894</v>
      </c>
      <c r="B1647" s="4">
        <v>45270</v>
      </c>
      <c r="C1647" s="4" t="str">
        <f>TEXT(ESales_DB[[#This Row],[Order_Date]],"mmm")</f>
        <v>Dec</v>
      </c>
      <c r="D1647" t="s">
        <v>1163</v>
      </c>
      <c r="E1647" t="s">
        <v>1692</v>
      </c>
      <c r="F1647" t="s">
        <v>1789</v>
      </c>
      <c r="G1647">
        <v>4</v>
      </c>
      <c r="H1647" s="10">
        <f>IF(ISBLANK(ESales_DB[[#This Row],[Quantity]]),AVERAGEIF(ESales_DB[Product_ID],ESales_DB[[#This Row],[Product_ID]],ESales_DB[Quantity]),ESales_DB[[#This Row],[Quantity]])</f>
        <v>4</v>
      </c>
      <c r="I1647" s="2">
        <v>62.48</v>
      </c>
      <c r="J1647">
        <v>0.18</v>
      </c>
      <c r="K1647" t="s">
        <v>1824</v>
      </c>
      <c r="L1647" s="2">
        <v>204.93440000000001</v>
      </c>
      <c r="M1647" s="2" t="str">
        <f>IF(ESales_DB[[#This Row],[Total_Amount]]&gt;1000,"High","Low")</f>
        <v>Low</v>
      </c>
      <c r="N1647" s="2" t="str">
        <f>VLOOKUP(ESales_DB[[#This Row],[Customer_ID]],Ecustom_DB[],3,FALSE)</f>
        <v>Jacqueline Anthony</v>
      </c>
      <c r="O1647" s="2" t="str">
        <f>_xlfn.XLOOKUP(ESales_DB[[#This Row],[Product_ID]],Eproduct_DB[Product_ID],Eproduct_DB[Category])</f>
        <v>Sports</v>
      </c>
      <c r="P1647" s="2" t="str">
        <f>_xlfn.XLOOKUP(ESales_DB[[#This Row],[Product_ID]],Eproduct_DB[Product_ID],Eproduct_DB[Product_Name])</f>
        <v>Professional Jump Rope</v>
      </c>
      <c r="Q1647" s="2" t="str">
        <f>_xlfn.XLOOKUP(ESales_DB[[#This Row],[Store_ID]],Estore_DB[Store_ID],Estore_DB[Region])</f>
        <v>East</v>
      </c>
      <c r="R1647" t="str">
        <f>VLOOKUP(ESales_DB[[#This Row],[Customer_ID]],Ecustom_DB[],10,FALSE)</f>
        <v>Bronze</v>
      </c>
      <c r="S1647" t="str">
        <f>IF(ESales_DB[[#This Row],[Quantity1]]&gt;3,"Bulk order","Normal order")</f>
        <v>Bulk order</v>
      </c>
    </row>
    <row r="1648" spans="1:19" x14ac:dyDescent="0.3">
      <c r="A1648" t="s">
        <v>2506</v>
      </c>
      <c r="B1648" s="4">
        <v>45456</v>
      </c>
      <c r="C1648" s="4" t="str">
        <f>TEXT(ESales_DB[[#This Row],[Order_Date]],"mmm")</f>
        <v>Jun</v>
      </c>
      <c r="D1648" t="s">
        <v>860</v>
      </c>
      <c r="E1648" t="s">
        <v>1598</v>
      </c>
      <c r="F1648" t="s">
        <v>1776</v>
      </c>
      <c r="G1648">
        <v>4</v>
      </c>
      <c r="H1648" s="10">
        <f>IF(ISBLANK(ESales_DB[[#This Row],[Quantity]]),AVERAGEIF(ESales_DB[Product_ID],ESales_DB[[#This Row],[Product_ID]],ESales_DB[Quantity]),ESales_DB[[#This Row],[Quantity]])</f>
        <v>4</v>
      </c>
      <c r="I1648" s="2">
        <v>484.92</v>
      </c>
      <c r="J1648">
        <v>0.28000000000000003</v>
      </c>
      <c r="K1648" t="s">
        <v>1826</v>
      </c>
      <c r="L1648" s="2">
        <v>1396.5696</v>
      </c>
      <c r="M1648" s="2" t="str">
        <f>IF(ESales_DB[[#This Row],[Total_Amount]]&gt;1000,"High","Low")</f>
        <v>High</v>
      </c>
      <c r="N1648" s="2" t="str">
        <f>VLOOKUP(ESales_DB[[#This Row],[Customer_ID]],Ecustom_DB[],3,FALSE)</f>
        <v>Brian Garcia</v>
      </c>
      <c r="O1648" s="2" t="str">
        <f>_xlfn.XLOOKUP(ESales_DB[[#This Row],[Product_ID]],Eproduct_DB[Product_ID],Eproduct_DB[Category])</f>
        <v>Clothing</v>
      </c>
      <c r="P1648" s="2" t="str">
        <f>_xlfn.XLOOKUP(ESales_DB[[#This Row],[Product_ID]],Eproduct_DB[Product_ID],Eproduct_DB[Product_Name])</f>
        <v>Women's Scarf Set</v>
      </c>
      <c r="Q1648" s="2" t="str">
        <f>_xlfn.XLOOKUP(ESales_DB[[#This Row],[Store_ID]],Estore_DB[Store_ID],Estore_DB[Region])</f>
        <v>East</v>
      </c>
      <c r="R1648" t="str">
        <f>VLOOKUP(ESales_DB[[#This Row],[Customer_ID]],Ecustom_DB[],10,FALSE)</f>
        <v>Gold</v>
      </c>
      <c r="S1648" t="str">
        <f>IF(ESales_DB[[#This Row],[Quantity1]]&gt;3,"Bulk order","Normal order")</f>
        <v>Bulk order</v>
      </c>
    </row>
    <row r="1649" spans="1:19" x14ac:dyDescent="0.3">
      <c r="A1649" t="s">
        <v>2507</v>
      </c>
      <c r="B1649" s="4">
        <v>45292</v>
      </c>
      <c r="C1649" s="4" t="str">
        <f>TEXT(ESales_DB[[#This Row],[Order_Date]],"mmm")</f>
        <v>Jan</v>
      </c>
      <c r="D1649" t="s">
        <v>168</v>
      </c>
      <c r="E1649" t="s">
        <v>1648</v>
      </c>
      <c r="F1649" t="s">
        <v>1773</v>
      </c>
      <c r="G1649">
        <v>2</v>
      </c>
      <c r="H1649" s="10">
        <f>IF(ISBLANK(ESales_DB[[#This Row],[Quantity]]),AVERAGEIF(ESales_DB[Product_ID],ESales_DB[[#This Row],[Product_ID]],ESales_DB[Quantity]),ESales_DB[[#This Row],[Quantity]])</f>
        <v>2</v>
      </c>
      <c r="I1649" s="2">
        <v>42.04</v>
      </c>
      <c r="J1649">
        <v>7.0000000000000007E-2</v>
      </c>
      <c r="K1649" t="s">
        <v>1824</v>
      </c>
      <c r="L1649" s="2">
        <v>78.194399999999987</v>
      </c>
      <c r="M1649" s="2" t="str">
        <f>IF(ESales_DB[[#This Row],[Total_Amount]]&gt;1000,"High","Low")</f>
        <v>Low</v>
      </c>
      <c r="N1649" s="2" t="str">
        <f>VLOOKUP(ESales_DB[[#This Row],[Customer_ID]],Ecustom_DB[],3,FALSE)</f>
        <v>Joseph Snow</v>
      </c>
      <c r="O1649" s="2" t="str">
        <f>_xlfn.XLOOKUP(ESales_DB[[#This Row],[Product_ID]],Eproduct_DB[Product_ID],Eproduct_DB[Category])</f>
        <v>Sports</v>
      </c>
      <c r="P1649" s="2" t="str">
        <f>_xlfn.XLOOKUP(ESales_DB[[#This Row],[Product_ID]],Eproduct_DB[Product_ID],Eproduct_DB[Product_Name])</f>
        <v>Boxing Hand Wraps</v>
      </c>
      <c r="Q1649" s="2" t="str">
        <f>_xlfn.XLOOKUP(ESales_DB[[#This Row],[Store_ID]],Estore_DB[Store_ID],Estore_DB[Region])</f>
        <v>North</v>
      </c>
      <c r="R1649" t="str">
        <f>VLOOKUP(ESales_DB[[#This Row],[Customer_ID]],Ecustom_DB[],10,FALSE)</f>
        <v>Gold</v>
      </c>
      <c r="S1649" t="str">
        <f>IF(ESales_DB[[#This Row],[Quantity1]]&gt;3,"Bulk order","Normal order")</f>
        <v>Normal order</v>
      </c>
    </row>
    <row r="1650" spans="1:19" x14ac:dyDescent="0.3">
      <c r="A1650" t="s">
        <v>2508</v>
      </c>
      <c r="B1650" s="4">
        <v>45278</v>
      </c>
      <c r="C1650" s="4" t="str">
        <f>TEXT(ESales_DB[[#This Row],[Order_Date]],"mmm")</f>
        <v>Dec</v>
      </c>
      <c r="D1650" t="s">
        <v>893</v>
      </c>
      <c r="E1650" t="s">
        <v>1658</v>
      </c>
      <c r="F1650" t="s">
        <v>1776</v>
      </c>
      <c r="G1650">
        <v>3</v>
      </c>
      <c r="H1650" s="10">
        <f>IF(ISBLANK(ESales_DB[[#This Row],[Quantity]]),AVERAGEIF(ESales_DB[Product_ID],ESales_DB[[#This Row],[Product_ID]],ESales_DB[Quantity]),ESales_DB[[#This Row],[Quantity]])</f>
        <v>3</v>
      </c>
      <c r="I1650" s="2">
        <v>599.48</v>
      </c>
      <c r="J1650">
        <v>0.22</v>
      </c>
      <c r="K1650" t="s">
        <v>1826</v>
      </c>
      <c r="L1650" s="2">
        <v>1402.7832000000001</v>
      </c>
      <c r="M1650" s="2" t="str">
        <f>IF(ESales_DB[[#This Row],[Total_Amount]]&gt;1000,"High","Low")</f>
        <v>High</v>
      </c>
      <c r="N1650" s="2" t="str">
        <f>VLOOKUP(ESales_DB[[#This Row],[Customer_ID]],Ecustom_DB[],3,FALSE)</f>
        <v>Brittany Watson</v>
      </c>
      <c r="O1650" s="2" t="str">
        <f>_xlfn.XLOOKUP(ESales_DB[[#This Row],[Product_ID]],Eproduct_DB[Product_ID],Eproduct_DB[Category])</f>
        <v>Home</v>
      </c>
      <c r="P1650" s="2" t="str">
        <f>_xlfn.XLOOKUP(ESales_DB[[#This Row],[Product_ID]],Eproduct_DB[Product_ID],Eproduct_DB[Product_Name])</f>
        <v>Ceramic Plant Pot</v>
      </c>
      <c r="Q1650" s="2" t="str">
        <f>_xlfn.XLOOKUP(ESales_DB[[#This Row],[Store_ID]],Estore_DB[Store_ID],Estore_DB[Region])</f>
        <v>East</v>
      </c>
      <c r="R1650" t="str">
        <f>VLOOKUP(ESales_DB[[#This Row],[Customer_ID]],Ecustom_DB[],10,FALSE)</f>
        <v>Platinum</v>
      </c>
      <c r="S1650" t="str">
        <f>IF(ESales_DB[[#This Row],[Quantity1]]&gt;3,"Bulk order","Normal order")</f>
        <v>Normal order</v>
      </c>
    </row>
    <row r="1651" spans="1:19" x14ac:dyDescent="0.3">
      <c r="A1651" t="s">
        <v>2509</v>
      </c>
      <c r="B1651" s="4">
        <v>45232</v>
      </c>
      <c r="C1651" s="4" t="str">
        <f>TEXT(ESales_DB[[#This Row],[Order_Date]],"mmm")</f>
        <v>Nov</v>
      </c>
      <c r="D1651" t="s">
        <v>1118</v>
      </c>
      <c r="E1651" t="s">
        <v>1582</v>
      </c>
      <c r="F1651" t="s">
        <v>1757</v>
      </c>
      <c r="G1651">
        <v>3</v>
      </c>
      <c r="H1651" s="10">
        <f>IF(ISBLANK(ESales_DB[[#This Row],[Quantity]]),AVERAGEIF(ESales_DB[Product_ID],ESales_DB[[#This Row],[Product_ID]],ESales_DB[Quantity]),ESales_DB[[#This Row],[Quantity]])</f>
        <v>3</v>
      </c>
      <c r="I1651" s="2">
        <v>401.42</v>
      </c>
      <c r="J1651">
        <v>0.01</v>
      </c>
      <c r="K1651" t="s">
        <v>1829</v>
      </c>
      <c r="L1651" s="2">
        <v>1192.2174</v>
      </c>
      <c r="M1651" s="2" t="str">
        <f>IF(ESales_DB[[#This Row],[Total_Amount]]&gt;1000,"High","Low")</f>
        <v>High</v>
      </c>
      <c r="N1651" s="2" t="str">
        <f>VLOOKUP(ESales_DB[[#This Row],[Customer_ID]],Ecustom_DB[],3,FALSE)</f>
        <v>Manuel Castillo</v>
      </c>
      <c r="O1651" s="2" t="str">
        <f>_xlfn.XLOOKUP(ESales_DB[[#This Row],[Product_ID]],Eproduct_DB[Product_ID],Eproduct_DB[Category])</f>
        <v>Sports</v>
      </c>
      <c r="P1651" s="2" t="str">
        <f>_xlfn.XLOOKUP(ESales_DB[[#This Row],[Product_ID]],Eproduct_DB[Product_ID],Eproduct_DB[Product_Name])</f>
        <v>Soccer Training Cone Set</v>
      </c>
      <c r="Q1651" s="2" t="str">
        <f>_xlfn.XLOOKUP(ESales_DB[[#This Row],[Store_ID]],Estore_DB[Store_ID],Estore_DB[Region])</f>
        <v>North</v>
      </c>
      <c r="R1651" t="str">
        <f>VLOOKUP(ESales_DB[[#This Row],[Customer_ID]],Ecustom_DB[],10,FALSE)</f>
        <v>Gold</v>
      </c>
      <c r="S1651" t="str">
        <f>IF(ESales_DB[[#This Row],[Quantity1]]&gt;3,"Bulk order","Normal order")</f>
        <v>Normal order</v>
      </c>
    </row>
    <row r="1652" spans="1:19" x14ac:dyDescent="0.3">
      <c r="A1652" t="s">
        <v>2510</v>
      </c>
      <c r="B1652" s="4">
        <v>45907</v>
      </c>
      <c r="C1652" s="4" t="str">
        <f>TEXT(ESales_DB[[#This Row],[Order_Date]],"mmm")</f>
        <v>Sep</v>
      </c>
      <c r="D1652" t="s">
        <v>631</v>
      </c>
      <c r="E1652" t="s">
        <v>1640</v>
      </c>
      <c r="F1652" t="s">
        <v>1782</v>
      </c>
      <c r="G1652">
        <v>4</v>
      </c>
      <c r="H1652" s="10">
        <f>IF(ISBLANK(ESales_DB[[#This Row],[Quantity]]),AVERAGEIF(ESales_DB[Product_ID],ESales_DB[[#This Row],[Product_ID]],ESales_DB[Quantity]),ESales_DB[[#This Row],[Quantity]])</f>
        <v>4</v>
      </c>
      <c r="I1652" s="2">
        <v>442.54</v>
      </c>
      <c r="J1652">
        <v>0.06</v>
      </c>
      <c r="K1652" t="s">
        <v>1824</v>
      </c>
      <c r="L1652" s="2">
        <v>1663.9503999999999</v>
      </c>
      <c r="M1652" s="2" t="str">
        <f>IF(ESales_DB[[#This Row],[Total_Amount]]&gt;1000,"High","Low")</f>
        <v>High</v>
      </c>
      <c r="N1652" s="2" t="str">
        <f>VLOOKUP(ESales_DB[[#This Row],[Customer_ID]],Ecustom_DB[],3,FALSE)</f>
        <v>Jacob Wood</v>
      </c>
      <c r="O1652" s="2" t="str">
        <f>_xlfn.XLOOKUP(ESales_DB[[#This Row],[Product_ID]],Eproduct_DB[Product_ID],Eproduct_DB[Category])</f>
        <v>Clothing</v>
      </c>
      <c r="P1652" s="2" t="str">
        <f>_xlfn.XLOOKUP(ESales_DB[[#This Row],[Product_ID]],Eproduct_DB[Product_ID],Eproduct_DB[Product_Name])</f>
        <v>Men's Winter Jacket</v>
      </c>
      <c r="Q1652" s="2" t="str">
        <f>_xlfn.XLOOKUP(ESales_DB[[#This Row],[Store_ID]],Estore_DB[Store_ID],Estore_DB[Region])</f>
        <v>West</v>
      </c>
      <c r="R1652" t="str">
        <f>VLOOKUP(ESales_DB[[#This Row],[Customer_ID]],Ecustom_DB[],10,FALSE)</f>
        <v>Gold</v>
      </c>
      <c r="S1652" t="str">
        <f>IF(ESales_DB[[#This Row],[Quantity1]]&gt;3,"Bulk order","Normal order")</f>
        <v>Bulk order</v>
      </c>
    </row>
    <row r="1653" spans="1:19" x14ac:dyDescent="0.3">
      <c r="A1653" t="s">
        <v>2511</v>
      </c>
      <c r="B1653" s="4">
        <v>45270</v>
      </c>
      <c r="C1653" s="4" t="str">
        <f>TEXT(ESales_DB[[#This Row],[Order_Date]],"mmm")</f>
        <v>Dec</v>
      </c>
      <c r="D1653" t="s">
        <v>1408</v>
      </c>
      <c r="E1653" t="s">
        <v>1724</v>
      </c>
      <c r="F1653" t="s">
        <v>1797</v>
      </c>
      <c r="G1653">
        <v>4</v>
      </c>
      <c r="H1653" s="10">
        <f>IF(ISBLANK(ESales_DB[[#This Row],[Quantity]]),AVERAGEIF(ESales_DB[Product_ID],ESales_DB[[#This Row],[Product_ID]],ESales_DB[Quantity]),ESales_DB[[#This Row],[Quantity]])</f>
        <v>4</v>
      </c>
      <c r="I1653" s="2">
        <v>451.41</v>
      </c>
      <c r="J1653">
        <v>0.06</v>
      </c>
      <c r="K1653" t="s">
        <v>1826</v>
      </c>
      <c r="L1653" s="2">
        <v>1697.3016</v>
      </c>
      <c r="M1653" s="2" t="str">
        <f>IF(ESales_DB[[#This Row],[Total_Amount]]&gt;1000,"High","Low")</f>
        <v>High</v>
      </c>
      <c r="N1653" s="2" t="str">
        <f>VLOOKUP(ESales_DB[[#This Row],[Customer_ID]],Ecustom_DB[],3,FALSE)</f>
        <v>Julie Powell</v>
      </c>
      <c r="O1653" s="2" t="str">
        <f>_xlfn.XLOOKUP(ESales_DB[[#This Row],[Product_ID]],Eproduct_DB[Product_ID],Eproduct_DB[Category])</f>
        <v>Sports</v>
      </c>
      <c r="P1653" s="2" t="str">
        <f>_xlfn.XLOOKUP(ESales_DB[[#This Row],[Product_ID]],Eproduct_DB[Product_ID],Eproduct_DB[Product_Name])</f>
        <v>Sports Wrist Sweatbands</v>
      </c>
      <c r="Q1653" s="2" t="str">
        <f>_xlfn.XLOOKUP(ESales_DB[[#This Row],[Store_ID]],Estore_DB[Store_ID],Estore_DB[Region])</f>
        <v>East</v>
      </c>
      <c r="R1653" t="str">
        <f>VLOOKUP(ESales_DB[[#This Row],[Customer_ID]],Ecustom_DB[],10,FALSE)</f>
        <v>Gold</v>
      </c>
      <c r="S1653" t="str">
        <f>IF(ESales_DB[[#This Row],[Quantity1]]&gt;3,"Bulk order","Normal order")</f>
        <v>Bulk order</v>
      </c>
    </row>
    <row r="1654" spans="1:19" x14ac:dyDescent="0.3">
      <c r="A1654" t="s">
        <v>2512</v>
      </c>
      <c r="B1654" s="4">
        <v>45942</v>
      </c>
      <c r="C1654" s="4" t="str">
        <f>TEXT(ESales_DB[[#This Row],[Order_Date]],"mmm")</f>
        <v>Oct</v>
      </c>
      <c r="D1654" t="s">
        <v>846</v>
      </c>
      <c r="E1654" t="s">
        <v>1730</v>
      </c>
      <c r="F1654" t="s">
        <v>1786</v>
      </c>
      <c r="G1654">
        <v>4</v>
      </c>
      <c r="H1654" s="10">
        <f>IF(ISBLANK(ESales_DB[[#This Row],[Quantity]]),AVERAGEIF(ESales_DB[Product_ID],ESales_DB[[#This Row],[Product_ID]],ESales_DB[Quantity]),ESales_DB[[#This Row],[Quantity]])</f>
        <v>4</v>
      </c>
      <c r="I1654" s="2">
        <v>547.21</v>
      </c>
      <c r="J1654">
        <v>0.25</v>
      </c>
      <c r="K1654" t="s">
        <v>1824</v>
      </c>
      <c r="L1654" s="2">
        <v>1641.63</v>
      </c>
      <c r="M1654" s="2" t="str">
        <f>IF(ESales_DB[[#This Row],[Total_Amount]]&gt;1000,"High","Low")</f>
        <v>High</v>
      </c>
      <c r="N1654" s="2" t="str">
        <f>VLOOKUP(ESales_DB[[#This Row],[Customer_ID]],Ecustom_DB[],3,FALSE)</f>
        <v>Tracy Kelly</v>
      </c>
      <c r="O1654" s="2" t="str">
        <f>_xlfn.XLOOKUP(ESales_DB[[#This Row],[Product_ID]],Eproduct_DB[Product_ID],Eproduct_DB[Category])</f>
        <v>Clothing</v>
      </c>
      <c r="P1654" s="2" t="str">
        <f>_xlfn.XLOOKUP(ESales_DB[[#This Row],[Product_ID]],Eproduct_DB[Product_ID],Eproduct_DB[Product_Name])</f>
        <v>Women's High Heels</v>
      </c>
      <c r="Q1654" s="2" t="str">
        <f>_xlfn.XLOOKUP(ESales_DB[[#This Row],[Store_ID]],Estore_DB[Store_ID],Estore_DB[Region])</f>
        <v>South</v>
      </c>
      <c r="R1654" t="str">
        <f>VLOOKUP(ESales_DB[[#This Row],[Customer_ID]],Ecustom_DB[],10,FALSE)</f>
        <v>Silver</v>
      </c>
      <c r="S1654" t="str">
        <f>IF(ESales_DB[[#This Row],[Quantity1]]&gt;3,"Bulk order","Normal order")</f>
        <v>Bulk order</v>
      </c>
    </row>
    <row r="1655" spans="1:19" x14ac:dyDescent="0.3">
      <c r="A1655" t="s">
        <v>2513</v>
      </c>
      <c r="B1655" s="4">
        <v>45750</v>
      </c>
      <c r="C1655" s="4" t="str">
        <f>TEXT(ESales_DB[[#This Row],[Order_Date]],"mmm")</f>
        <v>Apr</v>
      </c>
      <c r="D1655" t="s">
        <v>663</v>
      </c>
      <c r="E1655" t="s">
        <v>1722</v>
      </c>
      <c r="F1655" t="s">
        <v>1769</v>
      </c>
      <c r="G1655">
        <v>1</v>
      </c>
      <c r="H1655" s="10">
        <f>IF(ISBLANK(ESales_DB[[#This Row],[Quantity]]),AVERAGEIF(ESales_DB[Product_ID],ESales_DB[[#This Row],[Product_ID]],ESales_DB[Quantity]),ESales_DB[[#This Row],[Quantity]])</f>
        <v>1</v>
      </c>
      <c r="I1655" s="2">
        <v>979.28</v>
      </c>
      <c r="J1655">
        <v>0.2</v>
      </c>
      <c r="K1655" t="s">
        <v>1826</v>
      </c>
      <c r="L1655" s="2">
        <v>783.42399999999998</v>
      </c>
      <c r="M1655" s="2" t="str">
        <f>IF(ESales_DB[[#This Row],[Total_Amount]]&gt;1000,"High","Low")</f>
        <v>Low</v>
      </c>
      <c r="N1655" s="2" t="str">
        <f>VLOOKUP(ESales_DB[[#This Row],[Customer_ID]],Ecustom_DB[],3,FALSE)</f>
        <v>Sarah Brady</v>
      </c>
      <c r="O1655" s="2" t="str">
        <f>_xlfn.XLOOKUP(ESales_DB[[#This Row],[Product_ID]],Eproduct_DB[Product_ID],Eproduct_DB[Category])</f>
        <v>Home</v>
      </c>
      <c r="P1655" s="2" t="str">
        <f>_xlfn.XLOOKUP(ESales_DB[[#This Row],[Product_ID]],Eproduct_DB[Product_ID],Eproduct_DB[Product_Name])</f>
        <v>LED Bedside Lamp</v>
      </c>
      <c r="Q1655" s="2" t="str">
        <f>_xlfn.XLOOKUP(ESales_DB[[#This Row],[Store_ID]],Estore_DB[Store_ID],Estore_DB[Region])</f>
        <v>South</v>
      </c>
      <c r="R1655" t="str">
        <f>VLOOKUP(ESales_DB[[#This Row],[Customer_ID]],Ecustom_DB[],10,FALSE)</f>
        <v>Platinum</v>
      </c>
      <c r="S1655" t="str">
        <f>IF(ESales_DB[[#This Row],[Quantity1]]&gt;3,"Bulk order","Normal order")</f>
        <v>Normal order</v>
      </c>
    </row>
    <row r="1656" spans="1:19" x14ac:dyDescent="0.3">
      <c r="A1656" t="s">
        <v>2514</v>
      </c>
      <c r="B1656" s="4">
        <v>45300</v>
      </c>
      <c r="C1656" s="4" t="str">
        <f>TEXT(ESales_DB[[#This Row],[Order_Date]],"mmm")</f>
        <v>Jan</v>
      </c>
      <c r="D1656" t="s">
        <v>1431</v>
      </c>
      <c r="E1656" t="s">
        <v>1660</v>
      </c>
      <c r="F1656" t="s">
        <v>1779</v>
      </c>
      <c r="G1656">
        <v>4</v>
      </c>
      <c r="H1656" s="10">
        <f>IF(ISBLANK(ESales_DB[[#This Row],[Quantity]]),AVERAGEIF(ESales_DB[Product_ID],ESales_DB[[#This Row],[Product_ID]],ESales_DB[Quantity]),ESales_DB[[#This Row],[Quantity]])</f>
        <v>4</v>
      </c>
      <c r="I1656" s="2">
        <v>263.58999999999997</v>
      </c>
      <c r="J1656">
        <v>0.04</v>
      </c>
      <c r="K1656" t="s">
        <v>1824</v>
      </c>
      <c r="L1656" s="2">
        <v>1012.1856</v>
      </c>
      <c r="M1656" s="2" t="str">
        <f>IF(ESales_DB[[#This Row],[Total_Amount]]&gt;1000,"High","Low")</f>
        <v>High</v>
      </c>
      <c r="N1656" s="2" t="str">
        <f>VLOOKUP(ESales_DB[[#This Row],[Customer_ID]],Ecustom_DB[],3,FALSE)</f>
        <v>David Pierce</v>
      </c>
      <c r="O1656" s="2" t="str">
        <f>_xlfn.XLOOKUP(ESales_DB[[#This Row],[Product_ID]],Eproduct_DB[Product_ID],Eproduct_DB[Category])</f>
        <v>Home</v>
      </c>
      <c r="P1656" s="2" t="str">
        <f>_xlfn.XLOOKUP(ESales_DB[[#This Row],[Product_ID]],Eproduct_DB[Product_ID],Eproduct_DB[Product_Name])</f>
        <v>Premium Blanket Throw</v>
      </c>
      <c r="Q1656" s="2" t="str">
        <f>_xlfn.XLOOKUP(ESales_DB[[#This Row],[Store_ID]],Estore_DB[Store_ID],Estore_DB[Region])</f>
        <v>South</v>
      </c>
      <c r="R1656" t="str">
        <f>VLOOKUP(ESales_DB[[#This Row],[Customer_ID]],Ecustom_DB[],10,FALSE)</f>
        <v>Platinum</v>
      </c>
      <c r="S1656" t="str">
        <f>IF(ESales_DB[[#This Row],[Quantity1]]&gt;3,"Bulk order","Normal order")</f>
        <v>Bulk order</v>
      </c>
    </row>
    <row r="1657" spans="1:19" x14ac:dyDescent="0.3">
      <c r="A1657" t="s">
        <v>2515</v>
      </c>
      <c r="B1657" s="4">
        <v>45876</v>
      </c>
      <c r="C1657" s="4" t="str">
        <f>TEXT(ESales_DB[[#This Row],[Order_Date]],"mmm")</f>
        <v>Aug</v>
      </c>
      <c r="D1657" t="s">
        <v>20</v>
      </c>
      <c r="E1657" t="s">
        <v>1656</v>
      </c>
      <c r="F1657" t="s">
        <v>1773</v>
      </c>
      <c r="G1657">
        <v>1</v>
      </c>
      <c r="H1657" s="10">
        <f>IF(ISBLANK(ESales_DB[[#This Row],[Quantity]]),AVERAGEIF(ESales_DB[Product_ID],ESales_DB[[#This Row],[Product_ID]],ESales_DB[Quantity]),ESales_DB[[#This Row],[Quantity]])</f>
        <v>1</v>
      </c>
      <c r="I1657" s="2">
        <v>692.75</v>
      </c>
      <c r="J1657">
        <v>0.11</v>
      </c>
      <c r="K1657" t="s">
        <v>1829</v>
      </c>
      <c r="L1657" s="2">
        <v>616.54750000000001</v>
      </c>
      <c r="M1657" s="2" t="str">
        <f>IF(ESales_DB[[#This Row],[Total_Amount]]&gt;1000,"High","Low")</f>
        <v>Low</v>
      </c>
      <c r="N1657" s="2" t="str">
        <f>VLOOKUP(ESales_DB[[#This Row],[Customer_ID]],Ecustom_DB[],3,FALSE)</f>
        <v>Dr. Benjamin Price</v>
      </c>
      <c r="O1657" s="2" t="str">
        <f>_xlfn.XLOOKUP(ESales_DB[[#This Row],[Product_ID]],Eproduct_DB[Product_ID],Eproduct_DB[Category])</f>
        <v>Sports</v>
      </c>
      <c r="P1657" s="2" t="str">
        <f>_xlfn.XLOOKUP(ESales_DB[[#This Row],[Product_ID]],Eproduct_DB[Product_ID],Eproduct_DB[Product_Name])</f>
        <v>Sports Stopwatch Pro</v>
      </c>
      <c r="Q1657" s="2" t="str">
        <f>_xlfn.XLOOKUP(ESales_DB[[#This Row],[Store_ID]],Estore_DB[Store_ID],Estore_DB[Region])</f>
        <v>North</v>
      </c>
      <c r="R1657" t="str">
        <f>VLOOKUP(ESales_DB[[#This Row],[Customer_ID]],Ecustom_DB[],10,FALSE)</f>
        <v>Platinum</v>
      </c>
      <c r="S1657" t="str">
        <f>IF(ESales_DB[[#This Row],[Quantity1]]&gt;3,"Bulk order","Normal order")</f>
        <v>Normal order</v>
      </c>
    </row>
    <row r="1658" spans="1:19" x14ac:dyDescent="0.3">
      <c r="A1658" t="s">
        <v>1895</v>
      </c>
      <c r="B1658" s="4">
        <v>45897</v>
      </c>
      <c r="C1658" s="4" t="str">
        <f>TEXT(ESales_DB[[#This Row],[Order_Date]],"mmm")</f>
        <v>Aug</v>
      </c>
      <c r="D1658" t="s">
        <v>1313</v>
      </c>
      <c r="E1658" t="s">
        <v>1574</v>
      </c>
      <c r="F1658" t="s">
        <v>1804</v>
      </c>
      <c r="G1658">
        <v>4</v>
      </c>
      <c r="H1658" s="10">
        <f>IF(ISBLANK(ESales_DB[[#This Row],[Quantity]]),AVERAGEIF(ESales_DB[Product_ID],ESales_DB[[#This Row],[Product_ID]],ESales_DB[Quantity]),ESales_DB[[#This Row],[Quantity]])</f>
        <v>4</v>
      </c>
      <c r="I1658" s="2">
        <v>561.24</v>
      </c>
      <c r="J1658">
        <v>0.24</v>
      </c>
      <c r="K1658" t="s">
        <v>1824</v>
      </c>
      <c r="L1658" s="2">
        <v>1706.1695999999999</v>
      </c>
      <c r="M1658" s="2" t="str">
        <f>IF(ESales_DB[[#This Row],[Total_Amount]]&gt;1000,"High","Low")</f>
        <v>High</v>
      </c>
      <c r="N1658" s="2" t="str">
        <f>VLOOKUP(ESales_DB[[#This Row],[Customer_ID]],Ecustom_DB[],3,FALSE)</f>
        <v>Rebecca Baker</v>
      </c>
      <c r="O1658" s="2" t="str">
        <f>_xlfn.XLOOKUP(ESales_DB[[#This Row],[Product_ID]],Eproduct_DB[Product_ID],Eproduct_DB[Category])</f>
        <v>Electronics</v>
      </c>
      <c r="P1658" s="2" t="str">
        <f>_xlfn.XLOOKUP(ESales_DB[[#This Row],[Product_ID]],Eproduct_DB[Product_ID],Eproduct_DB[Product_Name])</f>
        <v>USB-C Fast Charger</v>
      </c>
      <c r="Q1658" s="2" t="str">
        <f>_xlfn.XLOOKUP(ESales_DB[[#This Row],[Store_ID]],Estore_DB[Store_ID],Estore_DB[Region])</f>
        <v>West</v>
      </c>
      <c r="R1658" t="str">
        <f>VLOOKUP(ESales_DB[[#This Row],[Customer_ID]],Ecustom_DB[],10,FALSE)</f>
        <v>Silver</v>
      </c>
      <c r="S1658" t="str">
        <f>IF(ESales_DB[[#This Row],[Quantity1]]&gt;3,"Bulk order","Normal order")</f>
        <v>Bulk order</v>
      </c>
    </row>
    <row r="1659" spans="1:19" x14ac:dyDescent="0.3">
      <c r="A1659" t="s">
        <v>2516</v>
      </c>
      <c r="B1659" s="4">
        <v>45301</v>
      </c>
      <c r="C1659" s="4" t="str">
        <f>TEXT(ESales_DB[[#This Row],[Order_Date]],"mmm")</f>
        <v>Jan</v>
      </c>
      <c r="D1659" t="s">
        <v>544</v>
      </c>
      <c r="E1659" t="s">
        <v>1674</v>
      </c>
      <c r="F1659" t="s">
        <v>1766</v>
      </c>
      <c r="G1659">
        <v>3</v>
      </c>
      <c r="H1659" s="10">
        <f>IF(ISBLANK(ESales_DB[[#This Row],[Quantity]]),AVERAGEIF(ESales_DB[Product_ID],ESales_DB[[#This Row],[Product_ID]],ESales_DB[Quantity]),ESales_DB[[#This Row],[Quantity]])</f>
        <v>3</v>
      </c>
      <c r="I1659" s="2">
        <v>142.83000000000001</v>
      </c>
      <c r="J1659">
        <v>0.01</v>
      </c>
      <c r="K1659" t="s">
        <v>1824</v>
      </c>
      <c r="L1659" s="2">
        <v>424.20510000000002</v>
      </c>
      <c r="M1659" s="2" t="str">
        <f>IF(ESales_DB[[#This Row],[Total_Amount]]&gt;1000,"High","Low")</f>
        <v>Low</v>
      </c>
      <c r="N1659" s="2" t="str">
        <f>VLOOKUP(ESales_DB[[#This Row],[Customer_ID]],Ecustom_DB[],3,FALSE)</f>
        <v>Joseph Jones</v>
      </c>
      <c r="O1659" s="2" t="str">
        <f>_xlfn.XLOOKUP(ESales_DB[[#This Row],[Product_ID]],Eproduct_DB[Product_ID],Eproduct_DB[Category])</f>
        <v>Beauty</v>
      </c>
      <c r="P1659" s="2" t="str">
        <f>_xlfn.XLOOKUP(ESales_DB[[#This Row],[Product_ID]],Eproduct_DB[Product_ID],Eproduct_DB[Product_Name])</f>
        <v>Organic Sunscreen Lotion</v>
      </c>
      <c r="Q1659" s="2" t="str">
        <f>_xlfn.XLOOKUP(ESales_DB[[#This Row],[Store_ID]],Estore_DB[Store_ID],Estore_DB[Region])</f>
        <v>North</v>
      </c>
      <c r="R1659" t="str">
        <f>VLOOKUP(ESales_DB[[#This Row],[Customer_ID]],Ecustom_DB[],10,FALSE)</f>
        <v>Bronze</v>
      </c>
      <c r="S1659" t="str">
        <f>IF(ESales_DB[[#This Row],[Quantity1]]&gt;3,"Bulk order","Normal order")</f>
        <v>Normal order</v>
      </c>
    </row>
    <row r="1660" spans="1:19" x14ac:dyDescent="0.3">
      <c r="A1660" t="s">
        <v>2517</v>
      </c>
      <c r="B1660" s="4">
        <v>45857</v>
      </c>
      <c r="C1660" s="4" t="str">
        <f>TEXT(ESales_DB[[#This Row],[Order_Date]],"mmm")</f>
        <v>Jul</v>
      </c>
      <c r="D1660" t="s">
        <v>428</v>
      </c>
      <c r="E1660" t="s">
        <v>1592</v>
      </c>
      <c r="F1660" t="s">
        <v>1761</v>
      </c>
      <c r="G1660">
        <v>2</v>
      </c>
      <c r="H1660" s="10">
        <f>IF(ISBLANK(ESales_DB[[#This Row],[Quantity]]),AVERAGEIF(ESales_DB[Product_ID],ESales_DB[[#This Row],[Product_ID]],ESales_DB[Quantity]),ESales_DB[[#This Row],[Quantity]])</f>
        <v>2</v>
      </c>
      <c r="I1660" s="2">
        <v>419.25</v>
      </c>
      <c r="J1660">
        <v>0.17</v>
      </c>
      <c r="K1660" t="s">
        <v>1826</v>
      </c>
      <c r="L1660" s="2">
        <v>695.95499999999993</v>
      </c>
      <c r="M1660" s="2" t="str">
        <f>IF(ESales_DB[[#This Row],[Total_Amount]]&gt;1000,"High","Low")</f>
        <v>Low</v>
      </c>
      <c r="N1660" s="2" t="str">
        <f>VLOOKUP(ESales_DB[[#This Row],[Customer_ID]],Ecustom_DB[],3,FALSE)</f>
        <v>Donald Lee</v>
      </c>
      <c r="O1660" s="2" t="str">
        <f>_xlfn.XLOOKUP(ESales_DB[[#This Row],[Product_ID]],Eproduct_DB[Product_ID],Eproduct_DB[Category])</f>
        <v>Sports</v>
      </c>
      <c r="P1660" s="2" t="str">
        <f>_xlfn.XLOOKUP(ESales_DB[[#This Row],[Product_ID]],Eproduct_DB[Product_ID],Eproduct_DB[Product_Name])</f>
        <v>Carbon Fiber Tennis Racket</v>
      </c>
      <c r="Q1660" s="2" t="str">
        <f>_xlfn.XLOOKUP(ESales_DB[[#This Row],[Store_ID]],Estore_DB[Store_ID],Estore_DB[Region])</f>
        <v>South</v>
      </c>
      <c r="R1660" t="str">
        <f>VLOOKUP(ESales_DB[[#This Row],[Customer_ID]],Ecustom_DB[],10,FALSE)</f>
        <v>Bronze</v>
      </c>
      <c r="S1660" t="str">
        <f>IF(ESales_DB[[#This Row],[Quantity1]]&gt;3,"Bulk order","Normal order")</f>
        <v>Normal order</v>
      </c>
    </row>
    <row r="1661" spans="1:19" x14ac:dyDescent="0.3">
      <c r="A1661" t="s">
        <v>2518</v>
      </c>
      <c r="B1661" s="4">
        <v>45650</v>
      </c>
      <c r="C1661" s="4" t="str">
        <f>TEXT(ESales_DB[[#This Row],[Order_Date]],"mmm")</f>
        <v>Dec</v>
      </c>
      <c r="D1661" t="s">
        <v>770</v>
      </c>
      <c r="E1661" t="s">
        <v>1600</v>
      </c>
      <c r="F1661" t="s">
        <v>1813</v>
      </c>
      <c r="G1661">
        <v>2</v>
      </c>
      <c r="H1661" s="10">
        <f>IF(ISBLANK(ESales_DB[[#This Row],[Quantity]]),AVERAGEIF(ESales_DB[Product_ID],ESales_DB[[#This Row],[Product_ID]],ESales_DB[Quantity]),ESales_DB[[#This Row],[Quantity]])</f>
        <v>2</v>
      </c>
      <c r="I1661" s="2">
        <v>800.84</v>
      </c>
      <c r="J1661">
        <v>0.27</v>
      </c>
      <c r="K1661" t="s">
        <v>1829</v>
      </c>
      <c r="L1661" s="2">
        <v>1169.2264</v>
      </c>
      <c r="M1661" s="2" t="str">
        <f>IF(ESales_DB[[#This Row],[Total_Amount]]&gt;1000,"High","Low")</f>
        <v>High</v>
      </c>
      <c r="N1661" s="2" t="str">
        <f>VLOOKUP(ESales_DB[[#This Row],[Customer_ID]],Ecustom_DB[],3,FALSE)</f>
        <v>William Hull</v>
      </c>
      <c r="O1661" s="2" t="str">
        <f>_xlfn.XLOOKUP(ESales_DB[[#This Row],[Product_ID]],Eproduct_DB[Product_ID],Eproduct_DB[Category])</f>
        <v>Electronics</v>
      </c>
      <c r="P1661" s="2" t="str">
        <f>_xlfn.XLOOKUP(ESales_DB[[#This Row],[Product_ID]],Eproduct_DB[Product_ID],Eproduct_DB[Product_Name])</f>
        <v>Wireless Bluetooth Speaker</v>
      </c>
      <c r="Q1661" s="2" t="str">
        <f>_xlfn.XLOOKUP(ESales_DB[[#This Row],[Store_ID]],Estore_DB[Store_ID],Estore_DB[Region])</f>
        <v>East</v>
      </c>
      <c r="R1661" t="str">
        <f>VLOOKUP(ESales_DB[[#This Row],[Customer_ID]],Ecustom_DB[],10,FALSE)</f>
        <v>Platinum</v>
      </c>
      <c r="S1661" t="str">
        <f>IF(ESales_DB[[#This Row],[Quantity1]]&gt;3,"Bulk order","Normal order")</f>
        <v>Normal order</v>
      </c>
    </row>
    <row r="1662" spans="1:19" x14ac:dyDescent="0.3">
      <c r="A1662" t="s">
        <v>2519</v>
      </c>
      <c r="B1662" s="4">
        <v>45520</v>
      </c>
      <c r="C1662" s="4" t="str">
        <f>TEXT(ESales_DB[[#This Row],[Order_Date]],"mmm")</f>
        <v>Aug</v>
      </c>
      <c r="D1662" t="s">
        <v>14</v>
      </c>
      <c r="E1662" t="s">
        <v>1644</v>
      </c>
      <c r="F1662" t="s">
        <v>1761</v>
      </c>
      <c r="G1662">
        <v>1</v>
      </c>
      <c r="H1662" s="10">
        <f>IF(ISBLANK(ESales_DB[[#This Row],[Quantity]]),AVERAGEIF(ESales_DB[Product_ID],ESales_DB[[#This Row],[Product_ID]],ESales_DB[Quantity]),ESales_DB[[#This Row],[Quantity]])</f>
        <v>1</v>
      </c>
      <c r="I1662" s="2">
        <v>301.24</v>
      </c>
      <c r="J1662">
        <v>0.11</v>
      </c>
      <c r="K1662" t="s">
        <v>1826</v>
      </c>
      <c r="L1662" s="2">
        <v>268.10359999999997</v>
      </c>
      <c r="M1662" s="2" t="str">
        <f>IF(ESales_DB[[#This Row],[Total_Amount]]&gt;1000,"High","Low")</f>
        <v>Low</v>
      </c>
      <c r="N1662" s="2" t="str">
        <f>VLOOKUP(ESales_DB[[#This Row],[Customer_ID]],Ecustom_DB[],3,FALSE)</f>
        <v>Eugene Nelson</v>
      </c>
      <c r="O1662" s="2" t="str">
        <f>_xlfn.XLOOKUP(ESales_DB[[#This Row],[Product_ID]],Eproduct_DB[Product_ID],Eproduct_DB[Category])</f>
        <v>Electronics</v>
      </c>
      <c r="P1662" s="2" t="str">
        <f>_xlfn.XLOOKUP(ESales_DB[[#This Row],[Product_ID]],Eproduct_DB[Product_ID],Eproduct_DB[Product_Name])</f>
        <v>Car Dashboard Phone Holder</v>
      </c>
      <c r="Q1662" s="2" t="str">
        <f>_xlfn.XLOOKUP(ESales_DB[[#This Row],[Store_ID]],Estore_DB[Store_ID],Estore_DB[Region])</f>
        <v>South</v>
      </c>
      <c r="R1662" t="str">
        <f>VLOOKUP(ESales_DB[[#This Row],[Customer_ID]],Ecustom_DB[],10,FALSE)</f>
        <v>Platinum</v>
      </c>
      <c r="S1662" t="str">
        <f>IF(ESales_DB[[#This Row],[Quantity1]]&gt;3,"Bulk order","Normal order")</f>
        <v>Normal order</v>
      </c>
    </row>
    <row r="1663" spans="1:19" x14ac:dyDescent="0.3">
      <c r="A1663" t="s">
        <v>2520</v>
      </c>
      <c r="B1663" s="4">
        <v>45497</v>
      </c>
      <c r="C1663" s="4" t="str">
        <f>TEXT(ESales_DB[[#This Row],[Order_Date]],"mmm")</f>
        <v>Jul</v>
      </c>
      <c r="D1663" t="s">
        <v>914</v>
      </c>
      <c r="E1663" t="s">
        <v>1718</v>
      </c>
      <c r="F1663" t="s">
        <v>1773</v>
      </c>
      <c r="G1663">
        <v>2</v>
      </c>
      <c r="H1663" s="10">
        <f>IF(ISBLANK(ESales_DB[[#This Row],[Quantity]]),AVERAGEIF(ESales_DB[Product_ID],ESales_DB[[#This Row],[Product_ID]],ESales_DB[Quantity]),ESales_DB[[#This Row],[Quantity]])</f>
        <v>2</v>
      </c>
      <c r="I1663" s="2">
        <v>701.49</v>
      </c>
      <c r="J1663">
        <v>0.09</v>
      </c>
      <c r="K1663" t="s">
        <v>1826</v>
      </c>
      <c r="L1663" s="2">
        <v>1276.7118</v>
      </c>
      <c r="M1663" s="2" t="str">
        <f>IF(ESales_DB[[#This Row],[Total_Amount]]&gt;1000,"High","Low")</f>
        <v>High</v>
      </c>
      <c r="N1663" s="2" t="str">
        <f>VLOOKUP(ESales_DB[[#This Row],[Customer_ID]],Ecustom_DB[],3,FALSE)</f>
        <v>Misty Ferguson</v>
      </c>
      <c r="O1663" s="2" t="str">
        <f>_xlfn.XLOOKUP(ESales_DB[[#This Row],[Product_ID]],Eproduct_DB[Product_ID],Eproduct_DB[Category])</f>
        <v>Clothing</v>
      </c>
      <c r="P1663" s="2" t="str">
        <f>_xlfn.XLOOKUP(ESales_DB[[#This Row],[Product_ID]],Eproduct_DB[Product_ID],Eproduct_DB[Product_Name])</f>
        <v>Women's Beanie Hat</v>
      </c>
      <c r="Q1663" s="2" t="str">
        <f>_xlfn.XLOOKUP(ESales_DB[[#This Row],[Store_ID]],Estore_DB[Store_ID],Estore_DB[Region])</f>
        <v>North</v>
      </c>
      <c r="R1663" t="str">
        <f>VLOOKUP(ESales_DB[[#This Row],[Customer_ID]],Ecustom_DB[],10,FALSE)</f>
        <v>Gold</v>
      </c>
      <c r="S1663" t="str">
        <f>IF(ESales_DB[[#This Row],[Quantity1]]&gt;3,"Bulk order","Normal order")</f>
        <v>Normal order</v>
      </c>
    </row>
    <row r="1664" spans="1:19" x14ac:dyDescent="0.3">
      <c r="A1664" t="s">
        <v>2521</v>
      </c>
      <c r="B1664" s="4">
        <v>45615</v>
      </c>
      <c r="C1664" s="4" t="str">
        <f>TEXT(ESales_DB[[#This Row],[Order_Date]],"mmm")</f>
        <v>Nov</v>
      </c>
      <c r="D1664" t="s">
        <v>1101</v>
      </c>
      <c r="E1664" t="s">
        <v>1600</v>
      </c>
      <c r="F1664" t="s">
        <v>1789</v>
      </c>
      <c r="G1664">
        <v>4</v>
      </c>
      <c r="H1664" s="10">
        <f>IF(ISBLANK(ESales_DB[[#This Row],[Quantity]]),AVERAGEIF(ESales_DB[Product_ID],ESales_DB[[#This Row],[Product_ID]],ESales_DB[Quantity]),ESales_DB[[#This Row],[Quantity]])</f>
        <v>4</v>
      </c>
      <c r="I1664" s="2">
        <v>413.48</v>
      </c>
      <c r="J1664">
        <v>0.02</v>
      </c>
      <c r="K1664" t="s">
        <v>1826</v>
      </c>
      <c r="L1664" s="2">
        <v>1620.8416</v>
      </c>
      <c r="M1664" s="2" t="str">
        <f>IF(ESales_DB[[#This Row],[Total_Amount]]&gt;1000,"High","Low")</f>
        <v>High</v>
      </c>
      <c r="N1664" s="2" t="str">
        <f>VLOOKUP(ESales_DB[[#This Row],[Customer_ID]],Ecustom_DB[],3,FALSE)</f>
        <v>Jeffrey Mccarthy</v>
      </c>
      <c r="O1664" s="2" t="str">
        <f>_xlfn.XLOOKUP(ESales_DB[[#This Row],[Product_ID]],Eproduct_DB[Product_ID],Eproduct_DB[Category])</f>
        <v>Electronics</v>
      </c>
      <c r="P1664" s="2" t="str">
        <f>_xlfn.XLOOKUP(ESales_DB[[#This Row],[Product_ID]],Eproduct_DB[Product_ID],Eproduct_DB[Product_Name])</f>
        <v>Wireless Bluetooth Speaker</v>
      </c>
      <c r="Q1664" s="2" t="str">
        <f>_xlfn.XLOOKUP(ESales_DB[[#This Row],[Store_ID]],Estore_DB[Store_ID],Estore_DB[Region])</f>
        <v>East</v>
      </c>
      <c r="R1664" t="str">
        <f>VLOOKUP(ESales_DB[[#This Row],[Customer_ID]],Ecustom_DB[],10,FALSE)</f>
        <v>Bronze</v>
      </c>
      <c r="S1664" t="str">
        <f>IF(ESales_DB[[#This Row],[Quantity1]]&gt;3,"Bulk order","Normal order")</f>
        <v>Bulk order</v>
      </c>
    </row>
    <row r="1665" spans="1:19" x14ac:dyDescent="0.3">
      <c r="A1665" t="s">
        <v>2522</v>
      </c>
      <c r="B1665" s="4">
        <v>45365</v>
      </c>
      <c r="C1665" s="4" t="str">
        <f>TEXT(ESales_DB[[#This Row],[Order_Date]],"mmm")</f>
        <v>Mar</v>
      </c>
      <c r="D1665" t="s">
        <v>646</v>
      </c>
      <c r="E1665" t="s">
        <v>1562</v>
      </c>
      <c r="F1665" t="s">
        <v>1757</v>
      </c>
      <c r="G1665">
        <v>4</v>
      </c>
      <c r="H1665" s="10">
        <f>IF(ISBLANK(ESales_DB[[#This Row],[Quantity]]),AVERAGEIF(ESales_DB[Product_ID],ESales_DB[[#This Row],[Product_ID]],ESales_DB[Quantity]),ESales_DB[[#This Row],[Quantity]])</f>
        <v>4</v>
      </c>
      <c r="I1665" s="2">
        <v>167.83</v>
      </c>
      <c r="J1665">
        <v>0.15</v>
      </c>
      <c r="K1665" t="s">
        <v>1824</v>
      </c>
      <c r="L1665" s="2">
        <v>570.62200000000007</v>
      </c>
      <c r="M1665" s="2" t="str">
        <f>IF(ESales_DB[[#This Row],[Total_Amount]]&gt;1000,"High","Low")</f>
        <v>Low</v>
      </c>
      <c r="N1665" s="2" t="str">
        <f>VLOOKUP(ESales_DB[[#This Row],[Customer_ID]],Ecustom_DB[],3,FALSE)</f>
        <v>Andrea Jacobs</v>
      </c>
      <c r="O1665" s="2" t="str">
        <f>_xlfn.XLOOKUP(ESales_DB[[#This Row],[Product_ID]],Eproduct_DB[Product_ID],Eproduct_DB[Category])</f>
        <v>Electronics</v>
      </c>
      <c r="P1665" s="2" t="str">
        <f>_xlfn.XLOOKUP(ESales_DB[[#This Row],[Product_ID]],Eproduct_DB[Product_ID],Eproduct_DB[Product_Name])</f>
        <v>Wireless Bluetooth Earbuds</v>
      </c>
      <c r="Q1665" s="2" t="str">
        <f>_xlfn.XLOOKUP(ESales_DB[[#This Row],[Store_ID]],Estore_DB[Store_ID],Estore_DB[Region])</f>
        <v>North</v>
      </c>
      <c r="R1665" t="str">
        <f>VLOOKUP(ESales_DB[[#This Row],[Customer_ID]],Ecustom_DB[],10,FALSE)</f>
        <v>Platinum</v>
      </c>
      <c r="S1665" t="str">
        <f>IF(ESales_DB[[#This Row],[Quantity1]]&gt;3,"Bulk order","Normal order")</f>
        <v>Bulk order</v>
      </c>
    </row>
    <row r="1666" spans="1:19" x14ac:dyDescent="0.3">
      <c r="A1666" t="s">
        <v>2523</v>
      </c>
      <c r="B1666" s="4">
        <v>45832</v>
      </c>
      <c r="C1666" s="4" t="str">
        <f>TEXT(ESales_DB[[#This Row],[Order_Date]],"mmm")</f>
        <v>Jun</v>
      </c>
      <c r="D1666" t="s">
        <v>472</v>
      </c>
      <c r="E1666" t="s">
        <v>1578</v>
      </c>
      <c r="F1666" t="s">
        <v>1810</v>
      </c>
      <c r="G1666">
        <v>2</v>
      </c>
      <c r="H1666" s="10">
        <f>IF(ISBLANK(ESales_DB[[#This Row],[Quantity]]),AVERAGEIF(ESales_DB[Product_ID],ESales_DB[[#This Row],[Product_ID]],ESales_DB[Quantity]),ESales_DB[[#This Row],[Quantity]])</f>
        <v>2</v>
      </c>
      <c r="I1666" s="2">
        <v>669.12</v>
      </c>
      <c r="J1666">
        <v>0.22</v>
      </c>
      <c r="K1666" t="s">
        <v>1824</v>
      </c>
      <c r="L1666" s="2">
        <v>1043.8271999999999</v>
      </c>
      <c r="M1666" s="2" t="str">
        <f>IF(ESales_DB[[#This Row],[Total_Amount]]&gt;1000,"High","Low")</f>
        <v>High</v>
      </c>
      <c r="N1666" s="2" t="str">
        <f>VLOOKUP(ESales_DB[[#This Row],[Customer_ID]],Ecustom_DB[],3,FALSE)</f>
        <v>Brian Holder</v>
      </c>
      <c r="O1666" s="2" t="str">
        <f>_xlfn.XLOOKUP(ESales_DB[[#This Row],[Product_ID]],Eproduct_DB[Product_ID],Eproduct_DB[Category])</f>
        <v>Electronics</v>
      </c>
      <c r="P1666" s="2" t="str">
        <f>_xlfn.XLOOKUP(ESales_DB[[#This Row],[Product_ID]],Eproduct_DB[Product_ID],Eproduct_DB[Product_Name])</f>
        <v>4K Home Projector</v>
      </c>
      <c r="Q1666" s="2" t="str">
        <f>_xlfn.XLOOKUP(ESales_DB[[#This Row],[Store_ID]],Estore_DB[Store_ID],Estore_DB[Region])</f>
        <v>East</v>
      </c>
      <c r="R1666" t="str">
        <f>VLOOKUP(ESales_DB[[#This Row],[Customer_ID]],Ecustom_DB[],10,FALSE)</f>
        <v>Bronze</v>
      </c>
      <c r="S1666" t="str">
        <f>IF(ESales_DB[[#This Row],[Quantity1]]&gt;3,"Bulk order","Normal order")</f>
        <v>Normal order</v>
      </c>
    </row>
    <row r="1667" spans="1:19" x14ac:dyDescent="0.3">
      <c r="A1667" t="s">
        <v>2524</v>
      </c>
      <c r="B1667" s="4">
        <v>45530</v>
      </c>
      <c r="C1667" s="4" t="str">
        <f>TEXT(ESales_DB[[#This Row],[Order_Date]],"mmm")</f>
        <v>Aug</v>
      </c>
      <c r="D1667" t="s">
        <v>153</v>
      </c>
      <c r="E1667" t="s">
        <v>1622</v>
      </c>
      <c r="F1667" t="s">
        <v>1779</v>
      </c>
      <c r="G1667">
        <v>3</v>
      </c>
      <c r="H1667" s="10">
        <f>IF(ISBLANK(ESales_DB[[#This Row],[Quantity]]),AVERAGEIF(ESales_DB[Product_ID],ESales_DB[[#This Row],[Product_ID]],ESales_DB[Quantity]),ESales_DB[[#This Row],[Quantity]])</f>
        <v>3</v>
      </c>
      <c r="I1667" s="2">
        <v>346.77</v>
      </c>
      <c r="J1667">
        <v>0.18</v>
      </c>
      <c r="K1667" t="s">
        <v>1826</v>
      </c>
      <c r="L1667" s="2">
        <v>853.05420000000004</v>
      </c>
      <c r="M1667" s="2" t="str">
        <f>IF(ESales_DB[[#This Row],[Total_Amount]]&gt;1000,"High","Low")</f>
        <v>Low</v>
      </c>
      <c r="N1667" s="2" t="str">
        <f>VLOOKUP(ESales_DB[[#This Row],[Customer_ID]],Ecustom_DB[],3,FALSE)</f>
        <v>Tonya Reynolds</v>
      </c>
      <c r="O1667" s="2" t="str">
        <f>_xlfn.XLOOKUP(ESales_DB[[#This Row],[Product_ID]],Eproduct_DB[Product_ID],Eproduct_DB[Category])</f>
        <v>Clothing</v>
      </c>
      <c r="P1667" s="2" t="str">
        <f>_xlfn.XLOOKUP(ESales_DB[[#This Row],[Product_ID]],Eproduct_DB[Product_ID],Eproduct_DB[Product_Name])</f>
        <v>Men's Casual Sneakers</v>
      </c>
      <c r="Q1667" s="2" t="str">
        <f>_xlfn.XLOOKUP(ESales_DB[[#This Row],[Store_ID]],Estore_DB[Store_ID],Estore_DB[Region])</f>
        <v>South</v>
      </c>
      <c r="R1667" t="str">
        <f>VLOOKUP(ESales_DB[[#This Row],[Customer_ID]],Ecustom_DB[],10,FALSE)</f>
        <v>Gold</v>
      </c>
      <c r="S1667" t="str">
        <f>IF(ESales_DB[[#This Row],[Quantity1]]&gt;3,"Bulk order","Normal order")</f>
        <v>Normal order</v>
      </c>
    </row>
    <row r="1668" spans="1:19" x14ac:dyDescent="0.3">
      <c r="A1668" t="s">
        <v>2525</v>
      </c>
      <c r="B1668" s="4">
        <v>45939</v>
      </c>
      <c r="C1668" s="4" t="str">
        <f>TEXT(ESales_DB[[#This Row],[Order_Date]],"mmm")</f>
        <v>Oct</v>
      </c>
      <c r="D1668" t="s">
        <v>221</v>
      </c>
      <c r="E1668" t="s">
        <v>1594</v>
      </c>
      <c r="F1668" t="s">
        <v>1813</v>
      </c>
      <c r="G1668">
        <v>3</v>
      </c>
      <c r="H1668" s="10">
        <f>IF(ISBLANK(ESales_DB[[#This Row],[Quantity]]),AVERAGEIF(ESales_DB[Product_ID],ESales_DB[[#This Row],[Product_ID]],ESales_DB[Quantity]),ESales_DB[[#This Row],[Quantity]])</f>
        <v>3</v>
      </c>
      <c r="I1668" s="2">
        <v>648.33000000000004</v>
      </c>
      <c r="J1668">
        <v>0.2</v>
      </c>
      <c r="K1668" t="s">
        <v>1829</v>
      </c>
      <c r="L1668" s="2">
        <v>1555.992</v>
      </c>
      <c r="M1668" s="2" t="str">
        <f>IF(ESales_DB[[#This Row],[Total_Amount]]&gt;1000,"High","Low")</f>
        <v>High</v>
      </c>
      <c r="N1668" s="2" t="str">
        <f>VLOOKUP(ESales_DB[[#This Row],[Customer_ID]],Ecustom_DB[],3,FALSE)</f>
        <v>Alyssa Vargas</v>
      </c>
      <c r="O1668" s="2" t="str">
        <f>_xlfn.XLOOKUP(ESales_DB[[#This Row],[Product_ID]],Eproduct_DB[Product_ID],Eproduct_DB[Category])</f>
        <v>Clothing</v>
      </c>
      <c r="P1668" s="2" t="str">
        <f>_xlfn.XLOOKUP(ESales_DB[[#This Row],[Product_ID]],Eproduct_DB[Product_ID],Eproduct_DB[Product_Name])</f>
        <v>Men's Formal Shirt</v>
      </c>
      <c r="Q1668" s="2" t="str">
        <f>_xlfn.XLOOKUP(ESales_DB[[#This Row],[Store_ID]],Estore_DB[Store_ID],Estore_DB[Region])</f>
        <v>East</v>
      </c>
      <c r="R1668" t="str">
        <f>VLOOKUP(ESales_DB[[#This Row],[Customer_ID]],Ecustom_DB[],10,FALSE)</f>
        <v>Platinum</v>
      </c>
      <c r="S1668" t="str">
        <f>IF(ESales_DB[[#This Row],[Quantity1]]&gt;3,"Bulk order","Normal order")</f>
        <v>Normal order</v>
      </c>
    </row>
    <row r="1669" spans="1:19" x14ac:dyDescent="0.3">
      <c r="A1669" t="s">
        <v>1833</v>
      </c>
      <c r="B1669" s="4">
        <v>45248</v>
      </c>
      <c r="C1669" s="4" t="str">
        <f>TEXT(ESales_DB[[#This Row],[Order_Date]],"mmm")</f>
        <v>Nov</v>
      </c>
      <c r="D1669" t="s">
        <v>511</v>
      </c>
      <c r="E1669" t="s">
        <v>1688</v>
      </c>
      <c r="F1669" t="s">
        <v>1782</v>
      </c>
      <c r="G1669">
        <v>4</v>
      </c>
      <c r="H1669" s="10">
        <f>IF(ISBLANK(ESales_DB[[#This Row],[Quantity]]),AVERAGEIF(ESales_DB[Product_ID],ESales_DB[[#This Row],[Product_ID]],ESales_DB[Quantity]),ESales_DB[[#This Row],[Quantity]])</f>
        <v>4</v>
      </c>
      <c r="I1669" s="2">
        <v>342.39</v>
      </c>
      <c r="J1669">
        <v>0.23</v>
      </c>
      <c r="K1669" t="s">
        <v>1826</v>
      </c>
      <c r="L1669" s="2">
        <v>1054.5612000000001</v>
      </c>
      <c r="M1669" s="2" t="str">
        <f>IF(ESales_DB[[#This Row],[Total_Amount]]&gt;1000,"High","Low")</f>
        <v>High</v>
      </c>
      <c r="N1669" s="2" t="str">
        <f>VLOOKUP(ESales_DB[[#This Row],[Customer_ID]],Ecustom_DB[],3,FALSE)</f>
        <v>Patrick Roberts</v>
      </c>
      <c r="O1669" s="2" t="str">
        <f>_xlfn.XLOOKUP(ESales_DB[[#This Row],[Product_ID]],Eproduct_DB[Product_ID],Eproduct_DB[Category])</f>
        <v>Home</v>
      </c>
      <c r="P1669" s="2" t="str">
        <f>_xlfn.XLOOKUP(ESales_DB[[#This Row],[Product_ID]],Eproduct_DB[Product_ID],Eproduct_DB[Product_Name])</f>
        <v>Kitchen Storage Rack</v>
      </c>
      <c r="Q1669" s="2" t="str">
        <f>_xlfn.XLOOKUP(ESales_DB[[#This Row],[Store_ID]],Estore_DB[Store_ID],Estore_DB[Region])</f>
        <v>West</v>
      </c>
      <c r="R1669" t="str">
        <f>VLOOKUP(ESales_DB[[#This Row],[Customer_ID]],Ecustom_DB[],10,FALSE)</f>
        <v>Platinum</v>
      </c>
      <c r="S1669" t="str">
        <f>IF(ESales_DB[[#This Row],[Quantity1]]&gt;3,"Bulk order","Normal order")</f>
        <v>Bulk order</v>
      </c>
    </row>
    <row r="1670" spans="1:19" x14ac:dyDescent="0.3">
      <c r="A1670" t="s">
        <v>1896</v>
      </c>
      <c r="B1670" s="4">
        <v>45849</v>
      </c>
      <c r="C1670" s="4" t="str">
        <f>TEXT(ESales_DB[[#This Row],[Order_Date]],"mmm")</f>
        <v>Jul</v>
      </c>
      <c r="D1670" t="s">
        <v>218</v>
      </c>
      <c r="E1670" t="s">
        <v>1668</v>
      </c>
      <c r="F1670" t="s">
        <v>1773</v>
      </c>
      <c r="G1670">
        <v>3</v>
      </c>
      <c r="H1670" s="10">
        <f>IF(ISBLANK(ESales_DB[[#This Row],[Quantity]]),AVERAGEIF(ESales_DB[Product_ID],ESales_DB[[#This Row],[Product_ID]],ESales_DB[Quantity]),ESales_DB[[#This Row],[Quantity]])</f>
        <v>3</v>
      </c>
      <c r="I1670" s="2">
        <v>92.24</v>
      </c>
      <c r="J1670">
        <v>0.28000000000000003</v>
      </c>
      <c r="K1670" t="s">
        <v>1829</v>
      </c>
      <c r="M1670" s="2" t="str">
        <f>IF(ESales_DB[[#This Row],[Total_Amount]]&gt;1000,"High","Low")</f>
        <v>Low</v>
      </c>
      <c r="N1670" s="2" t="str">
        <f>VLOOKUP(ESales_DB[[#This Row],[Customer_ID]],Ecustom_DB[],3,FALSE)</f>
        <v>Cheryl Copeland</v>
      </c>
      <c r="O1670" s="2" t="str">
        <f>_xlfn.XLOOKUP(ESales_DB[[#This Row],[Product_ID]],Eproduct_DB[Product_ID],Eproduct_DB[Category])</f>
        <v>Beauty</v>
      </c>
      <c r="P1670" s="2" t="str">
        <f>_xlfn.XLOOKUP(ESales_DB[[#This Row],[Product_ID]],Eproduct_DB[Product_ID],Eproduct_DB[Product_Name])</f>
        <v>Luxury Perfume Spray</v>
      </c>
      <c r="Q1670" s="2" t="str">
        <f>_xlfn.XLOOKUP(ESales_DB[[#This Row],[Store_ID]],Estore_DB[Store_ID],Estore_DB[Region])</f>
        <v>North</v>
      </c>
      <c r="R1670" t="str">
        <f>VLOOKUP(ESales_DB[[#This Row],[Customer_ID]],Ecustom_DB[],10,FALSE)</f>
        <v>Platinum</v>
      </c>
      <c r="S1670" t="str">
        <f>IF(ESales_DB[[#This Row],[Quantity1]]&gt;3,"Bulk order","Normal order")</f>
        <v>Normal order</v>
      </c>
    </row>
    <row r="1671" spans="1:19" x14ac:dyDescent="0.3">
      <c r="A1671" t="s">
        <v>2526</v>
      </c>
      <c r="B1671" s="4">
        <v>45401</v>
      </c>
      <c r="C1671" s="4" t="str">
        <f>TEXT(ESales_DB[[#This Row],[Order_Date]],"mmm")</f>
        <v>Apr</v>
      </c>
      <c r="D1671" t="s">
        <v>905</v>
      </c>
      <c r="E1671" t="s">
        <v>1557</v>
      </c>
      <c r="F1671" t="s">
        <v>1761</v>
      </c>
      <c r="G1671">
        <v>4</v>
      </c>
      <c r="H1671" s="10">
        <f>IF(ISBLANK(ESales_DB[[#This Row],[Quantity]]),AVERAGEIF(ESales_DB[Product_ID],ESales_DB[[#This Row],[Product_ID]],ESales_DB[Quantity]),ESales_DB[[#This Row],[Quantity]])</f>
        <v>4</v>
      </c>
      <c r="I1671" s="2">
        <v>254.94</v>
      </c>
      <c r="J1671">
        <v>0.06</v>
      </c>
      <c r="K1671" t="s">
        <v>1826</v>
      </c>
      <c r="L1671" s="2">
        <v>958.57439999999997</v>
      </c>
      <c r="M1671" s="2" t="str">
        <f>IF(ESales_DB[[#This Row],[Total_Amount]]&gt;1000,"High","Low")</f>
        <v>Low</v>
      </c>
      <c r="N1671" s="2" t="str">
        <f>VLOOKUP(ESales_DB[[#This Row],[Customer_ID]],Ecustom_DB[],3,FALSE)</f>
        <v>Donna Guerra</v>
      </c>
      <c r="O1671" s="2" t="str">
        <f>_xlfn.XLOOKUP(ESales_DB[[#This Row],[Product_ID]],Eproduct_DB[Product_ID],Eproduct_DB[Category])</f>
        <v>Beauty</v>
      </c>
      <c r="P1671" s="2" t="str">
        <f>_xlfn.XLOOKUP(ESales_DB[[#This Row],[Product_ID]],Eproduct_DB[Product_ID],Eproduct_DB[Product_Name])</f>
        <v>Herbal Face Moisturizer</v>
      </c>
      <c r="Q1671" s="2" t="str">
        <f>_xlfn.XLOOKUP(ESales_DB[[#This Row],[Store_ID]],Estore_DB[Store_ID],Estore_DB[Region])</f>
        <v>South</v>
      </c>
      <c r="R1671" t="str">
        <f>VLOOKUP(ESales_DB[[#This Row],[Customer_ID]],Ecustom_DB[],10,FALSE)</f>
        <v>Silver</v>
      </c>
      <c r="S1671" t="str">
        <f>IF(ESales_DB[[#This Row],[Quantity1]]&gt;3,"Bulk order","Normal order")</f>
        <v>Bulk order</v>
      </c>
    </row>
    <row r="1672" spans="1:19" x14ac:dyDescent="0.3">
      <c r="A1672" t="s">
        <v>2527</v>
      </c>
      <c r="B1672" s="4">
        <v>45420</v>
      </c>
      <c r="C1672" s="4" t="str">
        <f>TEXT(ESales_DB[[#This Row],[Order_Date]],"mmm")</f>
        <v>May</v>
      </c>
      <c r="D1672" t="s">
        <v>1062</v>
      </c>
      <c r="E1672" t="s">
        <v>1710</v>
      </c>
      <c r="F1672" t="s">
        <v>1769</v>
      </c>
      <c r="G1672">
        <v>1</v>
      </c>
      <c r="H1672" s="10">
        <f>IF(ISBLANK(ESales_DB[[#This Row],[Quantity]]),AVERAGEIF(ESales_DB[Product_ID],ESales_DB[[#This Row],[Product_ID]],ESales_DB[Quantity]),ESales_DB[[#This Row],[Quantity]])</f>
        <v>1</v>
      </c>
      <c r="I1672" s="2">
        <v>445.5</v>
      </c>
      <c r="J1672">
        <v>0.28000000000000003</v>
      </c>
      <c r="K1672" t="s">
        <v>1824</v>
      </c>
      <c r="L1672" s="2">
        <v>320.76</v>
      </c>
      <c r="M1672" s="2" t="str">
        <f>IF(ESales_DB[[#This Row],[Total_Amount]]&gt;1000,"High","Low")</f>
        <v>Low</v>
      </c>
      <c r="N1672" s="2" t="str">
        <f>VLOOKUP(ESales_DB[[#This Row],[Customer_ID]],Ecustom_DB[],3,FALSE)</f>
        <v>Jasmine Snyder</v>
      </c>
      <c r="O1672" s="2" t="str">
        <f>_xlfn.XLOOKUP(ESales_DB[[#This Row],[Product_ID]],Eproduct_DB[Product_ID],Eproduct_DB[Category])</f>
        <v>Sports</v>
      </c>
      <c r="P1672" s="2" t="str">
        <f>_xlfn.XLOOKUP(ESales_DB[[#This Row],[Product_ID]],Eproduct_DB[Product_ID],Eproduct_DB[Product_Name])</f>
        <v>Badminton Racket Set</v>
      </c>
      <c r="Q1672" s="2" t="str">
        <f>_xlfn.XLOOKUP(ESales_DB[[#This Row],[Store_ID]],Estore_DB[Store_ID],Estore_DB[Region])</f>
        <v>South</v>
      </c>
      <c r="R1672" t="str">
        <f>VLOOKUP(ESales_DB[[#This Row],[Customer_ID]],Ecustom_DB[],10,FALSE)</f>
        <v>Silver</v>
      </c>
      <c r="S1672" t="str">
        <f>IF(ESales_DB[[#This Row],[Quantity1]]&gt;3,"Bulk order","Normal order")</f>
        <v>Normal order</v>
      </c>
    </row>
    <row r="1673" spans="1:19" x14ac:dyDescent="0.3">
      <c r="A1673" t="s">
        <v>2528</v>
      </c>
      <c r="B1673" s="4">
        <v>45459</v>
      </c>
      <c r="C1673" s="4" t="str">
        <f>TEXT(ESales_DB[[#This Row],[Order_Date]],"mmm")</f>
        <v>Jun</v>
      </c>
      <c r="D1673" t="s">
        <v>716</v>
      </c>
      <c r="E1673" t="s">
        <v>1728</v>
      </c>
      <c r="F1673" t="s">
        <v>1769</v>
      </c>
      <c r="G1673">
        <v>1</v>
      </c>
      <c r="H1673" s="10">
        <f>IF(ISBLANK(ESales_DB[[#This Row],[Quantity]]),AVERAGEIF(ESales_DB[Product_ID],ESales_DB[[#This Row],[Product_ID]],ESales_DB[Quantity]),ESales_DB[[#This Row],[Quantity]])</f>
        <v>1</v>
      </c>
      <c r="I1673" s="2">
        <v>900.94</v>
      </c>
      <c r="J1673">
        <v>0.1</v>
      </c>
      <c r="K1673" t="s">
        <v>1824</v>
      </c>
      <c r="L1673" s="2">
        <v>810.84600000000012</v>
      </c>
      <c r="M1673" s="2" t="str">
        <f>IF(ESales_DB[[#This Row],[Total_Amount]]&gt;1000,"High","Low")</f>
        <v>Low</v>
      </c>
      <c r="N1673" s="2" t="str">
        <f>VLOOKUP(ESales_DB[[#This Row],[Customer_ID]],Ecustom_DB[],3,FALSE)</f>
        <v>Lisa Young</v>
      </c>
      <c r="O1673" s="2" t="str">
        <f>_xlfn.XLOOKUP(ESales_DB[[#This Row],[Product_ID]],Eproduct_DB[Product_ID],Eproduct_DB[Category])</f>
        <v>Electronics</v>
      </c>
      <c r="P1673" s="2" t="str">
        <f>_xlfn.XLOOKUP(ESales_DB[[#This Row],[Product_ID]],Eproduct_DB[Product_ID],Eproduct_DB[Product_Name])</f>
        <v>Gaming Mouse Pad XL</v>
      </c>
      <c r="Q1673" s="2" t="str">
        <f>_xlfn.XLOOKUP(ESales_DB[[#This Row],[Store_ID]],Estore_DB[Store_ID],Estore_DB[Region])</f>
        <v>South</v>
      </c>
      <c r="R1673" t="str">
        <f>VLOOKUP(ESales_DB[[#This Row],[Customer_ID]],Ecustom_DB[],10,FALSE)</f>
        <v>Platinum</v>
      </c>
      <c r="S1673" t="str">
        <f>IF(ESales_DB[[#This Row],[Quantity1]]&gt;3,"Bulk order","Normal order")</f>
        <v>Normal order</v>
      </c>
    </row>
    <row r="1674" spans="1:19" x14ac:dyDescent="0.3">
      <c r="A1674" t="s">
        <v>2529</v>
      </c>
      <c r="B1674" s="4">
        <v>45429</v>
      </c>
      <c r="C1674" s="4" t="str">
        <f>TEXT(ESales_DB[[#This Row],[Order_Date]],"mmm")</f>
        <v>May</v>
      </c>
      <c r="D1674" t="s">
        <v>643</v>
      </c>
      <c r="E1674" t="s">
        <v>1578</v>
      </c>
      <c r="F1674" t="s">
        <v>1804</v>
      </c>
      <c r="G1674">
        <v>3</v>
      </c>
      <c r="H1674" s="10">
        <f>IF(ISBLANK(ESales_DB[[#This Row],[Quantity]]),AVERAGEIF(ESales_DB[Product_ID],ESales_DB[[#This Row],[Product_ID]],ESales_DB[Quantity]),ESales_DB[[#This Row],[Quantity]])</f>
        <v>3</v>
      </c>
      <c r="I1674" s="2">
        <v>262.69</v>
      </c>
      <c r="J1674">
        <v>0.04</v>
      </c>
      <c r="K1674" t="s">
        <v>1826</v>
      </c>
      <c r="L1674" s="2">
        <v>756.54719999999986</v>
      </c>
      <c r="M1674" s="2" t="str">
        <f>IF(ESales_DB[[#This Row],[Total_Amount]]&gt;1000,"High","Low")</f>
        <v>Low</v>
      </c>
      <c r="N1674" s="2" t="str">
        <f>VLOOKUP(ESales_DB[[#This Row],[Customer_ID]],Ecustom_DB[],3,FALSE)</f>
        <v>Megan Greer</v>
      </c>
      <c r="O1674" s="2" t="str">
        <f>_xlfn.XLOOKUP(ESales_DB[[#This Row],[Product_ID]],Eproduct_DB[Product_ID],Eproduct_DB[Category])</f>
        <v>Electronics</v>
      </c>
      <c r="P1674" s="2" t="str">
        <f>_xlfn.XLOOKUP(ESales_DB[[#This Row],[Product_ID]],Eproduct_DB[Product_ID],Eproduct_DB[Product_Name])</f>
        <v>4K Home Projector</v>
      </c>
      <c r="Q1674" s="2" t="str">
        <f>_xlfn.XLOOKUP(ESales_DB[[#This Row],[Store_ID]],Estore_DB[Store_ID],Estore_DB[Region])</f>
        <v>West</v>
      </c>
      <c r="R1674" t="str">
        <f>VLOOKUP(ESales_DB[[#This Row],[Customer_ID]],Ecustom_DB[],10,FALSE)</f>
        <v>Platinum</v>
      </c>
      <c r="S1674" t="str">
        <f>IF(ESales_DB[[#This Row],[Quantity1]]&gt;3,"Bulk order","Normal order")</f>
        <v>Normal order</v>
      </c>
    </row>
    <row r="1675" spans="1:19" x14ac:dyDescent="0.3">
      <c r="A1675" t="s">
        <v>2530</v>
      </c>
      <c r="B1675" s="4">
        <v>45386</v>
      </c>
      <c r="C1675" s="4" t="str">
        <f>TEXT(ESales_DB[[#This Row],[Order_Date]],"mmm")</f>
        <v>Apr</v>
      </c>
      <c r="D1675" t="s">
        <v>1484</v>
      </c>
      <c r="E1675" t="s">
        <v>1684</v>
      </c>
      <c r="F1675" t="s">
        <v>1761</v>
      </c>
      <c r="G1675">
        <v>3</v>
      </c>
      <c r="H1675" s="10">
        <f>IF(ISBLANK(ESales_DB[[#This Row],[Quantity]]),AVERAGEIF(ESales_DB[Product_ID],ESales_DB[[#This Row],[Product_ID]],ESales_DB[Quantity]),ESales_DB[[#This Row],[Quantity]])</f>
        <v>3</v>
      </c>
      <c r="I1675" s="2">
        <v>212.72</v>
      </c>
      <c r="J1675">
        <v>0.22</v>
      </c>
      <c r="K1675" t="s">
        <v>1826</v>
      </c>
      <c r="L1675" s="2">
        <v>497.76479999999998</v>
      </c>
      <c r="M1675" s="2" t="str">
        <f>IF(ESales_DB[[#This Row],[Total_Amount]]&gt;1000,"High","Low")</f>
        <v>Low</v>
      </c>
      <c r="N1675" s="2" t="str">
        <f>VLOOKUP(ESales_DB[[#This Row],[Customer_ID]],Ecustom_DB[],3,FALSE)</f>
        <v>Sheri Joyce</v>
      </c>
      <c r="O1675" s="2" t="str">
        <f>_xlfn.XLOOKUP(ESales_DB[[#This Row],[Product_ID]],Eproduct_DB[Product_ID],Eproduct_DB[Category])</f>
        <v>Home</v>
      </c>
      <c r="P1675" s="2" t="str">
        <f>_xlfn.XLOOKUP(ESales_DB[[#This Row],[Product_ID]],Eproduct_DB[Product_ID],Eproduct_DB[Product_Name])</f>
        <v>Wooden Nightstand</v>
      </c>
      <c r="Q1675" s="2" t="str">
        <f>_xlfn.XLOOKUP(ESales_DB[[#This Row],[Store_ID]],Estore_DB[Store_ID],Estore_DB[Region])</f>
        <v>South</v>
      </c>
      <c r="R1675" t="str">
        <f>VLOOKUP(ESales_DB[[#This Row],[Customer_ID]],Ecustom_DB[],10,FALSE)</f>
        <v>Platinum</v>
      </c>
      <c r="S1675" t="str">
        <f>IF(ESales_DB[[#This Row],[Quantity1]]&gt;3,"Bulk order","Normal order")</f>
        <v>Normal order</v>
      </c>
    </row>
    <row r="1676" spans="1:19" x14ac:dyDescent="0.3">
      <c r="A1676" t="s">
        <v>2531</v>
      </c>
      <c r="B1676" s="4">
        <v>45803</v>
      </c>
      <c r="C1676" s="4" t="str">
        <f>TEXT(ESales_DB[[#This Row],[Order_Date]],"mmm")</f>
        <v>May</v>
      </c>
      <c r="D1676" t="s">
        <v>508</v>
      </c>
      <c r="E1676" t="s">
        <v>1596</v>
      </c>
      <c r="F1676" t="s">
        <v>1810</v>
      </c>
      <c r="G1676">
        <v>4</v>
      </c>
      <c r="H1676" s="10">
        <f>IF(ISBLANK(ESales_DB[[#This Row],[Quantity]]),AVERAGEIF(ESales_DB[Product_ID],ESales_DB[[#This Row],[Product_ID]],ESales_DB[Quantity]),ESales_DB[[#This Row],[Quantity]])</f>
        <v>4</v>
      </c>
      <c r="I1676" s="2">
        <v>757.9</v>
      </c>
      <c r="J1676">
        <v>0.22</v>
      </c>
      <c r="K1676" t="s">
        <v>1826</v>
      </c>
      <c r="L1676" s="2">
        <v>2364.6480000000001</v>
      </c>
      <c r="M1676" s="2" t="str">
        <f>IF(ESales_DB[[#This Row],[Total_Amount]]&gt;1000,"High","Low")</f>
        <v>High</v>
      </c>
      <c r="N1676" s="2" t="str">
        <f>VLOOKUP(ESales_DB[[#This Row],[Customer_ID]],Ecustom_DB[],3,FALSE)</f>
        <v>Michael Davies</v>
      </c>
      <c r="O1676" s="2" t="str">
        <f>_xlfn.XLOOKUP(ESales_DB[[#This Row],[Product_ID]],Eproduct_DB[Product_ID],Eproduct_DB[Category])</f>
        <v>Sports</v>
      </c>
      <c r="P1676" s="2" t="str">
        <f>_xlfn.XLOOKUP(ESales_DB[[#This Row],[Product_ID]],Eproduct_DB[Product_ID],Eproduct_DB[Product_Name])</f>
        <v>Foldable Camping Chair</v>
      </c>
      <c r="Q1676" s="2" t="str">
        <f>_xlfn.XLOOKUP(ESales_DB[[#This Row],[Store_ID]],Estore_DB[Store_ID],Estore_DB[Region])</f>
        <v>East</v>
      </c>
      <c r="R1676" t="str">
        <f>VLOOKUP(ESales_DB[[#This Row],[Customer_ID]],Ecustom_DB[],10,FALSE)</f>
        <v>Gold</v>
      </c>
      <c r="S1676" t="str">
        <f>IF(ESales_DB[[#This Row],[Quantity1]]&gt;3,"Bulk order","Normal order")</f>
        <v>Bulk order</v>
      </c>
    </row>
    <row r="1677" spans="1:19" x14ac:dyDescent="0.3">
      <c r="A1677" t="s">
        <v>2532</v>
      </c>
      <c r="B1677" s="4">
        <v>45346</v>
      </c>
      <c r="C1677" s="4" t="str">
        <f>TEXT(ESales_DB[[#This Row],[Order_Date]],"mmm")</f>
        <v>Feb</v>
      </c>
      <c r="D1677" t="s">
        <v>78</v>
      </c>
      <c r="E1677" t="s">
        <v>1708</v>
      </c>
      <c r="F1677" t="s">
        <v>1807</v>
      </c>
      <c r="G1677">
        <v>1</v>
      </c>
      <c r="H1677" s="10">
        <f>IF(ISBLANK(ESales_DB[[#This Row],[Quantity]]),AVERAGEIF(ESales_DB[Product_ID],ESales_DB[[#This Row],[Product_ID]],ESales_DB[Quantity]),ESales_DB[[#This Row],[Quantity]])</f>
        <v>1</v>
      </c>
      <c r="I1677" s="2">
        <v>846.04</v>
      </c>
      <c r="J1677">
        <v>0.08</v>
      </c>
      <c r="K1677" t="s">
        <v>1826</v>
      </c>
      <c r="L1677" s="2">
        <v>778.35680000000002</v>
      </c>
      <c r="M1677" s="2" t="str">
        <f>IF(ESales_DB[[#This Row],[Total_Amount]]&gt;1000,"High","Low")</f>
        <v>Low</v>
      </c>
      <c r="N1677" s="2" t="str">
        <f>VLOOKUP(ESales_DB[[#This Row],[Customer_ID]],Ecustom_DB[],3,FALSE)</f>
        <v>Adam Cruz</v>
      </c>
      <c r="O1677" s="2" t="str">
        <f>_xlfn.XLOOKUP(ESales_DB[[#This Row],[Product_ID]],Eproduct_DB[Product_ID],Eproduct_DB[Category])</f>
        <v>Home</v>
      </c>
      <c r="P1677" s="2" t="str">
        <f>_xlfn.XLOOKUP(ESales_DB[[#This Row],[Product_ID]],Eproduct_DB[Product_ID],Eproduct_DB[Product_Name])</f>
        <v>Wall-Mounted Spice Rack</v>
      </c>
      <c r="Q1677" s="2" t="str">
        <f>_xlfn.XLOOKUP(ESales_DB[[#This Row],[Store_ID]],Estore_DB[Store_ID],Estore_DB[Region])</f>
        <v>North</v>
      </c>
      <c r="R1677" t="str">
        <f>VLOOKUP(ESales_DB[[#This Row],[Customer_ID]],Ecustom_DB[],10,FALSE)</f>
        <v>Platinum</v>
      </c>
      <c r="S1677" t="str">
        <f>IF(ESales_DB[[#This Row],[Quantity1]]&gt;3,"Bulk order","Normal order")</f>
        <v>Normal order</v>
      </c>
    </row>
    <row r="1678" spans="1:19" x14ac:dyDescent="0.3">
      <c r="A1678" t="s">
        <v>2533</v>
      </c>
      <c r="B1678" s="4">
        <v>45267</v>
      </c>
      <c r="C1678" s="4" t="str">
        <f>TEXT(ESales_DB[[#This Row],[Order_Date]],"mmm")</f>
        <v>Dec</v>
      </c>
      <c r="D1678" t="s">
        <v>532</v>
      </c>
      <c r="E1678" t="s">
        <v>1624</v>
      </c>
      <c r="F1678" t="s">
        <v>1779</v>
      </c>
      <c r="G1678">
        <v>3</v>
      </c>
      <c r="H1678" s="10">
        <f>IF(ISBLANK(ESales_DB[[#This Row],[Quantity]]),AVERAGEIF(ESales_DB[Product_ID],ESales_DB[[#This Row],[Product_ID]],ESales_DB[Quantity]),ESales_DB[[#This Row],[Quantity]])</f>
        <v>3</v>
      </c>
      <c r="I1678" s="2">
        <v>179.7</v>
      </c>
      <c r="J1678">
        <v>0.17</v>
      </c>
      <c r="K1678" t="s">
        <v>1829</v>
      </c>
      <c r="L1678" s="2">
        <v>447.45299999999992</v>
      </c>
      <c r="M1678" s="2" t="str">
        <f>IF(ESales_DB[[#This Row],[Total_Amount]]&gt;1000,"High","Low")</f>
        <v>Low</v>
      </c>
      <c r="N1678" s="2" t="str">
        <f>VLOOKUP(ESales_DB[[#This Row],[Customer_ID]],Ecustom_DB[],3,FALSE)</f>
        <v>Brian Choi</v>
      </c>
      <c r="O1678" s="2" t="str">
        <f>_xlfn.XLOOKUP(ESales_DB[[#This Row],[Product_ID]],Eproduct_DB[Product_ID],Eproduct_DB[Category])</f>
        <v>Sports</v>
      </c>
      <c r="P1678" s="2" t="str">
        <f>_xlfn.XLOOKUP(ESales_DB[[#This Row],[Product_ID]],Eproduct_DB[Product_ID],Eproduct_DB[Product_Name])</f>
        <v>Sports Water Hydration Pack</v>
      </c>
      <c r="Q1678" s="2" t="str">
        <f>_xlfn.XLOOKUP(ESales_DB[[#This Row],[Store_ID]],Estore_DB[Store_ID],Estore_DB[Region])</f>
        <v>South</v>
      </c>
      <c r="R1678" t="str">
        <f>VLOOKUP(ESales_DB[[#This Row],[Customer_ID]],Ecustom_DB[],10,FALSE)</f>
        <v>Gold</v>
      </c>
      <c r="S1678" t="str">
        <f>IF(ESales_DB[[#This Row],[Quantity1]]&gt;3,"Bulk order","Normal order")</f>
        <v>Normal order</v>
      </c>
    </row>
    <row r="1679" spans="1:19" x14ac:dyDescent="0.3">
      <c r="A1679" t="s">
        <v>2534</v>
      </c>
      <c r="B1679" s="4">
        <v>45572</v>
      </c>
      <c r="C1679" s="4" t="str">
        <f>TEXT(ESales_DB[[#This Row],[Order_Date]],"mmm")</f>
        <v>Oct</v>
      </c>
      <c r="D1679" t="s">
        <v>1380</v>
      </c>
      <c r="E1679" t="s">
        <v>1610</v>
      </c>
      <c r="F1679" t="s">
        <v>1769</v>
      </c>
      <c r="G1679">
        <v>4</v>
      </c>
      <c r="H1679" s="10">
        <f>IF(ISBLANK(ESales_DB[[#This Row],[Quantity]]),AVERAGEIF(ESales_DB[Product_ID],ESales_DB[[#This Row],[Product_ID]],ESales_DB[Quantity]),ESales_DB[[#This Row],[Quantity]])</f>
        <v>4</v>
      </c>
      <c r="I1679" s="2">
        <v>681.08</v>
      </c>
      <c r="J1679">
        <v>0</v>
      </c>
      <c r="K1679" t="s">
        <v>1826</v>
      </c>
      <c r="L1679" s="2">
        <v>2724.32</v>
      </c>
      <c r="M1679" s="2" t="str">
        <f>IF(ESales_DB[[#This Row],[Total_Amount]]&gt;1000,"High","Low")</f>
        <v>High</v>
      </c>
      <c r="N1679" s="2" t="str">
        <f>VLOOKUP(ESales_DB[[#This Row],[Customer_ID]],Ecustom_DB[],3,FALSE)</f>
        <v>Shannon Turner</v>
      </c>
      <c r="O1679" s="2" t="str">
        <f>_xlfn.XLOOKUP(ESales_DB[[#This Row],[Product_ID]],Eproduct_DB[Product_ID],Eproduct_DB[Category])</f>
        <v>Sports</v>
      </c>
      <c r="P1679" s="2" t="str">
        <f>_xlfn.XLOOKUP(ESales_DB[[#This Row],[Product_ID]],Eproduct_DB[Product_ID],Eproduct_DB[Product_Name])</f>
        <v>Basketball</v>
      </c>
      <c r="Q1679" s="2" t="str">
        <f>_xlfn.XLOOKUP(ESales_DB[[#This Row],[Store_ID]],Estore_DB[Store_ID],Estore_DB[Region])</f>
        <v>South</v>
      </c>
      <c r="R1679" t="str">
        <f>VLOOKUP(ESales_DB[[#This Row],[Customer_ID]],Ecustom_DB[],10,FALSE)</f>
        <v>Silver</v>
      </c>
      <c r="S1679" t="str">
        <f>IF(ESales_DB[[#This Row],[Quantity1]]&gt;3,"Bulk order","Normal order")</f>
        <v>Bulk order</v>
      </c>
    </row>
    <row r="1680" spans="1:19" x14ac:dyDescent="0.3">
      <c r="A1680" t="s">
        <v>2535</v>
      </c>
      <c r="B1680" s="4">
        <v>45252</v>
      </c>
      <c r="C1680" s="4" t="str">
        <f>TEXT(ESales_DB[[#This Row],[Order_Date]],"mmm")</f>
        <v>Nov</v>
      </c>
      <c r="D1680" t="s">
        <v>1254</v>
      </c>
      <c r="E1680" t="s">
        <v>1553</v>
      </c>
      <c r="F1680" t="s">
        <v>1779</v>
      </c>
      <c r="G1680">
        <v>4</v>
      </c>
      <c r="H1680" s="10">
        <f>IF(ISBLANK(ESales_DB[[#This Row],[Quantity]]),AVERAGEIF(ESales_DB[Product_ID],ESales_DB[[#This Row],[Product_ID]],ESales_DB[Quantity]),ESales_DB[[#This Row],[Quantity]])</f>
        <v>4</v>
      </c>
      <c r="I1680" s="2">
        <v>723.44</v>
      </c>
      <c r="J1680">
        <v>0.14000000000000001</v>
      </c>
      <c r="K1680" t="s">
        <v>1826</v>
      </c>
      <c r="L1680" s="2">
        <v>2488.6336000000001</v>
      </c>
      <c r="M1680" s="2" t="str">
        <f>IF(ESales_DB[[#This Row],[Total_Amount]]&gt;1000,"High","Low")</f>
        <v>High</v>
      </c>
      <c r="N1680" s="2" t="str">
        <f>VLOOKUP(ESales_DB[[#This Row],[Customer_ID]],Ecustom_DB[],3,FALSE)</f>
        <v>Justin Ingram</v>
      </c>
      <c r="O1680" s="2" t="str">
        <f>_xlfn.XLOOKUP(ESales_DB[[#This Row],[Product_ID]],Eproduct_DB[Product_ID],Eproduct_DB[Category])</f>
        <v>Clothing</v>
      </c>
      <c r="P1680" s="2" t="str">
        <f>_xlfn.XLOOKUP(ESales_DB[[#This Row],[Product_ID]],Eproduct_DB[Product_ID],Eproduct_DB[Product_Name])</f>
        <v>Women's Yoga Pants</v>
      </c>
      <c r="Q1680" s="2" t="str">
        <f>_xlfn.XLOOKUP(ESales_DB[[#This Row],[Store_ID]],Estore_DB[Store_ID],Estore_DB[Region])</f>
        <v>South</v>
      </c>
      <c r="R1680" t="str">
        <f>VLOOKUP(ESales_DB[[#This Row],[Customer_ID]],Ecustom_DB[],10,FALSE)</f>
        <v>Bronze</v>
      </c>
      <c r="S1680" t="str">
        <f>IF(ESales_DB[[#This Row],[Quantity1]]&gt;3,"Bulk order","Normal order")</f>
        <v>Bulk order</v>
      </c>
    </row>
    <row r="1681" spans="1:19" x14ac:dyDescent="0.3">
      <c r="A1681" t="s">
        <v>1897</v>
      </c>
      <c r="B1681" s="4">
        <v>45889</v>
      </c>
      <c r="C1681" s="4" t="str">
        <f>TEXT(ESales_DB[[#This Row],[Order_Date]],"mmm")</f>
        <v>Aug</v>
      </c>
      <c r="D1681" t="s">
        <v>559</v>
      </c>
      <c r="E1681" t="s">
        <v>1692</v>
      </c>
      <c r="F1681" t="s">
        <v>1757</v>
      </c>
      <c r="G1681">
        <v>2</v>
      </c>
      <c r="H1681" s="10">
        <f>IF(ISBLANK(ESales_DB[[#This Row],[Quantity]]),AVERAGEIF(ESales_DB[Product_ID],ESales_DB[[#This Row],[Product_ID]],ESales_DB[Quantity]),ESales_DB[[#This Row],[Quantity]])</f>
        <v>2</v>
      </c>
      <c r="I1681" s="2">
        <v>668.3</v>
      </c>
      <c r="J1681">
        <v>7.0000000000000007E-2</v>
      </c>
      <c r="K1681" t="s">
        <v>1824</v>
      </c>
      <c r="L1681" s="2">
        <v>1243.038</v>
      </c>
      <c r="M1681" s="2" t="str">
        <f>IF(ESales_DB[[#This Row],[Total_Amount]]&gt;1000,"High","Low")</f>
        <v>High</v>
      </c>
      <c r="N1681" s="2" t="str">
        <f>VLOOKUP(ESales_DB[[#This Row],[Customer_ID]],Ecustom_DB[],3,FALSE)</f>
        <v>Daniel Contreras</v>
      </c>
      <c r="O1681" s="2" t="str">
        <f>_xlfn.XLOOKUP(ESales_DB[[#This Row],[Product_ID]],Eproduct_DB[Product_ID],Eproduct_DB[Category])</f>
        <v>Sports</v>
      </c>
      <c r="P1681" s="2" t="str">
        <f>_xlfn.XLOOKUP(ESales_DB[[#This Row],[Product_ID]],Eproduct_DB[Product_ID],Eproduct_DB[Product_Name])</f>
        <v>Professional Jump Rope</v>
      </c>
      <c r="Q1681" s="2" t="str">
        <f>_xlfn.XLOOKUP(ESales_DB[[#This Row],[Store_ID]],Estore_DB[Store_ID],Estore_DB[Region])</f>
        <v>North</v>
      </c>
      <c r="R1681" t="str">
        <f>VLOOKUP(ESales_DB[[#This Row],[Customer_ID]],Ecustom_DB[],10,FALSE)</f>
        <v>Platinum</v>
      </c>
      <c r="S1681" t="str">
        <f>IF(ESales_DB[[#This Row],[Quantity1]]&gt;3,"Bulk order","Normal order")</f>
        <v>Normal order</v>
      </c>
    </row>
    <row r="1682" spans="1:19" x14ac:dyDescent="0.3">
      <c r="A1682" t="s">
        <v>2536</v>
      </c>
      <c r="B1682" s="4">
        <v>45939</v>
      </c>
      <c r="C1682" s="4" t="str">
        <f>TEXT(ESales_DB[[#This Row],[Order_Date]],"mmm")</f>
        <v>Oct</v>
      </c>
      <c r="D1682" t="s">
        <v>435</v>
      </c>
      <c r="E1682" t="s">
        <v>1610</v>
      </c>
      <c r="F1682" t="s">
        <v>1799</v>
      </c>
      <c r="G1682">
        <v>4</v>
      </c>
      <c r="H1682" s="10">
        <f>IF(ISBLANK(ESales_DB[[#This Row],[Quantity]]),AVERAGEIF(ESales_DB[Product_ID],ESales_DB[[#This Row],[Product_ID]],ESales_DB[Quantity]),ESales_DB[[#This Row],[Quantity]])</f>
        <v>4</v>
      </c>
      <c r="I1682" s="2">
        <v>471.89</v>
      </c>
      <c r="J1682">
        <v>0.12</v>
      </c>
      <c r="K1682" t="s">
        <v>1829</v>
      </c>
      <c r="L1682" s="2">
        <v>1661.0527999999999</v>
      </c>
      <c r="M1682" s="2" t="str">
        <f>IF(ESales_DB[[#This Row],[Total_Amount]]&gt;1000,"High","Low")</f>
        <v>High</v>
      </c>
      <c r="N1682" s="2" t="str">
        <f>VLOOKUP(ESales_DB[[#This Row],[Customer_ID]],Ecustom_DB[],3,FALSE)</f>
        <v>James Wolfe</v>
      </c>
      <c r="O1682" s="2" t="str">
        <f>_xlfn.XLOOKUP(ESales_DB[[#This Row],[Product_ID]],Eproduct_DB[Product_ID],Eproduct_DB[Category])</f>
        <v>Sports</v>
      </c>
      <c r="P1682" s="2" t="str">
        <f>_xlfn.XLOOKUP(ESales_DB[[#This Row],[Product_ID]],Eproduct_DB[Product_ID],Eproduct_DB[Product_Name])</f>
        <v>Basketball</v>
      </c>
      <c r="Q1682" s="2" t="str">
        <f>_xlfn.XLOOKUP(ESales_DB[[#This Row],[Store_ID]],Estore_DB[Store_ID],Estore_DB[Region])</f>
        <v>South</v>
      </c>
      <c r="R1682" t="str">
        <f>VLOOKUP(ESales_DB[[#This Row],[Customer_ID]],Ecustom_DB[],10,FALSE)</f>
        <v>Gold</v>
      </c>
      <c r="S1682" t="str">
        <f>IF(ESales_DB[[#This Row],[Quantity1]]&gt;3,"Bulk order","Normal order")</f>
        <v>Bulk order</v>
      </c>
    </row>
    <row r="1683" spans="1:19" x14ac:dyDescent="0.3">
      <c r="A1683" t="s">
        <v>2537</v>
      </c>
      <c r="B1683" s="4">
        <v>45559</v>
      </c>
      <c r="C1683" s="4" t="str">
        <f>TEXT(ESales_DB[[#This Row],[Order_Date]],"mmm")</f>
        <v>Sep</v>
      </c>
      <c r="D1683" t="s">
        <v>1145</v>
      </c>
      <c r="E1683" t="s">
        <v>1690</v>
      </c>
      <c r="F1683" t="s">
        <v>1807</v>
      </c>
      <c r="G1683">
        <v>1</v>
      </c>
      <c r="H1683" s="10">
        <f>IF(ISBLANK(ESales_DB[[#This Row],[Quantity]]),AVERAGEIF(ESales_DB[Product_ID],ESales_DB[[#This Row],[Product_ID]],ESales_DB[Quantity]),ESales_DB[[#This Row],[Quantity]])</f>
        <v>1</v>
      </c>
      <c r="I1683" s="2">
        <v>613.17999999999995</v>
      </c>
      <c r="J1683">
        <v>0.14000000000000001</v>
      </c>
      <c r="K1683" t="s">
        <v>1829</v>
      </c>
      <c r="L1683" s="2">
        <v>527.33479999999997</v>
      </c>
      <c r="M1683" s="2" t="str">
        <f>IF(ESales_DB[[#This Row],[Total_Amount]]&gt;1000,"High","Low")</f>
        <v>Low</v>
      </c>
      <c r="N1683" s="2" t="str">
        <f>VLOOKUP(ESales_DB[[#This Row],[Customer_ID]],Ecustom_DB[],3,FALSE)</f>
        <v>Mallory Allen</v>
      </c>
      <c r="O1683" s="2" t="str">
        <f>_xlfn.XLOOKUP(ESales_DB[[#This Row],[Product_ID]],Eproduct_DB[Product_ID],Eproduct_DB[Category])</f>
        <v>Beauty</v>
      </c>
      <c r="P1683" s="2" t="str">
        <f>_xlfn.XLOOKUP(ESales_DB[[#This Row],[Product_ID]],Eproduct_DB[Product_ID],Eproduct_DB[Product_Name])</f>
        <v>Hair Repair Oil Treatment</v>
      </c>
      <c r="Q1683" s="2" t="str">
        <f>_xlfn.XLOOKUP(ESales_DB[[#This Row],[Store_ID]],Estore_DB[Store_ID],Estore_DB[Region])</f>
        <v>North</v>
      </c>
      <c r="R1683" t="str">
        <f>VLOOKUP(ESales_DB[[#This Row],[Customer_ID]],Ecustom_DB[],10,FALSE)</f>
        <v>Platinum</v>
      </c>
      <c r="S1683" t="str">
        <f>IF(ESales_DB[[#This Row],[Quantity1]]&gt;3,"Bulk order","Normal order")</f>
        <v>Normal order</v>
      </c>
    </row>
    <row r="1684" spans="1:19" x14ac:dyDescent="0.3">
      <c r="A1684" t="s">
        <v>2538</v>
      </c>
      <c r="B1684" s="4">
        <v>45229</v>
      </c>
      <c r="C1684" s="4" t="str">
        <f>TEXT(ESales_DB[[#This Row],[Order_Date]],"mmm")</f>
        <v>Oct</v>
      </c>
      <c r="D1684" t="s">
        <v>195</v>
      </c>
      <c r="E1684" t="s">
        <v>1634</v>
      </c>
      <c r="F1684" t="s">
        <v>1769</v>
      </c>
      <c r="G1684">
        <v>1</v>
      </c>
      <c r="H1684" s="10">
        <f>IF(ISBLANK(ESales_DB[[#This Row],[Quantity]]),AVERAGEIF(ESales_DB[Product_ID],ESales_DB[[#This Row],[Product_ID]],ESales_DB[Quantity]),ESales_DB[[#This Row],[Quantity]])</f>
        <v>1</v>
      </c>
      <c r="I1684" s="2">
        <v>651.30999999999995</v>
      </c>
      <c r="J1684">
        <v>0.24</v>
      </c>
      <c r="K1684" t="s">
        <v>1826</v>
      </c>
      <c r="L1684" s="2">
        <v>494.99560000000002</v>
      </c>
      <c r="M1684" s="2" t="str">
        <f>IF(ESales_DB[[#This Row],[Total_Amount]]&gt;1000,"High","Low")</f>
        <v>Low</v>
      </c>
      <c r="N1684" s="2" t="str">
        <f>VLOOKUP(ESales_DB[[#This Row],[Customer_ID]],Ecustom_DB[],3,FALSE)</f>
        <v>Sarah Rodgers</v>
      </c>
      <c r="O1684" s="2" t="str">
        <f>_xlfn.XLOOKUP(ESales_DB[[#This Row],[Product_ID]],Eproduct_DB[Product_ID],Eproduct_DB[Category])</f>
        <v>Electronics</v>
      </c>
      <c r="P1684" s="2" t="str">
        <f>_xlfn.XLOOKUP(ESales_DB[[#This Row],[Product_ID]],Eproduct_DB[Product_ID],Eproduct_DB[Product_Name])</f>
        <v>USB External Hard Drive</v>
      </c>
      <c r="Q1684" s="2" t="str">
        <f>_xlfn.XLOOKUP(ESales_DB[[#This Row],[Store_ID]],Estore_DB[Store_ID],Estore_DB[Region])</f>
        <v>South</v>
      </c>
      <c r="R1684" t="str">
        <f>VLOOKUP(ESales_DB[[#This Row],[Customer_ID]],Ecustom_DB[],10,FALSE)</f>
        <v>Gold</v>
      </c>
      <c r="S1684" t="str">
        <f>IF(ESales_DB[[#This Row],[Quantity1]]&gt;3,"Bulk order","Normal order")</f>
        <v>Normal order</v>
      </c>
    </row>
    <row r="1685" spans="1:19" x14ac:dyDescent="0.3">
      <c r="A1685" t="s">
        <v>2539</v>
      </c>
      <c r="B1685" s="4">
        <v>45333</v>
      </c>
      <c r="C1685" s="4" t="str">
        <f>TEXT(ESales_DB[[#This Row],[Order_Date]],"mmm")</f>
        <v>Feb</v>
      </c>
      <c r="D1685" t="s">
        <v>103</v>
      </c>
      <c r="E1685" t="s">
        <v>1551</v>
      </c>
      <c r="F1685" t="s">
        <v>1776</v>
      </c>
      <c r="G1685">
        <v>2</v>
      </c>
      <c r="H1685" s="10">
        <f>IF(ISBLANK(ESales_DB[[#This Row],[Quantity]]),AVERAGEIF(ESales_DB[Product_ID],ESales_DB[[#This Row],[Product_ID]],ESales_DB[Quantity]),ESales_DB[[#This Row],[Quantity]])</f>
        <v>2</v>
      </c>
      <c r="I1685" s="2">
        <v>635.14</v>
      </c>
      <c r="J1685">
        <v>0.1</v>
      </c>
      <c r="K1685" t="s">
        <v>1829</v>
      </c>
      <c r="L1685" s="2">
        <v>1143.252</v>
      </c>
      <c r="M1685" s="2" t="str">
        <f>IF(ESales_DB[[#This Row],[Total_Amount]]&gt;1000,"High","Low")</f>
        <v>High</v>
      </c>
      <c r="N1685" s="2" t="str">
        <f>VLOOKUP(ESales_DB[[#This Row],[Customer_ID]],Ecustom_DB[],3,FALSE)</f>
        <v>Heather Collins</v>
      </c>
      <c r="O1685" s="2" t="str">
        <f>_xlfn.XLOOKUP(ESales_DB[[#This Row],[Product_ID]],Eproduct_DB[Product_ID],Eproduct_DB[Category])</f>
        <v>Clothing</v>
      </c>
      <c r="P1685" s="2" t="str">
        <f>_xlfn.XLOOKUP(ESales_DB[[#This Row],[Product_ID]],Eproduct_DB[Product_ID],Eproduct_DB[Product_Name])</f>
        <v>Men's Running Jacket</v>
      </c>
      <c r="Q1685" s="2" t="str">
        <f>_xlfn.XLOOKUP(ESales_DB[[#This Row],[Store_ID]],Estore_DB[Store_ID],Estore_DB[Region])</f>
        <v>East</v>
      </c>
      <c r="R1685" t="str">
        <f>VLOOKUP(ESales_DB[[#This Row],[Customer_ID]],Ecustom_DB[],10,FALSE)</f>
        <v>Platinum</v>
      </c>
      <c r="S1685" t="str">
        <f>IF(ESales_DB[[#This Row],[Quantity1]]&gt;3,"Bulk order","Normal order")</f>
        <v>Normal order</v>
      </c>
    </row>
    <row r="1686" spans="1:19" x14ac:dyDescent="0.3">
      <c r="A1686" t="s">
        <v>2540</v>
      </c>
      <c r="B1686" s="4">
        <v>45752</v>
      </c>
      <c r="C1686" s="4" t="str">
        <f>TEXT(ESales_DB[[#This Row],[Order_Date]],"mmm")</f>
        <v>Apr</v>
      </c>
      <c r="D1686" t="s">
        <v>1187</v>
      </c>
      <c r="E1686" t="s">
        <v>1744</v>
      </c>
      <c r="F1686" t="s">
        <v>1799</v>
      </c>
      <c r="G1686">
        <v>4</v>
      </c>
      <c r="H1686" s="10">
        <f>IF(ISBLANK(ESales_DB[[#This Row],[Quantity]]),AVERAGEIF(ESales_DB[Product_ID],ESales_DB[[#This Row],[Product_ID]],ESales_DB[Quantity]),ESales_DB[[#This Row],[Quantity]])</f>
        <v>4</v>
      </c>
      <c r="I1686" s="2">
        <v>912.61</v>
      </c>
      <c r="J1686">
        <v>0.14000000000000001</v>
      </c>
      <c r="K1686" t="s">
        <v>1824</v>
      </c>
      <c r="L1686" s="2">
        <v>3139.3784000000001</v>
      </c>
      <c r="M1686" s="2" t="str">
        <f>IF(ESales_DB[[#This Row],[Total_Amount]]&gt;1000,"High","Low")</f>
        <v>High</v>
      </c>
      <c r="N1686" s="2" t="str">
        <f>VLOOKUP(ESales_DB[[#This Row],[Customer_ID]],Ecustom_DB[],3,FALSE)</f>
        <v>Shelley Ponce</v>
      </c>
      <c r="O1686" s="2" t="str">
        <f>_xlfn.XLOOKUP(ESales_DB[[#This Row],[Product_ID]],Eproduct_DB[Product_ID],Eproduct_DB[Category])</f>
        <v>Electronics</v>
      </c>
      <c r="P1686" s="2" t="str">
        <f>_xlfn.XLOOKUP(ESales_DB[[#This Row],[Product_ID]],Eproduct_DB[Product_ID],Eproduct_DB[Product_Name])</f>
        <v>Portable Bluetooth Speaker</v>
      </c>
      <c r="Q1686" s="2" t="str">
        <f>_xlfn.XLOOKUP(ESales_DB[[#This Row],[Store_ID]],Estore_DB[Store_ID],Estore_DB[Region])</f>
        <v>South</v>
      </c>
      <c r="R1686" t="str">
        <f>VLOOKUP(ESales_DB[[#This Row],[Customer_ID]],Ecustom_DB[],10,FALSE)</f>
        <v>Gold</v>
      </c>
      <c r="S1686" t="str">
        <f>IF(ESales_DB[[#This Row],[Quantity1]]&gt;3,"Bulk order","Normal order")</f>
        <v>Bulk order</v>
      </c>
    </row>
    <row r="1687" spans="1:19" x14ac:dyDescent="0.3">
      <c r="A1687" t="s">
        <v>2541</v>
      </c>
      <c r="B1687" s="4">
        <v>45795</v>
      </c>
      <c r="C1687" s="4" t="str">
        <f>TEXT(ESales_DB[[#This Row],[Order_Date]],"mmm")</f>
        <v>May</v>
      </c>
      <c r="D1687" t="s">
        <v>872</v>
      </c>
      <c r="E1687" t="s">
        <v>1642</v>
      </c>
      <c r="F1687" t="s">
        <v>1779</v>
      </c>
      <c r="G1687">
        <v>3</v>
      </c>
      <c r="H1687" s="10">
        <f>IF(ISBLANK(ESales_DB[[#This Row],[Quantity]]),AVERAGEIF(ESales_DB[Product_ID],ESales_DB[[#This Row],[Product_ID]],ESales_DB[Quantity]),ESales_DB[[#This Row],[Quantity]])</f>
        <v>3</v>
      </c>
      <c r="I1687" s="2">
        <v>79.77</v>
      </c>
      <c r="J1687">
        <v>0.09</v>
      </c>
      <c r="K1687" t="s">
        <v>1824</v>
      </c>
      <c r="L1687" s="2">
        <v>217.77209999999999</v>
      </c>
      <c r="M1687" s="2" t="str">
        <f>IF(ESales_DB[[#This Row],[Total_Amount]]&gt;1000,"High","Low")</f>
        <v>Low</v>
      </c>
      <c r="N1687" s="2" t="str">
        <f>VLOOKUP(ESales_DB[[#This Row],[Customer_ID]],Ecustom_DB[],3,FALSE)</f>
        <v>Sarah Lane</v>
      </c>
      <c r="O1687" s="2" t="str">
        <f>_xlfn.XLOOKUP(ESales_DB[[#This Row],[Product_ID]],Eproduct_DB[Product_ID],Eproduct_DB[Category])</f>
        <v>Beauty</v>
      </c>
      <c r="P1687" s="2" t="str">
        <f>_xlfn.XLOOKUP(ESales_DB[[#This Row],[Product_ID]],Eproduct_DB[Product_ID],Eproduct_DB[Product_Name])</f>
        <v>Makeup Brush Set</v>
      </c>
      <c r="Q1687" s="2" t="str">
        <f>_xlfn.XLOOKUP(ESales_DB[[#This Row],[Store_ID]],Estore_DB[Store_ID],Estore_DB[Region])</f>
        <v>South</v>
      </c>
      <c r="R1687" t="str">
        <f>VLOOKUP(ESales_DB[[#This Row],[Customer_ID]],Ecustom_DB[],10,FALSE)</f>
        <v>Silver</v>
      </c>
      <c r="S1687" t="str">
        <f>IF(ESales_DB[[#This Row],[Quantity1]]&gt;3,"Bulk order","Normal order")</f>
        <v>Normal order</v>
      </c>
    </row>
    <row r="1688" spans="1:19" x14ac:dyDescent="0.3">
      <c r="A1688" t="s">
        <v>2542</v>
      </c>
      <c r="B1688" s="4">
        <v>45755</v>
      </c>
      <c r="C1688" s="4" t="str">
        <f>TEXT(ESales_DB[[#This Row],[Order_Date]],"mmm")</f>
        <v>Apr</v>
      </c>
      <c r="D1688" t="s">
        <v>881</v>
      </c>
      <c r="E1688" t="s">
        <v>1736</v>
      </c>
      <c r="F1688" t="s">
        <v>1801</v>
      </c>
      <c r="G1688">
        <v>4</v>
      </c>
      <c r="H1688" s="10">
        <f>IF(ISBLANK(ESales_DB[[#This Row],[Quantity]]),AVERAGEIF(ESales_DB[Product_ID],ESales_DB[[#This Row],[Product_ID]],ESales_DB[Quantity]),ESales_DB[[#This Row],[Quantity]])</f>
        <v>4</v>
      </c>
      <c r="I1688" s="2">
        <v>603.52</v>
      </c>
      <c r="J1688">
        <v>0.25</v>
      </c>
      <c r="K1688" t="s">
        <v>1824</v>
      </c>
      <c r="L1688" s="2">
        <v>1810.56</v>
      </c>
      <c r="M1688" s="2" t="str">
        <f>IF(ESales_DB[[#This Row],[Total_Amount]]&gt;1000,"High","Low")</f>
        <v>High</v>
      </c>
      <c r="N1688" s="2" t="str">
        <f>VLOOKUP(ESales_DB[[#This Row],[Customer_ID]],Ecustom_DB[],3,FALSE)</f>
        <v>Jeffrey Gomez</v>
      </c>
      <c r="O1688" s="2" t="str">
        <f>_xlfn.XLOOKUP(ESales_DB[[#This Row],[Product_ID]],Eproduct_DB[Product_ID],Eproduct_DB[Category])</f>
        <v>Beauty</v>
      </c>
      <c r="P1688" s="2" t="str">
        <f>_xlfn.XLOOKUP(ESales_DB[[#This Row],[Product_ID]],Eproduct_DB[Product_ID],Eproduct_DB[Product_Name])</f>
        <v>Vitamin E Body Lotion</v>
      </c>
      <c r="Q1688" s="2" t="str">
        <f>_xlfn.XLOOKUP(ESales_DB[[#This Row],[Store_ID]],Estore_DB[Store_ID],Estore_DB[Region])</f>
        <v>North</v>
      </c>
      <c r="R1688" t="str">
        <f>VLOOKUP(ESales_DB[[#This Row],[Customer_ID]],Ecustom_DB[],10,FALSE)</f>
        <v>Platinum</v>
      </c>
      <c r="S1688" t="str">
        <f>IF(ESales_DB[[#This Row],[Quantity1]]&gt;3,"Bulk order","Normal order")</f>
        <v>Bulk order</v>
      </c>
    </row>
    <row r="1689" spans="1:19" x14ac:dyDescent="0.3">
      <c r="A1689" t="s">
        <v>2543</v>
      </c>
      <c r="B1689" s="4">
        <v>45625</v>
      </c>
      <c r="C1689" s="4" t="str">
        <f>TEXT(ESales_DB[[#This Row],[Order_Date]],"mmm")</f>
        <v>Nov</v>
      </c>
      <c r="D1689" t="s">
        <v>281</v>
      </c>
      <c r="E1689" t="s">
        <v>1702</v>
      </c>
      <c r="F1689" t="s">
        <v>1794</v>
      </c>
      <c r="G1689">
        <v>4</v>
      </c>
      <c r="H1689" s="10">
        <f>IF(ISBLANK(ESales_DB[[#This Row],[Quantity]]),AVERAGEIF(ESales_DB[Product_ID],ESales_DB[[#This Row],[Product_ID]],ESales_DB[Quantity]),ESales_DB[[#This Row],[Quantity]])</f>
        <v>4</v>
      </c>
      <c r="I1689" s="2">
        <v>453.12</v>
      </c>
      <c r="J1689">
        <v>0.23</v>
      </c>
      <c r="K1689" t="s">
        <v>1829</v>
      </c>
      <c r="L1689" s="2">
        <v>1395.6096</v>
      </c>
      <c r="M1689" s="2" t="str">
        <f>IF(ESales_DB[[#This Row],[Total_Amount]]&gt;1000,"High","Low")</f>
        <v>High</v>
      </c>
      <c r="N1689" s="2" t="str">
        <f>VLOOKUP(ESales_DB[[#This Row],[Customer_ID]],Ecustom_DB[],3,FALSE)</f>
        <v>Katherine Young</v>
      </c>
      <c r="O1689" s="2" t="str">
        <f>_xlfn.XLOOKUP(ESales_DB[[#This Row],[Product_ID]],Eproduct_DB[Product_ID],Eproduct_DB[Category])</f>
        <v>Electronics</v>
      </c>
      <c r="P1689" s="2" t="str">
        <f>_xlfn.XLOOKUP(ESales_DB[[#This Row],[Product_ID]],Eproduct_DB[Product_ID],Eproduct_DB[Product_Name])</f>
        <v>WiFi Mesh Router</v>
      </c>
      <c r="Q1689" s="2" t="str">
        <f>_xlfn.XLOOKUP(ESales_DB[[#This Row],[Store_ID]],Estore_DB[Store_ID],Estore_DB[Region])</f>
        <v>North</v>
      </c>
      <c r="R1689" t="str">
        <f>VLOOKUP(ESales_DB[[#This Row],[Customer_ID]],Ecustom_DB[],10,FALSE)</f>
        <v>Gold</v>
      </c>
      <c r="S1689" t="str">
        <f>IF(ESales_DB[[#This Row],[Quantity1]]&gt;3,"Bulk order","Normal order")</f>
        <v>Bulk order</v>
      </c>
    </row>
    <row r="1690" spans="1:19" x14ac:dyDescent="0.3">
      <c r="A1690" t="s">
        <v>2544</v>
      </c>
      <c r="B1690" s="4">
        <v>45656</v>
      </c>
      <c r="C1690" s="4" t="str">
        <f>TEXT(ESales_DB[[#This Row],[Order_Date]],"mmm")</f>
        <v>Dec</v>
      </c>
      <c r="D1690" t="s">
        <v>1527</v>
      </c>
      <c r="E1690" t="s">
        <v>1614</v>
      </c>
      <c r="F1690" t="s">
        <v>1786</v>
      </c>
      <c r="G1690">
        <v>2</v>
      </c>
      <c r="H1690" s="10">
        <f>IF(ISBLANK(ESales_DB[[#This Row],[Quantity]]),AVERAGEIF(ESales_DB[Product_ID],ESales_DB[[#This Row],[Product_ID]],ESales_DB[Quantity]),ESales_DB[[#This Row],[Quantity]])</f>
        <v>2</v>
      </c>
      <c r="I1690" s="2">
        <v>974.35</v>
      </c>
      <c r="J1690">
        <v>0.15</v>
      </c>
      <c r="K1690" t="s">
        <v>1824</v>
      </c>
      <c r="L1690" s="2">
        <v>1656.395</v>
      </c>
      <c r="M1690" s="2" t="str">
        <f>IF(ESales_DB[[#This Row],[Total_Amount]]&gt;1000,"High","Low")</f>
        <v>High</v>
      </c>
      <c r="N1690" s="2" t="str">
        <f>VLOOKUP(ESales_DB[[#This Row],[Customer_ID]],Ecustom_DB[],3,FALSE)</f>
        <v>Sarah Marsh</v>
      </c>
      <c r="O1690" s="2" t="str">
        <f>_xlfn.XLOOKUP(ESales_DB[[#This Row],[Product_ID]],Eproduct_DB[Product_ID],Eproduct_DB[Category])</f>
        <v>Home</v>
      </c>
      <c r="P1690" s="2" t="str">
        <f>_xlfn.XLOOKUP(ESales_DB[[#This Row],[Product_ID]],Eproduct_DB[Product_ID],Eproduct_DB[Product_Name])</f>
        <v>Modern Wall Clock</v>
      </c>
      <c r="Q1690" s="2" t="str">
        <f>_xlfn.XLOOKUP(ESales_DB[[#This Row],[Store_ID]],Estore_DB[Store_ID],Estore_DB[Region])</f>
        <v>South</v>
      </c>
      <c r="R1690" t="str">
        <f>VLOOKUP(ESales_DB[[#This Row],[Customer_ID]],Ecustom_DB[],10,FALSE)</f>
        <v>Gold</v>
      </c>
      <c r="S1690" t="str">
        <f>IF(ESales_DB[[#This Row],[Quantity1]]&gt;3,"Bulk order","Normal order")</f>
        <v>Normal order</v>
      </c>
    </row>
    <row r="1691" spans="1:19" x14ac:dyDescent="0.3">
      <c r="A1691" t="s">
        <v>2545</v>
      </c>
      <c r="B1691" s="4">
        <v>45824</v>
      </c>
      <c r="C1691" s="4" t="str">
        <f>TEXT(ESales_DB[[#This Row],[Order_Date]],"mmm")</f>
        <v>Jun</v>
      </c>
      <c r="D1691" t="s">
        <v>1466</v>
      </c>
      <c r="E1691" t="s">
        <v>1738</v>
      </c>
      <c r="F1691" t="s">
        <v>1807</v>
      </c>
      <c r="G1691">
        <v>4</v>
      </c>
      <c r="H1691" s="10">
        <f>IF(ISBLANK(ESales_DB[[#This Row],[Quantity]]),AVERAGEIF(ESales_DB[Product_ID],ESales_DB[[#This Row],[Product_ID]],ESales_DB[Quantity]),ESales_DB[[#This Row],[Quantity]])</f>
        <v>4</v>
      </c>
      <c r="I1691" s="2">
        <v>52.35</v>
      </c>
      <c r="J1691">
        <v>0.23</v>
      </c>
      <c r="K1691" t="s">
        <v>1829</v>
      </c>
      <c r="L1691" s="2">
        <v>161.238</v>
      </c>
      <c r="M1691" s="2" t="str">
        <f>IF(ESales_DB[[#This Row],[Total_Amount]]&gt;1000,"High","Low")</f>
        <v>Low</v>
      </c>
      <c r="N1691" s="2" t="str">
        <f>VLOOKUP(ESales_DB[[#This Row],[Customer_ID]],Ecustom_DB[],3,FALSE)</f>
        <v>Elizabeth Foster</v>
      </c>
      <c r="O1691" s="2" t="str">
        <f>_xlfn.XLOOKUP(ESales_DB[[#This Row],[Product_ID]],Eproduct_DB[Product_ID],Eproduct_DB[Category])</f>
        <v>Sports</v>
      </c>
      <c r="P1691" s="2" t="str">
        <f>_xlfn.XLOOKUP(ESales_DB[[#This Row],[Product_ID]],Eproduct_DB[Product_ID],Eproduct_DB[Product_Name])</f>
        <v>Sports Stopwatch Basic</v>
      </c>
      <c r="Q1691" s="2" t="str">
        <f>_xlfn.XLOOKUP(ESales_DB[[#This Row],[Store_ID]],Estore_DB[Store_ID],Estore_DB[Region])</f>
        <v>North</v>
      </c>
      <c r="R1691" t="str">
        <f>VLOOKUP(ESales_DB[[#This Row],[Customer_ID]],Ecustom_DB[],10,FALSE)</f>
        <v>Gold</v>
      </c>
      <c r="S1691" t="str">
        <f>IF(ESales_DB[[#This Row],[Quantity1]]&gt;3,"Bulk order","Normal order")</f>
        <v>Bulk order</v>
      </c>
    </row>
    <row r="1692" spans="1:19" x14ac:dyDescent="0.3">
      <c r="A1692" t="s">
        <v>1898</v>
      </c>
      <c r="B1692" s="4">
        <v>45533</v>
      </c>
      <c r="C1692" s="4" t="str">
        <f>TEXT(ESales_DB[[#This Row],[Order_Date]],"mmm")</f>
        <v>Aug</v>
      </c>
      <c r="D1692" t="s">
        <v>1272</v>
      </c>
      <c r="E1692" t="s">
        <v>1624</v>
      </c>
      <c r="F1692" t="s">
        <v>1773</v>
      </c>
      <c r="G1692">
        <v>1</v>
      </c>
      <c r="H1692" s="10">
        <f>IF(ISBLANK(ESales_DB[[#This Row],[Quantity]]),AVERAGEIF(ESales_DB[Product_ID],ESales_DB[[#This Row],[Product_ID]],ESales_DB[Quantity]),ESales_DB[[#This Row],[Quantity]])</f>
        <v>1</v>
      </c>
      <c r="I1692" s="2">
        <v>553.82000000000005</v>
      </c>
      <c r="J1692">
        <v>0.09</v>
      </c>
      <c r="K1692" t="s">
        <v>1824</v>
      </c>
      <c r="L1692" s="2">
        <v>503.97620000000012</v>
      </c>
      <c r="M1692" s="2" t="str">
        <f>IF(ESales_DB[[#This Row],[Total_Amount]]&gt;1000,"High","Low")</f>
        <v>Low</v>
      </c>
      <c r="N1692" s="2" t="str">
        <f>VLOOKUP(ESales_DB[[#This Row],[Customer_ID]],Ecustom_DB[],3,FALSE)</f>
        <v>Sarah Smith</v>
      </c>
      <c r="O1692" s="2" t="str">
        <f>_xlfn.XLOOKUP(ESales_DB[[#This Row],[Product_ID]],Eproduct_DB[Product_ID],Eproduct_DB[Category])</f>
        <v>Sports</v>
      </c>
      <c r="P1692" s="2" t="str">
        <f>_xlfn.XLOOKUP(ESales_DB[[#This Row],[Product_ID]],Eproduct_DB[Product_ID],Eproduct_DB[Product_Name])</f>
        <v>Sports Water Hydration Pack</v>
      </c>
      <c r="Q1692" s="2" t="str">
        <f>_xlfn.XLOOKUP(ESales_DB[[#This Row],[Store_ID]],Estore_DB[Store_ID],Estore_DB[Region])</f>
        <v>North</v>
      </c>
      <c r="R1692" t="str">
        <f>VLOOKUP(ESales_DB[[#This Row],[Customer_ID]],Ecustom_DB[],10,FALSE)</f>
        <v>Gold</v>
      </c>
      <c r="S1692" t="str">
        <f>IF(ESales_DB[[#This Row],[Quantity1]]&gt;3,"Bulk order","Normal order")</f>
        <v>Normal order</v>
      </c>
    </row>
    <row r="1693" spans="1:19" x14ac:dyDescent="0.3">
      <c r="A1693" t="s">
        <v>2546</v>
      </c>
      <c r="B1693" s="4">
        <v>45824</v>
      </c>
      <c r="C1693" s="4" t="str">
        <f>TEXT(ESales_DB[[#This Row],[Order_Date]],"mmm")</f>
        <v>Jun</v>
      </c>
      <c r="D1693" t="s">
        <v>1157</v>
      </c>
      <c r="E1693" t="s">
        <v>1678</v>
      </c>
      <c r="F1693" t="s">
        <v>1807</v>
      </c>
      <c r="G1693">
        <v>3</v>
      </c>
      <c r="H1693" s="10">
        <f>IF(ISBLANK(ESales_DB[[#This Row],[Quantity]]),AVERAGEIF(ESales_DB[Product_ID],ESales_DB[[#This Row],[Product_ID]],ESales_DB[Quantity]),ESales_DB[[#This Row],[Quantity]])</f>
        <v>3</v>
      </c>
      <c r="I1693" s="2">
        <v>681.58</v>
      </c>
      <c r="J1693">
        <v>0.23</v>
      </c>
      <c r="K1693" t="s">
        <v>1824</v>
      </c>
      <c r="L1693" s="2">
        <v>1574.4498000000001</v>
      </c>
      <c r="M1693" s="2" t="str">
        <f>IF(ESales_DB[[#This Row],[Total_Amount]]&gt;1000,"High","Low")</f>
        <v>High</v>
      </c>
      <c r="N1693" s="2" t="str">
        <f>VLOOKUP(ESales_DB[[#This Row],[Customer_ID]],Ecustom_DB[],3,FALSE)</f>
        <v>James Holloway Jr.</v>
      </c>
      <c r="O1693" s="2" t="str">
        <f>_xlfn.XLOOKUP(ESales_DB[[#This Row],[Product_ID]],Eproduct_DB[Product_ID],Eproduct_DB[Category])</f>
        <v>Sports</v>
      </c>
      <c r="P1693" s="2" t="str">
        <f>_xlfn.XLOOKUP(ESales_DB[[#This Row],[Product_ID]],Eproduct_DB[Product_ID],Eproduct_DB[Product_Name])</f>
        <v>Adjustable Dumbbells 20kg</v>
      </c>
      <c r="Q1693" s="2" t="str">
        <f>_xlfn.XLOOKUP(ESales_DB[[#This Row],[Store_ID]],Estore_DB[Store_ID],Estore_DB[Region])</f>
        <v>North</v>
      </c>
      <c r="R1693" t="str">
        <f>VLOOKUP(ESales_DB[[#This Row],[Customer_ID]],Ecustom_DB[],10,FALSE)</f>
        <v>Silver</v>
      </c>
      <c r="S1693" t="str">
        <f>IF(ESales_DB[[#This Row],[Quantity1]]&gt;3,"Bulk order","Normal order")</f>
        <v>Normal order</v>
      </c>
    </row>
    <row r="1694" spans="1:19" x14ac:dyDescent="0.3">
      <c r="A1694" t="s">
        <v>2547</v>
      </c>
      <c r="B1694" s="4">
        <v>45384</v>
      </c>
      <c r="C1694" s="4" t="str">
        <f>TEXT(ESales_DB[[#This Row],[Order_Date]],"mmm")</f>
        <v>Apr</v>
      </c>
      <c r="D1694" t="s">
        <v>585</v>
      </c>
      <c r="E1694" t="s">
        <v>1714</v>
      </c>
      <c r="F1694" t="s">
        <v>1801</v>
      </c>
      <c r="G1694">
        <v>3</v>
      </c>
      <c r="H1694" s="10">
        <f>IF(ISBLANK(ESales_DB[[#This Row],[Quantity]]),AVERAGEIF(ESales_DB[Product_ID],ESales_DB[[#This Row],[Product_ID]],ESales_DB[Quantity]),ESales_DB[[#This Row],[Quantity]])</f>
        <v>3</v>
      </c>
      <c r="I1694" s="2">
        <v>71.23</v>
      </c>
      <c r="J1694">
        <v>0.03</v>
      </c>
      <c r="K1694" t="s">
        <v>1824</v>
      </c>
      <c r="L1694" s="2">
        <v>207.27930000000001</v>
      </c>
      <c r="M1694" s="2" t="str">
        <f>IF(ESales_DB[[#This Row],[Total_Amount]]&gt;1000,"High","Low")</f>
        <v>Low</v>
      </c>
      <c r="N1694" s="2" t="str">
        <f>VLOOKUP(ESales_DB[[#This Row],[Customer_ID]],Ecustom_DB[],3,FALSE)</f>
        <v>Curtis Lam</v>
      </c>
      <c r="O1694" s="2" t="str">
        <f>_xlfn.XLOOKUP(ESales_DB[[#This Row],[Product_ID]],Eproduct_DB[Product_ID],Eproduct_DB[Category])</f>
        <v>Beauty</v>
      </c>
      <c r="P1694" s="2" t="str">
        <f>_xlfn.XLOOKUP(ESales_DB[[#This Row],[Product_ID]],Eproduct_DB[Product_ID],Eproduct_DB[Product_Name])</f>
        <v>Hydrating Face Cleanser</v>
      </c>
      <c r="Q1694" s="2" t="str">
        <f>_xlfn.XLOOKUP(ESales_DB[[#This Row],[Store_ID]],Estore_DB[Store_ID],Estore_DB[Region])</f>
        <v>North</v>
      </c>
      <c r="R1694" t="str">
        <f>VLOOKUP(ESales_DB[[#This Row],[Customer_ID]],Ecustom_DB[],10,FALSE)</f>
        <v>Platinum</v>
      </c>
      <c r="S1694" t="str">
        <f>IF(ESales_DB[[#This Row],[Quantity1]]&gt;3,"Bulk order","Normal order")</f>
        <v>Normal order</v>
      </c>
    </row>
    <row r="1695" spans="1:19" x14ac:dyDescent="0.3">
      <c r="A1695" t="s">
        <v>2548</v>
      </c>
      <c r="B1695" s="4">
        <v>45379</v>
      </c>
      <c r="C1695" s="4" t="str">
        <f>TEXT(ESales_DB[[#This Row],[Order_Date]],"mmm")</f>
        <v>Mar</v>
      </c>
      <c r="D1695" t="s">
        <v>773</v>
      </c>
      <c r="E1695" t="s">
        <v>1578</v>
      </c>
      <c r="F1695" t="s">
        <v>1799</v>
      </c>
      <c r="G1695">
        <v>1</v>
      </c>
      <c r="H1695" s="10">
        <f>IF(ISBLANK(ESales_DB[[#This Row],[Quantity]]),AVERAGEIF(ESales_DB[Product_ID],ESales_DB[[#This Row],[Product_ID]],ESales_DB[Quantity]),ESales_DB[[#This Row],[Quantity]])</f>
        <v>1</v>
      </c>
      <c r="I1695" s="2">
        <v>31.36</v>
      </c>
      <c r="J1695">
        <v>0.21</v>
      </c>
      <c r="K1695" t="s">
        <v>1829</v>
      </c>
      <c r="L1695" s="2">
        <v>24.7744</v>
      </c>
      <c r="M1695" s="2" t="str">
        <f>IF(ESales_DB[[#This Row],[Total_Amount]]&gt;1000,"High","Low")</f>
        <v>Low</v>
      </c>
      <c r="N1695" s="2" t="str">
        <f>VLOOKUP(ESales_DB[[#This Row],[Customer_ID]],Ecustom_DB[],3,FALSE)</f>
        <v>Mr. William Horton</v>
      </c>
      <c r="O1695" s="2" t="str">
        <f>_xlfn.XLOOKUP(ESales_DB[[#This Row],[Product_ID]],Eproduct_DB[Product_ID],Eproduct_DB[Category])</f>
        <v>Electronics</v>
      </c>
      <c r="P1695" s="2" t="str">
        <f>_xlfn.XLOOKUP(ESales_DB[[#This Row],[Product_ID]],Eproduct_DB[Product_ID],Eproduct_DB[Product_Name])</f>
        <v>4K Home Projector</v>
      </c>
      <c r="Q1695" s="2" t="str">
        <f>_xlfn.XLOOKUP(ESales_DB[[#This Row],[Store_ID]],Estore_DB[Store_ID],Estore_DB[Region])</f>
        <v>South</v>
      </c>
      <c r="R1695" t="str">
        <f>VLOOKUP(ESales_DB[[#This Row],[Customer_ID]],Ecustom_DB[],10,FALSE)</f>
        <v>Platinum</v>
      </c>
      <c r="S1695" t="str">
        <f>IF(ESales_DB[[#This Row],[Quantity1]]&gt;3,"Bulk order","Normal order")</f>
        <v>Normal order</v>
      </c>
    </row>
    <row r="1696" spans="1:19" x14ac:dyDescent="0.3">
      <c r="A1696" t="s">
        <v>2549</v>
      </c>
      <c r="B1696" s="4">
        <v>45674</v>
      </c>
      <c r="C1696" s="4" t="str">
        <f>TEXT(ESales_DB[[#This Row],[Order_Date]],"mmm")</f>
        <v>Jan</v>
      </c>
      <c r="D1696" t="s">
        <v>1071</v>
      </c>
      <c r="E1696" t="s">
        <v>1630</v>
      </c>
      <c r="F1696" t="s">
        <v>1797</v>
      </c>
      <c r="G1696">
        <v>2</v>
      </c>
      <c r="H1696" s="10">
        <f>IF(ISBLANK(ESales_DB[[#This Row],[Quantity]]),AVERAGEIF(ESales_DB[Product_ID],ESales_DB[[#This Row],[Product_ID]],ESales_DB[Quantity]),ESales_DB[[#This Row],[Quantity]])</f>
        <v>2</v>
      </c>
      <c r="I1696" s="2">
        <v>555.54999999999995</v>
      </c>
      <c r="J1696">
        <v>0.14000000000000001</v>
      </c>
      <c r="K1696" t="s">
        <v>1824</v>
      </c>
      <c r="L1696" s="2">
        <v>955.54599999999994</v>
      </c>
      <c r="M1696" s="2" t="str">
        <f>IF(ESales_DB[[#This Row],[Total_Amount]]&gt;1000,"High","Low")</f>
        <v>Low</v>
      </c>
      <c r="N1696" s="2" t="str">
        <f>VLOOKUP(ESales_DB[[#This Row],[Customer_ID]],Ecustom_DB[],3,FALSE)</f>
        <v>Angela Williams</v>
      </c>
      <c r="O1696" s="2" t="str">
        <f>_xlfn.XLOOKUP(ESales_DB[[#This Row],[Product_ID]],Eproduct_DB[Product_ID],Eproduct_DB[Category])</f>
        <v>Sports</v>
      </c>
      <c r="P1696" s="2" t="str">
        <f>_xlfn.XLOOKUP(ESales_DB[[#This Row],[Product_ID]],Eproduct_DB[Product_ID],Eproduct_DB[Product_Name])</f>
        <v>Yoga Exercise Mat</v>
      </c>
      <c r="Q1696" s="2" t="str">
        <f>_xlfn.XLOOKUP(ESales_DB[[#This Row],[Store_ID]],Estore_DB[Store_ID],Estore_DB[Region])</f>
        <v>East</v>
      </c>
      <c r="R1696" t="str">
        <f>VLOOKUP(ESales_DB[[#This Row],[Customer_ID]],Ecustom_DB[],10,FALSE)</f>
        <v>Bronze</v>
      </c>
      <c r="S1696" t="str">
        <f>IF(ESales_DB[[#This Row],[Quantity1]]&gt;3,"Bulk order","Normal order")</f>
        <v>Normal order</v>
      </c>
    </row>
    <row r="1697" spans="1:19" x14ac:dyDescent="0.3">
      <c r="A1697" t="s">
        <v>2550</v>
      </c>
      <c r="B1697" s="4">
        <v>45760</v>
      </c>
      <c r="C1697" s="4" t="str">
        <f>TEXT(ESales_DB[[#This Row],[Order_Date]],"mmm")</f>
        <v>Apr</v>
      </c>
      <c r="D1697" t="s">
        <v>803</v>
      </c>
      <c r="E1697" t="s">
        <v>1680</v>
      </c>
      <c r="F1697" t="s">
        <v>1804</v>
      </c>
      <c r="G1697">
        <v>4</v>
      </c>
      <c r="H1697" s="10">
        <f>IF(ISBLANK(ESales_DB[[#This Row],[Quantity]]),AVERAGEIF(ESales_DB[Product_ID],ESales_DB[[#This Row],[Product_ID]],ESales_DB[Quantity]),ESales_DB[[#This Row],[Quantity]])</f>
        <v>4</v>
      </c>
      <c r="I1697" s="2">
        <v>805.99</v>
      </c>
      <c r="J1697">
        <v>0.06</v>
      </c>
      <c r="K1697" t="s">
        <v>1824</v>
      </c>
      <c r="L1697" s="2">
        <v>3030.5223999999998</v>
      </c>
      <c r="M1697" s="2" t="str">
        <f>IF(ESales_DB[[#This Row],[Total_Amount]]&gt;1000,"High","Low")</f>
        <v>High</v>
      </c>
      <c r="N1697" s="2" t="str">
        <f>VLOOKUP(ESales_DB[[#This Row],[Customer_ID]],Ecustom_DB[],3,FALSE)</f>
        <v>Tyler Garner</v>
      </c>
      <c r="O1697" s="2" t="str">
        <f>_xlfn.XLOOKUP(ESales_DB[[#This Row],[Product_ID]],Eproduct_DB[Product_ID],Eproduct_DB[Category])</f>
        <v>Beauty</v>
      </c>
      <c r="P1697" s="2" t="str">
        <f>_xlfn.XLOOKUP(ESales_DB[[#This Row],[Product_ID]],Eproduct_DB[Product_ID],Eproduct_DB[Product_Name])</f>
        <v>Women's Hair Dryer Brush</v>
      </c>
      <c r="Q1697" s="2" t="str">
        <f>_xlfn.XLOOKUP(ESales_DB[[#This Row],[Store_ID]],Estore_DB[Store_ID],Estore_DB[Region])</f>
        <v>West</v>
      </c>
      <c r="R1697" t="str">
        <f>VLOOKUP(ESales_DB[[#This Row],[Customer_ID]],Ecustom_DB[],10,FALSE)</f>
        <v>Silver</v>
      </c>
      <c r="S1697" t="str">
        <f>IF(ESales_DB[[#This Row],[Quantity1]]&gt;3,"Bulk order","Normal order")</f>
        <v>Bulk order</v>
      </c>
    </row>
    <row r="1698" spans="1:19" x14ac:dyDescent="0.3">
      <c r="A1698" t="s">
        <v>2551</v>
      </c>
      <c r="B1698" s="4">
        <v>45474</v>
      </c>
      <c r="C1698" s="4" t="str">
        <f>TEXT(ESales_DB[[#This Row],[Order_Date]],"mmm")</f>
        <v>Jul</v>
      </c>
      <c r="D1698" t="s">
        <v>1211</v>
      </c>
      <c r="E1698" t="s">
        <v>1690</v>
      </c>
      <c r="F1698" t="s">
        <v>1757</v>
      </c>
      <c r="G1698">
        <v>1</v>
      </c>
      <c r="H1698" s="10">
        <f>IF(ISBLANK(ESales_DB[[#This Row],[Quantity]]),AVERAGEIF(ESales_DB[Product_ID],ESales_DB[[#This Row],[Product_ID]],ESales_DB[Quantity]),ESales_DB[[#This Row],[Quantity]])</f>
        <v>1</v>
      </c>
      <c r="I1698" s="2">
        <v>506.55</v>
      </c>
      <c r="J1698">
        <v>0.28000000000000003</v>
      </c>
      <c r="K1698" t="s">
        <v>1824</v>
      </c>
      <c r="L1698" s="2">
        <v>364.71600000000001</v>
      </c>
      <c r="M1698" s="2" t="str">
        <f>IF(ESales_DB[[#This Row],[Total_Amount]]&gt;1000,"High","Low")</f>
        <v>Low</v>
      </c>
      <c r="N1698" s="2" t="str">
        <f>VLOOKUP(ESales_DB[[#This Row],[Customer_ID]],Ecustom_DB[],3,FALSE)</f>
        <v>Timothy Valenzuela</v>
      </c>
      <c r="O1698" s="2" t="str">
        <f>_xlfn.XLOOKUP(ESales_DB[[#This Row],[Product_ID]],Eproduct_DB[Product_ID],Eproduct_DB[Category])</f>
        <v>Beauty</v>
      </c>
      <c r="P1698" s="2" t="str">
        <f>_xlfn.XLOOKUP(ESales_DB[[#This Row],[Product_ID]],Eproduct_DB[Product_ID],Eproduct_DB[Product_Name])</f>
        <v>Hair Repair Oil Treatment</v>
      </c>
      <c r="Q1698" s="2" t="str">
        <f>_xlfn.XLOOKUP(ESales_DB[[#This Row],[Store_ID]],Estore_DB[Store_ID],Estore_DB[Region])</f>
        <v>North</v>
      </c>
      <c r="R1698" t="str">
        <f>VLOOKUP(ESales_DB[[#This Row],[Customer_ID]],Ecustom_DB[],10,FALSE)</f>
        <v>Platinum</v>
      </c>
      <c r="S1698" t="str">
        <f>IF(ESales_DB[[#This Row],[Quantity1]]&gt;3,"Bulk order","Normal order")</f>
        <v>Normal order</v>
      </c>
    </row>
    <row r="1699" spans="1:19" x14ac:dyDescent="0.3">
      <c r="A1699" t="s">
        <v>2552</v>
      </c>
      <c r="B1699" s="4">
        <v>45640</v>
      </c>
      <c r="C1699" s="4" t="str">
        <f>TEXT(ESales_DB[[#This Row],[Order_Date]],"mmm")</f>
        <v>Dec</v>
      </c>
      <c r="D1699" t="s">
        <v>447</v>
      </c>
      <c r="E1699" t="s">
        <v>1630</v>
      </c>
      <c r="F1699" t="s">
        <v>1792</v>
      </c>
      <c r="G1699">
        <v>3</v>
      </c>
      <c r="H1699" s="10">
        <f>IF(ISBLANK(ESales_DB[[#This Row],[Quantity]]),AVERAGEIF(ESales_DB[Product_ID],ESales_DB[[#This Row],[Product_ID]],ESales_DB[Quantity]),ESales_DB[[#This Row],[Quantity]])</f>
        <v>3</v>
      </c>
      <c r="I1699" s="2">
        <v>28.69</v>
      </c>
      <c r="J1699">
        <v>0.02</v>
      </c>
      <c r="K1699" t="s">
        <v>1824</v>
      </c>
      <c r="L1699" s="2">
        <v>84.348600000000005</v>
      </c>
      <c r="M1699" s="2" t="str">
        <f>IF(ESales_DB[[#This Row],[Total_Amount]]&gt;1000,"High","Low")</f>
        <v>Low</v>
      </c>
      <c r="N1699" s="2" t="str">
        <f>VLOOKUP(ESales_DB[[#This Row],[Customer_ID]],Ecustom_DB[],3,FALSE)</f>
        <v>Jamie Reyes</v>
      </c>
      <c r="O1699" s="2" t="str">
        <f>_xlfn.XLOOKUP(ESales_DB[[#This Row],[Product_ID]],Eproduct_DB[Product_ID],Eproduct_DB[Category])</f>
        <v>Sports</v>
      </c>
      <c r="P1699" s="2" t="str">
        <f>_xlfn.XLOOKUP(ESales_DB[[#This Row],[Product_ID]],Eproduct_DB[Product_ID],Eproduct_DB[Product_Name])</f>
        <v>Yoga Exercise Mat</v>
      </c>
      <c r="Q1699" s="2" t="str">
        <f>_xlfn.XLOOKUP(ESales_DB[[#This Row],[Store_ID]],Estore_DB[Store_ID],Estore_DB[Region])</f>
        <v>South</v>
      </c>
      <c r="R1699" t="str">
        <f>VLOOKUP(ESales_DB[[#This Row],[Customer_ID]],Ecustom_DB[],10,FALSE)</f>
        <v>Platinum</v>
      </c>
      <c r="S1699" t="str">
        <f>IF(ESales_DB[[#This Row],[Quantity1]]&gt;3,"Bulk order","Normal order")</f>
        <v>Normal order</v>
      </c>
    </row>
    <row r="1700" spans="1:19" x14ac:dyDescent="0.3">
      <c r="A1700" t="s">
        <v>2553</v>
      </c>
      <c r="B1700" s="4">
        <v>45253</v>
      </c>
      <c r="C1700" s="4" t="str">
        <f>TEXT(ESales_DB[[#This Row],[Order_Date]],"mmm")</f>
        <v>Nov</v>
      </c>
      <c r="D1700" t="s">
        <v>1208</v>
      </c>
      <c r="E1700" t="s">
        <v>1700</v>
      </c>
      <c r="F1700" t="s">
        <v>1769</v>
      </c>
      <c r="G1700">
        <v>1</v>
      </c>
      <c r="H1700" s="10">
        <f>IF(ISBLANK(ESales_DB[[#This Row],[Quantity]]),AVERAGEIF(ESales_DB[Product_ID],ESales_DB[[#This Row],[Product_ID]],ESales_DB[Quantity]),ESales_DB[[#This Row],[Quantity]])</f>
        <v>1</v>
      </c>
      <c r="I1700" s="2">
        <v>106.07</v>
      </c>
      <c r="J1700">
        <v>0.23</v>
      </c>
      <c r="K1700" t="s">
        <v>1829</v>
      </c>
      <c r="L1700" s="2">
        <v>81.673900000000003</v>
      </c>
      <c r="M1700" s="2" t="str">
        <f>IF(ESales_DB[[#This Row],[Total_Amount]]&gt;1000,"High","Low")</f>
        <v>Low</v>
      </c>
      <c r="N1700" s="2" t="str">
        <f>VLOOKUP(ESales_DB[[#This Row],[Customer_ID]],Ecustom_DB[],3,FALSE)</f>
        <v>Timothy Gardner</v>
      </c>
      <c r="O1700" s="2" t="str">
        <f>_xlfn.XLOOKUP(ESales_DB[[#This Row],[Product_ID]],Eproduct_DB[Product_ID],Eproduct_DB[Category])</f>
        <v>Electronics</v>
      </c>
      <c r="P1700" s="2" t="str">
        <f>_xlfn.XLOOKUP(ESales_DB[[#This Row],[Product_ID]],Eproduct_DB[Product_ID],Eproduct_DB[Product_Name])</f>
        <v>Wireless Mouse</v>
      </c>
      <c r="Q1700" s="2" t="str">
        <f>_xlfn.XLOOKUP(ESales_DB[[#This Row],[Store_ID]],Estore_DB[Store_ID],Estore_DB[Region])</f>
        <v>South</v>
      </c>
      <c r="R1700" t="str">
        <f>VLOOKUP(ESales_DB[[#This Row],[Customer_ID]],Ecustom_DB[],10,FALSE)</f>
        <v>Silver</v>
      </c>
      <c r="S1700" t="str">
        <f>IF(ESales_DB[[#This Row],[Quantity1]]&gt;3,"Bulk order","Normal order")</f>
        <v>Normal order</v>
      </c>
    </row>
    <row r="1701" spans="1:19" x14ac:dyDescent="0.3">
      <c r="A1701" t="s">
        <v>2554</v>
      </c>
      <c r="B1701" s="4">
        <v>45225</v>
      </c>
      <c r="C1701" s="4" t="str">
        <f>TEXT(ESales_DB[[#This Row],[Order_Date]],"mmm")</f>
        <v>Oct</v>
      </c>
      <c r="D1701" t="s">
        <v>830</v>
      </c>
      <c r="E1701" t="s">
        <v>1730</v>
      </c>
      <c r="F1701" t="s">
        <v>1752</v>
      </c>
      <c r="G1701">
        <v>4</v>
      </c>
      <c r="H1701" s="10">
        <f>IF(ISBLANK(ESales_DB[[#This Row],[Quantity]]),AVERAGEIF(ESales_DB[Product_ID],ESales_DB[[#This Row],[Product_ID]],ESales_DB[Quantity]),ESales_DB[[#This Row],[Quantity]])</f>
        <v>4</v>
      </c>
      <c r="I1701" s="2">
        <v>289.77</v>
      </c>
      <c r="J1701">
        <v>0.06</v>
      </c>
      <c r="K1701" t="s">
        <v>1826</v>
      </c>
      <c r="L1701" s="2">
        <v>1089.5352</v>
      </c>
      <c r="M1701" s="2" t="str">
        <f>IF(ESales_DB[[#This Row],[Total_Amount]]&gt;1000,"High","Low")</f>
        <v>High</v>
      </c>
      <c r="N1701" s="2" t="str">
        <f>VLOOKUP(ESales_DB[[#This Row],[Customer_ID]],Ecustom_DB[],3,FALSE)</f>
        <v>Russell Lamb</v>
      </c>
      <c r="O1701" s="2" t="str">
        <f>_xlfn.XLOOKUP(ESales_DB[[#This Row],[Product_ID]],Eproduct_DB[Product_ID],Eproduct_DB[Category])</f>
        <v>Clothing</v>
      </c>
      <c r="P1701" s="2" t="str">
        <f>_xlfn.XLOOKUP(ESales_DB[[#This Row],[Product_ID]],Eproduct_DB[Product_ID],Eproduct_DB[Product_Name])</f>
        <v>Women's High Heels</v>
      </c>
      <c r="Q1701" s="2" t="str">
        <f>_xlfn.XLOOKUP(ESales_DB[[#This Row],[Store_ID]],Estore_DB[Store_ID],Estore_DB[Region])</f>
        <v>East</v>
      </c>
      <c r="R1701" t="str">
        <f>VLOOKUP(ESales_DB[[#This Row],[Customer_ID]],Ecustom_DB[],10,FALSE)</f>
        <v>Platinum</v>
      </c>
      <c r="S1701" t="str">
        <f>IF(ESales_DB[[#This Row],[Quantity1]]&gt;3,"Bulk order","Normal order")</f>
        <v>Bulk order</v>
      </c>
    </row>
    <row r="1702" spans="1:19" x14ac:dyDescent="0.3">
      <c r="A1702" t="s">
        <v>2555</v>
      </c>
      <c r="B1702" s="4">
        <v>45263</v>
      </c>
      <c r="C1702" s="4" t="str">
        <f>TEXT(ESales_DB[[#This Row],[Order_Date]],"mmm")</f>
        <v>Dec</v>
      </c>
      <c r="D1702" t="s">
        <v>523</v>
      </c>
      <c r="E1702" t="s">
        <v>1714</v>
      </c>
      <c r="F1702" t="s">
        <v>1810</v>
      </c>
      <c r="G1702">
        <v>2</v>
      </c>
      <c r="H1702" s="10">
        <f>IF(ISBLANK(ESales_DB[[#This Row],[Quantity]]),AVERAGEIF(ESales_DB[Product_ID],ESales_DB[[#This Row],[Product_ID]],ESales_DB[Quantity]),ESales_DB[[#This Row],[Quantity]])</f>
        <v>2</v>
      </c>
      <c r="I1702" s="2">
        <v>354.26</v>
      </c>
      <c r="J1702">
        <v>0.01</v>
      </c>
      <c r="K1702" t="s">
        <v>1829</v>
      </c>
      <c r="L1702" s="2">
        <v>701.4348</v>
      </c>
      <c r="M1702" s="2" t="str">
        <f>IF(ESales_DB[[#This Row],[Total_Amount]]&gt;1000,"High","Low")</f>
        <v>Low</v>
      </c>
      <c r="N1702" s="2" t="str">
        <f>VLOOKUP(ESales_DB[[#This Row],[Customer_ID]],Ecustom_DB[],3,FALSE)</f>
        <v>Maria Sanchez</v>
      </c>
      <c r="O1702" s="2" t="str">
        <f>_xlfn.XLOOKUP(ESales_DB[[#This Row],[Product_ID]],Eproduct_DB[Product_ID],Eproduct_DB[Category])</f>
        <v>Beauty</v>
      </c>
      <c r="P1702" s="2" t="str">
        <f>_xlfn.XLOOKUP(ESales_DB[[#This Row],[Product_ID]],Eproduct_DB[Product_ID],Eproduct_DB[Product_Name])</f>
        <v>Hydrating Face Cleanser</v>
      </c>
      <c r="Q1702" s="2" t="str">
        <f>_xlfn.XLOOKUP(ESales_DB[[#This Row],[Store_ID]],Estore_DB[Store_ID],Estore_DB[Region])</f>
        <v>East</v>
      </c>
      <c r="R1702" t="str">
        <f>VLOOKUP(ESales_DB[[#This Row],[Customer_ID]],Ecustom_DB[],10,FALSE)</f>
        <v>Bronze</v>
      </c>
      <c r="S1702" t="str">
        <f>IF(ESales_DB[[#This Row],[Quantity1]]&gt;3,"Bulk order","Normal order")</f>
        <v>Normal order</v>
      </c>
    </row>
    <row r="1703" spans="1:19" x14ac:dyDescent="0.3">
      <c r="A1703" t="s">
        <v>1899</v>
      </c>
      <c r="B1703" s="4">
        <v>45626</v>
      </c>
      <c r="C1703" s="4" t="str">
        <f>TEXT(ESales_DB[[#This Row],[Order_Date]],"mmm")</f>
        <v>Nov</v>
      </c>
      <c r="D1703" t="s">
        <v>147</v>
      </c>
      <c r="E1703" t="s">
        <v>1638</v>
      </c>
      <c r="F1703" t="s">
        <v>1792</v>
      </c>
      <c r="G1703">
        <v>2</v>
      </c>
      <c r="H1703" s="10">
        <f>IF(ISBLANK(ESales_DB[[#This Row],[Quantity]]),AVERAGEIF(ESales_DB[Product_ID],ESales_DB[[#This Row],[Product_ID]],ESales_DB[Quantity]),ESales_DB[[#This Row],[Quantity]])</f>
        <v>2</v>
      </c>
      <c r="I1703" s="2">
        <v>556.42999999999995</v>
      </c>
      <c r="J1703">
        <v>0.13</v>
      </c>
      <c r="K1703" t="s">
        <v>1824</v>
      </c>
      <c r="L1703" s="2">
        <v>968.18819999999994</v>
      </c>
      <c r="M1703" s="2" t="str">
        <f>IF(ESales_DB[[#This Row],[Total_Amount]]&gt;1000,"High","Low")</f>
        <v>Low</v>
      </c>
      <c r="N1703" s="2" t="str">
        <f>VLOOKUP(ESales_DB[[#This Row],[Customer_ID]],Ecustom_DB[],3,FALSE)</f>
        <v>Christopher Carter</v>
      </c>
      <c r="O1703" s="2" t="str">
        <f>_xlfn.XLOOKUP(ESales_DB[[#This Row],[Product_ID]],Eproduct_DB[Product_ID],Eproduct_DB[Category])</f>
        <v>Sports</v>
      </c>
      <c r="P1703" s="2" t="str">
        <f>_xlfn.XLOOKUP(ESales_DB[[#This Row],[Product_ID]],Eproduct_DB[Product_ID],Eproduct_DB[Product_Name])</f>
        <v>High-Grip Football</v>
      </c>
      <c r="Q1703" s="2" t="str">
        <f>_xlfn.XLOOKUP(ESales_DB[[#This Row],[Store_ID]],Estore_DB[Store_ID],Estore_DB[Region])</f>
        <v>South</v>
      </c>
      <c r="R1703" t="str">
        <f>VLOOKUP(ESales_DB[[#This Row],[Customer_ID]],Ecustom_DB[],10,FALSE)</f>
        <v>Uncategorized</v>
      </c>
      <c r="S1703" t="str">
        <f>IF(ESales_DB[[#This Row],[Quantity1]]&gt;3,"Bulk order","Normal order")</f>
        <v>Normal order</v>
      </c>
    </row>
    <row r="1704" spans="1:19" x14ac:dyDescent="0.3">
      <c r="A1704" t="s">
        <v>2556</v>
      </c>
      <c r="B1704" s="4">
        <v>45554</v>
      </c>
      <c r="C1704" s="4" t="str">
        <f>TEXT(ESales_DB[[#This Row],[Order_Date]],"mmm")</f>
        <v>Sep</v>
      </c>
      <c r="D1704" t="s">
        <v>1202</v>
      </c>
      <c r="E1704" t="s">
        <v>1684</v>
      </c>
      <c r="F1704" t="s">
        <v>1799</v>
      </c>
      <c r="G1704">
        <v>1</v>
      </c>
      <c r="H1704" s="10">
        <f>IF(ISBLANK(ESales_DB[[#This Row],[Quantity]]),AVERAGEIF(ESales_DB[Product_ID],ESales_DB[[#This Row],[Product_ID]],ESales_DB[Quantity]),ESales_DB[[#This Row],[Quantity]])</f>
        <v>1</v>
      </c>
      <c r="I1704" s="2">
        <v>522.72</v>
      </c>
      <c r="J1704">
        <v>0.25</v>
      </c>
      <c r="K1704" t="s">
        <v>1826</v>
      </c>
      <c r="L1704" s="2">
        <v>392.04</v>
      </c>
      <c r="M1704" s="2" t="str">
        <f>IF(ESales_DB[[#This Row],[Total_Amount]]&gt;1000,"High","Low")</f>
        <v>Low</v>
      </c>
      <c r="N1704" s="2" t="str">
        <f>VLOOKUP(ESales_DB[[#This Row],[Customer_ID]],Ecustom_DB[],3,FALSE)</f>
        <v>Tammy Brennan</v>
      </c>
      <c r="O1704" s="2" t="str">
        <f>_xlfn.XLOOKUP(ESales_DB[[#This Row],[Product_ID]],Eproduct_DB[Product_ID],Eproduct_DB[Category])</f>
        <v>Home</v>
      </c>
      <c r="P1704" s="2" t="str">
        <f>_xlfn.XLOOKUP(ESales_DB[[#This Row],[Product_ID]],Eproduct_DB[Product_ID],Eproduct_DB[Product_Name])</f>
        <v>Wooden Nightstand</v>
      </c>
      <c r="Q1704" s="2" t="str">
        <f>_xlfn.XLOOKUP(ESales_DB[[#This Row],[Store_ID]],Estore_DB[Store_ID],Estore_DB[Region])</f>
        <v>South</v>
      </c>
      <c r="R1704" t="str">
        <f>VLOOKUP(ESales_DB[[#This Row],[Customer_ID]],Ecustom_DB[],10,FALSE)</f>
        <v>Gold</v>
      </c>
      <c r="S1704" t="str">
        <f>IF(ESales_DB[[#This Row],[Quantity1]]&gt;3,"Bulk order","Normal order")</f>
        <v>Normal order</v>
      </c>
    </row>
    <row r="1705" spans="1:19" x14ac:dyDescent="0.3">
      <c r="A1705" t="s">
        <v>2557</v>
      </c>
      <c r="B1705" s="4">
        <v>45569</v>
      </c>
      <c r="C1705" s="4" t="str">
        <f>TEXT(ESales_DB[[#This Row],[Order_Date]],"mmm")</f>
        <v>Oct</v>
      </c>
      <c r="D1705" t="s">
        <v>214</v>
      </c>
      <c r="E1705" t="s">
        <v>1555</v>
      </c>
      <c r="F1705" t="s">
        <v>1786</v>
      </c>
      <c r="G1705">
        <v>3</v>
      </c>
      <c r="H1705" s="10">
        <f>IF(ISBLANK(ESales_DB[[#This Row],[Quantity]]),AVERAGEIF(ESales_DB[Product_ID],ESales_DB[[#This Row],[Product_ID]],ESales_DB[Quantity]),ESales_DB[[#This Row],[Quantity]])</f>
        <v>3</v>
      </c>
      <c r="I1705" s="2">
        <v>966.02</v>
      </c>
      <c r="J1705">
        <v>0.03</v>
      </c>
      <c r="K1705" t="s">
        <v>1829</v>
      </c>
      <c r="L1705" s="2">
        <v>2811.1181999999999</v>
      </c>
      <c r="M1705" s="2" t="str">
        <f>IF(ESales_DB[[#This Row],[Total_Amount]]&gt;1000,"High","Low")</f>
        <v>High</v>
      </c>
      <c r="N1705" s="2" t="str">
        <f>VLOOKUP(ESales_DB[[#This Row],[Customer_ID]],Ecustom_DB[],3,FALSE)</f>
        <v>Jay Patel</v>
      </c>
      <c r="O1705" s="2" t="str">
        <f>_xlfn.XLOOKUP(ESales_DB[[#This Row],[Product_ID]],Eproduct_DB[Product_ID],Eproduct_DB[Category])</f>
        <v>Clothing</v>
      </c>
      <c r="P1705" s="2" t="str">
        <f>_xlfn.XLOOKUP(ESales_DB[[#This Row],[Product_ID]],Eproduct_DB[Product_ID],Eproduct_DB[Product_Name])</f>
        <v>Men's Leather Belt</v>
      </c>
      <c r="Q1705" s="2" t="str">
        <f>_xlfn.XLOOKUP(ESales_DB[[#This Row],[Store_ID]],Estore_DB[Store_ID],Estore_DB[Region])</f>
        <v>South</v>
      </c>
      <c r="R1705" t="str">
        <f>VLOOKUP(ESales_DB[[#This Row],[Customer_ID]],Ecustom_DB[],10,FALSE)</f>
        <v>Platinum</v>
      </c>
      <c r="S1705" t="str">
        <f>IF(ESales_DB[[#This Row],[Quantity1]]&gt;3,"Bulk order","Normal order")</f>
        <v>Normal order</v>
      </c>
    </row>
    <row r="1706" spans="1:19" x14ac:dyDescent="0.3">
      <c r="A1706" t="s">
        <v>2558</v>
      </c>
      <c r="B1706" s="4">
        <v>45217</v>
      </c>
      <c r="C1706" s="4" t="str">
        <f>TEXT(ESales_DB[[#This Row],[Order_Date]],"mmm")</f>
        <v>Oct</v>
      </c>
      <c r="D1706" t="s">
        <v>724</v>
      </c>
      <c r="E1706" t="s">
        <v>1648</v>
      </c>
      <c r="F1706" t="s">
        <v>1807</v>
      </c>
      <c r="G1706">
        <v>1</v>
      </c>
      <c r="H1706" s="10">
        <f>IF(ISBLANK(ESales_DB[[#This Row],[Quantity]]),AVERAGEIF(ESales_DB[Product_ID],ESales_DB[[#This Row],[Product_ID]],ESales_DB[Quantity]),ESales_DB[[#This Row],[Quantity]])</f>
        <v>1</v>
      </c>
      <c r="I1706" s="2">
        <v>498.61</v>
      </c>
      <c r="J1706">
        <v>0.04</v>
      </c>
      <c r="K1706" t="s">
        <v>1826</v>
      </c>
      <c r="L1706" s="2">
        <v>478.66559999999998</v>
      </c>
      <c r="M1706" s="2" t="str">
        <f>IF(ESales_DB[[#This Row],[Total_Amount]]&gt;1000,"High","Low")</f>
        <v>Low</v>
      </c>
      <c r="N1706" s="2" t="str">
        <f>VLOOKUP(ESales_DB[[#This Row],[Customer_ID]],Ecustom_DB[],3,FALSE)</f>
        <v>Anthony Morgan</v>
      </c>
      <c r="O1706" s="2" t="str">
        <f>_xlfn.XLOOKUP(ESales_DB[[#This Row],[Product_ID]],Eproduct_DB[Product_ID],Eproduct_DB[Category])</f>
        <v>Sports</v>
      </c>
      <c r="P1706" s="2" t="str">
        <f>_xlfn.XLOOKUP(ESales_DB[[#This Row],[Product_ID]],Eproduct_DB[Product_ID],Eproduct_DB[Product_Name])</f>
        <v>Boxing Hand Wraps</v>
      </c>
      <c r="Q1706" s="2" t="str">
        <f>_xlfn.XLOOKUP(ESales_DB[[#This Row],[Store_ID]],Estore_DB[Store_ID],Estore_DB[Region])</f>
        <v>North</v>
      </c>
      <c r="R1706" t="str">
        <f>VLOOKUP(ESales_DB[[#This Row],[Customer_ID]],Ecustom_DB[],10,FALSE)</f>
        <v>Silver</v>
      </c>
      <c r="S1706" t="str">
        <f>IF(ESales_DB[[#This Row],[Quantity1]]&gt;3,"Bulk order","Normal order")</f>
        <v>Normal order</v>
      </c>
    </row>
    <row r="1707" spans="1:19" x14ac:dyDescent="0.3">
      <c r="A1707" t="s">
        <v>2559</v>
      </c>
      <c r="B1707" s="4">
        <v>45783</v>
      </c>
      <c r="C1707" s="4" t="str">
        <f>TEXT(ESales_DB[[#This Row],[Order_Date]],"mmm")</f>
        <v>May</v>
      </c>
      <c r="D1707" t="s">
        <v>1038</v>
      </c>
      <c r="E1707" t="s">
        <v>1632</v>
      </c>
      <c r="F1707" t="s">
        <v>1776</v>
      </c>
      <c r="G1707">
        <v>4</v>
      </c>
      <c r="H1707" s="10">
        <f>IF(ISBLANK(ESales_DB[[#This Row],[Quantity]]),AVERAGEIF(ESales_DB[Product_ID],ESales_DB[[#This Row],[Product_ID]],ESales_DB[Quantity]),ESales_DB[[#This Row],[Quantity]])</f>
        <v>4</v>
      </c>
      <c r="I1707" s="2">
        <v>758.27</v>
      </c>
      <c r="J1707">
        <v>0.05</v>
      </c>
      <c r="K1707" t="s">
        <v>1826</v>
      </c>
      <c r="L1707" s="2">
        <v>2881.4259999999999</v>
      </c>
      <c r="M1707" s="2" t="str">
        <f>IF(ESales_DB[[#This Row],[Total_Amount]]&gt;1000,"High","Low")</f>
        <v>High</v>
      </c>
      <c r="N1707" s="2" t="str">
        <f>VLOOKUP(ESales_DB[[#This Row],[Customer_ID]],Ecustom_DB[],3,FALSE)</f>
        <v>Pamela Mcguire</v>
      </c>
      <c r="O1707" s="2" t="str">
        <f>_xlfn.XLOOKUP(ESales_DB[[#This Row],[Product_ID]],Eproduct_DB[Product_ID],Eproduct_DB[Category])</f>
        <v>Electronics</v>
      </c>
      <c r="P1707" s="2" t="str">
        <f>_xlfn.XLOOKUP(ESales_DB[[#This Row],[Product_ID]],Eproduct_DB[Product_ID],Eproduct_DB[Product_Name])</f>
        <v>Smart Home WiFi Camera</v>
      </c>
      <c r="Q1707" s="2" t="str">
        <f>_xlfn.XLOOKUP(ESales_DB[[#This Row],[Store_ID]],Estore_DB[Store_ID],Estore_DB[Region])</f>
        <v>East</v>
      </c>
      <c r="R1707" t="str">
        <f>VLOOKUP(ESales_DB[[#This Row],[Customer_ID]],Ecustom_DB[],10,FALSE)</f>
        <v>Platinum</v>
      </c>
      <c r="S1707" t="str">
        <f>IF(ESales_DB[[#This Row],[Quantity1]]&gt;3,"Bulk order","Normal order")</f>
        <v>Bulk order</v>
      </c>
    </row>
    <row r="1708" spans="1:19" x14ac:dyDescent="0.3">
      <c r="A1708" t="s">
        <v>2560</v>
      </c>
      <c r="B1708" s="4">
        <v>45371</v>
      </c>
      <c r="C1708" s="4" t="str">
        <f>TEXT(ESales_DB[[#This Row],[Order_Date]],"mmm")</f>
        <v>Mar</v>
      </c>
      <c r="D1708" t="s">
        <v>648</v>
      </c>
      <c r="E1708" t="s">
        <v>1551</v>
      </c>
      <c r="F1708" t="s">
        <v>1761</v>
      </c>
      <c r="G1708">
        <v>2</v>
      </c>
      <c r="H1708" s="10">
        <f>IF(ISBLANK(ESales_DB[[#This Row],[Quantity]]),AVERAGEIF(ESales_DB[Product_ID],ESales_DB[[#This Row],[Product_ID]],ESales_DB[Quantity]),ESales_DB[[#This Row],[Quantity]])</f>
        <v>2</v>
      </c>
      <c r="I1708" s="2">
        <v>371.03</v>
      </c>
      <c r="J1708">
        <v>0.23</v>
      </c>
      <c r="K1708" t="s">
        <v>1826</v>
      </c>
      <c r="L1708" s="2">
        <v>571.38619999999992</v>
      </c>
      <c r="M1708" s="2" t="str">
        <f>IF(ESales_DB[[#This Row],[Total_Amount]]&gt;1000,"High","Low")</f>
        <v>Low</v>
      </c>
      <c r="N1708" s="2" t="str">
        <f>VLOOKUP(ESales_DB[[#This Row],[Customer_ID]],Ecustom_DB[],3,FALSE)</f>
        <v>Wanda Snyder</v>
      </c>
      <c r="O1708" s="2" t="str">
        <f>_xlfn.XLOOKUP(ESales_DB[[#This Row],[Product_ID]],Eproduct_DB[Product_ID],Eproduct_DB[Category])</f>
        <v>Clothing</v>
      </c>
      <c r="P1708" s="2" t="str">
        <f>_xlfn.XLOOKUP(ESales_DB[[#This Row],[Product_ID]],Eproduct_DB[Product_ID],Eproduct_DB[Product_Name])</f>
        <v>Men's Running Jacket</v>
      </c>
      <c r="Q1708" s="2" t="str">
        <f>_xlfn.XLOOKUP(ESales_DB[[#This Row],[Store_ID]],Estore_DB[Store_ID],Estore_DB[Region])</f>
        <v>South</v>
      </c>
      <c r="R1708" t="str">
        <f>VLOOKUP(ESales_DB[[#This Row],[Customer_ID]],Ecustom_DB[],10,FALSE)</f>
        <v>Bronze</v>
      </c>
      <c r="S1708" t="str">
        <f>IF(ESales_DB[[#This Row],[Quantity1]]&gt;3,"Bulk order","Normal order")</f>
        <v>Normal order</v>
      </c>
    </row>
    <row r="1709" spans="1:19" x14ac:dyDescent="0.3">
      <c r="A1709" t="s">
        <v>2561</v>
      </c>
      <c r="B1709" s="4">
        <v>45453</v>
      </c>
      <c r="C1709" s="4" t="str">
        <f>TEXT(ESales_DB[[#This Row],[Order_Date]],"mmm")</f>
        <v>Jun</v>
      </c>
      <c r="D1709" t="s">
        <v>1112</v>
      </c>
      <c r="E1709" t="s">
        <v>1730</v>
      </c>
      <c r="F1709" t="s">
        <v>1807</v>
      </c>
      <c r="G1709">
        <v>1</v>
      </c>
      <c r="H1709" s="10">
        <f>IF(ISBLANK(ESales_DB[[#This Row],[Quantity]]),AVERAGEIF(ESales_DB[Product_ID],ESales_DB[[#This Row],[Product_ID]],ESales_DB[Quantity]),ESales_DB[[#This Row],[Quantity]])</f>
        <v>1</v>
      </c>
      <c r="I1709" s="2">
        <v>230.32</v>
      </c>
      <c r="J1709">
        <v>0.05</v>
      </c>
      <c r="K1709" t="s">
        <v>1829</v>
      </c>
      <c r="L1709" s="2">
        <v>218.804</v>
      </c>
      <c r="M1709" s="2" t="str">
        <f>IF(ESales_DB[[#This Row],[Total_Amount]]&gt;1000,"High","Low")</f>
        <v>Low</v>
      </c>
      <c r="N1709" s="2" t="str">
        <f>VLOOKUP(ESales_DB[[#This Row],[Customer_ID]],Ecustom_DB[],3,FALSE)</f>
        <v>Carlos Flores</v>
      </c>
      <c r="O1709" s="2" t="str">
        <f>_xlfn.XLOOKUP(ESales_DB[[#This Row],[Product_ID]],Eproduct_DB[Product_ID],Eproduct_DB[Category])</f>
        <v>Clothing</v>
      </c>
      <c r="P1709" s="2" t="str">
        <f>_xlfn.XLOOKUP(ESales_DB[[#This Row],[Product_ID]],Eproduct_DB[Product_ID],Eproduct_DB[Product_Name])</f>
        <v>Women's High Heels</v>
      </c>
      <c r="Q1709" s="2" t="str">
        <f>_xlfn.XLOOKUP(ESales_DB[[#This Row],[Store_ID]],Estore_DB[Store_ID],Estore_DB[Region])</f>
        <v>North</v>
      </c>
      <c r="R1709" t="str">
        <f>VLOOKUP(ESales_DB[[#This Row],[Customer_ID]],Ecustom_DB[],10,FALSE)</f>
        <v>Gold</v>
      </c>
      <c r="S1709" t="str">
        <f>IF(ESales_DB[[#This Row],[Quantity1]]&gt;3,"Bulk order","Normal order")</f>
        <v>Normal order</v>
      </c>
    </row>
    <row r="1710" spans="1:19" x14ac:dyDescent="0.3">
      <c r="A1710" t="s">
        <v>2562</v>
      </c>
      <c r="B1710" s="4">
        <v>45526</v>
      </c>
      <c r="C1710" s="4" t="str">
        <f>TEXT(ESales_DB[[#This Row],[Order_Date]],"mmm")</f>
        <v>Aug</v>
      </c>
      <c r="D1710" t="s">
        <v>1074</v>
      </c>
      <c r="E1710" t="s">
        <v>1670</v>
      </c>
      <c r="F1710" t="s">
        <v>1776</v>
      </c>
      <c r="G1710">
        <v>2</v>
      </c>
      <c r="H1710" s="10">
        <f>IF(ISBLANK(ESales_DB[[#This Row],[Quantity]]),AVERAGEIF(ESales_DB[Product_ID],ESales_DB[[#This Row],[Product_ID]],ESales_DB[Quantity]),ESales_DB[[#This Row],[Quantity]])</f>
        <v>2</v>
      </c>
      <c r="I1710" s="2">
        <v>985.43</v>
      </c>
      <c r="J1710">
        <v>0.28000000000000003</v>
      </c>
      <c r="K1710" t="s">
        <v>1829</v>
      </c>
      <c r="L1710" s="2">
        <v>1419.0192</v>
      </c>
      <c r="M1710" s="2" t="str">
        <f>IF(ESales_DB[[#This Row],[Total_Amount]]&gt;1000,"High","Low")</f>
        <v>High</v>
      </c>
      <c r="N1710" s="2" t="str">
        <f>VLOOKUP(ESales_DB[[#This Row],[Customer_ID]],Ecustom_DB[],3,FALSE)</f>
        <v>Michelle Cunningham</v>
      </c>
      <c r="O1710" s="2" t="str">
        <f>_xlfn.XLOOKUP(ESales_DB[[#This Row],[Product_ID]],Eproduct_DB[Product_ID],Eproduct_DB[Category])</f>
        <v>Sports</v>
      </c>
      <c r="P1710" s="2" t="str">
        <f>_xlfn.XLOOKUP(ESales_DB[[#This Row],[Product_ID]],Eproduct_DB[Product_ID],Eproduct_DB[Product_Name])</f>
        <v>Tennis Ball 3-Pack</v>
      </c>
      <c r="Q1710" s="2" t="str">
        <f>_xlfn.XLOOKUP(ESales_DB[[#This Row],[Store_ID]],Estore_DB[Store_ID],Estore_DB[Region])</f>
        <v>East</v>
      </c>
      <c r="R1710" t="str">
        <f>VLOOKUP(ESales_DB[[#This Row],[Customer_ID]],Ecustom_DB[],10,FALSE)</f>
        <v>Bronze</v>
      </c>
      <c r="S1710" t="str">
        <f>IF(ESales_DB[[#This Row],[Quantity1]]&gt;3,"Bulk order","Normal order")</f>
        <v>Normal order</v>
      </c>
    </row>
    <row r="1711" spans="1:19" x14ac:dyDescent="0.3">
      <c r="A1711" t="s">
        <v>2563</v>
      </c>
      <c r="B1711" s="4">
        <v>45756</v>
      </c>
      <c r="C1711" s="4" t="str">
        <f>TEXT(ESales_DB[[#This Row],[Order_Date]],"mmm")</f>
        <v>Apr</v>
      </c>
      <c r="D1711" t="s">
        <v>1310</v>
      </c>
      <c r="E1711" t="s">
        <v>1565</v>
      </c>
      <c r="F1711" t="s">
        <v>1769</v>
      </c>
      <c r="G1711">
        <v>2</v>
      </c>
      <c r="H1711" s="10">
        <f>IF(ISBLANK(ESales_DB[[#This Row],[Quantity]]),AVERAGEIF(ESales_DB[Product_ID],ESales_DB[[#This Row],[Product_ID]],ESales_DB[Quantity]),ESales_DB[[#This Row],[Quantity]])</f>
        <v>2</v>
      </c>
      <c r="I1711" s="2">
        <v>492.5</v>
      </c>
      <c r="J1711">
        <v>0.3</v>
      </c>
      <c r="K1711" t="s">
        <v>1826</v>
      </c>
      <c r="L1711" s="2">
        <v>689.5</v>
      </c>
      <c r="M1711" s="2" t="str">
        <f>IF(ESales_DB[[#This Row],[Total_Amount]]&gt;1000,"High","Low")</f>
        <v>Low</v>
      </c>
      <c r="N1711" s="2" t="str">
        <f>VLOOKUP(ESales_DB[[#This Row],[Customer_ID]],Ecustom_DB[],3,FALSE)</f>
        <v>Brittany Edwards Dds</v>
      </c>
      <c r="O1711" s="2" t="str">
        <f>_xlfn.XLOOKUP(ESales_DB[[#This Row],[Product_ID]],Eproduct_DB[Product_ID],Eproduct_DB[Category])</f>
        <v>Sports</v>
      </c>
      <c r="P1711" s="2" t="str">
        <f>_xlfn.XLOOKUP(ESales_DB[[#This Row],[Product_ID]],Eproduct_DB[Product_ID],Eproduct_DB[Product_Name])</f>
        <v>Adjustable Dumbbell Set</v>
      </c>
      <c r="Q1711" s="2" t="str">
        <f>_xlfn.XLOOKUP(ESales_DB[[#This Row],[Store_ID]],Estore_DB[Store_ID],Estore_DB[Region])</f>
        <v>South</v>
      </c>
      <c r="R1711" t="str">
        <f>VLOOKUP(ESales_DB[[#This Row],[Customer_ID]],Ecustom_DB[],10,FALSE)</f>
        <v>Platinum</v>
      </c>
      <c r="S1711" t="str">
        <f>IF(ESales_DB[[#This Row],[Quantity1]]&gt;3,"Bulk order","Normal order")</f>
        <v>Normal order</v>
      </c>
    </row>
    <row r="1712" spans="1:19" x14ac:dyDescent="0.3">
      <c r="A1712" t="s">
        <v>2564</v>
      </c>
      <c r="B1712" s="4">
        <v>45657</v>
      </c>
      <c r="C1712" s="4" t="str">
        <f>TEXT(ESales_DB[[#This Row],[Order_Date]],"mmm")</f>
        <v>Dec</v>
      </c>
      <c r="D1712" t="s">
        <v>1139</v>
      </c>
      <c r="E1712" t="s">
        <v>1640</v>
      </c>
      <c r="F1712" t="s">
        <v>1792</v>
      </c>
      <c r="G1712">
        <v>2</v>
      </c>
      <c r="H1712" s="10">
        <f>IF(ISBLANK(ESales_DB[[#This Row],[Quantity]]),AVERAGEIF(ESales_DB[Product_ID],ESales_DB[[#This Row],[Product_ID]],ESales_DB[Quantity]),ESales_DB[[#This Row],[Quantity]])</f>
        <v>2</v>
      </c>
      <c r="I1712" s="2">
        <v>213.69</v>
      </c>
      <c r="J1712">
        <v>0.28000000000000003</v>
      </c>
      <c r="K1712" t="s">
        <v>1826</v>
      </c>
      <c r="L1712" s="2">
        <v>307.71359999999999</v>
      </c>
      <c r="M1712" s="2" t="str">
        <f>IF(ESales_DB[[#This Row],[Total_Amount]]&gt;1000,"High","Low")</f>
        <v>Low</v>
      </c>
      <c r="N1712" s="2" t="str">
        <f>VLOOKUP(ESales_DB[[#This Row],[Customer_ID]],Ecustom_DB[],3,FALSE)</f>
        <v>Chloe Aguilar</v>
      </c>
      <c r="O1712" s="2" t="str">
        <f>_xlfn.XLOOKUP(ESales_DB[[#This Row],[Product_ID]],Eproduct_DB[Product_ID],Eproduct_DB[Category])</f>
        <v>Clothing</v>
      </c>
      <c r="P1712" s="2" t="str">
        <f>_xlfn.XLOOKUP(ESales_DB[[#This Row],[Product_ID]],Eproduct_DB[Product_ID],Eproduct_DB[Product_Name])</f>
        <v>Men's Winter Jacket</v>
      </c>
      <c r="Q1712" s="2" t="str">
        <f>_xlfn.XLOOKUP(ESales_DB[[#This Row],[Store_ID]],Estore_DB[Store_ID],Estore_DB[Region])</f>
        <v>South</v>
      </c>
      <c r="R1712" t="str">
        <f>VLOOKUP(ESales_DB[[#This Row],[Customer_ID]],Ecustom_DB[],10,FALSE)</f>
        <v>Bronze</v>
      </c>
      <c r="S1712" t="str">
        <f>IF(ESales_DB[[#This Row],[Quantity1]]&gt;3,"Bulk order","Normal order")</f>
        <v>Normal order</v>
      </c>
    </row>
    <row r="1713" spans="1:19" x14ac:dyDescent="0.3">
      <c r="A1713" t="s">
        <v>2565</v>
      </c>
      <c r="B1713" s="4">
        <v>45716</v>
      </c>
      <c r="C1713" s="4" t="str">
        <f>TEXT(ESales_DB[[#This Row],[Order_Date]],"mmm")</f>
        <v>Feb</v>
      </c>
      <c r="D1713" t="s">
        <v>241</v>
      </c>
      <c r="E1713" t="s">
        <v>1588</v>
      </c>
      <c r="F1713" t="s">
        <v>1782</v>
      </c>
      <c r="G1713">
        <v>4</v>
      </c>
      <c r="H1713" s="10">
        <f>IF(ISBLANK(ESales_DB[[#This Row],[Quantity]]),AVERAGEIF(ESales_DB[Product_ID],ESales_DB[[#This Row],[Product_ID]],ESales_DB[Quantity]),ESales_DB[[#This Row],[Quantity]])</f>
        <v>4</v>
      </c>
      <c r="I1713" s="2">
        <v>618.83000000000004</v>
      </c>
      <c r="J1713">
        <v>0.08</v>
      </c>
      <c r="K1713" t="s">
        <v>1826</v>
      </c>
      <c r="L1713" s="2">
        <v>2277.2944000000002</v>
      </c>
      <c r="M1713" s="2" t="str">
        <f>IF(ESales_DB[[#This Row],[Total_Amount]]&gt;1000,"High","Low")</f>
        <v>High</v>
      </c>
      <c r="N1713" s="2" t="str">
        <f>VLOOKUP(ESales_DB[[#This Row],[Customer_ID]],Ecustom_DB[],3,FALSE)</f>
        <v>Michael Thomas</v>
      </c>
      <c r="O1713" s="2" t="str">
        <f>_xlfn.XLOOKUP(ESales_DB[[#This Row],[Product_ID]],Eproduct_DB[Product_ID],Eproduct_DB[Category])</f>
        <v>Sports</v>
      </c>
      <c r="P1713" s="2" t="str">
        <f>_xlfn.XLOOKUP(ESales_DB[[#This Row],[Product_ID]],Eproduct_DB[Product_ID],Eproduct_DB[Product_Name])</f>
        <v>Outdoor Sports Water Bottle</v>
      </c>
      <c r="Q1713" s="2" t="str">
        <f>_xlfn.XLOOKUP(ESales_DB[[#This Row],[Store_ID]],Estore_DB[Store_ID],Estore_DB[Region])</f>
        <v>West</v>
      </c>
      <c r="R1713" t="str">
        <f>VLOOKUP(ESales_DB[[#This Row],[Customer_ID]],Ecustom_DB[],10,FALSE)</f>
        <v>Silver</v>
      </c>
      <c r="S1713" t="str">
        <f>IF(ESales_DB[[#This Row],[Quantity1]]&gt;3,"Bulk order","Normal order")</f>
        <v>Bulk order</v>
      </c>
    </row>
    <row r="1714" spans="1:19" x14ac:dyDescent="0.3">
      <c r="A1714" t="s">
        <v>1900</v>
      </c>
      <c r="B1714" s="4">
        <v>45942</v>
      </c>
      <c r="C1714" s="4" t="str">
        <f>TEXT(ESales_DB[[#This Row],[Order_Date]],"mmm")</f>
        <v>Oct</v>
      </c>
      <c r="D1714" t="s">
        <v>869</v>
      </c>
      <c r="E1714" t="s">
        <v>1588</v>
      </c>
      <c r="F1714" t="s">
        <v>1782</v>
      </c>
      <c r="G1714">
        <v>1</v>
      </c>
      <c r="H1714" s="10">
        <f>IF(ISBLANK(ESales_DB[[#This Row],[Quantity]]),AVERAGEIF(ESales_DB[Product_ID],ESales_DB[[#This Row],[Product_ID]],ESales_DB[Quantity]),ESales_DB[[#This Row],[Quantity]])</f>
        <v>1</v>
      </c>
      <c r="I1714" s="2">
        <v>184.98</v>
      </c>
      <c r="J1714">
        <v>0.1</v>
      </c>
      <c r="K1714" t="s">
        <v>1829</v>
      </c>
      <c r="L1714" s="2">
        <v>166.482</v>
      </c>
      <c r="M1714" s="2" t="str">
        <f>IF(ESales_DB[[#This Row],[Total_Amount]]&gt;1000,"High","Low")</f>
        <v>Low</v>
      </c>
      <c r="N1714" s="2" t="str">
        <f>VLOOKUP(ESales_DB[[#This Row],[Customer_ID]],Ecustom_DB[],3,FALSE)</f>
        <v>Samantha Robinson</v>
      </c>
      <c r="O1714" s="2" t="str">
        <f>_xlfn.XLOOKUP(ESales_DB[[#This Row],[Product_ID]],Eproduct_DB[Product_ID],Eproduct_DB[Category])</f>
        <v>Sports</v>
      </c>
      <c r="P1714" s="2" t="str">
        <f>_xlfn.XLOOKUP(ESales_DB[[#This Row],[Product_ID]],Eproduct_DB[Product_ID],Eproduct_DB[Product_Name])</f>
        <v>Outdoor Sports Water Bottle</v>
      </c>
      <c r="Q1714" s="2" t="str">
        <f>_xlfn.XLOOKUP(ESales_DB[[#This Row],[Store_ID]],Estore_DB[Store_ID],Estore_DB[Region])</f>
        <v>West</v>
      </c>
      <c r="R1714" t="str">
        <f>VLOOKUP(ESales_DB[[#This Row],[Customer_ID]],Ecustom_DB[],10,FALSE)</f>
        <v>Bronze</v>
      </c>
      <c r="S1714" t="str">
        <f>IF(ESales_DB[[#This Row],[Quantity1]]&gt;3,"Bulk order","Normal order")</f>
        <v>Normal order</v>
      </c>
    </row>
    <row r="1715" spans="1:19" x14ac:dyDescent="0.3">
      <c r="A1715" t="s">
        <v>2566</v>
      </c>
      <c r="B1715" s="4">
        <v>45313</v>
      </c>
      <c r="C1715" s="4" t="str">
        <f>TEXT(ESales_DB[[#This Row],[Order_Date]],"mmm")</f>
        <v>Jan</v>
      </c>
      <c r="D1715" t="s">
        <v>335</v>
      </c>
      <c r="E1715" t="s">
        <v>1666</v>
      </c>
      <c r="F1715" t="s">
        <v>1792</v>
      </c>
      <c r="G1715">
        <v>2</v>
      </c>
      <c r="H1715" s="10">
        <f>IF(ISBLANK(ESales_DB[[#This Row],[Quantity]]),AVERAGEIF(ESales_DB[Product_ID],ESales_DB[[#This Row],[Product_ID]],ESales_DB[Quantity]),ESales_DB[[#This Row],[Quantity]])</f>
        <v>2</v>
      </c>
      <c r="I1715" s="2">
        <v>81.16</v>
      </c>
      <c r="J1715">
        <v>0.16</v>
      </c>
      <c r="K1715" t="s">
        <v>1826</v>
      </c>
      <c r="L1715" s="2">
        <v>136.34880000000001</v>
      </c>
      <c r="M1715" s="2" t="str">
        <f>IF(ESales_DB[[#This Row],[Total_Amount]]&gt;1000,"High","Low")</f>
        <v>Low</v>
      </c>
      <c r="N1715" s="2" t="str">
        <f>VLOOKUP(ESales_DB[[#This Row],[Customer_ID]],Ecustom_DB[],3,FALSE)</f>
        <v>Christy Vasquez</v>
      </c>
      <c r="O1715" s="2" t="str">
        <f>_xlfn.XLOOKUP(ESales_DB[[#This Row],[Product_ID]],Eproduct_DB[Product_ID],Eproduct_DB[Category])</f>
        <v>Beauty</v>
      </c>
      <c r="P1715" s="2" t="str">
        <f>_xlfn.XLOOKUP(ESales_DB[[#This Row],[Product_ID]],Eproduct_DB[Product_ID],Eproduct_DB[Product_Name])</f>
        <v>Men's Hair Styling Gel</v>
      </c>
      <c r="Q1715" s="2" t="str">
        <f>_xlfn.XLOOKUP(ESales_DB[[#This Row],[Store_ID]],Estore_DB[Store_ID],Estore_DB[Region])</f>
        <v>South</v>
      </c>
      <c r="R1715" t="str">
        <f>VLOOKUP(ESales_DB[[#This Row],[Customer_ID]],Ecustom_DB[],10,FALSE)</f>
        <v>Gold</v>
      </c>
      <c r="S1715" t="str">
        <f>IF(ESales_DB[[#This Row],[Quantity1]]&gt;3,"Bulk order","Normal order")</f>
        <v>Normal order</v>
      </c>
    </row>
    <row r="1716" spans="1:19" x14ac:dyDescent="0.3">
      <c r="A1716" t="s">
        <v>2567</v>
      </c>
      <c r="B1716" s="4">
        <v>45372</v>
      </c>
      <c r="C1716" s="4" t="str">
        <f>TEXT(ESales_DB[[#This Row],[Order_Date]],"mmm")</f>
        <v>Mar</v>
      </c>
      <c r="D1716" t="s">
        <v>20</v>
      </c>
      <c r="E1716" t="s">
        <v>1720</v>
      </c>
      <c r="F1716" t="s">
        <v>1786</v>
      </c>
      <c r="G1716">
        <v>1</v>
      </c>
      <c r="H1716" s="10">
        <f>IF(ISBLANK(ESales_DB[[#This Row],[Quantity]]),AVERAGEIF(ESales_DB[Product_ID],ESales_DB[[#This Row],[Product_ID]],ESales_DB[Quantity]),ESales_DB[[#This Row],[Quantity]])</f>
        <v>1</v>
      </c>
      <c r="I1716" s="2">
        <v>431.69</v>
      </c>
      <c r="J1716">
        <v>0.09</v>
      </c>
      <c r="K1716" t="s">
        <v>1824</v>
      </c>
      <c r="L1716" s="2">
        <v>392.83789999999999</v>
      </c>
      <c r="M1716" s="2" t="str">
        <f>IF(ESales_DB[[#This Row],[Total_Amount]]&gt;1000,"High","Low")</f>
        <v>Low</v>
      </c>
      <c r="N1716" s="2" t="str">
        <f>VLOOKUP(ESales_DB[[#This Row],[Customer_ID]],Ecustom_DB[],3,FALSE)</f>
        <v>Dr. Benjamin Price</v>
      </c>
      <c r="O1716" s="2" t="str">
        <f>_xlfn.XLOOKUP(ESales_DB[[#This Row],[Product_ID]],Eproduct_DB[Product_ID],Eproduct_DB[Category])</f>
        <v>Home</v>
      </c>
      <c r="P1716" s="2" t="str">
        <f>_xlfn.XLOOKUP(ESales_DB[[#This Row],[Product_ID]],Eproduct_DB[Product_ID],Eproduct_DB[Product_Name])</f>
        <v>Kitchen Cutting Board</v>
      </c>
      <c r="Q1716" s="2" t="str">
        <f>_xlfn.XLOOKUP(ESales_DB[[#This Row],[Store_ID]],Estore_DB[Store_ID],Estore_DB[Region])</f>
        <v>South</v>
      </c>
      <c r="R1716" t="str">
        <f>VLOOKUP(ESales_DB[[#This Row],[Customer_ID]],Ecustom_DB[],10,FALSE)</f>
        <v>Platinum</v>
      </c>
      <c r="S1716" t="str">
        <f>IF(ESales_DB[[#This Row],[Quantity1]]&gt;3,"Bulk order","Normal order")</f>
        <v>Normal order</v>
      </c>
    </row>
    <row r="1717" spans="1:19" x14ac:dyDescent="0.3">
      <c r="A1717" t="s">
        <v>2568</v>
      </c>
      <c r="B1717" s="4">
        <v>45648</v>
      </c>
      <c r="C1717" s="4" t="str">
        <f>TEXT(ESales_DB[[#This Row],[Order_Date]],"mmm")</f>
        <v>Dec</v>
      </c>
      <c r="D1717" t="s">
        <v>1260</v>
      </c>
      <c r="E1717" t="s">
        <v>1584</v>
      </c>
      <c r="F1717" t="s">
        <v>1773</v>
      </c>
      <c r="G1717">
        <v>3</v>
      </c>
      <c r="H1717" s="10">
        <f>IF(ISBLANK(ESales_DB[[#This Row],[Quantity]]),AVERAGEIF(ESales_DB[Product_ID],ESales_DB[[#This Row],[Product_ID]],ESales_DB[Quantity]),ESales_DB[[#This Row],[Quantity]])</f>
        <v>3</v>
      </c>
      <c r="I1717" s="2">
        <v>438.65</v>
      </c>
      <c r="J1717">
        <v>0.28999999999999998</v>
      </c>
      <c r="K1717" t="s">
        <v>1826</v>
      </c>
      <c r="L1717" s="2">
        <v>934.32449999999983</v>
      </c>
      <c r="M1717" s="2" t="str">
        <f>IF(ESales_DB[[#This Row],[Total_Amount]]&gt;1000,"High","Low")</f>
        <v>Low</v>
      </c>
      <c r="N1717" s="2" t="str">
        <f>VLOOKUP(ESales_DB[[#This Row],[Customer_ID]],Ecustom_DB[],3,FALSE)</f>
        <v>Eric Wolfe</v>
      </c>
      <c r="O1717" s="2" t="str">
        <f>_xlfn.XLOOKUP(ESales_DB[[#This Row],[Product_ID]],Eproduct_DB[Product_ID],Eproduct_DB[Category])</f>
        <v>Clothing</v>
      </c>
      <c r="P1717" s="2" t="str">
        <f>_xlfn.XLOOKUP(ESales_DB[[#This Row],[Product_ID]],Eproduct_DB[Product_ID],Eproduct_DB[Product_Name])</f>
        <v>Women's Denim Jeans</v>
      </c>
      <c r="Q1717" s="2" t="str">
        <f>_xlfn.XLOOKUP(ESales_DB[[#This Row],[Store_ID]],Estore_DB[Store_ID],Estore_DB[Region])</f>
        <v>North</v>
      </c>
      <c r="R1717" t="str">
        <f>VLOOKUP(ESales_DB[[#This Row],[Customer_ID]],Ecustom_DB[],10,FALSE)</f>
        <v>Gold</v>
      </c>
      <c r="S1717" t="str">
        <f>IF(ESales_DB[[#This Row],[Quantity1]]&gt;3,"Bulk order","Normal order")</f>
        <v>Normal order</v>
      </c>
    </row>
    <row r="1718" spans="1:19" x14ac:dyDescent="0.3">
      <c r="A1718" t="s">
        <v>2569</v>
      </c>
      <c r="B1718" s="4">
        <v>45384</v>
      </c>
      <c r="C1718" s="4" t="str">
        <f>TEXT(ESales_DB[[#This Row],[Order_Date]],"mmm")</f>
        <v>Apr</v>
      </c>
      <c r="D1718" t="s">
        <v>571</v>
      </c>
      <c r="E1718" t="s">
        <v>1706</v>
      </c>
      <c r="F1718" t="s">
        <v>1766</v>
      </c>
      <c r="G1718">
        <v>3</v>
      </c>
      <c r="H1718" s="10">
        <f>IF(ISBLANK(ESales_DB[[#This Row],[Quantity]]),AVERAGEIF(ESales_DB[Product_ID],ESales_DB[[#This Row],[Product_ID]],ESales_DB[Quantity]),ESales_DB[[#This Row],[Quantity]])</f>
        <v>3</v>
      </c>
      <c r="I1718" s="2">
        <v>339.41</v>
      </c>
      <c r="J1718">
        <v>0.26</v>
      </c>
      <c r="K1718" t="s">
        <v>1824</v>
      </c>
      <c r="L1718" s="2">
        <v>753.49019999999996</v>
      </c>
      <c r="M1718" s="2" t="str">
        <f>IF(ESales_DB[[#This Row],[Total_Amount]]&gt;1000,"High","Low")</f>
        <v>Low</v>
      </c>
      <c r="N1718" s="2" t="str">
        <f>VLOOKUP(ESales_DB[[#This Row],[Customer_ID]],Ecustom_DB[],3,FALSE)</f>
        <v>Thomas Rhodes</v>
      </c>
      <c r="O1718" s="2" t="str">
        <f>_xlfn.XLOOKUP(ESales_DB[[#This Row],[Product_ID]],Eproduct_DB[Product_ID],Eproduct_DB[Category])</f>
        <v>Home</v>
      </c>
      <c r="P1718" s="2" t="str">
        <f>_xlfn.XLOOKUP(ESales_DB[[#This Row],[Product_ID]],Eproduct_DB[Product_ID],Eproduct_DB[Product_Name])</f>
        <v>Decorative Lamp Shade</v>
      </c>
      <c r="Q1718" s="2" t="str">
        <f>_xlfn.XLOOKUP(ESales_DB[[#This Row],[Store_ID]],Estore_DB[Store_ID],Estore_DB[Region])</f>
        <v>North</v>
      </c>
      <c r="R1718" t="str">
        <f>VLOOKUP(ESales_DB[[#This Row],[Customer_ID]],Ecustom_DB[],10,FALSE)</f>
        <v>Bronze</v>
      </c>
      <c r="S1718" t="str">
        <f>IF(ESales_DB[[#This Row],[Quantity1]]&gt;3,"Bulk order","Normal order")</f>
        <v>Normal order</v>
      </c>
    </row>
    <row r="1719" spans="1:19" x14ac:dyDescent="0.3">
      <c r="A1719" t="s">
        <v>2570</v>
      </c>
      <c r="B1719" s="4">
        <v>45687</v>
      </c>
      <c r="C1719" s="4" t="str">
        <f>TEXT(ESales_DB[[#This Row],[Order_Date]],"mmm")</f>
        <v>Jan</v>
      </c>
      <c r="D1719" t="s">
        <v>1449</v>
      </c>
      <c r="E1719" t="s">
        <v>1706</v>
      </c>
      <c r="F1719" t="s">
        <v>1786</v>
      </c>
      <c r="G1719">
        <v>4</v>
      </c>
      <c r="H1719" s="10">
        <f>IF(ISBLANK(ESales_DB[[#This Row],[Quantity]]),AVERAGEIF(ESales_DB[Product_ID],ESales_DB[[#This Row],[Product_ID]],ESales_DB[Quantity]),ESales_DB[[#This Row],[Quantity]])</f>
        <v>4</v>
      </c>
      <c r="I1719" s="2">
        <v>848.47</v>
      </c>
      <c r="J1719">
        <v>0.21</v>
      </c>
      <c r="K1719" t="s">
        <v>1829</v>
      </c>
      <c r="L1719" s="2">
        <v>2681.1651999999999</v>
      </c>
      <c r="M1719" s="2" t="str">
        <f>IF(ESales_DB[[#This Row],[Total_Amount]]&gt;1000,"High","Low")</f>
        <v>High</v>
      </c>
      <c r="N1719" s="2" t="str">
        <f>VLOOKUP(ESales_DB[[#This Row],[Customer_ID]],Ecustom_DB[],3,FALSE)</f>
        <v>Manuel Fisher</v>
      </c>
      <c r="O1719" s="2" t="str">
        <f>_xlfn.XLOOKUP(ESales_DB[[#This Row],[Product_ID]],Eproduct_DB[Product_ID],Eproduct_DB[Category])</f>
        <v>Home</v>
      </c>
      <c r="P1719" s="2" t="str">
        <f>_xlfn.XLOOKUP(ESales_DB[[#This Row],[Product_ID]],Eproduct_DB[Product_ID],Eproduct_DB[Product_Name])</f>
        <v>Decorative Lamp Shade</v>
      </c>
      <c r="Q1719" s="2" t="str">
        <f>_xlfn.XLOOKUP(ESales_DB[[#This Row],[Store_ID]],Estore_DB[Store_ID],Estore_DB[Region])</f>
        <v>South</v>
      </c>
      <c r="R1719" t="str">
        <f>VLOOKUP(ESales_DB[[#This Row],[Customer_ID]],Ecustom_DB[],10,FALSE)</f>
        <v>Gold</v>
      </c>
      <c r="S1719" t="str">
        <f>IF(ESales_DB[[#This Row],[Quantity1]]&gt;3,"Bulk order","Normal order")</f>
        <v>Bulk order</v>
      </c>
    </row>
    <row r="1720" spans="1:19" x14ac:dyDescent="0.3">
      <c r="A1720" t="s">
        <v>2571</v>
      </c>
      <c r="B1720" s="4">
        <v>45747</v>
      </c>
      <c r="C1720" s="4" t="str">
        <f>TEXT(ESales_DB[[#This Row],[Order_Date]],"mmm")</f>
        <v>Mar</v>
      </c>
      <c r="D1720" t="s">
        <v>631</v>
      </c>
      <c r="E1720" t="s">
        <v>1682</v>
      </c>
      <c r="F1720" t="s">
        <v>1782</v>
      </c>
      <c r="G1720">
        <v>1</v>
      </c>
      <c r="H1720" s="10">
        <f>IF(ISBLANK(ESales_DB[[#This Row],[Quantity]]),AVERAGEIF(ESales_DB[Product_ID],ESales_DB[[#This Row],[Product_ID]],ESales_DB[Quantity]),ESales_DB[[#This Row],[Quantity]])</f>
        <v>1</v>
      </c>
      <c r="I1720" s="2">
        <v>664.87</v>
      </c>
      <c r="J1720">
        <v>0.08</v>
      </c>
      <c r="K1720" t="s">
        <v>1826</v>
      </c>
      <c r="L1720" s="2">
        <v>611.68040000000008</v>
      </c>
      <c r="M1720" s="2" t="str">
        <f>IF(ESales_DB[[#This Row],[Total_Amount]]&gt;1000,"High","Low")</f>
        <v>Low</v>
      </c>
      <c r="N1720" s="2" t="str">
        <f>VLOOKUP(ESales_DB[[#This Row],[Customer_ID]],Ecustom_DB[],3,FALSE)</f>
        <v>Jacob Wood</v>
      </c>
      <c r="O1720" s="2" t="str">
        <f>_xlfn.XLOOKUP(ESales_DB[[#This Row],[Product_ID]],Eproduct_DB[Product_ID],Eproduct_DB[Category])</f>
        <v>Electronics</v>
      </c>
      <c r="P1720" s="2" t="str">
        <f>_xlfn.XLOOKUP(ESales_DB[[#This Row],[Product_ID]],Eproduct_DB[Product_ID],Eproduct_DB[Product_Name])</f>
        <v>Smart LED Light Strip</v>
      </c>
      <c r="Q1720" s="2" t="str">
        <f>_xlfn.XLOOKUP(ESales_DB[[#This Row],[Store_ID]],Estore_DB[Store_ID],Estore_DB[Region])</f>
        <v>West</v>
      </c>
      <c r="R1720" t="str">
        <f>VLOOKUP(ESales_DB[[#This Row],[Customer_ID]],Ecustom_DB[],10,FALSE)</f>
        <v>Gold</v>
      </c>
      <c r="S1720" t="str">
        <f>IF(ESales_DB[[#This Row],[Quantity1]]&gt;3,"Bulk order","Normal order")</f>
        <v>Normal order</v>
      </c>
    </row>
    <row r="1721" spans="1:19" x14ac:dyDescent="0.3">
      <c r="A1721" t="s">
        <v>2572</v>
      </c>
      <c r="B1721" s="4">
        <v>45687</v>
      </c>
      <c r="C1721" s="4" t="str">
        <f>TEXT(ESales_DB[[#This Row],[Order_Date]],"mmm")</f>
        <v>Jan</v>
      </c>
      <c r="D1721" t="s">
        <v>353</v>
      </c>
      <c r="E1721" t="s">
        <v>1596</v>
      </c>
      <c r="F1721" t="s">
        <v>1779</v>
      </c>
      <c r="G1721">
        <v>1</v>
      </c>
      <c r="H1721" s="10">
        <f>IF(ISBLANK(ESales_DB[[#This Row],[Quantity]]),AVERAGEIF(ESales_DB[Product_ID],ESales_DB[[#This Row],[Product_ID]],ESales_DB[Quantity]),ESales_DB[[#This Row],[Quantity]])</f>
        <v>1</v>
      </c>
      <c r="I1721" s="2">
        <v>412.11</v>
      </c>
      <c r="J1721">
        <v>0.23</v>
      </c>
      <c r="K1721" t="s">
        <v>1826</v>
      </c>
      <c r="L1721" s="2">
        <v>317.32470000000001</v>
      </c>
      <c r="M1721" s="2" t="str">
        <f>IF(ESales_DB[[#This Row],[Total_Amount]]&gt;1000,"High","Low")</f>
        <v>Low</v>
      </c>
      <c r="N1721" s="2" t="str">
        <f>VLOOKUP(ESales_DB[[#This Row],[Customer_ID]],Ecustom_DB[],3,FALSE)</f>
        <v>Sheila Wilson</v>
      </c>
      <c r="O1721" s="2" t="str">
        <f>_xlfn.XLOOKUP(ESales_DB[[#This Row],[Product_ID]],Eproduct_DB[Product_ID],Eproduct_DB[Category])</f>
        <v>Sports</v>
      </c>
      <c r="P1721" s="2" t="str">
        <f>_xlfn.XLOOKUP(ESales_DB[[#This Row],[Product_ID]],Eproduct_DB[Product_ID],Eproduct_DB[Product_Name])</f>
        <v>Foldable Camping Chair</v>
      </c>
      <c r="Q1721" s="2" t="str">
        <f>_xlfn.XLOOKUP(ESales_DB[[#This Row],[Store_ID]],Estore_DB[Store_ID],Estore_DB[Region])</f>
        <v>South</v>
      </c>
      <c r="R1721" t="str">
        <f>VLOOKUP(ESales_DB[[#This Row],[Customer_ID]],Ecustom_DB[],10,FALSE)</f>
        <v>Silver</v>
      </c>
      <c r="S1721" t="str">
        <f>IF(ESales_DB[[#This Row],[Quantity1]]&gt;3,"Bulk order","Normal order")</f>
        <v>Normal order</v>
      </c>
    </row>
    <row r="1722" spans="1:19" x14ac:dyDescent="0.3">
      <c r="A1722" t="s">
        <v>2573</v>
      </c>
      <c r="B1722" s="4">
        <v>45916</v>
      </c>
      <c r="C1722" s="4" t="str">
        <f>TEXT(ESales_DB[[#This Row],[Order_Date]],"mmm")</f>
        <v>Sep</v>
      </c>
      <c r="D1722" t="s">
        <v>422</v>
      </c>
      <c r="E1722" t="s">
        <v>1736</v>
      </c>
      <c r="F1722" t="s">
        <v>1757</v>
      </c>
      <c r="G1722">
        <v>1</v>
      </c>
      <c r="H1722" s="10">
        <f>IF(ISBLANK(ESales_DB[[#This Row],[Quantity]]),AVERAGEIF(ESales_DB[Product_ID],ESales_DB[[#This Row],[Product_ID]],ESales_DB[Quantity]),ESales_DB[[#This Row],[Quantity]])</f>
        <v>1</v>
      </c>
      <c r="I1722" s="2">
        <v>126.09</v>
      </c>
      <c r="J1722">
        <v>0.05</v>
      </c>
      <c r="K1722" t="s">
        <v>1829</v>
      </c>
      <c r="L1722" s="2">
        <v>119.7855</v>
      </c>
      <c r="M1722" s="2" t="str">
        <f>IF(ESales_DB[[#This Row],[Total_Amount]]&gt;1000,"High","Low")</f>
        <v>Low</v>
      </c>
      <c r="N1722" s="2" t="str">
        <f>VLOOKUP(ESales_DB[[#This Row],[Customer_ID]],Ecustom_DB[],3,FALSE)</f>
        <v>Michael Chang</v>
      </c>
      <c r="O1722" s="2" t="str">
        <f>_xlfn.XLOOKUP(ESales_DB[[#This Row],[Product_ID]],Eproduct_DB[Product_ID],Eproduct_DB[Category])</f>
        <v>Beauty</v>
      </c>
      <c r="P1722" s="2" t="str">
        <f>_xlfn.XLOOKUP(ESales_DB[[#This Row],[Product_ID]],Eproduct_DB[Product_ID],Eproduct_DB[Product_Name])</f>
        <v>Vitamin E Body Lotion</v>
      </c>
      <c r="Q1722" s="2" t="str">
        <f>_xlfn.XLOOKUP(ESales_DB[[#This Row],[Store_ID]],Estore_DB[Store_ID],Estore_DB[Region])</f>
        <v>North</v>
      </c>
      <c r="R1722" t="str">
        <f>VLOOKUP(ESales_DB[[#This Row],[Customer_ID]],Ecustom_DB[],10,FALSE)</f>
        <v>Platinum</v>
      </c>
      <c r="S1722" t="str">
        <f>IF(ESales_DB[[#This Row],[Quantity1]]&gt;3,"Bulk order","Normal order")</f>
        <v>Normal order</v>
      </c>
    </row>
    <row r="1723" spans="1:19" x14ac:dyDescent="0.3">
      <c r="A1723" t="s">
        <v>2574</v>
      </c>
      <c r="B1723" s="4">
        <v>45917</v>
      </c>
      <c r="C1723" s="4" t="str">
        <f>TEXT(ESales_DB[[#This Row],[Order_Date]],"mmm")</f>
        <v>Sep</v>
      </c>
      <c r="D1723" t="s">
        <v>648</v>
      </c>
      <c r="E1723" t="s">
        <v>1682</v>
      </c>
      <c r="F1723" t="s">
        <v>1789</v>
      </c>
      <c r="G1723">
        <v>4</v>
      </c>
      <c r="H1723" s="10">
        <f>IF(ISBLANK(ESales_DB[[#This Row],[Quantity]]),AVERAGEIF(ESales_DB[Product_ID],ESales_DB[[#This Row],[Product_ID]],ESales_DB[Quantity]),ESales_DB[[#This Row],[Quantity]])</f>
        <v>4</v>
      </c>
      <c r="I1723" s="2">
        <v>602.39</v>
      </c>
      <c r="J1723">
        <v>0.19</v>
      </c>
      <c r="K1723" t="s">
        <v>1829</v>
      </c>
      <c r="L1723" s="2">
        <v>1951.7436</v>
      </c>
      <c r="M1723" s="2" t="str">
        <f>IF(ESales_DB[[#This Row],[Total_Amount]]&gt;1000,"High","Low")</f>
        <v>High</v>
      </c>
      <c r="N1723" s="2" t="str">
        <f>VLOOKUP(ESales_DB[[#This Row],[Customer_ID]],Ecustom_DB[],3,FALSE)</f>
        <v>Wanda Snyder</v>
      </c>
      <c r="O1723" s="2" t="str">
        <f>_xlfn.XLOOKUP(ESales_DB[[#This Row],[Product_ID]],Eproduct_DB[Product_ID],Eproduct_DB[Category])</f>
        <v>Electronics</v>
      </c>
      <c r="P1723" s="2" t="str">
        <f>_xlfn.XLOOKUP(ESales_DB[[#This Row],[Product_ID]],Eproduct_DB[Product_ID],Eproduct_DB[Product_Name])</f>
        <v>Smart LED Light Strip</v>
      </c>
      <c r="Q1723" s="2" t="str">
        <f>_xlfn.XLOOKUP(ESales_DB[[#This Row],[Store_ID]],Estore_DB[Store_ID],Estore_DB[Region])</f>
        <v>East</v>
      </c>
      <c r="R1723" t="str">
        <f>VLOOKUP(ESales_DB[[#This Row],[Customer_ID]],Ecustom_DB[],10,FALSE)</f>
        <v>Bronze</v>
      </c>
      <c r="S1723" t="str">
        <f>IF(ESales_DB[[#This Row],[Quantity1]]&gt;3,"Bulk order","Normal order")</f>
        <v>Bulk order</v>
      </c>
    </row>
    <row r="1724" spans="1:19" x14ac:dyDescent="0.3">
      <c r="A1724" t="s">
        <v>2575</v>
      </c>
      <c r="B1724" s="4">
        <v>45941</v>
      </c>
      <c r="C1724" s="4" t="str">
        <f>TEXT(ESales_DB[[#This Row],[Order_Date]],"mmm")</f>
        <v>Oct</v>
      </c>
      <c r="D1724" t="s">
        <v>1023</v>
      </c>
      <c r="E1724" t="s">
        <v>1712</v>
      </c>
      <c r="F1724" t="s">
        <v>1766</v>
      </c>
      <c r="G1724">
        <v>3</v>
      </c>
      <c r="H1724" s="10">
        <f>IF(ISBLANK(ESales_DB[[#This Row],[Quantity]]),AVERAGEIF(ESales_DB[Product_ID],ESales_DB[[#This Row],[Product_ID]],ESales_DB[Quantity]),ESales_DB[[#This Row],[Quantity]])</f>
        <v>3</v>
      </c>
      <c r="I1724" s="2">
        <v>447.69</v>
      </c>
      <c r="J1724">
        <v>0.02</v>
      </c>
      <c r="K1724" t="s">
        <v>1829</v>
      </c>
      <c r="L1724" s="2">
        <v>1316.2085999999999</v>
      </c>
      <c r="M1724" s="2" t="str">
        <f>IF(ESales_DB[[#This Row],[Total_Amount]]&gt;1000,"High","Low")</f>
        <v>High</v>
      </c>
      <c r="N1724" s="2" t="str">
        <f>VLOOKUP(ESales_DB[[#This Row],[Customer_ID]],Ecustom_DB[],3,FALSE)</f>
        <v>Andrew Smith</v>
      </c>
      <c r="O1724" s="2" t="str">
        <f>_xlfn.XLOOKUP(ESales_DB[[#This Row],[Product_ID]],Eproduct_DB[Product_ID],Eproduct_DB[Category])</f>
        <v>Sports</v>
      </c>
      <c r="P1724" s="2" t="str">
        <f>_xlfn.XLOOKUP(ESales_DB[[#This Row],[Product_ID]],Eproduct_DB[Product_ID],Eproduct_DB[Product_Name])</f>
        <v>Fitness Resistance Bands</v>
      </c>
      <c r="Q1724" s="2" t="str">
        <f>_xlfn.XLOOKUP(ESales_DB[[#This Row],[Store_ID]],Estore_DB[Store_ID],Estore_DB[Region])</f>
        <v>North</v>
      </c>
      <c r="R1724" t="str">
        <f>VLOOKUP(ESales_DB[[#This Row],[Customer_ID]],Ecustom_DB[],10,FALSE)</f>
        <v>Bronze</v>
      </c>
      <c r="S1724" t="str">
        <f>IF(ESales_DB[[#This Row],[Quantity1]]&gt;3,"Bulk order","Normal order")</f>
        <v>Normal order</v>
      </c>
    </row>
    <row r="1725" spans="1:19" x14ac:dyDescent="0.3">
      <c r="A1725" t="s">
        <v>1901</v>
      </c>
      <c r="B1725" s="4">
        <v>45500</v>
      </c>
      <c r="C1725" s="4" t="str">
        <f>TEXT(ESales_DB[[#This Row],[Order_Date]],"mmm")</f>
        <v>Jul</v>
      </c>
      <c r="D1725" t="s">
        <v>141</v>
      </c>
      <c r="E1725" t="s">
        <v>1742</v>
      </c>
      <c r="F1725" t="s">
        <v>1794</v>
      </c>
      <c r="G1725">
        <v>4</v>
      </c>
      <c r="H1725" s="10">
        <f>IF(ISBLANK(ESales_DB[[#This Row],[Quantity]]),AVERAGEIF(ESales_DB[Product_ID],ESales_DB[[#This Row],[Product_ID]],ESales_DB[Quantity]),ESales_DB[[#This Row],[Quantity]])</f>
        <v>4</v>
      </c>
      <c r="I1725" s="2">
        <v>700.18</v>
      </c>
      <c r="J1725">
        <v>0.23</v>
      </c>
      <c r="K1725" t="s">
        <v>1824</v>
      </c>
      <c r="L1725" s="2">
        <v>2156.5544</v>
      </c>
      <c r="M1725" s="2" t="str">
        <f>IF(ESales_DB[[#This Row],[Total_Amount]]&gt;1000,"High","Low")</f>
        <v>High</v>
      </c>
      <c r="N1725" s="2" t="str">
        <f>VLOOKUP(ESales_DB[[#This Row],[Customer_ID]],Ecustom_DB[],3,FALSE)</f>
        <v>Rachel Myers</v>
      </c>
      <c r="O1725" s="2" t="str">
        <f>_xlfn.XLOOKUP(ESales_DB[[#This Row],[Product_ID]],Eproduct_DB[Product_ID],Eproduct_DB[Category])</f>
        <v>Sports</v>
      </c>
      <c r="P1725" s="2" t="str">
        <f>_xlfn.XLOOKUP(ESales_DB[[#This Row],[Product_ID]],Eproduct_DB[Product_ID],Eproduct_DB[Product_Name])</f>
        <v>Cricket Bat</v>
      </c>
      <c r="Q1725" s="2" t="str">
        <f>_xlfn.XLOOKUP(ESales_DB[[#This Row],[Store_ID]],Estore_DB[Store_ID],Estore_DB[Region])</f>
        <v>North</v>
      </c>
      <c r="R1725" t="str">
        <f>VLOOKUP(ESales_DB[[#This Row],[Customer_ID]],Ecustom_DB[],10,FALSE)</f>
        <v>Silver</v>
      </c>
      <c r="S1725" t="str">
        <f>IF(ESales_DB[[#This Row],[Quantity1]]&gt;3,"Bulk order","Normal order")</f>
        <v>Bulk order</v>
      </c>
    </row>
    <row r="1726" spans="1:19" x14ac:dyDescent="0.3">
      <c r="A1726" t="s">
        <v>2576</v>
      </c>
      <c r="B1726" s="4">
        <v>45778</v>
      </c>
      <c r="C1726" s="4" t="str">
        <f>TEXT(ESales_DB[[#This Row],[Order_Date]],"mmm")</f>
        <v>May</v>
      </c>
      <c r="D1726" t="s">
        <v>794</v>
      </c>
      <c r="E1726" t="s">
        <v>1616</v>
      </c>
      <c r="F1726" t="s">
        <v>1766</v>
      </c>
      <c r="G1726">
        <v>3</v>
      </c>
      <c r="H1726" s="10">
        <f>IF(ISBLANK(ESales_DB[[#This Row],[Quantity]]),AVERAGEIF(ESales_DB[Product_ID],ESales_DB[[#This Row],[Product_ID]],ESales_DB[Quantity]),ESales_DB[[#This Row],[Quantity]])</f>
        <v>3</v>
      </c>
      <c r="I1726" s="2">
        <v>35.159999999999997</v>
      </c>
      <c r="J1726">
        <v>0.04</v>
      </c>
      <c r="K1726" t="s">
        <v>1829</v>
      </c>
      <c r="L1726" s="2">
        <v>101.2608</v>
      </c>
      <c r="M1726" s="2" t="str">
        <f>IF(ESales_DB[[#This Row],[Total_Amount]]&gt;1000,"High","Low")</f>
        <v>Low</v>
      </c>
      <c r="N1726" s="2" t="str">
        <f>VLOOKUP(ESales_DB[[#This Row],[Customer_ID]],Ecustom_DB[],3,FALSE)</f>
        <v>Nicholas Webb</v>
      </c>
      <c r="O1726" s="2" t="str">
        <f>_xlfn.XLOOKUP(ESales_DB[[#This Row],[Product_ID]],Eproduct_DB[Product_ID],Eproduct_DB[Category])</f>
        <v>Electronics</v>
      </c>
      <c r="P1726" s="2" t="str">
        <f>_xlfn.XLOOKUP(ESales_DB[[#This Row],[Product_ID]],Eproduct_DB[Product_ID],Eproduct_DB[Product_Name])</f>
        <v>Gaming Mechanical Keyboard</v>
      </c>
      <c r="Q1726" s="2" t="str">
        <f>_xlfn.XLOOKUP(ESales_DB[[#This Row],[Store_ID]],Estore_DB[Store_ID],Estore_DB[Region])</f>
        <v>North</v>
      </c>
      <c r="R1726" t="str">
        <f>VLOOKUP(ESales_DB[[#This Row],[Customer_ID]],Ecustom_DB[],10,FALSE)</f>
        <v>Gold</v>
      </c>
      <c r="S1726" t="str">
        <f>IF(ESales_DB[[#This Row],[Quantity1]]&gt;3,"Bulk order","Normal order")</f>
        <v>Normal order</v>
      </c>
    </row>
    <row r="1727" spans="1:19" x14ac:dyDescent="0.3">
      <c r="A1727" t="s">
        <v>2577</v>
      </c>
      <c r="B1727" s="4">
        <v>45740</v>
      </c>
      <c r="C1727" s="4" t="str">
        <f>TEXT(ESales_DB[[#This Row],[Order_Date]],"mmm")</f>
        <v>Mar</v>
      </c>
      <c r="D1727" t="s">
        <v>1038</v>
      </c>
      <c r="E1727" t="s">
        <v>1692</v>
      </c>
      <c r="F1727" t="s">
        <v>1792</v>
      </c>
      <c r="G1727">
        <v>2</v>
      </c>
      <c r="H1727" s="10">
        <f>IF(ISBLANK(ESales_DB[[#This Row],[Quantity]]),AVERAGEIF(ESales_DB[Product_ID],ESales_DB[[#This Row],[Product_ID]],ESales_DB[Quantity]),ESales_DB[[#This Row],[Quantity]])</f>
        <v>2</v>
      </c>
      <c r="I1727" s="2">
        <v>838.59</v>
      </c>
      <c r="J1727">
        <v>0.18</v>
      </c>
      <c r="K1727" t="s">
        <v>1829</v>
      </c>
      <c r="L1727" s="2">
        <v>1375.2876000000001</v>
      </c>
      <c r="M1727" s="2" t="str">
        <f>IF(ESales_DB[[#This Row],[Total_Amount]]&gt;1000,"High","Low")</f>
        <v>High</v>
      </c>
      <c r="N1727" s="2" t="str">
        <f>VLOOKUP(ESales_DB[[#This Row],[Customer_ID]],Ecustom_DB[],3,FALSE)</f>
        <v>Pamela Mcguire</v>
      </c>
      <c r="O1727" s="2" t="str">
        <f>_xlfn.XLOOKUP(ESales_DB[[#This Row],[Product_ID]],Eproduct_DB[Product_ID],Eproduct_DB[Category])</f>
        <v>Sports</v>
      </c>
      <c r="P1727" s="2" t="str">
        <f>_xlfn.XLOOKUP(ESales_DB[[#This Row],[Product_ID]],Eproduct_DB[Product_ID],Eproduct_DB[Product_Name])</f>
        <v>Professional Jump Rope</v>
      </c>
      <c r="Q1727" s="2" t="str">
        <f>_xlfn.XLOOKUP(ESales_DB[[#This Row],[Store_ID]],Estore_DB[Store_ID],Estore_DB[Region])</f>
        <v>South</v>
      </c>
      <c r="R1727" t="str">
        <f>VLOOKUP(ESales_DB[[#This Row],[Customer_ID]],Ecustom_DB[],10,FALSE)</f>
        <v>Platinum</v>
      </c>
      <c r="S1727" t="str">
        <f>IF(ESales_DB[[#This Row],[Quantity1]]&gt;3,"Bulk order","Normal order")</f>
        <v>Normal order</v>
      </c>
    </row>
    <row r="1728" spans="1:19" x14ac:dyDescent="0.3">
      <c r="A1728" t="s">
        <v>2578</v>
      </c>
      <c r="B1728" s="4">
        <v>45598</v>
      </c>
      <c r="C1728" s="4" t="str">
        <f>TEXT(ESales_DB[[#This Row],[Order_Date]],"mmm")</f>
        <v>Nov</v>
      </c>
      <c r="D1728" t="s">
        <v>321</v>
      </c>
      <c r="E1728" t="s">
        <v>1666</v>
      </c>
      <c r="F1728" t="s">
        <v>1776</v>
      </c>
      <c r="G1728">
        <v>4</v>
      </c>
      <c r="H1728" s="10">
        <f>IF(ISBLANK(ESales_DB[[#This Row],[Quantity]]),AVERAGEIF(ESales_DB[Product_ID],ESales_DB[[#This Row],[Product_ID]],ESales_DB[Quantity]),ESales_DB[[#This Row],[Quantity]])</f>
        <v>4</v>
      </c>
      <c r="I1728" s="2">
        <v>867.94</v>
      </c>
      <c r="J1728">
        <v>0.26</v>
      </c>
      <c r="K1728" t="s">
        <v>1826</v>
      </c>
      <c r="L1728" s="2">
        <v>2569.1024000000002</v>
      </c>
      <c r="M1728" s="2" t="str">
        <f>IF(ESales_DB[[#This Row],[Total_Amount]]&gt;1000,"High","Low")</f>
        <v>High</v>
      </c>
      <c r="N1728" s="2" t="str">
        <f>VLOOKUP(ESales_DB[[#This Row],[Customer_ID]],Ecustom_DB[],3,FALSE)</f>
        <v>Jamie Yoder</v>
      </c>
      <c r="O1728" s="2" t="str">
        <f>_xlfn.XLOOKUP(ESales_DB[[#This Row],[Product_ID]],Eproduct_DB[Product_ID],Eproduct_DB[Category])</f>
        <v>Beauty</v>
      </c>
      <c r="P1728" s="2" t="str">
        <f>_xlfn.XLOOKUP(ESales_DB[[#This Row],[Product_ID]],Eproduct_DB[Product_ID],Eproduct_DB[Product_Name])</f>
        <v>Men's Hair Styling Gel</v>
      </c>
      <c r="Q1728" s="2" t="str">
        <f>_xlfn.XLOOKUP(ESales_DB[[#This Row],[Store_ID]],Estore_DB[Store_ID],Estore_DB[Region])</f>
        <v>East</v>
      </c>
      <c r="R1728" t="str">
        <f>VLOOKUP(ESales_DB[[#This Row],[Customer_ID]],Ecustom_DB[],10,FALSE)</f>
        <v>Platinum</v>
      </c>
      <c r="S1728" t="str">
        <f>IF(ESales_DB[[#This Row],[Quantity1]]&gt;3,"Bulk order","Normal order")</f>
        <v>Bulk order</v>
      </c>
    </row>
    <row r="1729" spans="1:19" x14ac:dyDescent="0.3">
      <c r="A1729" t="s">
        <v>2579</v>
      </c>
      <c r="B1729" s="4">
        <v>45591</v>
      </c>
      <c r="C1729" s="4" t="str">
        <f>TEXT(ESales_DB[[#This Row],[Order_Date]],"mmm")</f>
        <v>Oct</v>
      </c>
      <c r="D1729" t="s">
        <v>643</v>
      </c>
      <c r="E1729" t="s">
        <v>1626</v>
      </c>
      <c r="F1729" t="s">
        <v>1807</v>
      </c>
      <c r="G1729">
        <v>1</v>
      </c>
      <c r="H1729" s="10">
        <f>IF(ISBLANK(ESales_DB[[#This Row],[Quantity]]),AVERAGEIF(ESales_DB[Product_ID],ESales_DB[[#This Row],[Product_ID]],ESales_DB[Quantity]),ESales_DB[[#This Row],[Quantity]])</f>
        <v>1</v>
      </c>
      <c r="I1729" s="2">
        <v>623.88</v>
      </c>
      <c r="J1729">
        <v>0.25</v>
      </c>
      <c r="K1729" t="s">
        <v>1824</v>
      </c>
      <c r="L1729" s="2">
        <v>467.91</v>
      </c>
      <c r="M1729" s="2" t="str">
        <f>IF(ESales_DB[[#This Row],[Total_Amount]]&gt;1000,"High","Low")</f>
        <v>Low</v>
      </c>
      <c r="N1729" s="2" t="str">
        <f>VLOOKUP(ESales_DB[[#This Row],[Customer_ID]],Ecustom_DB[],3,FALSE)</f>
        <v>Megan Greer</v>
      </c>
      <c r="O1729" s="2" t="str">
        <f>_xlfn.XLOOKUP(ESales_DB[[#This Row],[Product_ID]],Eproduct_DB[Product_ID],Eproduct_DB[Category])</f>
        <v>Electronics</v>
      </c>
      <c r="P1729" s="2" t="str">
        <f>_xlfn.XLOOKUP(ESales_DB[[#This Row],[Product_ID]],Eproduct_DB[Product_ID],Eproduct_DB[Product_Name])</f>
        <v>Portable Power Bank</v>
      </c>
      <c r="Q1729" s="2" t="str">
        <f>_xlfn.XLOOKUP(ESales_DB[[#This Row],[Store_ID]],Estore_DB[Store_ID],Estore_DB[Region])</f>
        <v>North</v>
      </c>
      <c r="R1729" t="str">
        <f>VLOOKUP(ESales_DB[[#This Row],[Customer_ID]],Ecustom_DB[],10,FALSE)</f>
        <v>Platinum</v>
      </c>
      <c r="S1729" t="str">
        <f>IF(ESales_DB[[#This Row],[Quantity1]]&gt;3,"Bulk order","Normal order")</f>
        <v>Normal order</v>
      </c>
    </row>
    <row r="1730" spans="1:19" x14ac:dyDescent="0.3">
      <c r="A1730" t="s">
        <v>2580</v>
      </c>
      <c r="B1730" s="4">
        <v>45546</v>
      </c>
      <c r="C1730" s="4" t="str">
        <f>TEXT(ESales_DB[[#This Row],[Order_Date]],"mmm")</f>
        <v>Sep</v>
      </c>
      <c r="D1730" t="s">
        <v>585</v>
      </c>
      <c r="E1730" t="s">
        <v>1632</v>
      </c>
      <c r="F1730" t="s">
        <v>1799</v>
      </c>
      <c r="G1730">
        <v>2</v>
      </c>
      <c r="H1730" s="10">
        <f>IF(ISBLANK(ESales_DB[[#This Row],[Quantity]]),AVERAGEIF(ESales_DB[Product_ID],ESales_DB[[#This Row],[Product_ID]],ESales_DB[Quantity]),ESales_DB[[#This Row],[Quantity]])</f>
        <v>2</v>
      </c>
      <c r="I1730" s="2">
        <v>567.95000000000005</v>
      </c>
      <c r="J1730">
        <v>0.12</v>
      </c>
      <c r="K1730" t="s">
        <v>1826</v>
      </c>
      <c r="L1730" s="2">
        <v>999.5920000000001</v>
      </c>
      <c r="M1730" s="2" t="str">
        <f>IF(ESales_DB[[#This Row],[Total_Amount]]&gt;1000,"High","Low")</f>
        <v>Low</v>
      </c>
      <c r="N1730" s="2" t="str">
        <f>VLOOKUP(ESales_DB[[#This Row],[Customer_ID]],Ecustom_DB[],3,FALSE)</f>
        <v>Curtis Lam</v>
      </c>
      <c r="O1730" s="2" t="str">
        <f>_xlfn.XLOOKUP(ESales_DB[[#This Row],[Product_ID]],Eproduct_DB[Product_ID],Eproduct_DB[Category])</f>
        <v>Electronics</v>
      </c>
      <c r="P1730" s="2" t="str">
        <f>_xlfn.XLOOKUP(ESales_DB[[#This Row],[Product_ID]],Eproduct_DB[Product_ID],Eproduct_DB[Product_Name])</f>
        <v>Smart Home WiFi Camera</v>
      </c>
      <c r="Q1730" s="2" t="str">
        <f>_xlfn.XLOOKUP(ESales_DB[[#This Row],[Store_ID]],Estore_DB[Store_ID],Estore_DB[Region])</f>
        <v>South</v>
      </c>
      <c r="R1730" t="str">
        <f>VLOOKUP(ESales_DB[[#This Row],[Customer_ID]],Ecustom_DB[],10,FALSE)</f>
        <v>Platinum</v>
      </c>
      <c r="S1730" t="str">
        <f>IF(ESales_DB[[#This Row],[Quantity1]]&gt;3,"Bulk order","Normal order")</f>
        <v>Normal order</v>
      </c>
    </row>
    <row r="1731" spans="1:19" x14ac:dyDescent="0.3">
      <c r="A1731" t="s">
        <v>2581</v>
      </c>
      <c r="B1731" s="4">
        <v>45483</v>
      </c>
      <c r="C1731" s="4" t="str">
        <f>TEXT(ESales_DB[[#This Row],[Order_Date]],"mmm")</f>
        <v>Jul</v>
      </c>
      <c r="D1731" t="s">
        <v>1017</v>
      </c>
      <c r="E1731" t="s">
        <v>1610</v>
      </c>
      <c r="F1731" t="s">
        <v>1810</v>
      </c>
      <c r="G1731">
        <v>2</v>
      </c>
      <c r="H1731" s="10">
        <f>IF(ISBLANK(ESales_DB[[#This Row],[Quantity]]),AVERAGEIF(ESales_DB[Product_ID],ESales_DB[[#This Row],[Product_ID]],ESales_DB[Quantity]),ESales_DB[[#This Row],[Quantity]])</f>
        <v>2</v>
      </c>
      <c r="I1731" s="2">
        <v>671.69</v>
      </c>
      <c r="J1731">
        <v>0.19</v>
      </c>
      <c r="K1731" t="s">
        <v>1824</v>
      </c>
      <c r="L1731" s="2">
        <v>1088.1378</v>
      </c>
      <c r="M1731" s="2" t="str">
        <f>IF(ESales_DB[[#This Row],[Total_Amount]]&gt;1000,"High","Low")</f>
        <v>High</v>
      </c>
      <c r="N1731" s="2" t="str">
        <f>VLOOKUP(ESales_DB[[#This Row],[Customer_ID]],Ecustom_DB[],3,FALSE)</f>
        <v>Kristy Dunlap</v>
      </c>
      <c r="O1731" s="2" t="str">
        <f>_xlfn.XLOOKUP(ESales_DB[[#This Row],[Product_ID]],Eproduct_DB[Product_ID],Eproduct_DB[Category])</f>
        <v>Sports</v>
      </c>
      <c r="P1731" s="2" t="str">
        <f>_xlfn.XLOOKUP(ESales_DB[[#This Row],[Product_ID]],Eproduct_DB[Product_ID],Eproduct_DB[Product_Name])</f>
        <v>Basketball</v>
      </c>
      <c r="Q1731" s="2" t="str">
        <f>_xlfn.XLOOKUP(ESales_DB[[#This Row],[Store_ID]],Estore_DB[Store_ID],Estore_DB[Region])</f>
        <v>East</v>
      </c>
      <c r="R1731" t="str">
        <f>VLOOKUP(ESales_DB[[#This Row],[Customer_ID]],Ecustom_DB[],10,FALSE)</f>
        <v>Platinum</v>
      </c>
      <c r="S1731" t="str">
        <f>IF(ESales_DB[[#This Row],[Quantity1]]&gt;3,"Bulk order","Normal order")</f>
        <v>Normal order</v>
      </c>
    </row>
    <row r="1732" spans="1:19" x14ac:dyDescent="0.3">
      <c r="A1732" t="s">
        <v>2582</v>
      </c>
      <c r="B1732" s="4">
        <v>45786</v>
      </c>
      <c r="C1732" s="4" t="str">
        <f>TEXT(ESales_DB[[#This Row],[Order_Date]],"mmm")</f>
        <v>May</v>
      </c>
      <c r="D1732" t="s">
        <v>672</v>
      </c>
      <c r="E1732" t="s">
        <v>1557</v>
      </c>
      <c r="F1732" t="s">
        <v>1779</v>
      </c>
      <c r="G1732">
        <v>2</v>
      </c>
      <c r="H1732" s="10">
        <f>IF(ISBLANK(ESales_DB[[#This Row],[Quantity]]),AVERAGEIF(ESales_DB[Product_ID],ESales_DB[[#This Row],[Product_ID]],ESales_DB[Quantity]),ESales_DB[[#This Row],[Quantity]])</f>
        <v>2</v>
      </c>
      <c r="I1732" s="2">
        <v>257.95999999999998</v>
      </c>
      <c r="J1732">
        <v>0.21</v>
      </c>
      <c r="K1732" t="s">
        <v>1826</v>
      </c>
      <c r="L1732" s="2">
        <v>407.57679999999999</v>
      </c>
      <c r="M1732" s="2" t="str">
        <f>IF(ESales_DB[[#This Row],[Total_Amount]]&gt;1000,"High","Low")</f>
        <v>Low</v>
      </c>
      <c r="N1732" s="2" t="str">
        <f>VLOOKUP(ESales_DB[[#This Row],[Customer_ID]],Ecustom_DB[],3,FALSE)</f>
        <v>Ronald Jones</v>
      </c>
      <c r="O1732" s="2" t="str">
        <f>_xlfn.XLOOKUP(ESales_DB[[#This Row],[Product_ID]],Eproduct_DB[Product_ID],Eproduct_DB[Category])</f>
        <v>Beauty</v>
      </c>
      <c r="P1732" s="2" t="str">
        <f>_xlfn.XLOOKUP(ESales_DB[[#This Row],[Product_ID]],Eproduct_DB[Product_ID],Eproduct_DB[Product_Name])</f>
        <v>Herbal Face Moisturizer</v>
      </c>
      <c r="Q1732" s="2" t="str">
        <f>_xlfn.XLOOKUP(ESales_DB[[#This Row],[Store_ID]],Estore_DB[Store_ID],Estore_DB[Region])</f>
        <v>South</v>
      </c>
      <c r="R1732" t="str">
        <f>VLOOKUP(ESales_DB[[#This Row],[Customer_ID]],Ecustom_DB[],10,FALSE)</f>
        <v>Silver</v>
      </c>
      <c r="S1732" t="str">
        <f>IF(ESales_DB[[#This Row],[Quantity1]]&gt;3,"Bulk order","Normal order")</f>
        <v>Normal order</v>
      </c>
    </row>
    <row r="1733" spans="1:19" x14ac:dyDescent="0.3">
      <c r="A1733" t="s">
        <v>2583</v>
      </c>
      <c r="B1733" s="4">
        <v>45475</v>
      </c>
      <c r="C1733" s="4" t="str">
        <f>TEXT(ESales_DB[[#This Row],[Order_Date]],"mmm")</f>
        <v>Jul</v>
      </c>
      <c r="D1733" t="s">
        <v>666</v>
      </c>
      <c r="E1733" t="s">
        <v>1744</v>
      </c>
      <c r="F1733" t="s">
        <v>1813</v>
      </c>
      <c r="G1733">
        <v>4</v>
      </c>
      <c r="H1733" s="10">
        <f>IF(ISBLANK(ESales_DB[[#This Row],[Quantity]]),AVERAGEIF(ESales_DB[Product_ID],ESales_DB[[#This Row],[Product_ID]],ESales_DB[Quantity]),ESales_DB[[#This Row],[Quantity]])</f>
        <v>4</v>
      </c>
      <c r="I1733" s="2">
        <v>281.48</v>
      </c>
      <c r="J1733">
        <v>0.27</v>
      </c>
      <c r="K1733" t="s">
        <v>1826</v>
      </c>
      <c r="L1733" s="2">
        <v>821.92160000000001</v>
      </c>
      <c r="M1733" s="2" t="str">
        <f>IF(ESales_DB[[#This Row],[Total_Amount]]&gt;1000,"High","Low")</f>
        <v>Low</v>
      </c>
      <c r="N1733" s="2" t="str">
        <f>VLOOKUP(ESales_DB[[#This Row],[Customer_ID]],Ecustom_DB[],3,FALSE)</f>
        <v>Tiffany Herrera</v>
      </c>
      <c r="O1733" s="2" t="str">
        <f>_xlfn.XLOOKUP(ESales_DB[[#This Row],[Product_ID]],Eproduct_DB[Product_ID],Eproduct_DB[Category])</f>
        <v>Electronics</v>
      </c>
      <c r="P1733" s="2" t="str">
        <f>_xlfn.XLOOKUP(ESales_DB[[#This Row],[Product_ID]],Eproduct_DB[Product_ID],Eproduct_DB[Product_Name])</f>
        <v>Portable Bluetooth Speaker</v>
      </c>
      <c r="Q1733" s="2" t="str">
        <f>_xlfn.XLOOKUP(ESales_DB[[#This Row],[Store_ID]],Estore_DB[Store_ID],Estore_DB[Region])</f>
        <v>East</v>
      </c>
      <c r="R1733" t="str">
        <f>VLOOKUP(ESales_DB[[#This Row],[Customer_ID]],Ecustom_DB[],10,FALSE)</f>
        <v>Platinum</v>
      </c>
      <c r="S1733" t="str">
        <f>IF(ESales_DB[[#This Row],[Quantity1]]&gt;3,"Bulk order","Normal order")</f>
        <v>Bulk order</v>
      </c>
    </row>
    <row r="1734" spans="1:19" x14ac:dyDescent="0.3">
      <c r="A1734" t="s">
        <v>2584</v>
      </c>
      <c r="B1734" s="4">
        <v>45470</v>
      </c>
      <c r="C1734" s="4" t="str">
        <f>TEXT(ESales_DB[[#This Row],[Order_Date]],"mmm")</f>
        <v>Jun</v>
      </c>
      <c r="D1734" t="s">
        <v>996</v>
      </c>
      <c r="E1734" t="s">
        <v>1588</v>
      </c>
      <c r="F1734" t="s">
        <v>1792</v>
      </c>
      <c r="G1734">
        <v>1</v>
      </c>
      <c r="H1734" s="10">
        <f>IF(ISBLANK(ESales_DB[[#This Row],[Quantity]]),AVERAGEIF(ESales_DB[Product_ID],ESales_DB[[#This Row],[Product_ID]],ESales_DB[Quantity]),ESales_DB[[#This Row],[Quantity]])</f>
        <v>1</v>
      </c>
      <c r="I1734" s="2">
        <v>202.13</v>
      </c>
      <c r="J1734">
        <v>0.13</v>
      </c>
      <c r="K1734" t="s">
        <v>1829</v>
      </c>
      <c r="L1734" s="2">
        <v>175.85310000000001</v>
      </c>
      <c r="M1734" s="2" t="str">
        <f>IF(ESales_DB[[#This Row],[Total_Amount]]&gt;1000,"High","Low")</f>
        <v>Low</v>
      </c>
      <c r="N1734" s="2" t="str">
        <f>VLOOKUP(ESales_DB[[#This Row],[Customer_ID]],Ecustom_DB[],3,FALSE)</f>
        <v>Robert House</v>
      </c>
      <c r="O1734" s="2" t="str">
        <f>_xlfn.XLOOKUP(ESales_DB[[#This Row],[Product_ID]],Eproduct_DB[Product_ID],Eproduct_DB[Category])</f>
        <v>Sports</v>
      </c>
      <c r="P1734" s="2" t="str">
        <f>_xlfn.XLOOKUP(ESales_DB[[#This Row],[Product_ID]],Eproduct_DB[Product_ID],Eproduct_DB[Product_Name])</f>
        <v>Outdoor Sports Water Bottle</v>
      </c>
      <c r="Q1734" s="2" t="str">
        <f>_xlfn.XLOOKUP(ESales_DB[[#This Row],[Store_ID]],Estore_DB[Store_ID],Estore_DB[Region])</f>
        <v>South</v>
      </c>
      <c r="R1734" t="str">
        <f>VLOOKUP(ESales_DB[[#This Row],[Customer_ID]],Ecustom_DB[],10,FALSE)</f>
        <v>Gold</v>
      </c>
      <c r="S1734" t="str">
        <f>IF(ESales_DB[[#This Row],[Quantity1]]&gt;3,"Bulk order","Normal order")</f>
        <v>Normal order</v>
      </c>
    </row>
    <row r="1735" spans="1:19" x14ac:dyDescent="0.3">
      <c r="A1735" t="s">
        <v>2585</v>
      </c>
      <c r="B1735" s="4">
        <v>45243</v>
      </c>
      <c r="C1735" s="4" t="str">
        <f>TEXT(ESales_DB[[#This Row],[Order_Date]],"mmm")</f>
        <v>Nov</v>
      </c>
      <c r="D1735" t="s">
        <v>863</v>
      </c>
      <c r="E1735" t="s">
        <v>1696</v>
      </c>
      <c r="F1735" t="s">
        <v>1773</v>
      </c>
      <c r="G1735">
        <v>1</v>
      </c>
      <c r="H1735" s="10">
        <f>IF(ISBLANK(ESales_DB[[#This Row],[Quantity]]),AVERAGEIF(ESales_DB[Product_ID],ESales_DB[[#This Row],[Product_ID]],ESales_DB[Quantity]),ESales_DB[[#This Row],[Quantity]])</f>
        <v>1</v>
      </c>
      <c r="I1735" s="2">
        <v>370.66</v>
      </c>
      <c r="J1735">
        <v>0.01</v>
      </c>
      <c r="K1735" t="s">
        <v>1826</v>
      </c>
      <c r="L1735" s="2">
        <v>366.95339999999999</v>
      </c>
      <c r="M1735" s="2" t="str">
        <f>IF(ESales_DB[[#This Row],[Total_Amount]]&gt;1000,"High","Low")</f>
        <v>Low</v>
      </c>
      <c r="N1735" s="2" t="str">
        <f>VLOOKUP(ESales_DB[[#This Row],[Customer_ID]],Ecustom_DB[],3,FALSE)</f>
        <v>Daisy Johnson Dds</v>
      </c>
      <c r="O1735" s="2" t="str">
        <f>_xlfn.XLOOKUP(ESales_DB[[#This Row],[Product_ID]],Eproduct_DB[Product_ID],Eproduct_DB[Category])</f>
        <v>Electronics</v>
      </c>
      <c r="P1735" s="2" t="str">
        <f>_xlfn.XLOOKUP(ESales_DB[[#This Row],[Product_ID]],Eproduct_DB[Product_ID],Eproduct_DB[Product_Name])</f>
        <v>Bluetooth Car Audio System</v>
      </c>
      <c r="Q1735" s="2" t="str">
        <f>_xlfn.XLOOKUP(ESales_DB[[#This Row],[Store_ID]],Estore_DB[Store_ID],Estore_DB[Region])</f>
        <v>North</v>
      </c>
      <c r="R1735" t="str">
        <f>VLOOKUP(ESales_DB[[#This Row],[Customer_ID]],Ecustom_DB[],10,FALSE)</f>
        <v>Platinum</v>
      </c>
      <c r="S1735" t="str">
        <f>IF(ESales_DB[[#This Row],[Quantity1]]&gt;3,"Bulk order","Normal order")</f>
        <v>Normal order</v>
      </c>
    </row>
    <row r="1736" spans="1:19" x14ac:dyDescent="0.3">
      <c r="A1736" t="s">
        <v>1902</v>
      </c>
      <c r="B1736" s="4">
        <v>45285</v>
      </c>
      <c r="C1736" s="4" t="str">
        <f>TEXT(ESales_DB[[#This Row],[Order_Date]],"mmm")</f>
        <v>Dec</v>
      </c>
      <c r="D1736" t="s">
        <v>85</v>
      </c>
      <c r="E1736" t="s">
        <v>1700</v>
      </c>
      <c r="F1736" t="s">
        <v>1789</v>
      </c>
      <c r="G1736">
        <v>2</v>
      </c>
      <c r="H1736" s="10">
        <f>IF(ISBLANK(ESales_DB[[#This Row],[Quantity]]),AVERAGEIF(ESales_DB[Product_ID],ESales_DB[[#This Row],[Product_ID]],ESales_DB[Quantity]),ESales_DB[[#This Row],[Quantity]])</f>
        <v>2</v>
      </c>
      <c r="I1736" s="2">
        <v>686.31</v>
      </c>
      <c r="J1736">
        <v>0.25</v>
      </c>
      <c r="K1736" t="s">
        <v>1824</v>
      </c>
      <c r="L1736" s="2">
        <v>1029.4649999999999</v>
      </c>
      <c r="M1736" s="2" t="str">
        <f>IF(ESales_DB[[#This Row],[Total_Amount]]&gt;1000,"High","Low")</f>
        <v>High</v>
      </c>
      <c r="N1736" s="2" t="str">
        <f>VLOOKUP(ESales_DB[[#This Row],[Customer_ID]],Ecustom_DB[],3,FALSE)</f>
        <v>Michael Torres</v>
      </c>
      <c r="O1736" s="2" t="str">
        <f>_xlfn.XLOOKUP(ESales_DB[[#This Row],[Product_ID]],Eproduct_DB[Product_ID],Eproduct_DB[Category])</f>
        <v>Electronics</v>
      </c>
      <c r="P1736" s="2" t="str">
        <f>_xlfn.XLOOKUP(ESales_DB[[#This Row],[Product_ID]],Eproduct_DB[Product_ID],Eproduct_DB[Product_Name])</f>
        <v>Wireless Mouse</v>
      </c>
      <c r="Q1736" s="2" t="str">
        <f>_xlfn.XLOOKUP(ESales_DB[[#This Row],[Store_ID]],Estore_DB[Store_ID],Estore_DB[Region])</f>
        <v>East</v>
      </c>
      <c r="R1736" t="str">
        <f>VLOOKUP(ESales_DB[[#This Row],[Customer_ID]],Ecustom_DB[],10,FALSE)</f>
        <v>Platinum</v>
      </c>
      <c r="S1736" t="str">
        <f>IF(ESales_DB[[#This Row],[Quantity1]]&gt;3,"Bulk order","Normal order")</f>
        <v>Normal order</v>
      </c>
    </row>
    <row r="1737" spans="1:19" x14ac:dyDescent="0.3">
      <c r="A1737" t="s">
        <v>2586</v>
      </c>
      <c r="B1737" s="4">
        <v>45341</v>
      </c>
      <c r="C1737" s="4" t="str">
        <f>TEXT(ESales_DB[[#This Row],[Order_Date]],"mmm")</f>
        <v>Feb</v>
      </c>
      <c r="D1737" t="s">
        <v>32</v>
      </c>
      <c r="E1737" t="s">
        <v>1670</v>
      </c>
      <c r="F1737" t="s">
        <v>1794</v>
      </c>
      <c r="G1737">
        <v>4</v>
      </c>
      <c r="H1737" s="10">
        <f>IF(ISBLANK(ESales_DB[[#This Row],[Quantity]]),AVERAGEIF(ESales_DB[Product_ID],ESales_DB[[#This Row],[Product_ID]],ESales_DB[Quantity]),ESales_DB[[#This Row],[Quantity]])</f>
        <v>4</v>
      </c>
      <c r="I1737" s="2">
        <v>731.53</v>
      </c>
      <c r="J1737">
        <v>0.12</v>
      </c>
      <c r="K1737" t="s">
        <v>1824</v>
      </c>
      <c r="L1737" s="2">
        <v>2574.9856</v>
      </c>
      <c r="M1737" s="2" t="str">
        <f>IF(ESales_DB[[#This Row],[Total_Amount]]&gt;1000,"High","Low")</f>
        <v>High</v>
      </c>
      <c r="N1737" s="2" t="str">
        <f>VLOOKUP(ESales_DB[[#This Row],[Customer_ID]],Ecustom_DB[],3,FALSE)</f>
        <v>Christine Vaughn</v>
      </c>
      <c r="O1737" s="2" t="str">
        <f>_xlfn.XLOOKUP(ESales_DB[[#This Row],[Product_ID]],Eproduct_DB[Product_ID],Eproduct_DB[Category])</f>
        <v>Sports</v>
      </c>
      <c r="P1737" s="2" t="str">
        <f>_xlfn.XLOOKUP(ESales_DB[[#This Row],[Product_ID]],Eproduct_DB[Product_ID],Eproduct_DB[Product_Name])</f>
        <v>Tennis Ball 3-Pack</v>
      </c>
      <c r="Q1737" s="2" t="str">
        <f>_xlfn.XLOOKUP(ESales_DB[[#This Row],[Store_ID]],Estore_DB[Store_ID],Estore_DB[Region])</f>
        <v>North</v>
      </c>
      <c r="R1737" t="str">
        <f>VLOOKUP(ESales_DB[[#This Row],[Customer_ID]],Ecustom_DB[],10,FALSE)</f>
        <v>Bronze</v>
      </c>
      <c r="S1737" t="str">
        <f>IF(ESales_DB[[#This Row],[Quantity1]]&gt;3,"Bulk order","Normal order")</f>
        <v>Bulk order</v>
      </c>
    </row>
    <row r="1738" spans="1:19" x14ac:dyDescent="0.3">
      <c r="A1738" t="s">
        <v>2587</v>
      </c>
      <c r="B1738" s="4">
        <v>45371</v>
      </c>
      <c r="C1738" s="4" t="str">
        <f>TEXT(ESales_DB[[#This Row],[Order_Date]],"mmm")</f>
        <v>Mar</v>
      </c>
      <c r="D1738" t="s">
        <v>550</v>
      </c>
      <c r="E1738" t="s">
        <v>1704</v>
      </c>
      <c r="F1738" t="s">
        <v>1757</v>
      </c>
      <c r="G1738">
        <v>3</v>
      </c>
      <c r="H1738" s="10">
        <f>IF(ISBLANK(ESales_DB[[#This Row],[Quantity]]),AVERAGEIF(ESales_DB[Product_ID],ESales_DB[[#This Row],[Product_ID]],ESales_DB[Quantity]),ESales_DB[[#This Row],[Quantity]])</f>
        <v>3</v>
      </c>
      <c r="I1738" s="2">
        <v>468.25</v>
      </c>
      <c r="J1738">
        <v>7.0000000000000007E-2</v>
      </c>
      <c r="K1738" t="s">
        <v>1826</v>
      </c>
      <c r="L1738" s="2">
        <v>1306.4175</v>
      </c>
      <c r="M1738" s="2" t="str">
        <f>IF(ESales_DB[[#This Row],[Total_Amount]]&gt;1000,"High","Low")</f>
        <v>High</v>
      </c>
      <c r="N1738" s="2" t="str">
        <f>VLOOKUP(ESales_DB[[#This Row],[Customer_ID]],Ecustom_DB[],3,FALSE)</f>
        <v>Jason Wheeler</v>
      </c>
      <c r="O1738" s="2" t="str">
        <f>_xlfn.XLOOKUP(ESales_DB[[#This Row],[Product_ID]],Eproduct_DB[Product_ID],Eproduct_DB[Category])</f>
        <v>Home</v>
      </c>
      <c r="P1738" s="2" t="str">
        <f>_xlfn.XLOOKUP(ESales_DB[[#This Row],[Product_ID]],Eproduct_DB[Product_ID],Eproduct_DB[Product_Name])</f>
        <v>Essential Oil Diffuser</v>
      </c>
      <c r="Q1738" s="2" t="str">
        <f>_xlfn.XLOOKUP(ESales_DB[[#This Row],[Store_ID]],Estore_DB[Store_ID],Estore_DB[Region])</f>
        <v>North</v>
      </c>
      <c r="R1738" t="str">
        <f>VLOOKUP(ESales_DB[[#This Row],[Customer_ID]],Ecustom_DB[],10,FALSE)</f>
        <v>Platinum</v>
      </c>
      <c r="S1738" t="str">
        <f>IF(ESales_DB[[#This Row],[Quantity1]]&gt;3,"Bulk order","Normal order")</f>
        <v>Normal order</v>
      </c>
    </row>
    <row r="1739" spans="1:19" x14ac:dyDescent="0.3">
      <c r="A1739" t="s">
        <v>2588</v>
      </c>
      <c r="B1739" s="4">
        <v>45360</v>
      </c>
      <c r="C1739" s="4" t="str">
        <f>TEXT(ESales_DB[[#This Row],[Order_Date]],"mmm")</f>
        <v>Mar</v>
      </c>
      <c r="D1739" t="s">
        <v>14</v>
      </c>
      <c r="E1739" t="s">
        <v>1682</v>
      </c>
      <c r="F1739" t="s">
        <v>1752</v>
      </c>
      <c r="G1739">
        <v>1</v>
      </c>
      <c r="H1739" s="10">
        <f>IF(ISBLANK(ESales_DB[[#This Row],[Quantity]]),AVERAGEIF(ESales_DB[Product_ID],ESales_DB[[#This Row],[Product_ID]],ESales_DB[Quantity]),ESales_DB[[#This Row],[Quantity]])</f>
        <v>1</v>
      </c>
      <c r="I1739" s="2">
        <v>928.72</v>
      </c>
      <c r="J1739">
        <v>0.1</v>
      </c>
      <c r="K1739" t="s">
        <v>1829</v>
      </c>
      <c r="L1739" s="2">
        <v>835.84800000000007</v>
      </c>
      <c r="M1739" s="2" t="str">
        <f>IF(ESales_DB[[#This Row],[Total_Amount]]&gt;1000,"High","Low")</f>
        <v>Low</v>
      </c>
      <c r="N1739" s="2" t="str">
        <f>VLOOKUP(ESales_DB[[#This Row],[Customer_ID]],Ecustom_DB[],3,FALSE)</f>
        <v>Eugene Nelson</v>
      </c>
      <c r="O1739" s="2" t="str">
        <f>_xlfn.XLOOKUP(ESales_DB[[#This Row],[Product_ID]],Eproduct_DB[Product_ID],Eproduct_DB[Category])</f>
        <v>Electronics</v>
      </c>
      <c r="P1739" s="2" t="str">
        <f>_xlfn.XLOOKUP(ESales_DB[[#This Row],[Product_ID]],Eproduct_DB[Product_ID],Eproduct_DB[Product_Name])</f>
        <v>Smart LED Light Strip</v>
      </c>
      <c r="Q1739" s="2" t="str">
        <f>_xlfn.XLOOKUP(ESales_DB[[#This Row],[Store_ID]],Estore_DB[Store_ID],Estore_DB[Region])</f>
        <v>East</v>
      </c>
      <c r="R1739" t="str">
        <f>VLOOKUP(ESales_DB[[#This Row],[Customer_ID]],Ecustom_DB[],10,FALSE)</f>
        <v>Platinum</v>
      </c>
      <c r="S1739" t="str">
        <f>IF(ESales_DB[[#This Row],[Quantity1]]&gt;3,"Bulk order","Normal order")</f>
        <v>Normal order</v>
      </c>
    </row>
    <row r="1740" spans="1:19" x14ac:dyDescent="0.3">
      <c r="A1740" t="s">
        <v>2589</v>
      </c>
      <c r="B1740" s="4">
        <v>45499</v>
      </c>
      <c r="C1740" s="4" t="str">
        <f>TEXT(ESales_DB[[#This Row],[Order_Date]],"mmm")</f>
        <v>Jul</v>
      </c>
      <c r="D1740" t="s">
        <v>360</v>
      </c>
      <c r="E1740" t="s">
        <v>1553</v>
      </c>
      <c r="F1740" t="s">
        <v>1810</v>
      </c>
      <c r="G1740">
        <v>3</v>
      </c>
      <c r="H1740" s="10">
        <f>IF(ISBLANK(ESales_DB[[#This Row],[Quantity]]),AVERAGEIF(ESales_DB[Product_ID],ESales_DB[[#This Row],[Product_ID]],ESales_DB[Quantity]),ESales_DB[[#This Row],[Quantity]])</f>
        <v>3</v>
      </c>
      <c r="I1740" s="2">
        <v>217.22</v>
      </c>
      <c r="J1740">
        <v>0.06</v>
      </c>
      <c r="K1740" t="s">
        <v>1826</v>
      </c>
      <c r="L1740" s="2">
        <v>612.56039999999996</v>
      </c>
      <c r="M1740" s="2" t="str">
        <f>IF(ESales_DB[[#This Row],[Total_Amount]]&gt;1000,"High","Low")</f>
        <v>Low</v>
      </c>
      <c r="N1740" s="2" t="str">
        <f>VLOOKUP(ESales_DB[[#This Row],[Customer_ID]],Ecustom_DB[],3,FALSE)</f>
        <v>Colleen Maynard</v>
      </c>
      <c r="O1740" s="2" t="str">
        <f>_xlfn.XLOOKUP(ESales_DB[[#This Row],[Product_ID]],Eproduct_DB[Product_ID],Eproduct_DB[Category])</f>
        <v>Clothing</v>
      </c>
      <c r="P1740" s="2" t="str">
        <f>_xlfn.XLOOKUP(ESales_DB[[#This Row],[Product_ID]],Eproduct_DB[Product_ID],Eproduct_DB[Product_Name])</f>
        <v>Women's Yoga Pants</v>
      </c>
      <c r="Q1740" s="2" t="str">
        <f>_xlfn.XLOOKUP(ESales_DB[[#This Row],[Store_ID]],Estore_DB[Store_ID],Estore_DB[Region])</f>
        <v>East</v>
      </c>
      <c r="R1740" t="str">
        <f>VLOOKUP(ESales_DB[[#This Row],[Customer_ID]],Ecustom_DB[],10,FALSE)</f>
        <v>Gold</v>
      </c>
      <c r="S1740" t="str">
        <f>IF(ESales_DB[[#This Row],[Quantity1]]&gt;3,"Bulk order","Normal order")</f>
        <v>Normal order</v>
      </c>
    </row>
    <row r="1741" spans="1:19" x14ac:dyDescent="0.3">
      <c r="A1741" t="s">
        <v>2590</v>
      </c>
      <c r="B1741" s="4">
        <v>45745</v>
      </c>
      <c r="C1741" s="4" t="str">
        <f>TEXT(ESales_DB[[#This Row],[Order_Date]],"mmm")</f>
        <v>Mar</v>
      </c>
      <c r="D1741" t="s">
        <v>1260</v>
      </c>
      <c r="E1741" t="s">
        <v>1596</v>
      </c>
      <c r="F1741" t="s">
        <v>1766</v>
      </c>
      <c r="G1741">
        <v>1</v>
      </c>
      <c r="H1741" s="10">
        <f>IF(ISBLANK(ESales_DB[[#This Row],[Quantity]]),AVERAGEIF(ESales_DB[Product_ID],ESales_DB[[#This Row],[Product_ID]],ESales_DB[Quantity]),ESales_DB[[#This Row],[Quantity]])</f>
        <v>1</v>
      </c>
      <c r="I1741" s="2">
        <v>387.99</v>
      </c>
      <c r="J1741">
        <v>0.3</v>
      </c>
      <c r="K1741" t="s">
        <v>1824</v>
      </c>
      <c r="L1741" s="2">
        <v>271.59300000000002</v>
      </c>
      <c r="M1741" s="2" t="str">
        <f>IF(ESales_DB[[#This Row],[Total_Amount]]&gt;1000,"High","Low")</f>
        <v>Low</v>
      </c>
      <c r="N1741" s="2" t="str">
        <f>VLOOKUP(ESales_DB[[#This Row],[Customer_ID]],Ecustom_DB[],3,FALSE)</f>
        <v>Eric Wolfe</v>
      </c>
      <c r="O1741" s="2" t="str">
        <f>_xlfn.XLOOKUP(ESales_DB[[#This Row],[Product_ID]],Eproduct_DB[Product_ID],Eproduct_DB[Category])</f>
        <v>Sports</v>
      </c>
      <c r="P1741" s="2" t="str">
        <f>_xlfn.XLOOKUP(ESales_DB[[#This Row],[Product_ID]],Eproduct_DB[Product_ID],Eproduct_DB[Product_Name])</f>
        <v>Foldable Camping Chair</v>
      </c>
      <c r="Q1741" s="2" t="str">
        <f>_xlfn.XLOOKUP(ESales_DB[[#This Row],[Store_ID]],Estore_DB[Store_ID],Estore_DB[Region])</f>
        <v>North</v>
      </c>
      <c r="R1741" t="str">
        <f>VLOOKUP(ESales_DB[[#This Row],[Customer_ID]],Ecustom_DB[],10,FALSE)</f>
        <v>Gold</v>
      </c>
      <c r="S1741" t="str">
        <f>IF(ESales_DB[[#This Row],[Quantity1]]&gt;3,"Bulk order","Normal order")</f>
        <v>Normal order</v>
      </c>
    </row>
    <row r="1742" spans="1:19" x14ac:dyDescent="0.3">
      <c r="A1742" t="s">
        <v>2591</v>
      </c>
      <c r="B1742" s="4">
        <v>45718</v>
      </c>
      <c r="C1742" s="4" t="str">
        <f>TEXT(ESales_DB[[#This Row],[Order_Date]],"mmm")</f>
        <v>Mar</v>
      </c>
      <c r="D1742" t="s">
        <v>1466</v>
      </c>
      <c r="E1742" t="s">
        <v>1584</v>
      </c>
      <c r="F1742" t="s">
        <v>1776</v>
      </c>
      <c r="G1742">
        <v>4</v>
      </c>
      <c r="H1742" s="10">
        <f>IF(ISBLANK(ESales_DB[[#This Row],[Quantity]]),AVERAGEIF(ESales_DB[Product_ID],ESales_DB[[#This Row],[Product_ID]],ESales_DB[Quantity]),ESales_DB[[#This Row],[Quantity]])</f>
        <v>4</v>
      </c>
      <c r="I1742" s="2">
        <v>186.24</v>
      </c>
      <c r="J1742">
        <v>0.23</v>
      </c>
      <c r="K1742" t="s">
        <v>1824</v>
      </c>
      <c r="L1742" s="2">
        <v>573.61920000000009</v>
      </c>
      <c r="M1742" s="2" t="str">
        <f>IF(ESales_DB[[#This Row],[Total_Amount]]&gt;1000,"High","Low")</f>
        <v>Low</v>
      </c>
      <c r="N1742" s="2" t="str">
        <f>VLOOKUP(ESales_DB[[#This Row],[Customer_ID]],Ecustom_DB[],3,FALSE)</f>
        <v>Elizabeth Foster</v>
      </c>
      <c r="O1742" s="2" t="str">
        <f>_xlfn.XLOOKUP(ESales_DB[[#This Row],[Product_ID]],Eproduct_DB[Product_ID],Eproduct_DB[Category])</f>
        <v>Clothing</v>
      </c>
      <c r="P1742" s="2" t="str">
        <f>_xlfn.XLOOKUP(ESales_DB[[#This Row],[Product_ID]],Eproduct_DB[Product_ID],Eproduct_DB[Product_Name])</f>
        <v>Women's Denim Jeans</v>
      </c>
      <c r="Q1742" s="2" t="str">
        <f>_xlfn.XLOOKUP(ESales_DB[[#This Row],[Store_ID]],Estore_DB[Store_ID],Estore_DB[Region])</f>
        <v>East</v>
      </c>
      <c r="R1742" t="str">
        <f>VLOOKUP(ESales_DB[[#This Row],[Customer_ID]],Ecustom_DB[],10,FALSE)</f>
        <v>Gold</v>
      </c>
      <c r="S1742" t="str">
        <f>IF(ESales_DB[[#This Row],[Quantity1]]&gt;3,"Bulk order","Normal order")</f>
        <v>Bulk order</v>
      </c>
    </row>
    <row r="1743" spans="1:19" x14ac:dyDescent="0.3">
      <c r="A1743" t="s">
        <v>2592</v>
      </c>
      <c r="B1743" s="4">
        <v>45454</v>
      </c>
      <c r="C1743" s="4" t="str">
        <f>TEXT(ESales_DB[[#This Row],[Order_Date]],"mmm")</f>
        <v>Jun</v>
      </c>
      <c r="D1743" t="s">
        <v>937</v>
      </c>
      <c r="E1743" t="s">
        <v>1628</v>
      </c>
      <c r="F1743" t="s">
        <v>1782</v>
      </c>
      <c r="G1743">
        <v>4</v>
      </c>
      <c r="H1743" s="10">
        <f>IF(ISBLANK(ESales_DB[[#This Row],[Quantity]]),AVERAGEIF(ESales_DB[Product_ID],ESales_DB[[#This Row],[Product_ID]],ESales_DB[Quantity]),ESales_DB[[#This Row],[Quantity]])</f>
        <v>4</v>
      </c>
      <c r="I1743" s="2">
        <v>609.05999999999995</v>
      </c>
      <c r="J1743">
        <v>0.22</v>
      </c>
      <c r="K1743" t="s">
        <v>1829</v>
      </c>
      <c r="L1743" s="2">
        <v>1900.2672</v>
      </c>
      <c r="M1743" s="2" t="str">
        <f>IF(ESales_DB[[#This Row],[Total_Amount]]&gt;1000,"High","Low")</f>
        <v>High</v>
      </c>
      <c r="N1743" s="2" t="str">
        <f>VLOOKUP(ESales_DB[[#This Row],[Customer_ID]],Ecustom_DB[],3,FALSE)</f>
        <v>Jared Moran</v>
      </c>
      <c r="O1743" s="2" t="str">
        <f>_xlfn.XLOOKUP(ESales_DB[[#This Row],[Product_ID]],Eproduct_DB[Product_ID],Eproduct_DB[Category])</f>
        <v>Electronics</v>
      </c>
      <c r="P1743" s="2" t="str">
        <f>_xlfn.XLOOKUP(ESales_DB[[#This Row],[Product_ID]],Eproduct_DB[Product_ID],Eproduct_DB[Product_Name])</f>
        <v>Noise-Canceling Headphones</v>
      </c>
      <c r="Q1743" s="2" t="str">
        <f>_xlfn.XLOOKUP(ESales_DB[[#This Row],[Store_ID]],Estore_DB[Store_ID],Estore_DB[Region])</f>
        <v>West</v>
      </c>
      <c r="R1743" t="str">
        <f>VLOOKUP(ESales_DB[[#This Row],[Customer_ID]],Ecustom_DB[],10,FALSE)</f>
        <v>Bronze</v>
      </c>
      <c r="S1743" t="str">
        <f>IF(ESales_DB[[#This Row],[Quantity1]]&gt;3,"Bulk order","Normal order")</f>
        <v>Bulk order</v>
      </c>
    </row>
    <row r="1744" spans="1:19" x14ac:dyDescent="0.3">
      <c r="A1744" t="s">
        <v>2593</v>
      </c>
      <c r="B1744" s="4">
        <v>45434</v>
      </c>
      <c r="C1744" s="4" t="str">
        <f>TEXT(ESales_DB[[#This Row],[Order_Date]],"mmm")</f>
        <v>May</v>
      </c>
      <c r="D1744" t="s">
        <v>1355</v>
      </c>
      <c r="E1744" t="s">
        <v>1614</v>
      </c>
      <c r="F1744" t="s">
        <v>1792</v>
      </c>
      <c r="G1744">
        <v>1</v>
      </c>
      <c r="H1744" s="10">
        <f>IF(ISBLANK(ESales_DB[[#This Row],[Quantity]]),AVERAGEIF(ESales_DB[Product_ID],ESales_DB[[#This Row],[Product_ID]],ESales_DB[Quantity]),ESales_DB[[#This Row],[Quantity]])</f>
        <v>1</v>
      </c>
      <c r="I1744" s="2">
        <v>827.91</v>
      </c>
      <c r="J1744">
        <v>0.21</v>
      </c>
      <c r="K1744" t="s">
        <v>1826</v>
      </c>
      <c r="L1744" s="2">
        <v>654.0489</v>
      </c>
      <c r="M1744" s="2" t="str">
        <f>IF(ESales_DB[[#This Row],[Total_Amount]]&gt;1000,"High","Low")</f>
        <v>Low</v>
      </c>
      <c r="N1744" s="2" t="str">
        <f>VLOOKUP(ESales_DB[[#This Row],[Customer_ID]],Ecustom_DB[],3,FALSE)</f>
        <v>Melinda Rivera</v>
      </c>
      <c r="O1744" s="2" t="str">
        <f>_xlfn.XLOOKUP(ESales_DB[[#This Row],[Product_ID]],Eproduct_DB[Product_ID],Eproduct_DB[Category])</f>
        <v>Home</v>
      </c>
      <c r="P1744" s="2" t="str">
        <f>_xlfn.XLOOKUP(ESales_DB[[#This Row],[Product_ID]],Eproduct_DB[Product_ID],Eproduct_DB[Product_Name])</f>
        <v>Modern Wall Clock</v>
      </c>
      <c r="Q1744" s="2" t="str">
        <f>_xlfn.XLOOKUP(ESales_DB[[#This Row],[Store_ID]],Estore_DB[Store_ID],Estore_DB[Region])</f>
        <v>South</v>
      </c>
      <c r="R1744" t="str">
        <f>VLOOKUP(ESales_DB[[#This Row],[Customer_ID]],Ecustom_DB[],10,FALSE)</f>
        <v>Platinum</v>
      </c>
      <c r="S1744" t="str">
        <f>IF(ESales_DB[[#This Row],[Quantity1]]&gt;3,"Bulk order","Normal order")</f>
        <v>Normal order</v>
      </c>
    </row>
    <row r="1745" spans="1:19" x14ac:dyDescent="0.3">
      <c r="A1745" t="s">
        <v>2594</v>
      </c>
      <c r="B1745" s="4">
        <v>45486</v>
      </c>
      <c r="C1745" s="4" t="str">
        <f>TEXT(ESales_DB[[#This Row],[Order_Date]],"mmm")</f>
        <v>Jul</v>
      </c>
      <c r="D1745" t="s">
        <v>582</v>
      </c>
      <c r="E1745" t="s">
        <v>1714</v>
      </c>
      <c r="F1745" t="s">
        <v>1752</v>
      </c>
      <c r="G1745">
        <v>1</v>
      </c>
      <c r="H1745" s="10">
        <f>IF(ISBLANK(ESales_DB[[#This Row],[Quantity]]),AVERAGEIF(ESales_DB[Product_ID],ESales_DB[[#This Row],[Product_ID]],ESales_DB[Quantity]),ESales_DB[[#This Row],[Quantity]])</f>
        <v>1</v>
      </c>
      <c r="I1745" s="2">
        <v>303.79000000000002</v>
      </c>
      <c r="J1745">
        <v>0.24</v>
      </c>
      <c r="K1745" t="s">
        <v>1826</v>
      </c>
      <c r="L1745" s="2">
        <v>230.88040000000001</v>
      </c>
      <c r="M1745" s="2" t="str">
        <f>IF(ESales_DB[[#This Row],[Total_Amount]]&gt;1000,"High","Low")</f>
        <v>Low</v>
      </c>
      <c r="N1745" s="2" t="str">
        <f>VLOOKUP(ESales_DB[[#This Row],[Customer_ID]],Ecustom_DB[],3,FALSE)</f>
        <v>John Bradford</v>
      </c>
      <c r="O1745" s="2" t="str">
        <f>_xlfn.XLOOKUP(ESales_DB[[#This Row],[Product_ID]],Eproduct_DB[Product_ID],Eproduct_DB[Category])</f>
        <v>Beauty</v>
      </c>
      <c r="P1745" s="2" t="str">
        <f>_xlfn.XLOOKUP(ESales_DB[[#This Row],[Product_ID]],Eproduct_DB[Product_ID],Eproduct_DB[Product_Name])</f>
        <v>Hydrating Face Cleanser</v>
      </c>
      <c r="Q1745" s="2" t="str">
        <f>_xlfn.XLOOKUP(ESales_DB[[#This Row],[Store_ID]],Estore_DB[Store_ID],Estore_DB[Region])</f>
        <v>East</v>
      </c>
      <c r="R1745" t="str">
        <f>VLOOKUP(ESales_DB[[#This Row],[Customer_ID]],Ecustom_DB[],10,FALSE)</f>
        <v>Silver</v>
      </c>
      <c r="S1745" t="str">
        <f>IF(ESales_DB[[#This Row],[Quantity1]]&gt;3,"Bulk order","Normal order")</f>
        <v>Normal order</v>
      </c>
    </row>
    <row r="1746" spans="1:19" x14ac:dyDescent="0.3">
      <c r="A1746" t="s">
        <v>2595</v>
      </c>
      <c r="B1746" s="4">
        <v>45902</v>
      </c>
      <c r="C1746" s="4" t="str">
        <f>TEXT(ESales_DB[[#This Row],[Order_Date]],"mmm")</f>
        <v>Sep</v>
      </c>
      <c r="D1746" t="s">
        <v>369</v>
      </c>
      <c r="E1746" t="s">
        <v>1622</v>
      </c>
      <c r="F1746" t="s">
        <v>1776</v>
      </c>
      <c r="G1746">
        <v>2</v>
      </c>
      <c r="H1746" s="10">
        <f>IF(ISBLANK(ESales_DB[[#This Row],[Quantity]]),AVERAGEIF(ESales_DB[Product_ID],ESales_DB[[#This Row],[Product_ID]],ESales_DB[Quantity]),ESales_DB[[#This Row],[Quantity]])</f>
        <v>2</v>
      </c>
      <c r="I1746" s="2">
        <v>365.91</v>
      </c>
      <c r="J1746">
        <v>0.14000000000000001</v>
      </c>
      <c r="K1746" t="s">
        <v>1829</v>
      </c>
      <c r="L1746" s="2">
        <v>629.36520000000007</v>
      </c>
      <c r="M1746" s="2" t="str">
        <f>IF(ESales_DB[[#This Row],[Total_Amount]]&gt;1000,"High","Low")</f>
        <v>Low</v>
      </c>
      <c r="N1746" s="2" t="str">
        <f>VLOOKUP(ESales_DB[[#This Row],[Customer_ID]],Ecustom_DB[],3,FALSE)</f>
        <v>Christopher Lester</v>
      </c>
      <c r="O1746" s="2" t="str">
        <f>_xlfn.XLOOKUP(ESales_DB[[#This Row],[Product_ID]],Eproduct_DB[Product_ID],Eproduct_DB[Category])</f>
        <v>Clothing</v>
      </c>
      <c r="P1746" s="2" t="str">
        <f>_xlfn.XLOOKUP(ESales_DB[[#This Row],[Product_ID]],Eproduct_DB[Product_ID],Eproduct_DB[Product_Name])</f>
        <v>Men's Casual Sneakers</v>
      </c>
      <c r="Q1746" s="2" t="str">
        <f>_xlfn.XLOOKUP(ESales_DB[[#This Row],[Store_ID]],Estore_DB[Store_ID],Estore_DB[Region])</f>
        <v>East</v>
      </c>
      <c r="R1746" t="str">
        <f>VLOOKUP(ESales_DB[[#This Row],[Customer_ID]],Ecustom_DB[],10,FALSE)</f>
        <v>Silver</v>
      </c>
      <c r="S1746" t="str">
        <f>IF(ESales_DB[[#This Row],[Quantity1]]&gt;3,"Bulk order","Normal order")</f>
        <v>Normal order</v>
      </c>
    </row>
    <row r="1747" spans="1:19" x14ac:dyDescent="0.3">
      <c r="A1747" t="s">
        <v>1903</v>
      </c>
      <c r="B1747" s="4">
        <v>45800</v>
      </c>
      <c r="C1747" s="4" t="str">
        <f>TEXT(ESales_DB[[#This Row],[Order_Date]],"mmm")</f>
        <v>May</v>
      </c>
      <c r="D1747" t="s">
        <v>40</v>
      </c>
      <c r="E1747" t="s">
        <v>1682</v>
      </c>
      <c r="F1747" t="s">
        <v>1801</v>
      </c>
      <c r="G1747">
        <v>1</v>
      </c>
      <c r="H1747" s="10">
        <f>IF(ISBLANK(ESales_DB[[#This Row],[Quantity]]),AVERAGEIF(ESales_DB[Product_ID],ESales_DB[[#This Row],[Product_ID]],ESales_DB[Quantity]),ESales_DB[[#This Row],[Quantity]])</f>
        <v>1</v>
      </c>
      <c r="I1747" s="2">
        <v>687.82</v>
      </c>
      <c r="J1747">
        <v>0.27</v>
      </c>
      <c r="K1747" t="s">
        <v>1829</v>
      </c>
      <c r="L1747" s="2">
        <v>502.10860000000002</v>
      </c>
      <c r="M1747" s="2" t="str">
        <f>IF(ESales_DB[[#This Row],[Total_Amount]]&gt;1000,"High","Low")</f>
        <v>Low</v>
      </c>
      <c r="N1747" s="2" t="str">
        <f>VLOOKUP(ESales_DB[[#This Row],[Customer_ID]],Ecustom_DB[],3,FALSE)</f>
        <v>Daniel Boyd</v>
      </c>
      <c r="O1747" s="2" t="str">
        <f>_xlfn.XLOOKUP(ESales_DB[[#This Row],[Product_ID]],Eproduct_DB[Product_ID],Eproduct_DB[Category])</f>
        <v>Electronics</v>
      </c>
      <c r="P1747" s="2" t="str">
        <f>_xlfn.XLOOKUP(ESales_DB[[#This Row],[Product_ID]],Eproduct_DB[Product_ID],Eproduct_DB[Product_Name])</f>
        <v>Smart LED Light Strip</v>
      </c>
      <c r="Q1747" s="2" t="str">
        <f>_xlfn.XLOOKUP(ESales_DB[[#This Row],[Store_ID]],Estore_DB[Store_ID],Estore_DB[Region])</f>
        <v>North</v>
      </c>
      <c r="R1747" t="str">
        <f>VLOOKUP(ESales_DB[[#This Row],[Customer_ID]],Ecustom_DB[],10,FALSE)</f>
        <v>Bronze</v>
      </c>
      <c r="S1747" t="str">
        <f>IF(ESales_DB[[#This Row],[Quantity1]]&gt;3,"Bulk order","Normal order")</f>
        <v>Normal order</v>
      </c>
    </row>
    <row r="1748" spans="1:19" x14ac:dyDescent="0.3">
      <c r="A1748" t="s">
        <v>2596</v>
      </c>
      <c r="B1748" s="4">
        <v>45762</v>
      </c>
      <c r="C1748" s="4" t="str">
        <f>TEXT(ESales_DB[[#This Row],[Order_Date]],"mmm")</f>
        <v>Apr</v>
      </c>
      <c r="D1748" t="s">
        <v>255</v>
      </c>
      <c r="E1748" t="s">
        <v>1598</v>
      </c>
      <c r="F1748" t="s">
        <v>1807</v>
      </c>
      <c r="G1748">
        <v>3</v>
      </c>
      <c r="H1748" s="10">
        <f>IF(ISBLANK(ESales_DB[[#This Row],[Quantity]]),AVERAGEIF(ESales_DB[Product_ID],ESales_DB[[#This Row],[Product_ID]],ESales_DB[Quantity]),ESales_DB[[#This Row],[Quantity]])</f>
        <v>3</v>
      </c>
      <c r="I1748" s="2">
        <v>852.72</v>
      </c>
      <c r="J1748">
        <v>0.16</v>
      </c>
      <c r="K1748" t="s">
        <v>1824</v>
      </c>
      <c r="L1748" s="2">
        <v>2148.8544000000002</v>
      </c>
      <c r="M1748" s="2" t="str">
        <f>IF(ESales_DB[[#This Row],[Total_Amount]]&gt;1000,"High","Low")</f>
        <v>High</v>
      </c>
      <c r="N1748" s="2" t="str">
        <f>VLOOKUP(ESales_DB[[#This Row],[Customer_ID]],Ecustom_DB[],3,FALSE)</f>
        <v>Roy Cole</v>
      </c>
      <c r="O1748" s="2" t="str">
        <f>_xlfn.XLOOKUP(ESales_DB[[#This Row],[Product_ID]],Eproduct_DB[Product_ID],Eproduct_DB[Category])</f>
        <v>Clothing</v>
      </c>
      <c r="P1748" s="2" t="str">
        <f>_xlfn.XLOOKUP(ESales_DB[[#This Row],[Product_ID]],Eproduct_DB[Product_ID],Eproduct_DB[Product_Name])</f>
        <v>Women's Scarf Set</v>
      </c>
      <c r="Q1748" s="2" t="str">
        <f>_xlfn.XLOOKUP(ESales_DB[[#This Row],[Store_ID]],Estore_DB[Store_ID],Estore_DB[Region])</f>
        <v>North</v>
      </c>
      <c r="R1748" t="str">
        <f>VLOOKUP(ESales_DB[[#This Row],[Customer_ID]],Ecustom_DB[],10,FALSE)</f>
        <v>Platinum</v>
      </c>
      <c r="S1748" t="str">
        <f>IF(ESales_DB[[#This Row],[Quantity1]]&gt;3,"Bulk order","Normal order")</f>
        <v>Normal order</v>
      </c>
    </row>
    <row r="1749" spans="1:19" x14ac:dyDescent="0.3">
      <c r="A1749" t="s">
        <v>2597</v>
      </c>
      <c r="B1749" s="4">
        <v>45752</v>
      </c>
      <c r="C1749" s="4" t="str">
        <f>TEXT(ESales_DB[[#This Row],[Order_Date]],"mmm")</f>
        <v>Apr</v>
      </c>
      <c r="D1749" t="s">
        <v>791</v>
      </c>
      <c r="E1749" t="s">
        <v>1568</v>
      </c>
      <c r="F1749" t="s">
        <v>1769</v>
      </c>
      <c r="G1749">
        <v>1</v>
      </c>
      <c r="H1749" s="10">
        <f>IF(ISBLANK(ESales_DB[[#This Row],[Quantity]]),AVERAGEIF(ESales_DB[Product_ID],ESales_DB[[#This Row],[Product_ID]],ESales_DB[Quantity]),ESales_DB[[#This Row],[Quantity]])</f>
        <v>1</v>
      </c>
      <c r="I1749" s="2">
        <v>768.25</v>
      </c>
      <c r="J1749">
        <v>0.18</v>
      </c>
      <c r="K1749" t="s">
        <v>1824</v>
      </c>
      <c r="L1749" s="2">
        <v>629.96500000000003</v>
      </c>
      <c r="M1749" s="2" t="str">
        <f>IF(ESales_DB[[#This Row],[Total_Amount]]&gt;1000,"High","Low")</f>
        <v>Low</v>
      </c>
      <c r="N1749" s="2" t="str">
        <f>VLOOKUP(ESales_DB[[#This Row],[Customer_ID]],Ecustom_DB[],3,FALSE)</f>
        <v>Douglas Rhodes</v>
      </c>
      <c r="O1749" s="2" t="str">
        <f>_xlfn.XLOOKUP(ESales_DB[[#This Row],[Product_ID]],Eproduct_DB[Product_ID],Eproduct_DB[Category])</f>
        <v>Home</v>
      </c>
      <c r="P1749" s="2" t="str">
        <f>_xlfn.XLOOKUP(ESales_DB[[#This Row],[Product_ID]],Eproduct_DB[Product_ID],Eproduct_DB[Product_Name])</f>
        <v>Ceramic Kitchen Bowl Set</v>
      </c>
      <c r="Q1749" s="2" t="str">
        <f>_xlfn.XLOOKUP(ESales_DB[[#This Row],[Store_ID]],Estore_DB[Store_ID],Estore_DB[Region])</f>
        <v>South</v>
      </c>
      <c r="R1749" t="str">
        <f>VLOOKUP(ESales_DB[[#This Row],[Customer_ID]],Ecustom_DB[],10,FALSE)</f>
        <v>Platinum</v>
      </c>
      <c r="S1749" t="str">
        <f>IF(ESales_DB[[#This Row],[Quantity1]]&gt;3,"Bulk order","Normal order")</f>
        <v>Normal order</v>
      </c>
    </row>
    <row r="1750" spans="1:19" x14ac:dyDescent="0.3">
      <c r="A1750" t="s">
        <v>2598</v>
      </c>
      <c r="B1750" s="4">
        <v>45254</v>
      </c>
      <c r="C1750" s="4" t="str">
        <f>TEXT(ESales_DB[[#This Row],[Order_Date]],"mmm")</f>
        <v>Nov</v>
      </c>
      <c r="D1750" t="s">
        <v>1098</v>
      </c>
      <c r="E1750" t="s">
        <v>1732</v>
      </c>
      <c r="F1750" t="s">
        <v>1813</v>
      </c>
      <c r="G1750">
        <v>2</v>
      </c>
      <c r="H1750" s="10">
        <f>IF(ISBLANK(ESales_DB[[#This Row],[Quantity]]),AVERAGEIF(ESales_DB[Product_ID],ESales_DB[[#This Row],[Product_ID]],ESales_DB[Quantity]),ESales_DB[[#This Row],[Quantity]])</f>
        <v>2</v>
      </c>
      <c r="I1750" s="2">
        <v>318.62</v>
      </c>
      <c r="J1750">
        <v>0.02</v>
      </c>
      <c r="K1750" t="s">
        <v>1829</v>
      </c>
      <c r="L1750" s="2">
        <v>624.49519999999995</v>
      </c>
      <c r="M1750" s="2" t="str">
        <f>IF(ESales_DB[[#This Row],[Total_Amount]]&gt;1000,"High","Low")</f>
        <v>Low</v>
      </c>
      <c r="N1750" s="2" t="str">
        <f>VLOOKUP(ESales_DB[[#This Row],[Customer_ID]],Ecustom_DB[],3,FALSE)</f>
        <v>Charles Miller</v>
      </c>
      <c r="O1750" s="2" t="str">
        <f>_xlfn.XLOOKUP(ESales_DB[[#This Row],[Product_ID]],Eproduct_DB[Product_ID],Eproduct_DB[Category])</f>
        <v>Home</v>
      </c>
      <c r="P1750" s="2" t="str">
        <f>_xlfn.XLOOKUP(ESales_DB[[#This Row],[Product_ID]],Eproduct_DB[Product_ID],Eproduct_DB[Product_Name])</f>
        <v>Microwave Oven</v>
      </c>
      <c r="Q1750" s="2" t="str">
        <f>_xlfn.XLOOKUP(ESales_DB[[#This Row],[Store_ID]],Estore_DB[Store_ID],Estore_DB[Region])</f>
        <v>East</v>
      </c>
      <c r="R1750" t="str">
        <f>VLOOKUP(ESales_DB[[#This Row],[Customer_ID]],Ecustom_DB[],10,FALSE)</f>
        <v>Silver</v>
      </c>
      <c r="S1750" t="str">
        <f>IF(ESales_DB[[#This Row],[Quantity1]]&gt;3,"Bulk order","Normal order")</f>
        <v>Normal order</v>
      </c>
    </row>
    <row r="1751" spans="1:19" x14ac:dyDescent="0.3">
      <c r="A1751" t="s">
        <v>2599</v>
      </c>
      <c r="B1751" s="4">
        <v>45683</v>
      </c>
      <c r="C1751" s="4" t="str">
        <f>TEXT(ESales_DB[[#This Row],[Order_Date]],"mmm")</f>
        <v>Jan</v>
      </c>
      <c r="D1751" t="s">
        <v>188</v>
      </c>
      <c r="E1751" t="s">
        <v>1700</v>
      </c>
      <c r="F1751" t="s">
        <v>1761</v>
      </c>
      <c r="G1751">
        <v>4</v>
      </c>
      <c r="H1751" s="10">
        <f>IF(ISBLANK(ESales_DB[[#This Row],[Quantity]]),AVERAGEIF(ESales_DB[Product_ID],ESales_DB[[#This Row],[Product_ID]],ESales_DB[Quantity]),ESales_DB[[#This Row],[Quantity]])</f>
        <v>4</v>
      </c>
      <c r="I1751" s="2">
        <v>402.11</v>
      </c>
      <c r="J1751">
        <v>0.14000000000000001</v>
      </c>
      <c r="K1751" t="s">
        <v>1826</v>
      </c>
      <c r="L1751" s="2">
        <v>1383.2583999999999</v>
      </c>
      <c r="M1751" s="2" t="str">
        <f>IF(ESales_DB[[#This Row],[Total_Amount]]&gt;1000,"High","Low")</f>
        <v>High</v>
      </c>
      <c r="N1751" s="2" t="str">
        <f>VLOOKUP(ESales_DB[[#This Row],[Customer_ID]],Ecustom_DB[],3,FALSE)</f>
        <v>Timothy Weaver</v>
      </c>
      <c r="O1751" s="2" t="str">
        <f>_xlfn.XLOOKUP(ESales_DB[[#This Row],[Product_ID]],Eproduct_DB[Product_ID],Eproduct_DB[Category])</f>
        <v>Electronics</v>
      </c>
      <c r="P1751" s="2" t="str">
        <f>_xlfn.XLOOKUP(ESales_DB[[#This Row],[Product_ID]],Eproduct_DB[Product_ID],Eproduct_DB[Product_Name])</f>
        <v>Wireless Mouse</v>
      </c>
      <c r="Q1751" s="2" t="str">
        <f>_xlfn.XLOOKUP(ESales_DB[[#This Row],[Store_ID]],Estore_DB[Store_ID],Estore_DB[Region])</f>
        <v>South</v>
      </c>
      <c r="R1751" t="str">
        <f>VLOOKUP(ESales_DB[[#This Row],[Customer_ID]],Ecustom_DB[],10,FALSE)</f>
        <v>Gold</v>
      </c>
      <c r="S1751" t="str">
        <f>IF(ESales_DB[[#This Row],[Quantity1]]&gt;3,"Bulk order","Normal order")</f>
        <v>Bulk order</v>
      </c>
    </row>
    <row r="1752" spans="1:19" x14ac:dyDescent="0.3">
      <c r="A1752" t="s">
        <v>2600</v>
      </c>
      <c r="B1752" s="4">
        <v>45804</v>
      </c>
      <c r="C1752" s="4" t="str">
        <f>TEXT(ESales_DB[[#This Row],[Order_Date]],"mmm")</f>
        <v>May</v>
      </c>
      <c r="D1752" t="s">
        <v>1269</v>
      </c>
      <c r="E1752" t="s">
        <v>1716</v>
      </c>
      <c r="F1752" t="s">
        <v>1807</v>
      </c>
      <c r="G1752">
        <v>3</v>
      </c>
      <c r="H1752" s="10">
        <f>IF(ISBLANK(ESales_DB[[#This Row],[Quantity]]),AVERAGEIF(ESales_DB[Product_ID],ESales_DB[[#This Row],[Product_ID]],ESales_DB[Quantity]),ESales_DB[[#This Row],[Quantity]])</f>
        <v>3</v>
      </c>
      <c r="I1752" s="2">
        <v>846.31</v>
      </c>
      <c r="J1752">
        <v>0.18</v>
      </c>
      <c r="K1752" t="s">
        <v>1829</v>
      </c>
      <c r="L1752" s="2">
        <v>2081.9225999999999</v>
      </c>
      <c r="M1752" s="2" t="str">
        <f>IF(ESales_DB[[#This Row],[Total_Amount]]&gt;1000,"High","Low")</f>
        <v>High</v>
      </c>
      <c r="N1752" s="2" t="str">
        <f>VLOOKUP(ESales_DB[[#This Row],[Customer_ID]],Ecustom_DB[],3,FALSE)</f>
        <v>Isabel Foster</v>
      </c>
      <c r="O1752" s="2" t="str">
        <f>_xlfn.XLOOKUP(ESales_DB[[#This Row],[Product_ID]],Eproduct_DB[Product_ID],Eproduct_DB[Category])</f>
        <v>Home</v>
      </c>
      <c r="P1752" s="2" t="str">
        <f>_xlfn.XLOOKUP(ESales_DB[[#This Row],[Product_ID]],Eproduct_DB[Product_ID],Eproduct_DB[Product_Name])</f>
        <v>Wooden Bookshelf</v>
      </c>
      <c r="Q1752" s="2" t="str">
        <f>_xlfn.XLOOKUP(ESales_DB[[#This Row],[Store_ID]],Estore_DB[Store_ID],Estore_DB[Region])</f>
        <v>North</v>
      </c>
      <c r="R1752" t="str">
        <f>VLOOKUP(ESales_DB[[#This Row],[Customer_ID]],Ecustom_DB[],10,FALSE)</f>
        <v>Gold</v>
      </c>
      <c r="S1752" t="str">
        <f>IF(ESales_DB[[#This Row],[Quantity1]]&gt;3,"Bulk order","Normal order")</f>
        <v>Normal order</v>
      </c>
    </row>
    <row r="1753" spans="1:19" x14ac:dyDescent="0.3">
      <c r="A1753" t="s">
        <v>2601</v>
      </c>
      <c r="B1753" s="4">
        <v>45821</v>
      </c>
      <c r="C1753" s="4" t="str">
        <f>TEXT(ESales_DB[[#This Row],[Order_Date]],"mmm")</f>
        <v>Jun</v>
      </c>
      <c r="D1753" t="s">
        <v>559</v>
      </c>
      <c r="E1753" t="s">
        <v>1736</v>
      </c>
      <c r="F1753" t="s">
        <v>1799</v>
      </c>
      <c r="G1753">
        <v>1</v>
      </c>
      <c r="H1753" s="10">
        <f>IF(ISBLANK(ESales_DB[[#This Row],[Quantity]]),AVERAGEIF(ESales_DB[Product_ID],ESales_DB[[#This Row],[Product_ID]],ESales_DB[Quantity]),ESales_DB[[#This Row],[Quantity]])</f>
        <v>1</v>
      </c>
      <c r="I1753" s="2">
        <v>269.94</v>
      </c>
      <c r="J1753">
        <v>7.0000000000000007E-2</v>
      </c>
      <c r="K1753" t="s">
        <v>1829</v>
      </c>
      <c r="L1753" s="2">
        <v>251.04419999999999</v>
      </c>
      <c r="M1753" s="2" t="str">
        <f>IF(ESales_DB[[#This Row],[Total_Amount]]&gt;1000,"High","Low")</f>
        <v>Low</v>
      </c>
      <c r="N1753" s="2" t="str">
        <f>VLOOKUP(ESales_DB[[#This Row],[Customer_ID]],Ecustom_DB[],3,FALSE)</f>
        <v>Daniel Contreras</v>
      </c>
      <c r="O1753" s="2" t="str">
        <f>_xlfn.XLOOKUP(ESales_DB[[#This Row],[Product_ID]],Eproduct_DB[Product_ID],Eproduct_DB[Category])</f>
        <v>Beauty</v>
      </c>
      <c r="P1753" s="2" t="str">
        <f>_xlfn.XLOOKUP(ESales_DB[[#This Row],[Product_ID]],Eproduct_DB[Product_ID],Eproduct_DB[Product_Name])</f>
        <v>Vitamin E Body Lotion</v>
      </c>
      <c r="Q1753" s="2" t="str">
        <f>_xlfn.XLOOKUP(ESales_DB[[#This Row],[Store_ID]],Estore_DB[Store_ID],Estore_DB[Region])</f>
        <v>South</v>
      </c>
      <c r="R1753" t="str">
        <f>VLOOKUP(ESales_DB[[#This Row],[Customer_ID]],Ecustom_DB[],10,FALSE)</f>
        <v>Platinum</v>
      </c>
      <c r="S1753" t="str">
        <f>IF(ESales_DB[[#This Row],[Quantity1]]&gt;3,"Bulk order","Normal order")</f>
        <v>Normal order</v>
      </c>
    </row>
    <row r="1754" spans="1:19" x14ac:dyDescent="0.3">
      <c r="A1754" t="s">
        <v>2602</v>
      </c>
      <c r="B1754" s="4">
        <v>45472</v>
      </c>
      <c r="C1754" s="4" t="str">
        <f>TEXT(ESales_DB[[#This Row],[Order_Date]],"mmm")</f>
        <v>Jun</v>
      </c>
      <c r="D1754" t="s">
        <v>773</v>
      </c>
      <c r="E1754" t="s">
        <v>1588</v>
      </c>
      <c r="F1754" t="s">
        <v>1769</v>
      </c>
      <c r="G1754">
        <v>3</v>
      </c>
      <c r="H1754" s="10">
        <f>IF(ISBLANK(ESales_DB[[#This Row],[Quantity]]),AVERAGEIF(ESales_DB[Product_ID],ESales_DB[[#This Row],[Product_ID]],ESales_DB[Quantity]),ESales_DB[[#This Row],[Quantity]])</f>
        <v>3</v>
      </c>
      <c r="I1754" s="2">
        <v>909.25</v>
      </c>
      <c r="J1754">
        <v>0.28999999999999998</v>
      </c>
      <c r="K1754" t="s">
        <v>1829</v>
      </c>
      <c r="L1754" s="2">
        <v>1936.7025000000001</v>
      </c>
      <c r="M1754" s="2" t="str">
        <f>IF(ESales_DB[[#This Row],[Total_Amount]]&gt;1000,"High","Low")</f>
        <v>High</v>
      </c>
      <c r="N1754" s="2" t="str">
        <f>VLOOKUP(ESales_DB[[#This Row],[Customer_ID]],Ecustom_DB[],3,FALSE)</f>
        <v>Mr. William Horton</v>
      </c>
      <c r="O1754" s="2" t="str">
        <f>_xlfn.XLOOKUP(ESales_DB[[#This Row],[Product_ID]],Eproduct_DB[Product_ID],Eproduct_DB[Category])</f>
        <v>Sports</v>
      </c>
      <c r="P1754" s="2" t="str">
        <f>_xlfn.XLOOKUP(ESales_DB[[#This Row],[Product_ID]],Eproduct_DB[Product_ID],Eproduct_DB[Product_Name])</f>
        <v>Outdoor Sports Water Bottle</v>
      </c>
      <c r="Q1754" s="2" t="str">
        <f>_xlfn.XLOOKUP(ESales_DB[[#This Row],[Store_ID]],Estore_DB[Store_ID],Estore_DB[Region])</f>
        <v>South</v>
      </c>
      <c r="R1754" t="str">
        <f>VLOOKUP(ESales_DB[[#This Row],[Customer_ID]],Ecustom_DB[],10,FALSE)</f>
        <v>Platinum</v>
      </c>
      <c r="S1754" t="str">
        <f>IF(ESales_DB[[#This Row],[Quantity1]]&gt;3,"Bulk order","Normal order")</f>
        <v>Normal order</v>
      </c>
    </row>
    <row r="1755" spans="1:19" x14ac:dyDescent="0.3">
      <c r="A1755" t="s">
        <v>2603</v>
      </c>
      <c r="B1755" s="4">
        <v>45331</v>
      </c>
      <c r="C1755" s="4" t="str">
        <f>TEXT(ESales_DB[[#This Row],[Order_Date]],"mmm")</f>
        <v>Feb</v>
      </c>
      <c r="D1755" t="s">
        <v>1136</v>
      </c>
      <c r="E1755" t="s">
        <v>1730</v>
      </c>
      <c r="F1755" t="s">
        <v>1794</v>
      </c>
      <c r="G1755">
        <v>2</v>
      </c>
      <c r="H1755" s="10">
        <f>IF(ISBLANK(ESales_DB[[#This Row],[Quantity]]),AVERAGEIF(ESales_DB[Product_ID],ESales_DB[[#This Row],[Product_ID]],ESales_DB[Quantity]),ESales_DB[[#This Row],[Quantity]])</f>
        <v>2</v>
      </c>
      <c r="I1755" s="2">
        <v>229.81</v>
      </c>
      <c r="J1755">
        <v>0.21</v>
      </c>
      <c r="K1755" t="s">
        <v>1829</v>
      </c>
      <c r="L1755" s="2">
        <v>363.09980000000002</v>
      </c>
      <c r="M1755" s="2" t="str">
        <f>IF(ESales_DB[[#This Row],[Total_Amount]]&gt;1000,"High","Low")</f>
        <v>Low</v>
      </c>
      <c r="N1755" s="2" t="str">
        <f>VLOOKUP(ESales_DB[[#This Row],[Customer_ID]],Ecustom_DB[],3,FALSE)</f>
        <v>Elizabeth Smith</v>
      </c>
      <c r="O1755" s="2" t="str">
        <f>_xlfn.XLOOKUP(ESales_DB[[#This Row],[Product_ID]],Eproduct_DB[Product_ID],Eproduct_DB[Category])</f>
        <v>Clothing</v>
      </c>
      <c r="P1755" s="2" t="str">
        <f>_xlfn.XLOOKUP(ESales_DB[[#This Row],[Product_ID]],Eproduct_DB[Product_ID],Eproduct_DB[Product_Name])</f>
        <v>Women's High Heels</v>
      </c>
      <c r="Q1755" s="2" t="str">
        <f>_xlfn.XLOOKUP(ESales_DB[[#This Row],[Store_ID]],Estore_DB[Store_ID],Estore_DB[Region])</f>
        <v>North</v>
      </c>
      <c r="R1755" t="str">
        <f>VLOOKUP(ESales_DB[[#This Row],[Customer_ID]],Ecustom_DB[],10,FALSE)</f>
        <v>Bronze</v>
      </c>
      <c r="S1755" t="str">
        <f>IF(ESales_DB[[#This Row],[Quantity1]]&gt;3,"Bulk order","Normal order")</f>
        <v>Normal order</v>
      </c>
    </row>
    <row r="1756" spans="1:19" x14ac:dyDescent="0.3">
      <c r="A1756" t="s">
        <v>2604</v>
      </c>
      <c r="B1756" s="4">
        <v>45451</v>
      </c>
      <c r="C1756" s="4" t="str">
        <f>TEXT(ESales_DB[[#This Row],[Order_Date]],"mmm")</f>
        <v>Jun</v>
      </c>
      <c r="D1756" t="s">
        <v>147</v>
      </c>
      <c r="E1756" t="s">
        <v>1704</v>
      </c>
      <c r="F1756" t="s">
        <v>1801</v>
      </c>
      <c r="G1756">
        <v>3</v>
      </c>
      <c r="H1756" s="10">
        <f>IF(ISBLANK(ESales_DB[[#This Row],[Quantity]]),AVERAGEIF(ESales_DB[Product_ID],ESales_DB[[#This Row],[Product_ID]],ESales_DB[Quantity]),ESales_DB[[#This Row],[Quantity]])</f>
        <v>3</v>
      </c>
      <c r="I1756" s="2">
        <v>442.36</v>
      </c>
      <c r="J1756">
        <v>0.06</v>
      </c>
      <c r="K1756" t="s">
        <v>1826</v>
      </c>
      <c r="L1756" s="2">
        <v>1247.4552000000001</v>
      </c>
      <c r="M1756" s="2" t="str">
        <f>IF(ESales_DB[[#This Row],[Total_Amount]]&gt;1000,"High","Low")</f>
        <v>High</v>
      </c>
      <c r="N1756" s="2" t="str">
        <f>VLOOKUP(ESales_DB[[#This Row],[Customer_ID]],Ecustom_DB[],3,FALSE)</f>
        <v>Christopher Carter</v>
      </c>
      <c r="O1756" s="2" t="str">
        <f>_xlfn.XLOOKUP(ESales_DB[[#This Row],[Product_ID]],Eproduct_DB[Product_ID],Eproduct_DB[Category])</f>
        <v>Home</v>
      </c>
      <c r="P1756" s="2" t="str">
        <f>_xlfn.XLOOKUP(ESales_DB[[#This Row],[Product_ID]],Eproduct_DB[Product_ID],Eproduct_DB[Product_Name])</f>
        <v>Essential Oil Diffuser</v>
      </c>
      <c r="Q1756" s="2" t="str">
        <f>_xlfn.XLOOKUP(ESales_DB[[#This Row],[Store_ID]],Estore_DB[Store_ID],Estore_DB[Region])</f>
        <v>North</v>
      </c>
      <c r="R1756" t="str">
        <f>VLOOKUP(ESales_DB[[#This Row],[Customer_ID]],Ecustom_DB[],10,FALSE)</f>
        <v>Uncategorized</v>
      </c>
      <c r="S1756" t="str">
        <f>IF(ESales_DB[[#This Row],[Quantity1]]&gt;3,"Bulk order","Normal order")</f>
        <v>Normal order</v>
      </c>
    </row>
    <row r="1757" spans="1:19" x14ac:dyDescent="0.3">
      <c r="A1757" t="s">
        <v>2605</v>
      </c>
      <c r="B1757" s="4">
        <v>45386</v>
      </c>
      <c r="C1757" s="4" t="str">
        <f>TEXT(ESales_DB[[#This Row],[Order_Date]],"mmm")</f>
        <v>Apr</v>
      </c>
      <c r="D1757" t="s">
        <v>767</v>
      </c>
      <c r="E1757" t="s">
        <v>1720</v>
      </c>
      <c r="F1757" t="s">
        <v>1766</v>
      </c>
      <c r="G1757">
        <v>3</v>
      </c>
      <c r="H1757" s="10">
        <f>IF(ISBLANK(ESales_DB[[#This Row],[Quantity]]),AVERAGEIF(ESales_DB[Product_ID],ESales_DB[[#This Row],[Product_ID]],ESales_DB[Quantity]),ESales_DB[[#This Row],[Quantity]])</f>
        <v>3</v>
      </c>
      <c r="I1757" s="2">
        <v>413.74</v>
      </c>
      <c r="J1757">
        <v>0.01</v>
      </c>
      <c r="K1757" t="s">
        <v>1824</v>
      </c>
      <c r="L1757" s="2">
        <v>1228.8078</v>
      </c>
      <c r="M1757" s="2" t="str">
        <f>IF(ESales_DB[[#This Row],[Total_Amount]]&gt;1000,"High","Low")</f>
        <v>High</v>
      </c>
      <c r="N1757" s="2" t="str">
        <f>VLOOKUP(ESales_DB[[#This Row],[Customer_ID]],Ecustom_DB[],3,FALSE)</f>
        <v>Maria Hill</v>
      </c>
      <c r="O1757" s="2" t="str">
        <f>_xlfn.XLOOKUP(ESales_DB[[#This Row],[Product_ID]],Eproduct_DB[Product_ID],Eproduct_DB[Category])</f>
        <v>Home</v>
      </c>
      <c r="P1757" s="2" t="str">
        <f>_xlfn.XLOOKUP(ESales_DB[[#This Row],[Product_ID]],Eproduct_DB[Product_ID],Eproduct_DB[Product_Name])</f>
        <v>Kitchen Cutting Board</v>
      </c>
      <c r="Q1757" s="2" t="str">
        <f>_xlfn.XLOOKUP(ESales_DB[[#This Row],[Store_ID]],Estore_DB[Store_ID],Estore_DB[Region])</f>
        <v>North</v>
      </c>
      <c r="R1757" t="str">
        <f>VLOOKUP(ESales_DB[[#This Row],[Customer_ID]],Ecustom_DB[],10,FALSE)</f>
        <v>Platinum</v>
      </c>
      <c r="S1757" t="str">
        <f>IF(ESales_DB[[#This Row],[Quantity1]]&gt;3,"Bulk order","Normal order")</f>
        <v>Normal order</v>
      </c>
    </row>
    <row r="1758" spans="1:19" x14ac:dyDescent="0.3">
      <c r="A1758" t="s">
        <v>1904</v>
      </c>
      <c r="B1758" s="4">
        <v>45609</v>
      </c>
      <c r="C1758" s="4" t="str">
        <f>TEXT(ESales_DB[[#This Row],[Order_Date]],"mmm")</f>
        <v>Nov</v>
      </c>
      <c r="D1758" t="s">
        <v>716</v>
      </c>
      <c r="E1758" t="s">
        <v>1714</v>
      </c>
      <c r="F1758" t="s">
        <v>1782</v>
      </c>
      <c r="G1758">
        <v>2</v>
      </c>
      <c r="H1758" s="10">
        <f>IF(ISBLANK(ESales_DB[[#This Row],[Quantity]]),AVERAGEIF(ESales_DB[Product_ID],ESales_DB[[#This Row],[Product_ID]],ESales_DB[Quantity]),ESales_DB[[#This Row],[Quantity]])</f>
        <v>2</v>
      </c>
      <c r="I1758" s="2">
        <v>900.55</v>
      </c>
      <c r="J1758">
        <v>0.16</v>
      </c>
      <c r="K1758" t="s">
        <v>1824</v>
      </c>
      <c r="L1758" s="2">
        <v>1512.924</v>
      </c>
      <c r="M1758" s="2" t="str">
        <f>IF(ESales_DB[[#This Row],[Total_Amount]]&gt;1000,"High","Low")</f>
        <v>High</v>
      </c>
      <c r="N1758" s="2" t="str">
        <f>VLOOKUP(ESales_DB[[#This Row],[Customer_ID]],Ecustom_DB[],3,FALSE)</f>
        <v>Lisa Young</v>
      </c>
      <c r="O1758" s="2" t="str">
        <f>_xlfn.XLOOKUP(ESales_DB[[#This Row],[Product_ID]],Eproduct_DB[Product_ID],Eproduct_DB[Category])</f>
        <v>Beauty</v>
      </c>
      <c r="P1758" s="2" t="str">
        <f>_xlfn.XLOOKUP(ESales_DB[[#This Row],[Product_ID]],Eproduct_DB[Product_ID],Eproduct_DB[Product_Name])</f>
        <v>Hydrating Face Cleanser</v>
      </c>
      <c r="Q1758" s="2" t="str">
        <f>_xlfn.XLOOKUP(ESales_DB[[#This Row],[Store_ID]],Estore_DB[Store_ID],Estore_DB[Region])</f>
        <v>West</v>
      </c>
      <c r="R1758" t="str">
        <f>VLOOKUP(ESales_DB[[#This Row],[Customer_ID]],Ecustom_DB[],10,FALSE)</f>
        <v>Platinum</v>
      </c>
      <c r="S1758" t="str">
        <f>IF(ESales_DB[[#This Row],[Quantity1]]&gt;3,"Bulk order","Normal order")</f>
        <v>Normal order</v>
      </c>
    </row>
    <row r="1759" spans="1:19" x14ac:dyDescent="0.3">
      <c r="A1759" t="s">
        <v>2606</v>
      </c>
      <c r="B1759" s="4">
        <v>45477</v>
      </c>
      <c r="C1759" s="4" t="str">
        <f>TEXT(ESales_DB[[#This Row],[Order_Date]],"mmm")</f>
        <v>Jul</v>
      </c>
      <c r="D1759" t="s">
        <v>1524</v>
      </c>
      <c r="E1759" t="s">
        <v>1726</v>
      </c>
      <c r="F1759" t="s">
        <v>1799</v>
      </c>
      <c r="G1759">
        <v>4</v>
      </c>
      <c r="H1759" s="10">
        <f>IF(ISBLANK(ESales_DB[[#This Row],[Quantity]]),AVERAGEIF(ESales_DB[Product_ID],ESales_DB[[#This Row],[Product_ID]],ESales_DB[Quantity]),ESales_DB[[#This Row],[Quantity]])</f>
        <v>4</v>
      </c>
      <c r="I1759" s="2">
        <v>79.75</v>
      </c>
      <c r="J1759">
        <v>0.18</v>
      </c>
      <c r="K1759" t="s">
        <v>1826</v>
      </c>
      <c r="L1759" s="2">
        <v>261.58</v>
      </c>
      <c r="M1759" s="2" t="str">
        <f>IF(ESales_DB[[#This Row],[Total_Amount]]&gt;1000,"High","Low")</f>
        <v>Low</v>
      </c>
      <c r="N1759" s="2" t="str">
        <f>VLOOKUP(ESales_DB[[#This Row],[Customer_ID]],Ecustom_DB[],3,FALSE)</f>
        <v>Christopher Ford</v>
      </c>
      <c r="O1759" s="2" t="str">
        <f>_xlfn.XLOOKUP(ESales_DB[[#This Row],[Product_ID]],Eproduct_DB[Product_ID],Eproduct_DB[Category])</f>
        <v>Beauty</v>
      </c>
      <c r="P1759" s="2" t="str">
        <f>_xlfn.XLOOKUP(ESales_DB[[#This Row],[Product_ID]],Eproduct_DB[Product_ID],Eproduct_DB[Product_Name])</f>
        <v>Face Foundation Kit</v>
      </c>
      <c r="Q1759" s="2" t="str">
        <f>_xlfn.XLOOKUP(ESales_DB[[#This Row],[Store_ID]],Estore_DB[Store_ID],Estore_DB[Region])</f>
        <v>South</v>
      </c>
      <c r="R1759" t="str">
        <f>VLOOKUP(ESales_DB[[#This Row],[Customer_ID]],Ecustom_DB[],10,FALSE)</f>
        <v>Bronze</v>
      </c>
      <c r="S1759" t="str">
        <f>IF(ESales_DB[[#This Row],[Quantity1]]&gt;3,"Bulk order","Normal order")</f>
        <v>Bulk order</v>
      </c>
    </row>
    <row r="1760" spans="1:19" x14ac:dyDescent="0.3">
      <c r="A1760" t="s">
        <v>2607</v>
      </c>
      <c r="B1760" s="4">
        <v>45433</v>
      </c>
      <c r="C1760" s="4" t="str">
        <f>TEXT(ESales_DB[[#This Row],[Order_Date]],"mmm")</f>
        <v>May</v>
      </c>
      <c r="D1760" t="s">
        <v>1521</v>
      </c>
      <c r="E1760" t="s">
        <v>1628</v>
      </c>
      <c r="F1760" t="s">
        <v>1794</v>
      </c>
      <c r="G1760">
        <v>4</v>
      </c>
      <c r="H1760" s="10">
        <f>IF(ISBLANK(ESales_DB[[#This Row],[Quantity]]),AVERAGEIF(ESales_DB[Product_ID],ESales_DB[[#This Row],[Product_ID]],ESales_DB[Quantity]),ESales_DB[[#This Row],[Quantity]])</f>
        <v>4</v>
      </c>
      <c r="I1760" s="2">
        <v>95.06</v>
      </c>
      <c r="J1760">
        <v>0.03</v>
      </c>
      <c r="K1760" t="s">
        <v>1824</v>
      </c>
      <c r="L1760" s="2">
        <v>368.83280000000002</v>
      </c>
      <c r="M1760" s="2" t="str">
        <f>IF(ESales_DB[[#This Row],[Total_Amount]]&gt;1000,"High","Low")</f>
        <v>Low</v>
      </c>
      <c r="N1760" s="2" t="str">
        <f>VLOOKUP(ESales_DB[[#This Row],[Customer_ID]],Ecustom_DB[],3,FALSE)</f>
        <v>James Berger</v>
      </c>
      <c r="O1760" s="2" t="str">
        <f>_xlfn.XLOOKUP(ESales_DB[[#This Row],[Product_ID]],Eproduct_DB[Product_ID],Eproduct_DB[Category])</f>
        <v>Electronics</v>
      </c>
      <c r="P1760" s="2" t="str">
        <f>_xlfn.XLOOKUP(ESales_DB[[#This Row],[Product_ID]],Eproduct_DB[Product_ID],Eproduct_DB[Product_Name])</f>
        <v>Noise-Canceling Headphones</v>
      </c>
      <c r="Q1760" s="2" t="str">
        <f>_xlfn.XLOOKUP(ESales_DB[[#This Row],[Store_ID]],Estore_DB[Store_ID],Estore_DB[Region])</f>
        <v>North</v>
      </c>
      <c r="R1760" t="str">
        <f>VLOOKUP(ESales_DB[[#This Row],[Customer_ID]],Ecustom_DB[],10,FALSE)</f>
        <v>Bronze</v>
      </c>
      <c r="S1760" t="str">
        <f>IF(ESales_DB[[#This Row],[Quantity1]]&gt;3,"Bulk order","Normal order")</f>
        <v>Bulk order</v>
      </c>
    </row>
    <row r="1761" spans="1:19" x14ac:dyDescent="0.3">
      <c r="A1761" t="s">
        <v>2608</v>
      </c>
      <c r="B1761" s="4">
        <v>45759</v>
      </c>
      <c r="C1761" s="4" t="str">
        <f>TEXT(ESales_DB[[#This Row],[Order_Date]],"mmm")</f>
        <v>Apr</v>
      </c>
      <c r="D1761" t="s">
        <v>1292</v>
      </c>
      <c r="E1761" t="s">
        <v>1744</v>
      </c>
      <c r="F1761" t="s">
        <v>1779</v>
      </c>
      <c r="G1761">
        <v>4</v>
      </c>
      <c r="H1761" s="10">
        <f>IF(ISBLANK(ESales_DB[[#This Row],[Quantity]]),AVERAGEIF(ESales_DB[Product_ID],ESales_DB[[#This Row],[Product_ID]],ESales_DB[Quantity]),ESales_DB[[#This Row],[Quantity]])</f>
        <v>4</v>
      </c>
      <c r="I1761" s="2">
        <v>107.08</v>
      </c>
      <c r="J1761">
        <v>0.27</v>
      </c>
      <c r="K1761" t="s">
        <v>1829</v>
      </c>
      <c r="L1761" s="2">
        <v>312.67360000000002</v>
      </c>
      <c r="M1761" s="2" t="str">
        <f>IF(ESales_DB[[#This Row],[Total_Amount]]&gt;1000,"High","Low")</f>
        <v>Low</v>
      </c>
      <c r="N1761" s="2" t="str">
        <f>VLOOKUP(ESales_DB[[#This Row],[Customer_ID]],Ecustom_DB[],3,FALSE)</f>
        <v>Jennifer Myers</v>
      </c>
      <c r="O1761" s="2" t="str">
        <f>_xlfn.XLOOKUP(ESales_DB[[#This Row],[Product_ID]],Eproduct_DB[Product_ID],Eproduct_DB[Category])</f>
        <v>Electronics</v>
      </c>
      <c r="P1761" s="2" t="str">
        <f>_xlfn.XLOOKUP(ESales_DB[[#This Row],[Product_ID]],Eproduct_DB[Product_ID],Eproduct_DB[Product_Name])</f>
        <v>Portable Bluetooth Speaker</v>
      </c>
      <c r="Q1761" s="2" t="str">
        <f>_xlfn.XLOOKUP(ESales_DB[[#This Row],[Store_ID]],Estore_DB[Store_ID],Estore_DB[Region])</f>
        <v>South</v>
      </c>
      <c r="R1761" t="str">
        <f>VLOOKUP(ESales_DB[[#This Row],[Customer_ID]],Ecustom_DB[],10,FALSE)</f>
        <v>Platinum</v>
      </c>
      <c r="S1761" t="str">
        <f>IF(ESales_DB[[#This Row],[Quantity1]]&gt;3,"Bulk order","Normal order")</f>
        <v>Bulk order</v>
      </c>
    </row>
    <row r="1762" spans="1:19" x14ac:dyDescent="0.3">
      <c r="A1762" t="s">
        <v>2609</v>
      </c>
      <c r="B1762" s="4">
        <v>45794</v>
      </c>
      <c r="C1762" s="4" t="str">
        <f>TEXT(ESales_DB[[#This Row],[Order_Date]],"mmm")</f>
        <v>May</v>
      </c>
      <c r="D1762" t="s">
        <v>1461</v>
      </c>
      <c r="E1762" t="s">
        <v>1746</v>
      </c>
      <c r="F1762" t="s">
        <v>1810</v>
      </c>
      <c r="G1762">
        <v>1</v>
      </c>
      <c r="H1762" s="10">
        <f>IF(ISBLANK(ESales_DB[[#This Row],[Quantity]]),AVERAGEIF(ESales_DB[Product_ID],ESales_DB[[#This Row],[Product_ID]],ESales_DB[Quantity]),ESales_DB[[#This Row],[Quantity]])</f>
        <v>1</v>
      </c>
      <c r="I1762" s="2">
        <v>873.18</v>
      </c>
      <c r="J1762">
        <v>0.03</v>
      </c>
      <c r="K1762" t="s">
        <v>1829</v>
      </c>
      <c r="L1762" s="2">
        <v>846.98459999999989</v>
      </c>
      <c r="M1762" s="2" t="str">
        <f>IF(ESales_DB[[#This Row],[Total_Amount]]&gt;1000,"High","Low")</f>
        <v>Low</v>
      </c>
      <c r="N1762" s="2" t="str">
        <f>VLOOKUP(ESales_DB[[#This Row],[Customer_ID]],Ecustom_DB[],3,FALSE)</f>
        <v>Joshua Howard</v>
      </c>
      <c r="O1762" s="2" t="str">
        <f>_xlfn.XLOOKUP(ESales_DB[[#This Row],[Product_ID]],Eproduct_DB[Product_ID],Eproduct_DB[Category])</f>
        <v>Home</v>
      </c>
      <c r="P1762" s="2" t="str">
        <f>_xlfn.XLOOKUP(ESales_DB[[#This Row],[Product_ID]],Eproduct_DB[Product_ID],Eproduct_DB[Product_Name])</f>
        <v>Stainless Steel Cookware Set</v>
      </c>
      <c r="Q1762" s="2" t="str">
        <f>_xlfn.XLOOKUP(ESales_DB[[#This Row],[Store_ID]],Estore_DB[Store_ID],Estore_DB[Region])</f>
        <v>East</v>
      </c>
      <c r="R1762" t="str">
        <f>VLOOKUP(ESales_DB[[#This Row],[Customer_ID]],Ecustom_DB[],10,FALSE)</f>
        <v>Platinum</v>
      </c>
      <c r="S1762" t="str">
        <f>IF(ESales_DB[[#This Row],[Quantity1]]&gt;3,"Bulk order","Normal order")</f>
        <v>Normal order</v>
      </c>
    </row>
    <row r="1763" spans="1:19" x14ac:dyDescent="0.3">
      <c r="A1763" t="s">
        <v>2610</v>
      </c>
      <c r="B1763" s="4">
        <v>45764</v>
      </c>
      <c r="C1763" s="4" t="str">
        <f>TEXT(ESales_DB[[#This Row],[Order_Date]],"mmm")</f>
        <v>Apr</v>
      </c>
      <c r="D1763" t="s">
        <v>1178</v>
      </c>
      <c r="E1763" t="s">
        <v>1688</v>
      </c>
      <c r="F1763" t="s">
        <v>1810</v>
      </c>
      <c r="G1763">
        <v>1</v>
      </c>
      <c r="H1763" s="10">
        <f>IF(ISBLANK(ESales_DB[[#This Row],[Quantity]]),AVERAGEIF(ESales_DB[Product_ID],ESales_DB[[#This Row],[Product_ID]],ESales_DB[Quantity]),ESales_DB[[#This Row],[Quantity]])</f>
        <v>1</v>
      </c>
      <c r="I1763" s="2">
        <v>914.75</v>
      </c>
      <c r="J1763">
        <v>0.1</v>
      </c>
      <c r="K1763" t="s">
        <v>1829</v>
      </c>
      <c r="L1763" s="2">
        <v>823.27499999999998</v>
      </c>
      <c r="M1763" s="2" t="str">
        <f>IF(ESales_DB[[#This Row],[Total_Amount]]&gt;1000,"High","Low")</f>
        <v>Low</v>
      </c>
      <c r="N1763" s="2" t="str">
        <f>VLOOKUP(ESales_DB[[#This Row],[Customer_ID]],Ecustom_DB[],3,FALSE)</f>
        <v>Charles Conley</v>
      </c>
      <c r="O1763" s="2" t="str">
        <f>_xlfn.XLOOKUP(ESales_DB[[#This Row],[Product_ID]],Eproduct_DB[Product_ID],Eproduct_DB[Category])</f>
        <v>Home</v>
      </c>
      <c r="P1763" s="2" t="str">
        <f>_xlfn.XLOOKUP(ESales_DB[[#This Row],[Product_ID]],Eproduct_DB[Product_ID],Eproduct_DB[Product_Name])</f>
        <v>Kitchen Storage Rack</v>
      </c>
      <c r="Q1763" s="2" t="str">
        <f>_xlfn.XLOOKUP(ESales_DB[[#This Row],[Store_ID]],Estore_DB[Store_ID],Estore_DB[Region])</f>
        <v>East</v>
      </c>
      <c r="R1763" t="str">
        <f>VLOOKUP(ESales_DB[[#This Row],[Customer_ID]],Ecustom_DB[],10,FALSE)</f>
        <v>Gold</v>
      </c>
      <c r="S1763" t="str">
        <f>IF(ESales_DB[[#This Row],[Quantity1]]&gt;3,"Bulk order","Normal order")</f>
        <v>Normal order</v>
      </c>
    </row>
    <row r="1764" spans="1:19" x14ac:dyDescent="0.3">
      <c r="A1764" t="s">
        <v>2611</v>
      </c>
      <c r="B1764" s="4">
        <v>45279</v>
      </c>
      <c r="C1764" s="4" t="str">
        <f>TEXT(ESales_DB[[#This Row],[Order_Date]],"mmm")</f>
        <v>Dec</v>
      </c>
      <c r="D1764" t="s">
        <v>188</v>
      </c>
      <c r="E1764" t="s">
        <v>1694</v>
      </c>
      <c r="F1764" t="s">
        <v>1797</v>
      </c>
      <c r="G1764">
        <v>4</v>
      </c>
      <c r="H1764" s="10">
        <f>IF(ISBLANK(ESales_DB[[#This Row],[Quantity]]),AVERAGEIF(ESales_DB[Product_ID],ESales_DB[[#This Row],[Product_ID]],ESales_DB[Quantity]),ESales_DB[[#This Row],[Quantity]])</f>
        <v>4</v>
      </c>
      <c r="I1764" s="2">
        <v>457.33</v>
      </c>
      <c r="J1764">
        <v>0.1</v>
      </c>
      <c r="K1764" t="s">
        <v>1824</v>
      </c>
      <c r="L1764" s="2">
        <v>1646.3879999999999</v>
      </c>
      <c r="M1764" s="2" t="str">
        <f>IF(ESales_DB[[#This Row],[Total_Amount]]&gt;1000,"High","Low")</f>
        <v>High</v>
      </c>
      <c r="N1764" s="2" t="str">
        <f>VLOOKUP(ESales_DB[[#This Row],[Customer_ID]],Ecustom_DB[],3,FALSE)</f>
        <v>Timothy Weaver</v>
      </c>
      <c r="O1764" s="2" t="str">
        <f>_xlfn.XLOOKUP(ESales_DB[[#This Row],[Product_ID]],Eproduct_DB[Product_ID],Eproduct_DB[Category])</f>
        <v>Sports</v>
      </c>
      <c r="P1764" s="2" t="str">
        <f>_xlfn.XLOOKUP(ESales_DB[[#This Row],[Product_ID]],Eproduct_DB[Product_ID],Eproduct_DB[Product_Name])</f>
        <v>Shin Guards – Adult</v>
      </c>
      <c r="Q1764" s="2" t="str">
        <f>_xlfn.XLOOKUP(ESales_DB[[#This Row],[Store_ID]],Estore_DB[Store_ID],Estore_DB[Region])</f>
        <v>East</v>
      </c>
      <c r="R1764" t="str">
        <f>VLOOKUP(ESales_DB[[#This Row],[Customer_ID]],Ecustom_DB[],10,FALSE)</f>
        <v>Gold</v>
      </c>
      <c r="S1764" t="str">
        <f>IF(ESales_DB[[#This Row],[Quantity1]]&gt;3,"Bulk order","Normal order")</f>
        <v>Bulk order</v>
      </c>
    </row>
    <row r="1765" spans="1:19" x14ac:dyDescent="0.3">
      <c r="A1765" t="s">
        <v>2612</v>
      </c>
      <c r="B1765" s="4">
        <v>45602</v>
      </c>
      <c r="C1765" s="4" t="str">
        <f>TEXT(ESales_DB[[#This Row],[Order_Date]],"mmm")</f>
        <v>Nov</v>
      </c>
      <c r="D1765" t="s">
        <v>926</v>
      </c>
      <c r="E1765" t="s">
        <v>1746</v>
      </c>
      <c r="F1765" t="s">
        <v>1766</v>
      </c>
      <c r="G1765">
        <v>3</v>
      </c>
      <c r="H1765" s="10">
        <f>IF(ISBLANK(ESales_DB[[#This Row],[Quantity]]),AVERAGEIF(ESales_DB[Product_ID],ESales_DB[[#This Row],[Product_ID]],ESales_DB[Quantity]),ESales_DB[[#This Row],[Quantity]])</f>
        <v>3</v>
      </c>
      <c r="I1765" s="2">
        <v>761.88</v>
      </c>
      <c r="J1765">
        <v>0.23</v>
      </c>
      <c r="K1765" t="s">
        <v>1826</v>
      </c>
      <c r="L1765" s="2">
        <v>1759.9428</v>
      </c>
      <c r="M1765" s="2" t="str">
        <f>IF(ESales_DB[[#This Row],[Total_Amount]]&gt;1000,"High","Low")</f>
        <v>High</v>
      </c>
      <c r="N1765" s="2" t="str">
        <f>VLOOKUP(ESales_DB[[#This Row],[Customer_ID]],Ecustom_DB[],3,FALSE)</f>
        <v>Ricardo Jones</v>
      </c>
      <c r="O1765" s="2" t="str">
        <f>_xlfn.XLOOKUP(ESales_DB[[#This Row],[Product_ID]],Eproduct_DB[Product_ID],Eproduct_DB[Category])</f>
        <v>Home</v>
      </c>
      <c r="P1765" s="2" t="str">
        <f>_xlfn.XLOOKUP(ESales_DB[[#This Row],[Product_ID]],Eproduct_DB[Product_ID],Eproduct_DB[Product_Name])</f>
        <v>Stainless Steel Cookware Set</v>
      </c>
      <c r="Q1765" s="2" t="str">
        <f>_xlfn.XLOOKUP(ESales_DB[[#This Row],[Store_ID]],Estore_DB[Store_ID],Estore_DB[Region])</f>
        <v>North</v>
      </c>
      <c r="R1765" t="str">
        <f>VLOOKUP(ESales_DB[[#This Row],[Customer_ID]],Ecustom_DB[],10,FALSE)</f>
        <v>Silver</v>
      </c>
      <c r="S1765" t="str">
        <f>IF(ESales_DB[[#This Row],[Quantity1]]&gt;3,"Bulk order","Normal order")</f>
        <v>Normal order</v>
      </c>
    </row>
    <row r="1766" spans="1:19" x14ac:dyDescent="0.3">
      <c r="A1766" t="s">
        <v>2613</v>
      </c>
      <c r="B1766" s="4">
        <v>45793</v>
      </c>
      <c r="C1766" s="4" t="str">
        <f>TEXT(ESales_DB[[#This Row],[Order_Date]],"mmm")</f>
        <v>May</v>
      </c>
      <c r="D1766" t="s">
        <v>585</v>
      </c>
      <c r="E1766" t="s">
        <v>1622</v>
      </c>
      <c r="F1766" t="s">
        <v>1813</v>
      </c>
      <c r="G1766">
        <v>4</v>
      </c>
      <c r="H1766" s="10">
        <f>IF(ISBLANK(ESales_DB[[#This Row],[Quantity]]),AVERAGEIF(ESales_DB[Product_ID],ESales_DB[[#This Row],[Product_ID]],ESales_DB[Quantity]),ESales_DB[[#This Row],[Quantity]])</f>
        <v>4</v>
      </c>
      <c r="I1766" s="2">
        <v>122.87</v>
      </c>
      <c r="J1766">
        <v>0.13</v>
      </c>
      <c r="K1766" t="s">
        <v>1824</v>
      </c>
      <c r="L1766" s="2">
        <v>427.58760000000001</v>
      </c>
      <c r="M1766" s="2" t="str">
        <f>IF(ESales_DB[[#This Row],[Total_Amount]]&gt;1000,"High","Low")</f>
        <v>Low</v>
      </c>
      <c r="N1766" s="2" t="str">
        <f>VLOOKUP(ESales_DB[[#This Row],[Customer_ID]],Ecustom_DB[],3,FALSE)</f>
        <v>Curtis Lam</v>
      </c>
      <c r="O1766" s="2" t="str">
        <f>_xlfn.XLOOKUP(ESales_DB[[#This Row],[Product_ID]],Eproduct_DB[Product_ID],Eproduct_DB[Category])</f>
        <v>Clothing</v>
      </c>
      <c r="P1766" s="2" t="str">
        <f>_xlfn.XLOOKUP(ESales_DB[[#This Row],[Product_ID]],Eproduct_DB[Product_ID],Eproduct_DB[Product_Name])</f>
        <v>Men's Casual Sneakers</v>
      </c>
      <c r="Q1766" s="2" t="str">
        <f>_xlfn.XLOOKUP(ESales_DB[[#This Row],[Store_ID]],Estore_DB[Store_ID],Estore_DB[Region])</f>
        <v>East</v>
      </c>
      <c r="R1766" t="str">
        <f>VLOOKUP(ESales_DB[[#This Row],[Customer_ID]],Ecustom_DB[],10,FALSE)</f>
        <v>Platinum</v>
      </c>
      <c r="S1766" t="str">
        <f>IF(ESales_DB[[#This Row],[Quantity1]]&gt;3,"Bulk order","Normal order")</f>
        <v>Bulk order</v>
      </c>
    </row>
    <row r="1767" spans="1:19" x14ac:dyDescent="0.3">
      <c r="A1767" t="s">
        <v>2614</v>
      </c>
      <c r="B1767" s="4">
        <v>45778</v>
      </c>
      <c r="C1767" s="4" t="str">
        <f>TEXT(ESales_DB[[#This Row],[Order_Date]],"mmm")</f>
        <v>May</v>
      </c>
      <c r="D1767" t="s">
        <v>1464</v>
      </c>
      <c r="E1767" t="s">
        <v>1694</v>
      </c>
      <c r="F1767" t="s">
        <v>1769</v>
      </c>
      <c r="G1767">
        <v>4</v>
      </c>
      <c r="H1767" s="10">
        <f>IF(ISBLANK(ESales_DB[[#This Row],[Quantity]]),AVERAGEIF(ESales_DB[Product_ID],ESales_DB[[#This Row],[Product_ID]],ESales_DB[Quantity]),ESales_DB[[#This Row],[Quantity]])</f>
        <v>4</v>
      </c>
      <c r="I1767" s="2">
        <v>753</v>
      </c>
      <c r="J1767">
        <v>0.28000000000000003</v>
      </c>
      <c r="K1767" t="s">
        <v>1829</v>
      </c>
      <c r="L1767" s="2">
        <v>2168.64</v>
      </c>
      <c r="M1767" s="2" t="str">
        <f>IF(ESales_DB[[#This Row],[Total_Amount]]&gt;1000,"High","Low")</f>
        <v>High</v>
      </c>
      <c r="N1767" s="2" t="str">
        <f>VLOOKUP(ESales_DB[[#This Row],[Customer_ID]],Ecustom_DB[],3,FALSE)</f>
        <v>Barbara Berry</v>
      </c>
      <c r="O1767" s="2" t="str">
        <f>_xlfn.XLOOKUP(ESales_DB[[#This Row],[Product_ID]],Eproduct_DB[Product_ID],Eproduct_DB[Category])</f>
        <v>Sports</v>
      </c>
      <c r="P1767" s="2" t="str">
        <f>_xlfn.XLOOKUP(ESales_DB[[#This Row],[Product_ID]],Eproduct_DB[Product_ID],Eproduct_DB[Product_Name])</f>
        <v>Shin Guards – Adult</v>
      </c>
      <c r="Q1767" s="2" t="str">
        <f>_xlfn.XLOOKUP(ESales_DB[[#This Row],[Store_ID]],Estore_DB[Store_ID],Estore_DB[Region])</f>
        <v>South</v>
      </c>
      <c r="R1767" t="str">
        <f>VLOOKUP(ESales_DB[[#This Row],[Customer_ID]],Ecustom_DB[],10,FALSE)</f>
        <v>Platinum</v>
      </c>
      <c r="S1767" t="str">
        <f>IF(ESales_DB[[#This Row],[Quantity1]]&gt;3,"Bulk order","Normal order")</f>
        <v>Bulk order</v>
      </c>
    </row>
    <row r="1768" spans="1:19" x14ac:dyDescent="0.3">
      <c r="A1768" t="s">
        <v>2615</v>
      </c>
      <c r="B1768" s="4">
        <v>45325</v>
      </c>
      <c r="C1768" s="4" t="str">
        <f>TEXT(ESales_DB[[#This Row],[Order_Date]],"mmm")</f>
        <v>Feb</v>
      </c>
      <c r="D1768" t="s">
        <v>1157</v>
      </c>
      <c r="E1768" t="s">
        <v>1555</v>
      </c>
      <c r="F1768" t="s">
        <v>1773</v>
      </c>
      <c r="G1768">
        <v>2</v>
      </c>
      <c r="H1768" s="10">
        <f>IF(ISBLANK(ESales_DB[[#This Row],[Quantity]]),AVERAGEIF(ESales_DB[Product_ID],ESales_DB[[#This Row],[Product_ID]],ESales_DB[Quantity]),ESales_DB[[#This Row],[Quantity]])</f>
        <v>2</v>
      </c>
      <c r="I1768" s="2">
        <v>788.05</v>
      </c>
      <c r="J1768">
        <v>0.21</v>
      </c>
      <c r="K1768" t="s">
        <v>1824</v>
      </c>
      <c r="L1768" s="2">
        <v>1245.1189999999999</v>
      </c>
      <c r="M1768" s="2" t="str">
        <f>IF(ESales_DB[[#This Row],[Total_Amount]]&gt;1000,"High","Low")</f>
        <v>High</v>
      </c>
      <c r="N1768" s="2" t="str">
        <f>VLOOKUP(ESales_DB[[#This Row],[Customer_ID]],Ecustom_DB[],3,FALSE)</f>
        <v>James Holloway Jr.</v>
      </c>
      <c r="O1768" s="2" t="str">
        <f>_xlfn.XLOOKUP(ESales_DB[[#This Row],[Product_ID]],Eproduct_DB[Product_ID],Eproduct_DB[Category])</f>
        <v>Clothing</v>
      </c>
      <c r="P1768" s="2" t="str">
        <f>_xlfn.XLOOKUP(ESales_DB[[#This Row],[Product_ID]],Eproduct_DB[Product_ID],Eproduct_DB[Product_Name])</f>
        <v>Men's Leather Belt</v>
      </c>
      <c r="Q1768" s="2" t="str">
        <f>_xlfn.XLOOKUP(ESales_DB[[#This Row],[Store_ID]],Estore_DB[Store_ID],Estore_DB[Region])</f>
        <v>North</v>
      </c>
      <c r="R1768" t="str">
        <f>VLOOKUP(ESales_DB[[#This Row],[Customer_ID]],Ecustom_DB[],10,FALSE)</f>
        <v>Silver</v>
      </c>
      <c r="S1768" t="str">
        <f>IF(ESales_DB[[#This Row],[Quantity1]]&gt;3,"Bulk order","Normal order")</f>
        <v>Normal order</v>
      </c>
    </row>
    <row r="1769" spans="1:19" x14ac:dyDescent="0.3">
      <c r="A1769" t="s">
        <v>1905</v>
      </c>
      <c r="B1769" s="4">
        <v>45268</v>
      </c>
      <c r="C1769" s="4" t="str">
        <f>TEXT(ESales_DB[[#This Row],[Order_Date]],"mmm")</f>
        <v>Dec</v>
      </c>
      <c r="D1769" t="s">
        <v>402</v>
      </c>
      <c r="E1769" t="s">
        <v>1590</v>
      </c>
      <c r="F1769" t="s">
        <v>1761</v>
      </c>
      <c r="G1769">
        <v>1</v>
      </c>
      <c r="H1769" s="10">
        <f>IF(ISBLANK(ESales_DB[[#This Row],[Quantity]]),AVERAGEIF(ESales_DB[Product_ID],ESales_DB[[#This Row],[Product_ID]],ESales_DB[Quantity]),ESales_DB[[#This Row],[Quantity]])</f>
        <v>1</v>
      </c>
      <c r="I1769" s="2">
        <v>341.17</v>
      </c>
      <c r="J1769">
        <v>0.15</v>
      </c>
      <c r="K1769" t="s">
        <v>1824</v>
      </c>
      <c r="L1769" s="2">
        <v>289.99450000000002</v>
      </c>
      <c r="M1769" s="2" t="str">
        <f>IF(ESales_DB[[#This Row],[Total_Amount]]&gt;1000,"High","Low")</f>
        <v>Low</v>
      </c>
      <c r="N1769" s="2" t="str">
        <f>VLOOKUP(ESales_DB[[#This Row],[Customer_ID]],Ecustom_DB[],3,FALSE)</f>
        <v>Tyler Conrad</v>
      </c>
      <c r="O1769" s="2" t="str">
        <f>_xlfn.XLOOKUP(ESales_DB[[#This Row],[Product_ID]],Eproduct_DB[Product_ID],Eproduct_DB[Category])</f>
        <v>Home</v>
      </c>
      <c r="P1769" s="2" t="str">
        <f>_xlfn.XLOOKUP(ESales_DB[[#This Row],[Product_ID]],Eproduct_DB[Product_ID],Eproduct_DB[Product_Name])</f>
        <v>Multi-Purpose Storage Box</v>
      </c>
      <c r="Q1769" s="2" t="str">
        <f>_xlfn.XLOOKUP(ESales_DB[[#This Row],[Store_ID]],Estore_DB[Store_ID],Estore_DB[Region])</f>
        <v>South</v>
      </c>
      <c r="R1769" t="str">
        <f>VLOOKUP(ESales_DB[[#This Row],[Customer_ID]],Ecustom_DB[],10,FALSE)</f>
        <v>Platinum</v>
      </c>
      <c r="S1769" t="str">
        <f>IF(ESales_DB[[#This Row],[Quantity1]]&gt;3,"Bulk order","Normal order")</f>
        <v>Normal order</v>
      </c>
    </row>
    <row r="1770" spans="1:19" x14ac:dyDescent="0.3">
      <c r="A1770" t="s">
        <v>2616</v>
      </c>
      <c r="B1770" s="4">
        <v>45875</v>
      </c>
      <c r="C1770" s="4" t="str">
        <f>TEXT(ESales_DB[[#This Row],[Order_Date]],"mmm")</f>
        <v>Aug</v>
      </c>
      <c r="D1770" t="s">
        <v>1425</v>
      </c>
      <c r="E1770" t="s">
        <v>1712</v>
      </c>
      <c r="F1770" t="s">
        <v>1789</v>
      </c>
      <c r="G1770">
        <v>2</v>
      </c>
      <c r="H1770" s="10">
        <f>IF(ISBLANK(ESales_DB[[#This Row],[Quantity]]),AVERAGEIF(ESales_DB[Product_ID],ESales_DB[[#This Row],[Product_ID]],ESales_DB[Quantity]),ESales_DB[[#This Row],[Quantity]])</f>
        <v>2</v>
      </c>
      <c r="I1770" s="2">
        <v>807.1</v>
      </c>
      <c r="J1770">
        <v>0.28999999999999998</v>
      </c>
      <c r="K1770" t="s">
        <v>1824</v>
      </c>
      <c r="L1770" s="2">
        <v>1146.0820000000001</v>
      </c>
      <c r="M1770" s="2" t="str">
        <f>IF(ESales_DB[[#This Row],[Total_Amount]]&gt;1000,"High","Low")</f>
        <v>High</v>
      </c>
      <c r="N1770" s="2" t="str">
        <f>VLOOKUP(ESales_DB[[#This Row],[Customer_ID]],Ecustom_DB[],3,FALSE)</f>
        <v>Beth Martin</v>
      </c>
      <c r="O1770" s="2" t="str">
        <f>_xlfn.XLOOKUP(ESales_DB[[#This Row],[Product_ID]],Eproduct_DB[Product_ID],Eproduct_DB[Category])</f>
        <v>Sports</v>
      </c>
      <c r="P1770" s="2" t="str">
        <f>_xlfn.XLOOKUP(ESales_DB[[#This Row],[Product_ID]],Eproduct_DB[Product_ID],Eproduct_DB[Product_Name])</f>
        <v>Fitness Resistance Bands</v>
      </c>
      <c r="Q1770" s="2" t="str">
        <f>_xlfn.XLOOKUP(ESales_DB[[#This Row],[Store_ID]],Estore_DB[Store_ID],Estore_DB[Region])</f>
        <v>East</v>
      </c>
      <c r="R1770" t="str">
        <f>VLOOKUP(ESales_DB[[#This Row],[Customer_ID]],Ecustom_DB[],10,FALSE)</f>
        <v>Silver</v>
      </c>
      <c r="S1770" t="str">
        <f>IF(ESales_DB[[#This Row],[Quantity1]]&gt;3,"Bulk order","Normal order")</f>
        <v>Normal order</v>
      </c>
    </row>
    <row r="1771" spans="1:19" x14ac:dyDescent="0.3">
      <c r="A1771" t="s">
        <v>2617</v>
      </c>
      <c r="B1771" s="4">
        <v>45320</v>
      </c>
      <c r="C1771" s="4" t="str">
        <f>TEXT(ESales_DB[[#This Row],[Order_Date]],"mmm")</f>
        <v>Jan</v>
      </c>
      <c r="D1771" t="s">
        <v>458</v>
      </c>
      <c r="E1771" t="s">
        <v>1562</v>
      </c>
      <c r="F1771" t="s">
        <v>1757</v>
      </c>
      <c r="G1771">
        <v>2</v>
      </c>
      <c r="H1771" s="10">
        <f>IF(ISBLANK(ESales_DB[[#This Row],[Quantity]]),AVERAGEIF(ESales_DB[Product_ID],ESales_DB[[#This Row],[Product_ID]],ESales_DB[Quantity]),ESales_DB[[#This Row],[Quantity]])</f>
        <v>2</v>
      </c>
      <c r="I1771" s="2">
        <v>443.09</v>
      </c>
      <c r="J1771">
        <v>0.02</v>
      </c>
      <c r="K1771" t="s">
        <v>1826</v>
      </c>
      <c r="L1771" s="2">
        <v>868.45639999999992</v>
      </c>
      <c r="M1771" s="2" t="str">
        <f>IF(ESales_DB[[#This Row],[Total_Amount]]&gt;1000,"High","Low")</f>
        <v>Low</v>
      </c>
      <c r="N1771" s="2" t="str">
        <f>VLOOKUP(ESales_DB[[#This Row],[Customer_ID]],Ecustom_DB[],3,FALSE)</f>
        <v>Morgan Bowen</v>
      </c>
      <c r="O1771" s="2" t="str">
        <f>_xlfn.XLOOKUP(ESales_DB[[#This Row],[Product_ID]],Eproduct_DB[Product_ID],Eproduct_DB[Category])</f>
        <v>Electronics</v>
      </c>
      <c r="P1771" s="2" t="str">
        <f>_xlfn.XLOOKUP(ESales_DB[[#This Row],[Product_ID]],Eproduct_DB[Product_ID],Eproduct_DB[Product_Name])</f>
        <v>Wireless Bluetooth Earbuds</v>
      </c>
      <c r="Q1771" s="2" t="str">
        <f>_xlfn.XLOOKUP(ESales_DB[[#This Row],[Store_ID]],Estore_DB[Store_ID],Estore_DB[Region])</f>
        <v>North</v>
      </c>
      <c r="R1771" t="str">
        <f>VLOOKUP(ESales_DB[[#This Row],[Customer_ID]],Ecustom_DB[],10,FALSE)</f>
        <v>Gold</v>
      </c>
      <c r="S1771" t="str">
        <f>IF(ESales_DB[[#This Row],[Quantity1]]&gt;3,"Bulk order","Normal order")</f>
        <v>Normal order</v>
      </c>
    </row>
    <row r="1772" spans="1:19" x14ac:dyDescent="0.3">
      <c r="A1772" t="s">
        <v>2618</v>
      </c>
      <c r="B1772" s="4">
        <v>45870</v>
      </c>
      <c r="C1772" s="4" t="str">
        <f>TEXT(ESales_DB[[#This Row],[Order_Date]],"mmm")</f>
        <v>Aug</v>
      </c>
      <c r="D1772" t="s">
        <v>1443</v>
      </c>
      <c r="E1772" t="s">
        <v>1586</v>
      </c>
      <c r="F1772" t="s">
        <v>1801</v>
      </c>
      <c r="G1772">
        <v>1</v>
      </c>
      <c r="H1772" s="10">
        <f>IF(ISBLANK(ESales_DB[[#This Row],[Quantity]]),AVERAGEIF(ESales_DB[Product_ID],ESales_DB[[#This Row],[Product_ID]],ESales_DB[Quantity]),ESales_DB[[#This Row],[Quantity]])</f>
        <v>1</v>
      </c>
      <c r="I1772" s="2">
        <v>512.16</v>
      </c>
      <c r="J1772">
        <v>0.02</v>
      </c>
      <c r="K1772" t="s">
        <v>1829</v>
      </c>
      <c r="L1772" s="2">
        <v>501.91680000000002</v>
      </c>
      <c r="M1772" s="2" t="str">
        <f>IF(ESales_DB[[#This Row],[Total_Amount]]&gt;1000,"High","Low")</f>
        <v>Low</v>
      </c>
      <c r="N1772" s="2" t="str">
        <f>VLOOKUP(ESales_DB[[#This Row],[Customer_ID]],Ecustom_DB[],3,FALSE)</f>
        <v>Gregory Curtis</v>
      </c>
      <c r="O1772" s="2" t="str">
        <f>_xlfn.XLOOKUP(ESales_DB[[#This Row],[Product_ID]],Eproduct_DB[Product_ID],Eproduct_DB[Category])</f>
        <v>Sports</v>
      </c>
      <c r="P1772" s="2" t="str">
        <f>_xlfn.XLOOKUP(ESales_DB[[#This Row],[Product_ID]],Eproduct_DB[Product_ID],Eproduct_DB[Product_Name])</f>
        <v>Knee Support Brace</v>
      </c>
      <c r="Q1772" s="2" t="str">
        <f>_xlfn.XLOOKUP(ESales_DB[[#This Row],[Store_ID]],Estore_DB[Store_ID],Estore_DB[Region])</f>
        <v>North</v>
      </c>
      <c r="R1772" t="str">
        <f>VLOOKUP(ESales_DB[[#This Row],[Customer_ID]],Ecustom_DB[],10,FALSE)</f>
        <v>Bronze</v>
      </c>
      <c r="S1772" t="str">
        <f>IF(ESales_DB[[#This Row],[Quantity1]]&gt;3,"Bulk order","Normal order")</f>
        <v>Normal order</v>
      </c>
    </row>
    <row r="1773" spans="1:19" x14ac:dyDescent="0.3">
      <c r="A1773" t="s">
        <v>2619</v>
      </c>
      <c r="B1773" s="4">
        <v>45577</v>
      </c>
      <c r="C1773" s="4" t="str">
        <f>TEXT(ESales_DB[[#This Row],[Order_Date]],"mmm")</f>
        <v>Oct</v>
      </c>
      <c r="D1773" t="s">
        <v>678</v>
      </c>
      <c r="E1773" t="s">
        <v>1630</v>
      </c>
      <c r="F1773" t="s">
        <v>1810</v>
      </c>
      <c r="G1773">
        <v>2</v>
      </c>
      <c r="H1773" s="10">
        <f>IF(ISBLANK(ESales_DB[[#This Row],[Quantity]]),AVERAGEIF(ESales_DB[Product_ID],ESales_DB[[#This Row],[Product_ID]],ESales_DB[Quantity]),ESales_DB[[#This Row],[Quantity]])</f>
        <v>2</v>
      </c>
      <c r="I1773" s="2">
        <v>602.54999999999995</v>
      </c>
      <c r="J1773">
        <v>0.23</v>
      </c>
      <c r="K1773" t="s">
        <v>1829</v>
      </c>
      <c r="L1773" s="2">
        <v>927.92699999999991</v>
      </c>
      <c r="M1773" s="2" t="str">
        <f>IF(ESales_DB[[#This Row],[Total_Amount]]&gt;1000,"High","Low")</f>
        <v>Low</v>
      </c>
      <c r="N1773" s="2" t="str">
        <f>VLOOKUP(ESales_DB[[#This Row],[Customer_ID]],Ecustom_DB[],3,FALSE)</f>
        <v>John Perez</v>
      </c>
      <c r="O1773" s="2" t="str">
        <f>_xlfn.XLOOKUP(ESales_DB[[#This Row],[Product_ID]],Eproduct_DB[Product_ID],Eproduct_DB[Category])</f>
        <v>Sports</v>
      </c>
      <c r="P1773" s="2" t="str">
        <f>_xlfn.XLOOKUP(ESales_DB[[#This Row],[Product_ID]],Eproduct_DB[Product_ID],Eproduct_DB[Product_Name])</f>
        <v>Yoga Exercise Mat</v>
      </c>
      <c r="Q1773" s="2" t="str">
        <f>_xlfn.XLOOKUP(ESales_DB[[#This Row],[Store_ID]],Estore_DB[Store_ID],Estore_DB[Region])</f>
        <v>East</v>
      </c>
      <c r="R1773" t="str">
        <f>VLOOKUP(ESales_DB[[#This Row],[Customer_ID]],Ecustom_DB[],10,FALSE)</f>
        <v>Platinum</v>
      </c>
      <c r="S1773" t="str">
        <f>IF(ESales_DB[[#This Row],[Quantity1]]&gt;3,"Bulk order","Normal order")</f>
        <v>Normal order</v>
      </c>
    </row>
    <row r="1774" spans="1:19" x14ac:dyDescent="0.3">
      <c r="A1774" t="s">
        <v>2620</v>
      </c>
      <c r="B1774" s="4">
        <v>45745</v>
      </c>
      <c r="C1774" s="4" t="str">
        <f>TEXT(ESales_DB[[#This Row],[Order_Date]],"mmm")</f>
        <v>Mar</v>
      </c>
      <c r="D1774" t="s">
        <v>547</v>
      </c>
      <c r="E1774" t="s">
        <v>1632</v>
      </c>
      <c r="F1774" t="s">
        <v>1752</v>
      </c>
      <c r="G1774">
        <v>3</v>
      </c>
      <c r="H1774" s="10">
        <f>IF(ISBLANK(ESales_DB[[#This Row],[Quantity]]),AVERAGEIF(ESales_DB[Product_ID],ESales_DB[[#This Row],[Product_ID]],ESales_DB[Quantity]),ESales_DB[[#This Row],[Quantity]])</f>
        <v>3</v>
      </c>
      <c r="I1774" s="2">
        <v>846.19</v>
      </c>
      <c r="J1774">
        <v>0.09</v>
      </c>
      <c r="K1774" t="s">
        <v>1829</v>
      </c>
      <c r="L1774" s="2">
        <v>2310.0987</v>
      </c>
      <c r="M1774" s="2" t="str">
        <f>IF(ESales_DB[[#This Row],[Total_Amount]]&gt;1000,"High","Low")</f>
        <v>High</v>
      </c>
      <c r="N1774" s="2" t="str">
        <f>VLOOKUP(ESales_DB[[#This Row],[Customer_ID]],Ecustom_DB[],3,FALSE)</f>
        <v>Daniel Rivas</v>
      </c>
      <c r="O1774" s="2" t="str">
        <f>_xlfn.XLOOKUP(ESales_DB[[#This Row],[Product_ID]],Eproduct_DB[Product_ID],Eproduct_DB[Category])</f>
        <v>Electronics</v>
      </c>
      <c r="P1774" s="2" t="str">
        <f>_xlfn.XLOOKUP(ESales_DB[[#This Row],[Product_ID]],Eproduct_DB[Product_ID],Eproduct_DB[Product_Name])</f>
        <v>Smart Home WiFi Camera</v>
      </c>
      <c r="Q1774" s="2" t="str">
        <f>_xlfn.XLOOKUP(ESales_DB[[#This Row],[Store_ID]],Estore_DB[Store_ID],Estore_DB[Region])</f>
        <v>East</v>
      </c>
      <c r="R1774" t="str">
        <f>VLOOKUP(ESales_DB[[#This Row],[Customer_ID]],Ecustom_DB[],10,FALSE)</f>
        <v>Silver</v>
      </c>
      <c r="S1774" t="str">
        <f>IF(ESales_DB[[#This Row],[Quantity1]]&gt;3,"Bulk order","Normal order")</f>
        <v>Normal order</v>
      </c>
    </row>
    <row r="1775" spans="1:19" x14ac:dyDescent="0.3">
      <c r="A1775" t="s">
        <v>2621</v>
      </c>
      <c r="B1775" s="4">
        <v>45772</v>
      </c>
      <c r="C1775" s="4" t="str">
        <f>TEXT(ESales_DB[[#This Row],[Order_Date]],"mmm")</f>
        <v>Apr</v>
      </c>
      <c r="D1775" t="s">
        <v>1026</v>
      </c>
      <c r="E1775" t="s">
        <v>1686</v>
      </c>
      <c r="F1775" t="s">
        <v>1782</v>
      </c>
      <c r="G1775">
        <v>1</v>
      </c>
      <c r="H1775" s="10">
        <f>IF(ISBLANK(ESales_DB[[#This Row],[Quantity]]),AVERAGEIF(ESales_DB[Product_ID],ESales_DB[[#This Row],[Product_ID]],ESales_DB[Quantity]),ESales_DB[[#This Row],[Quantity]])</f>
        <v>1</v>
      </c>
      <c r="I1775" s="2">
        <v>506.73</v>
      </c>
      <c r="J1775">
        <v>0.28999999999999998</v>
      </c>
      <c r="K1775" t="s">
        <v>1824</v>
      </c>
      <c r="L1775" s="2">
        <v>359.7783</v>
      </c>
      <c r="M1775" s="2" t="str">
        <f>IF(ESales_DB[[#This Row],[Total_Amount]]&gt;1000,"High","Low")</f>
        <v>Low</v>
      </c>
      <c r="N1775" s="2" t="str">
        <f>VLOOKUP(ESales_DB[[#This Row],[Customer_ID]],Ecustom_DB[],3,FALSE)</f>
        <v>Robert King</v>
      </c>
      <c r="O1775" s="2" t="str">
        <f>_xlfn.XLOOKUP(ESales_DB[[#This Row],[Product_ID]],Eproduct_DB[Product_ID],Eproduct_DB[Category])</f>
        <v>Clothing</v>
      </c>
      <c r="P1775" s="2" t="str">
        <f>_xlfn.XLOOKUP(ESales_DB[[#This Row],[Product_ID]],Eproduct_DB[Product_ID],Eproduct_DB[Product_Name])</f>
        <v>Men's Sports Shorts</v>
      </c>
      <c r="Q1775" s="2" t="str">
        <f>_xlfn.XLOOKUP(ESales_DB[[#This Row],[Store_ID]],Estore_DB[Store_ID],Estore_DB[Region])</f>
        <v>West</v>
      </c>
      <c r="R1775" t="str">
        <f>VLOOKUP(ESales_DB[[#This Row],[Customer_ID]],Ecustom_DB[],10,FALSE)</f>
        <v>Gold</v>
      </c>
      <c r="S1775" t="str">
        <f>IF(ESales_DB[[#This Row],[Quantity1]]&gt;3,"Bulk order","Normal order")</f>
        <v>Normal order</v>
      </c>
    </row>
    <row r="1776" spans="1:19" x14ac:dyDescent="0.3">
      <c r="A1776" t="s">
        <v>2622</v>
      </c>
      <c r="B1776" s="4">
        <v>45299</v>
      </c>
      <c r="C1776" s="4" t="str">
        <f>TEXT(ESales_DB[[#This Row],[Order_Date]],"mmm")</f>
        <v>Jan</v>
      </c>
      <c r="D1776" t="s">
        <v>198</v>
      </c>
      <c r="E1776" t="s">
        <v>1650</v>
      </c>
      <c r="F1776" t="s">
        <v>1804</v>
      </c>
      <c r="G1776">
        <v>1</v>
      </c>
      <c r="H1776" s="10">
        <f>IF(ISBLANK(ESales_DB[[#This Row],[Quantity]]),AVERAGEIF(ESales_DB[Product_ID],ESales_DB[[#This Row],[Product_ID]],ESales_DB[Quantity]),ESales_DB[[#This Row],[Quantity]])</f>
        <v>1</v>
      </c>
      <c r="I1776" s="2">
        <v>408.66</v>
      </c>
      <c r="J1776">
        <v>0.13</v>
      </c>
      <c r="K1776" t="s">
        <v>1829</v>
      </c>
      <c r="L1776" s="2">
        <v>355.5342</v>
      </c>
      <c r="M1776" s="2" t="str">
        <f>IF(ESales_DB[[#This Row],[Total_Amount]]&gt;1000,"High","Low")</f>
        <v>Low</v>
      </c>
      <c r="N1776" s="2" t="str">
        <f>VLOOKUP(ESales_DB[[#This Row],[Customer_ID]],Ecustom_DB[],3,FALSE)</f>
        <v>Debra Liu</v>
      </c>
      <c r="O1776" s="2" t="str">
        <f>_xlfn.XLOOKUP(ESales_DB[[#This Row],[Product_ID]],Eproduct_DB[Product_ID],Eproduct_DB[Category])</f>
        <v>Electronics</v>
      </c>
      <c r="P1776" s="2" t="str">
        <f>_xlfn.XLOOKUP(ESales_DB[[#This Row],[Product_ID]],Eproduct_DB[Product_ID],Eproduct_DB[Product_Name])</f>
        <v>HDMI Cable – 2m</v>
      </c>
      <c r="Q1776" s="2" t="str">
        <f>_xlfn.XLOOKUP(ESales_DB[[#This Row],[Store_ID]],Estore_DB[Store_ID],Estore_DB[Region])</f>
        <v>West</v>
      </c>
      <c r="R1776" t="str">
        <f>VLOOKUP(ESales_DB[[#This Row],[Customer_ID]],Ecustom_DB[],10,FALSE)</f>
        <v>Bronze</v>
      </c>
      <c r="S1776" t="str">
        <f>IF(ESales_DB[[#This Row],[Quantity1]]&gt;3,"Bulk order","Normal order")</f>
        <v>Normal order</v>
      </c>
    </row>
    <row r="1777" spans="1:19" x14ac:dyDescent="0.3">
      <c r="A1777" t="s">
        <v>2623</v>
      </c>
      <c r="B1777" s="4">
        <v>45447</v>
      </c>
      <c r="C1777" s="4" t="str">
        <f>TEXT(ESales_DB[[#This Row],[Order_Date]],"mmm")</f>
        <v>Jun</v>
      </c>
      <c r="D1777" t="s">
        <v>387</v>
      </c>
      <c r="E1777" t="s">
        <v>1562</v>
      </c>
      <c r="F1777" t="s">
        <v>1807</v>
      </c>
      <c r="G1777">
        <v>3</v>
      </c>
      <c r="H1777" s="10">
        <f>IF(ISBLANK(ESales_DB[[#This Row],[Quantity]]),AVERAGEIF(ESales_DB[Product_ID],ESales_DB[[#This Row],[Product_ID]],ESales_DB[Quantity]),ESales_DB[[#This Row],[Quantity]])</f>
        <v>3</v>
      </c>
      <c r="I1777" s="2">
        <v>170.48</v>
      </c>
      <c r="J1777">
        <v>0.06</v>
      </c>
      <c r="K1777" t="s">
        <v>1829</v>
      </c>
      <c r="L1777" s="2">
        <v>480.75359999999989</v>
      </c>
      <c r="M1777" s="2" t="str">
        <f>IF(ESales_DB[[#This Row],[Total_Amount]]&gt;1000,"High","Low")</f>
        <v>Low</v>
      </c>
      <c r="N1777" s="2" t="str">
        <f>VLOOKUP(ESales_DB[[#This Row],[Customer_ID]],Ecustom_DB[],3,FALSE)</f>
        <v>Ashley Griffin</v>
      </c>
      <c r="O1777" s="2" t="str">
        <f>_xlfn.XLOOKUP(ESales_DB[[#This Row],[Product_ID]],Eproduct_DB[Product_ID],Eproduct_DB[Category])</f>
        <v>Electronics</v>
      </c>
      <c r="P1777" s="2" t="str">
        <f>_xlfn.XLOOKUP(ESales_DB[[#This Row],[Product_ID]],Eproduct_DB[Product_ID],Eproduct_DB[Product_Name])</f>
        <v>Wireless Bluetooth Earbuds</v>
      </c>
      <c r="Q1777" s="2" t="str">
        <f>_xlfn.XLOOKUP(ESales_DB[[#This Row],[Store_ID]],Estore_DB[Store_ID],Estore_DB[Region])</f>
        <v>North</v>
      </c>
      <c r="R1777" t="str">
        <f>VLOOKUP(ESales_DB[[#This Row],[Customer_ID]],Ecustom_DB[],10,FALSE)</f>
        <v>Gold</v>
      </c>
      <c r="S1777" t="str">
        <f>IF(ESales_DB[[#This Row],[Quantity1]]&gt;3,"Bulk order","Normal order")</f>
        <v>Normal order</v>
      </c>
    </row>
    <row r="1778" spans="1:19" x14ac:dyDescent="0.3">
      <c r="A1778" t="s">
        <v>2624</v>
      </c>
      <c r="B1778" s="4">
        <v>45717</v>
      </c>
      <c r="C1778" s="4" t="str">
        <f>TEXT(ESales_DB[[#This Row],[Order_Date]],"mmm")</f>
        <v>Mar</v>
      </c>
      <c r="D1778" t="s">
        <v>347</v>
      </c>
      <c r="E1778" t="s">
        <v>1584</v>
      </c>
      <c r="F1778" t="s">
        <v>1786</v>
      </c>
      <c r="G1778">
        <v>1</v>
      </c>
      <c r="H1778" s="10">
        <f>IF(ISBLANK(ESales_DB[[#This Row],[Quantity]]),AVERAGEIF(ESales_DB[Product_ID],ESales_DB[[#This Row],[Product_ID]],ESales_DB[Quantity]),ESales_DB[[#This Row],[Quantity]])</f>
        <v>1</v>
      </c>
      <c r="I1778" s="2">
        <v>423.48</v>
      </c>
      <c r="J1778">
        <v>0.18</v>
      </c>
      <c r="K1778" t="s">
        <v>1826</v>
      </c>
      <c r="L1778" s="2">
        <v>347.25360000000012</v>
      </c>
      <c r="M1778" s="2" t="str">
        <f>IF(ESales_DB[[#This Row],[Total_Amount]]&gt;1000,"High","Low")</f>
        <v>Low</v>
      </c>
      <c r="N1778" s="2" t="str">
        <f>VLOOKUP(ESales_DB[[#This Row],[Customer_ID]],Ecustom_DB[],3,FALSE)</f>
        <v>David Cobb</v>
      </c>
      <c r="O1778" s="2" t="str">
        <f>_xlfn.XLOOKUP(ESales_DB[[#This Row],[Product_ID]],Eproduct_DB[Product_ID],Eproduct_DB[Category])</f>
        <v>Clothing</v>
      </c>
      <c r="P1778" s="2" t="str">
        <f>_xlfn.XLOOKUP(ESales_DB[[#This Row],[Product_ID]],Eproduct_DB[Product_ID],Eproduct_DB[Product_Name])</f>
        <v>Women's Denim Jeans</v>
      </c>
      <c r="Q1778" s="2" t="str">
        <f>_xlfn.XLOOKUP(ESales_DB[[#This Row],[Store_ID]],Estore_DB[Store_ID],Estore_DB[Region])</f>
        <v>South</v>
      </c>
      <c r="R1778" t="str">
        <f>VLOOKUP(ESales_DB[[#This Row],[Customer_ID]],Ecustom_DB[],10,FALSE)</f>
        <v>Silver</v>
      </c>
      <c r="S1778" t="str">
        <f>IF(ESales_DB[[#This Row],[Quantity1]]&gt;3,"Bulk order","Normal order")</f>
        <v>Normal order</v>
      </c>
    </row>
    <row r="1779" spans="1:19" x14ac:dyDescent="0.3">
      <c r="A1779" t="s">
        <v>2625</v>
      </c>
      <c r="B1779" s="4">
        <v>45213</v>
      </c>
      <c r="C1779" s="4" t="str">
        <f>TEXT(ESales_DB[[#This Row],[Order_Date]],"mmm")</f>
        <v>Oct</v>
      </c>
      <c r="D1779" t="s">
        <v>755</v>
      </c>
      <c r="E1779" t="s">
        <v>1732</v>
      </c>
      <c r="F1779" t="s">
        <v>1792</v>
      </c>
      <c r="G1779">
        <v>4</v>
      </c>
      <c r="H1779" s="10">
        <f>IF(ISBLANK(ESales_DB[[#This Row],[Quantity]]),AVERAGEIF(ESales_DB[Product_ID],ESales_DB[[#This Row],[Product_ID]],ESales_DB[Quantity]),ESales_DB[[#This Row],[Quantity]])</f>
        <v>4</v>
      </c>
      <c r="I1779" s="2">
        <v>23.57</v>
      </c>
      <c r="J1779">
        <v>0.1</v>
      </c>
      <c r="K1779" t="s">
        <v>1824</v>
      </c>
      <c r="L1779" s="2">
        <v>84.852000000000004</v>
      </c>
      <c r="M1779" s="2" t="str">
        <f>IF(ESales_DB[[#This Row],[Total_Amount]]&gt;1000,"High","Low")</f>
        <v>Low</v>
      </c>
      <c r="N1779" s="2" t="str">
        <f>VLOOKUP(ESales_DB[[#This Row],[Customer_ID]],Ecustom_DB[],3,FALSE)</f>
        <v>Jon Ortiz</v>
      </c>
      <c r="O1779" s="2" t="str">
        <f>_xlfn.XLOOKUP(ESales_DB[[#This Row],[Product_ID]],Eproduct_DB[Product_ID],Eproduct_DB[Category])</f>
        <v>Home</v>
      </c>
      <c r="P1779" s="2" t="str">
        <f>_xlfn.XLOOKUP(ESales_DB[[#This Row],[Product_ID]],Eproduct_DB[Product_ID],Eproduct_DB[Product_Name])</f>
        <v>Microwave Oven</v>
      </c>
      <c r="Q1779" s="2" t="str">
        <f>_xlfn.XLOOKUP(ESales_DB[[#This Row],[Store_ID]],Estore_DB[Store_ID],Estore_DB[Region])</f>
        <v>South</v>
      </c>
      <c r="R1779" t="str">
        <f>VLOOKUP(ESales_DB[[#This Row],[Customer_ID]],Ecustom_DB[],10,FALSE)</f>
        <v>Bronze</v>
      </c>
      <c r="S1779" t="str">
        <f>IF(ESales_DB[[#This Row],[Quantity1]]&gt;3,"Bulk order","Normal order")</f>
        <v>Bulk order</v>
      </c>
    </row>
    <row r="1780" spans="1:19" x14ac:dyDescent="0.3">
      <c r="A1780" t="s">
        <v>1834</v>
      </c>
      <c r="B1780" s="4">
        <v>45781</v>
      </c>
      <c r="C1780" s="4" t="str">
        <f>TEXT(ESales_DB[[#This Row],[Order_Date]],"mmm")</f>
        <v>May</v>
      </c>
      <c r="D1780" t="s">
        <v>616</v>
      </c>
      <c r="E1780" t="s">
        <v>1746</v>
      </c>
      <c r="F1780" t="s">
        <v>1773</v>
      </c>
      <c r="H1780" s="10">
        <f>IF(ISBLANK(ESales_DB[[#This Row],[Quantity]]),AVERAGEIF(ESales_DB[Product_ID],ESales_DB[[#This Row],[Product_ID]],ESales_DB[Quantity]),ESales_DB[[#This Row],[Quantity]])</f>
        <v>2.25</v>
      </c>
      <c r="I1780" s="2">
        <v>448.25</v>
      </c>
      <c r="J1780">
        <v>7.0000000000000007E-2</v>
      </c>
      <c r="K1780" t="s">
        <v>1826</v>
      </c>
      <c r="L1780" s="2">
        <v>1250.6175000000001</v>
      </c>
      <c r="M1780" s="2" t="str">
        <f>IF(ESales_DB[[#This Row],[Total_Amount]]&gt;1000,"High","Low")</f>
        <v>High</v>
      </c>
      <c r="N1780" s="2" t="str">
        <f>VLOOKUP(ESales_DB[[#This Row],[Customer_ID]],Ecustom_DB[],3,FALSE)</f>
        <v>Dr. Suzanne Bullock</v>
      </c>
      <c r="O1780" s="2" t="str">
        <f>_xlfn.XLOOKUP(ESales_DB[[#This Row],[Product_ID]],Eproduct_DB[Product_ID],Eproduct_DB[Category])</f>
        <v>Home</v>
      </c>
      <c r="P1780" s="2" t="str">
        <f>_xlfn.XLOOKUP(ESales_DB[[#This Row],[Product_ID]],Eproduct_DB[Product_ID],Eproduct_DB[Product_Name])</f>
        <v>Stainless Steel Cookware Set</v>
      </c>
      <c r="Q1780" s="2" t="str">
        <f>_xlfn.XLOOKUP(ESales_DB[[#This Row],[Store_ID]],Estore_DB[Store_ID],Estore_DB[Region])</f>
        <v>North</v>
      </c>
      <c r="R1780" t="str">
        <f>VLOOKUP(ESales_DB[[#This Row],[Customer_ID]],Ecustom_DB[],10,FALSE)</f>
        <v>Platinum</v>
      </c>
      <c r="S1780" t="str">
        <f>IF(ESales_DB[[#This Row],[Quantity1]]&gt;3,"Bulk order","Normal order")</f>
        <v>Normal order</v>
      </c>
    </row>
    <row r="1781" spans="1:19" x14ac:dyDescent="0.3">
      <c r="A1781" t="s">
        <v>1906</v>
      </c>
      <c r="B1781" s="4">
        <v>45885</v>
      </c>
      <c r="C1781" s="4" t="str">
        <f>TEXT(ESales_DB[[#This Row],[Order_Date]],"mmm")</f>
        <v>Aug</v>
      </c>
      <c r="D1781" t="s">
        <v>582</v>
      </c>
      <c r="E1781" t="s">
        <v>1652</v>
      </c>
      <c r="F1781" t="s">
        <v>1782</v>
      </c>
      <c r="G1781">
        <v>1</v>
      </c>
      <c r="H1781" s="10">
        <f>IF(ISBLANK(ESales_DB[[#This Row],[Quantity]]),AVERAGEIF(ESales_DB[Product_ID],ESales_DB[[#This Row],[Product_ID]],ESales_DB[Quantity]),ESales_DB[[#This Row],[Quantity]])</f>
        <v>1</v>
      </c>
      <c r="I1781" s="2">
        <v>442.27</v>
      </c>
      <c r="J1781">
        <v>0.06</v>
      </c>
      <c r="K1781" t="s">
        <v>1829</v>
      </c>
      <c r="L1781" s="2">
        <v>415.73379999999997</v>
      </c>
      <c r="M1781" s="2" t="str">
        <f>IF(ESales_DB[[#This Row],[Total_Amount]]&gt;1000,"High","Low")</f>
        <v>Low</v>
      </c>
      <c r="N1781" s="2" t="str">
        <f>VLOOKUP(ESales_DB[[#This Row],[Customer_ID]],Ecustom_DB[],3,FALSE)</f>
        <v>John Bradford</v>
      </c>
      <c r="O1781" s="2" t="str">
        <f>_xlfn.XLOOKUP(ESales_DB[[#This Row],[Product_ID]],Eproduct_DB[Product_ID],Eproduct_DB[Category])</f>
        <v>Sports</v>
      </c>
      <c r="P1781" s="2" t="str">
        <f>_xlfn.XLOOKUP(ESales_DB[[#This Row],[Product_ID]],Eproduct_DB[Product_ID],Eproduct_DB[Product_Name])</f>
        <v>Rugby Ball</v>
      </c>
      <c r="Q1781" s="2" t="str">
        <f>_xlfn.XLOOKUP(ESales_DB[[#This Row],[Store_ID]],Estore_DB[Store_ID],Estore_DB[Region])</f>
        <v>West</v>
      </c>
      <c r="R1781" t="str">
        <f>VLOOKUP(ESales_DB[[#This Row],[Customer_ID]],Ecustom_DB[],10,FALSE)</f>
        <v>Silver</v>
      </c>
      <c r="S1781" t="str">
        <f>IF(ESales_DB[[#This Row],[Quantity1]]&gt;3,"Bulk order","Normal order")</f>
        <v>Normal order</v>
      </c>
    </row>
    <row r="1782" spans="1:19" x14ac:dyDescent="0.3">
      <c r="A1782" t="s">
        <v>2626</v>
      </c>
      <c r="B1782" s="4">
        <v>45837</v>
      </c>
      <c r="C1782" s="4" t="str">
        <f>TEXT(ESales_DB[[#This Row],[Order_Date]],"mmm")</f>
        <v>Jun</v>
      </c>
      <c r="D1782" t="s">
        <v>1190</v>
      </c>
      <c r="E1782" t="s">
        <v>1632</v>
      </c>
      <c r="F1782" t="s">
        <v>1810</v>
      </c>
      <c r="G1782">
        <v>2</v>
      </c>
      <c r="H1782" s="10">
        <f>IF(ISBLANK(ESales_DB[[#This Row],[Quantity]]),AVERAGEIF(ESales_DB[Product_ID],ESales_DB[[#This Row],[Product_ID]],ESales_DB[Quantity]),ESales_DB[[#This Row],[Quantity]])</f>
        <v>2</v>
      </c>
      <c r="I1782" s="2">
        <v>953.26</v>
      </c>
      <c r="J1782">
        <v>0.1</v>
      </c>
      <c r="K1782" t="s">
        <v>1829</v>
      </c>
      <c r="L1782" s="2">
        <v>1715.8679999999999</v>
      </c>
      <c r="M1782" s="2" t="str">
        <f>IF(ESales_DB[[#This Row],[Total_Amount]]&gt;1000,"High","Low")</f>
        <v>High</v>
      </c>
      <c r="N1782" s="2" t="str">
        <f>VLOOKUP(ESales_DB[[#This Row],[Customer_ID]],Ecustom_DB[],3,FALSE)</f>
        <v>Erika Padilla</v>
      </c>
      <c r="O1782" s="2" t="str">
        <f>_xlfn.XLOOKUP(ESales_DB[[#This Row],[Product_ID]],Eproduct_DB[Product_ID],Eproduct_DB[Category])</f>
        <v>Electronics</v>
      </c>
      <c r="P1782" s="2" t="str">
        <f>_xlfn.XLOOKUP(ESales_DB[[#This Row],[Product_ID]],Eproduct_DB[Product_ID],Eproduct_DB[Product_Name])</f>
        <v>Smart Home WiFi Camera</v>
      </c>
      <c r="Q1782" s="2" t="str">
        <f>_xlfn.XLOOKUP(ESales_DB[[#This Row],[Store_ID]],Estore_DB[Store_ID],Estore_DB[Region])</f>
        <v>East</v>
      </c>
      <c r="R1782" t="str">
        <f>VLOOKUP(ESales_DB[[#This Row],[Customer_ID]],Ecustom_DB[],10,FALSE)</f>
        <v>Silver</v>
      </c>
      <c r="S1782" t="str">
        <f>IF(ESales_DB[[#This Row],[Quantity1]]&gt;3,"Bulk order","Normal order")</f>
        <v>Normal order</v>
      </c>
    </row>
    <row r="1783" spans="1:19" x14ac:dyDescent="0.3">
      <c r="A1783" t="s">
        <v>2627</v>
      </c>
      <c r="B1783" s="4">
        <v>45277</v>
      </c>
      <c r="C1783" s="4" t="str">
        <f>TEXT(ESales_DB[[#This Row],[Order_Date]],"mmm")</f>
        <v>Dec</v>
      </c>
      <c r="D1783" t="s">
        <v>1089</v>
      </c>
      <c r="E1783" t="s">
        <v>1694</v>
      </c>
      <c r="F1783" t="s">
        <v>1779</v>
      </c>
      <c r="G1783">
        <v>3</v>
      </c>
      <c r="H1783" s="10">
        <f>IF(ISBLANK(ESales_DB[[#This Row],[Quantity]]),AVERAGEIF(ESales_DB[Product_ID],ESales_DB[[#This Row],[Product_ID]],ESales_DB[Quantity]),ESales_DB[[#This Row],[Quantity]])</f>
        <v>3</v>
      </c>
      <c r="I1783" s="2">
        <v>405.13</v>
      </c>
      <c r="J1783">
        <v>0.14000000000000001</v>
      </c>
      <c r="K1783" t="s">
        <v>1829</v>
      </c>
      <c r="L1783" s="2">
        <v>1045.2354</v>
      </c>
      <c r="M1783" s="2" t="str">
        <f>IF(ESales_DB[[#This Row],[Total_Amount]]&gt;1000,"High","Low")</f>
        <v>High</v>
      </c>
      <c r="N1783" s="2" t="str">
        <f>VLOOKUP(ESales_DB[[#This Row],[Customer_ID]],Ecustom_DB[],3,FALSE)</f>
        <v>Justin Mason Dds</v>
      </c>
      <c r="O1783" s="2" t="str">
        <f>_xlfn.XLOOKUP(ESales_DB[[#This Row],[Product_ID]],Eproduct_DB[Product_ID],Eproduct_DB[Category])</f>
        <v>Sports</v>
      </c>
      <c r="P1783" s="2" t="str">
        <f>_xlfn.XLOOKUP(ESales_DB[[#This Row],[Product_ID]],Eproduct_DB[Product_ID],Eproduct_DB[Product_Name])</f>
        <v>Shin Guards – Adult</v>
      </c>
      <c r="Q1783" s="2" t="str">
        <f>_xlfn.XLOOKUP(ESales_DB[[#This Row],[Store_ID]],Estore_DB[Store_ID],Estore_DB[Region])</f>
        <v>South</v>
      </c>
      <c r="R1783" t="str">
        <f>VLOOKUP(ESales_DB[[#This Row],[Customer_ID]],Ecustom_DB[],10,FALSE)</f>
        <v>Gold</v>
      </c>
      <c r="S1783" t="str">
        <f>IF(ESales_DB[[#This Row],[Quantity1]]&gt;3,"Bulk order","Normal order")</f>
        <v>Normal order</v>
      </c>
    </row>
    <row r="1784" spans="1:19" x14ac:dyDescent="0.3">
      <c r="A1784" t="s">
        <v>2628</v>
      </c>
      <c r="B1784" s="4">
        <v>45248</v>
      </c>
      <c r="C1784" s="4" t="str">
        <f>TEXT(ESales_DB[[#This Row],[Order_Date]],"mmm")</f>
        <v>Nov</v>
      </c>
      <c r="D1784" t="s">
        <v>1065</v>
      </c>
      <c r="E1784" t="s">
        <v>1549</v>
      </c>
      <c r="F1784" t="s">
        <v>1769</v>
      </c>
      <c r="G1784">
        <v>2</v>
      </c>
      <c r="H1784" s="10">
        <f>IF(ISBLANK(ESales_DB[[#This Row],[Quantity]]),AVERAGEIF(ESales_DB[Product_ID],ESales_DB[[#This Row],[Product_ID]],ESales_DB[Quantity]),ESales_DB[[#This Row],[Quantity]])</f>
        <v>2</v>
      </c>
      <c r="I1784" s="2">
        <v>333.83</v>
      </c>
      <c r="J1784">
        <v>0.26</v>
      </c>
      <c r="K1784" t="s">
        <v>1826</v>
      </c>
      <c r="L1784" s="2">
        <v>494.0684</v>
      </c>
      <c r="M1784" s="2" t="str">
        <f>IF(ESales_DB[[#This Row],[Total_Amount]]&gt;1000,"High","Low")</f>
        <v>Low</v>
      </c>
      <c r="N1784" s="2" t="str">
        <f>VLOOKUP(ESales_DB[[#This Row],[Customer_ID]],Ecustom_DB[],3,FALSE)</f>
        <v>Mrs. Susan Buckley</v>
      </c>
      <c r="O1784" s="2" t="str">
        <f>_xlfn.XLOOKUP(ESales_DB[[#This Row],[Product_ID]],Eproduct_DB[Product_ID],Eproduct_DB[Category])</f>
        <v>Clothing</v>
      </c>
      <c r="P1784" s="2" t="str">
        <f>_xlfn.XLOOKUP(ESales_DB[[#This Row],[Product_ID]],Eproduct_DB[Product_ID],Eproduct_DB[Product_Name])</f>
        <v>Women's Casual Hoodie</v>
      </c>
      <c r="Q1784" s="2" t="str">
        <f>_xlfn.XLOOKUP(ESales_DB[[#This Row],[Store_ID]],Estore_DB[Store_ID],Estore_DB[Region])</f>
        <v>South</v>
      </c>
      <c r="R1784" t="str">
        <f>VLOOKUP(ESales_DB[[#This Row],[Customer_ID]],Ecustom_DB[],10,FALSE)</f>
        <v>Platinum</v>
      </c>
      <c r="S1784" t="str">
        <f>IF(ESales_DB[[#This Row],[Quantity1]]&gt;3,"Bulk order","Normal order")</f>
        <v>Normal order</v>
      </c>
    </row>
    <row r="1785" spans="1:19" x14ac:dyDescent="0.3">
      <c r="A1785" t="s">
        <v>2629</v>
      </c>
      <c r="B1785" s="4">
        <v>45741</v>
      </c>
      <c r="C1785" s="4" t="str">
        <f>TEXT(ESales_DB[[#This Row],[Order_Date]],"mmm")</f>
        <v>Mar</v>
      </c>
      <c r="D1785" t="s">
        <v>1047</v>
      </c>
      <c r="E1785" t="s">
        <v>1730</v>
      </c>
      <c r="F1785" t="s">
        <v>1766</v>
      </c>
      <c r="G1785">
        <v>2</v>
      </c>
      <c r="H1785" s="10">
        <f>IF(ISBLANK(ESales_DB[[#This Row],[Quantity]]),AVERAGEIF(ESales_DB[Product_ID],ESales_DB[[#This Row],[Product_ID]],ESales_DB[Quantity]),ESales_DB[[#This Row],[Quantity]])</f>
        <v>2</v>
      </c>
      <c r="I1785" s="2">
        <v>727.18</v>
      </c>
      <c r="J1785">
        <v>0.22</v>
      </c>
      <c r="K1785" t="s">
        <v>1826</v>
      </c>
      <c r="L1785" s="2">
        <v>1134.4007999999999</v>
      </c>
      <c r="M1785" s="2" t="str">
        <f>IF(ESales_DB[[#This Row],[Total_Amount]]&gt;1000,"High","Low")</f>
        <v>High</v>
      </c>
      <c r="N1785" s="2" t="str">
        <f>VLOOKUP(ESales_DB[[#This Row],[Customer_ID]],Ecustom_DB[],3,FALSE)</f>
        <v>Teresa Johnson</v>
      </c>
      <c r="O1785" s="2" t="str">
        <f>_xlfn.XLOOKUP(ESales_DB[[#This Row],[Product_ID]],Eproduct_DB[Product_ID],Eproduct_DB[Category])</f>
        <v>Clothing</v>
      </c>
      <c r="P1785" s="2" t="str">
        <f>_xlfn.XLOOKUP(ESales_DB[[#This Row],[Product_ID]],Eproduct_DB[Product_ID],Eproduct_DB[Product_Name])</f>
        <v>Women's High Heels</v>
      </c>
      <c r="Q1785" s="2" t="str">
        <f>_xlfn.XLOOKUP(ESales_DB[[#This Row],[Store_ID]],Estore_DB[Store_ID],Estore_DB[Region])</f>
        <v>North</v>
      </c>
      <c r="R1785" t="str">
        <f>VLOOKUP(ESales_DB[[#This Row],[Customer_ID]],Ecustom_DB[],10,FALSE)</f>
        <v>Gold</v>
      </c>
      <c r="S1785" t="str">
        <f>IF(ESales_DB[[#This Row],[Quantity1]]&gt;3,"Bulk order","Normal order")</f>
        <v>Normal order</v>
      </c>
    </row>
    <row r="1786" spans="1:19" x14ac:dyDescent="0.3">
      <c r="A1786" t="s">
        <v>2630</v>
      </c>
      <c r="B1786" s="4">
        <v>45778</v>
      </c>
      <c r="C1786" s="4" t="str">
        <f>TEXT(ESales_DB[[#This Row],[Order_Date]],"mmm")</f>
        <v>May</v>
      </c>
      <c r="D1786" t="s">
        <v>966</v>
      </c>
      <c r="E1786" t="s">
        <v>1555</v>
      </c>
      <c r="F1786" t="s">
        <v>1789</v>
      </c>
      <c r="G1786">
        <v>2</v>
      </c>
      <c r="H1786" s="10">
        <f>IF(ISBLANK(ESales_DB[[#This Row],[Quantity]]),AVERAGEIF(ESales_DB[Product_ID],ESales_DB[[#This Row],[Product_ID]],ESales_DB[Quantity]),ESales_DB[[#This Row],[Quantity]])</f>
        <v>2</v>
      </c>
      <c r="I1786" s="2">
        <v>516.02</v>
      </c>
      <c r="J1786">
        <v>0.19</v>
      </c>
      <c r="K1786" t="s">
        <v>1829</v>
      </c>
      <c r="L1786" s="2">
        <v>835.95240000000001</v>
      </c>
      <c r="M1786" s="2" t="str">
        <f>IF(ESales_DB[[#This Row],[Total_Amount]]&gt;1000,"High","Low")</f>
        <v>Low</v>
      </c>
      <c r="N1786" s="2" t="str">
        <f>VLOOKUP(ESales_DB[[#This Row],[Customer_ID]],Ecustom_DB[],3,FALSE)</f>
        <v>Angela Robinson</v>
      </c>
      <c r="O1786" s="2" t="str">
        <f>_xlfn.XLOOKUP(ESales_DB[[#This Row],[Product_ID]],Eproduct_DB[Product_ID],Eproduct_DB[Category])</f>
        <v>Clothing</v>
      </c>
      <c r="P1786" s="2" t="str">
        <f>_xlfn.XLOOKUP(ESales_DB[[#This Row],[Product_ID]],Eproduct_DB[Product_ID],Eproduct_DB[Product_Name])</f>
        <v>Men's Leather Belt</v>
      </c>
      <c r="Q1786" s="2" t="str">
        <f>_xlfn.XLOOKUP(ESales_DB[[#This Row],[Store_ID]],Estore_DB[Store_ID],Estore_DB[Region])</f>
        <v>East</v>
      </c>
      <c r="R1786" t="str">
        <f>VLOOKUP(ESales_DB[[#This Row],[Customer_ID]],Ecustom_DB[],10,FALSE)</f>
        <v>Platinum</v>
      </c>
      <c r="S1786" t="str">
        <f>IF(ESales_DB[[#This Row],[Quantity1]]&gt;3,"Bulk order","Normal order")</f>
        <v>Normal order</v>
      </c>
    </row>
    <row r="1787" spans="1:19" x14ac:dyDescent="0.3">
      <c r="A1787" t="s">
        <v>2631</v>
      </c>
      <c r="B1787" s="4">
        <v>45361</v>
      </c>
      <c r="C1787" s="4" t="str">
        <f>TEXT(ESales_DB[[#This Row],[Order_Date]],"mmm")</f>
        <v>Mar</v>
      </c>
      <c r="D1787" t="s">
        <v>932</v>
      </c>
      <c r="E1787" t="s">
        <v>1632</v>
      </c>
      <c r="F1787" t="s">
        <v>1792</v>
      </c>
      <c r="G1787">
        <v>2</v>
      </c>
      <c r="H1787" s="10">
        <f>IF(ISBLANK(ESales_DB[[#This Row],[Quantity]]),AVERAGEIF(ESales_DB[Product_ID],ESales_DB[[#This Row],[Product_ID]],ESales_DB[Quantity]),ESales_DB[[#This Row],[Quantity]])</f>
        <v>2</v>
      </c>
      <c r="I1787" s="2">
        <v>705.61</v>
      </c>
      <c r="J1787">
        <v>0.28000000000000003</v>
      </c>
      <c r="K1787" t="s">
        <v>1824</v>
      </c>
      <c r="L1787" s="2">
        <v>1016.0784</v>
      </c>
      <c r="M1787" s="2" t="str">
        <f>IF(ESales_DB[[#This Row],[Total_Amount]]&gt;1000,"High","Low")</f>
        <v>High</v>
      </c>
      <c r="N1787" s="2" t="str">
        <f>VLOOKUP(ESales_DB[[#This Row],[Customer_ID]],Ecustom_DB[],3,FALSE)</f>
        <v>Lisa Chandler</v>
      </c>
      <c r="O1787" s="2" t="str">
        <f>_xlfn.XLOOKUP(ESales_DB[[#This Row],[Product_ID]],Eproduct_DB[Product_ID],Eproduct_DB[Category])</f>
        <v>Electronics</v>
      </c>
      <c r="P1787" s="2" t="str">
        <f>_xlfn.XLOOKUP(ESales_DB[[#This Row],[Product_ID]],Eproduct_DB[Product_ID],Eproduct_DB[Product_Name])</f>
        <v>Smart Home WiFi Camera</v>
      </c>
      <c r="Q1787" s="2" t="str">
        <f>_xlfn.XLOOKUP(ESales_DB[[#This Row],[Store_ID]],Estore_DB[Store_ID],Estore_DB[Region])</f>
        <v>South</v>
      </c>
      <c r="R1787" t="str">
        <f>VLOOKUP(ESales_DB[[#This Row],[Customer_ID]],Ecustom_DB[],10,FALSE)</f>
        <v>Platinum</v>
      </c>
      <c r="S1787" t="str">
        <f>IF(ESales_DB[[#This Row],[Quantity1]]&gt;3,"Bulk order","Normal order")</f>
        <v>Normal order</v>
      </c>
    </row>
    <row r="1788" spans="1:19" x14ac:dyDescent="0.3">
      <c r="A1788" t="s">
        <v>2632</v>
      </c>
      <c r="B1788" s="4">
        <v>45414</v>
      </c>
      <c r="C1788" s="4" t="str">
        <f>TEXT(ESales_DB[[#This Row],[Order_Date]],"mmm")</f>
        <v>May</v>
      </c>
      <c r="D1788" t="s">
        <v>875</v>
      </c>
      <c r="E1788" t="s">
        <v>1716</v>
      </c>
      <c r="F1788" t="s">
        <v>1782</v>
      </c>
      <c r="G1788">
        <v>3</v>
      </c>
      <c r="H1788" s="10">
        <f>IF(ISBLANK(ESales_DB[[#This Row],[Quantity]]),AVERAGEIF(ESales_DB[Product_ID],ESales_DB[[#This Row],[Product_ID]],ESales_DB[Quantity]),ESales_DB[[#This Row],[Quantity]])</f>
        <v>3</v>
      </c>
      <c r="I1788" s="2">
        <v>654.47</v>
      </c>
      <c r="J1788">
        <v>0.18</v>
      </c>
      <c r="K1788" t="s">
        <v>1829</v>
      </c>
      <c r="L1788" s="2">
        <v>1609.9962</v>
      </c>
      <c r="M1788" s="2" t="str">
        <f>IF(ESales_DB[[#This Row],[Total_Amount]]&gt;1000,"High","Low")</f>
        <v>High</v>
      </c>
      <c r="N1788" s="2" t="str">
        <f>VLOOKUP(ESales_DB[[#This Row],[Customer_ID]],Ecustom_DB[],3,FALSE)</f>
        <v>Shannon Miller</v>
      </c>
      <c r="O1788" s="2" t="str">
        <f>_xlfn.XLOOKUP(ESales_DB[[#This Row],[Product_ID]],Eproduct_DB[Product_ID],Eproduct_DB[Category])</f>
        <v>Home</v>
      </c>
      <c r="P1788" s="2" t="str">
        <f>_xlfn.XLOOKUP(ESales_DB[[#This Row],[Product_ID]],Eproduct_DB[Product_ID],Eproduct_DB[Product_Name])</f>
        <v>Wooden Bookshelf</v>
      </c>
      <c r="Q1788" s="2" t="str">
        <f>_xlfn.XLOOKUP(ESales_DB[[#This Row],[Store_ID]],Estore_DB[Store_ID],Estore_DB[Region])</f>
        <v>West</v>
      </c>
      <c r="R1788" t="str">
        <f>VLOOKUP(ESales_DB[[#This Row],[Customer_ID]],Ecustom_DB[],10,FALSE)</f>
        <v>Gold</v>
      </c>
      <c r="S1788" t="str">
        <f>IF(ESales_DB[[#This Row],[Quantity1]]&gt;3,"Bulk order","Normal order")</f>
        <v>Normal order</v>
      </c>
    </row>
    <row r="1789" spans="1:19" x14ac:dyDescent="0.3">
      <c r="A1789" t="s">
        <v>2633</v>
      </c>
      <c r="B1789" s="4">
        <v>45734</v>
      </c>
      <c r="C1789" s="4" t="str">
        <f>TEXT(ESales_DB[[#This Row],[Order_Date]],"mmm")</f>
        <v>Mar</v>
      </c>
      <c r="D1789" t="s">
        <v>568</v>
      </c>
      <c r="E1789" t="s">
        <v>1724</v>
      </c>
      <c r="F1789" t="s">
        <v>1801</v>
      </c>
      <c r="G1789">
        <v>2</v>
      </c>
      <c r="H1789" s="10">
        <f>IF(ISBLANK(ESales_DB[[#This Row],[Quantity]]),AVERAGEIF(ESales_DB[Product_ID],ESales_DB[[#This Row],[Product_ID]],ESales_DB[Quantity]),ESales_DB[[#This Row],[Quantity]])</f>
        <v>2</v>
      </c>
      <c r="I1789" s="2">
        <v>315.27</v>
      </c>
      <c r="J1789">
        <v>0.23</v>
      </c>
      <c r="K1789" t="s">
        <v>1824</v>
      </c>
      <c r="L1789" s="2">
        <v>485.51580000000001</v>
      </c>
      <c r="M1789" s="2" t="str">
        <f>IF(ESales_DB[[#This Row],[Total_Amount]]&gt;1000,"High","Low")</f>
        <v>Low</v>
      </c>
      <c r="N1789" s="2" t="str">
        <f>VLOOKUP(ESales_DB[[#This Row],[Customer_ID]],Ecustom_DB[],3,FALSE)</f>
        <v>Amy Wilson</v>
      </c>
      <c r="O1789" s="2" t="str">
        <f>_xlfn.XLOOKUP(ESales_DB[[#This Row],[Product_ID]],Eproduct_DB[Product_ID],Eproduct_DB[Category])</f>
        <v>Sports</v>
      </c>
      <c r="P1789" s="2" t="str">
        <f>_xlfn.XLOOKUP(ESales_DB[[#This Row],[Product_ID]],Eproduct_DB[Product_ID],Eproduct_DB[Product_Name])</f>
        <v>Sports Wrist Sweatbands</v>
      </c>
      <c r="Q1789" s="2" t="str">
        <f>_xlfn.XLOOKUP(ESales_DB[[#This Row],[Store_ID]],Estore_DB[Store_ID],Estore_DB[Region])</f>
        <v>North</v>
      </c>
      <c r="R1789" t="str">
        <f>VLOOKUP(ESales_DB[[#This Row],[Customer_ID]],Ecustom_DB[],10,FALSE)</f>
        <v>Platinum</v>
      </c>
      <c r="S1789" t="str">
        <f>IF(ESales_DB[[#This Row],[Quantity1]]&gt;3,"Bulk order","Normal order")</f>
        <v>Normal order</v>
      </c>
    </row>
    <row r="1790" spans="1:19" x14ac:dyDescent="0.3">
      <c r="A1790" t="s">
        <v>2634</v>
      </c>
      <c r="B1790" s="4">
        <v>45623</v>
      </c>
      <c r="C1790" s="4" t="str">
        <f>TEXT(ESales_DB[[#This Row],[Order_Date]],"mmm")</f>
        <v>Nov</v>
      </c>
      <c r="D1790" t="s">
        <v>719</v>
      </c>
      <c r="E1790" t="s">
        <v>1604</v>
      </c>
      <c r="F1790" t="s">
        <v>1761</v>
      </c>
      <c r="G1790">
        <v>1</v>
      </c>
      <c r="H1790" s="10">
        <f>IF(ISBLANK(ESales_DB[[#This Row],[Quantity]]),AVERAGEIF(ESales_DB[Product_ID],ESales_DB[[#This Row],[Product_ID]],ESales_DB[Quantity]),ESales_DB[[#This Row],[Quantity]])</f>
        <v>1</v>
      </c>
      <c r="I1790" s="2">
        <v>974.47</v>
      </c>
      <c r="J1790">
        <v>0.05</v>
      </c>
      <c r="K1790" t="s">
        <v>1824</v>
      </c>
      <c r="L1790" s="2">
        <v>925.74649999999997</v>
      </c>
      <c r="M1790" s="2" t="str">
        <f>IF(ESales_DB[[#This Row],[Total_Amount]]&gt;1000,"High","Low")</f>
        <v>Low</v>
      </c>
      <c r="N1790" s="2" t="str">
        <f>VLOOKUP(ESales_DB[[#This Row],[Customer_ID]],Ecustom_DB[],3,FALSE)</f>
        <v>Alejandro Doyle</v>
      </c>
      <c r="O1790" s="2" t="str">
        <f>_xlfn.XLOOKUP(ESales_DB[[#This Row],[Product_ID]],Eproduct_DB[Product_ID],Eproduct_DB[Category])</f>
        <v>Sports</v>
      </c>
      <c r="P1790" s="2" t="str">
        <f>_xlfn.XLOOKUP(ESales_DB[[#This Row],[Product_ID]],Eproduct_DB[Product_ID],Eproduct_DB[Product_Name])</f>
        <v>Sports Stopwatch Timer</v>
      </c>
      <c r="Q1790" s="2" t="str">
        <f>_xlfn.XLOOKUP(ESales_DB[[#This Row],[Store_ID]],Estore_DB[Store_ID],Estore_DB[Region])</f>
        <v>South</v>
      </c>
      <c r="R1790" t="str">
        <f>VLOOKUP(ESales_DB[[#This Row],[Customer_ID]],Ecustom_DB[],10,FALSE)</f>
        <v>Platinum</v>
      </c>
      <c r="S1790" t="str">
        <f>IF(ESales_DB[[#This Row],[Quantity1]]&gt;3,"Bulk order","Normal order")</f>
        <v>Normal order</v>
      </c>
    </row>
    <row r="1791" spans="1:19" x14ac:dyDescent="0.3">
      <c r="A1791" t="s">
        <v>2635</v>
      </c>
      <c r="B1791" s="4">
        <v>45340</v>
      </c>
      <c r="C1791" s="4" t="str">
        <f>TEXT(ESales_DB[[#This Row],[Order_Date]],"mmm")</f>
        <v>Feb</v>
      </c>
      <c r="D1791" t="s">
        <v>247</v>
      </c>
      <c r="E1791" t="s">
        <v>1549</v>
      </c>
      <c r="F1791" t="s">
        <v>1769</v>
      </c>
      <c r="G1791">
        <v>2</v>
      </c>
      <c r="H1791" s="10">
        <f>IF(ISBLANK(ESales_DB[[#This Row],[Quantity]]),AVERAGEIF(ESales_DB[Product_ID],ESales_DB[[#This Row],[Product_ID]],ESales_DB[Quantity]),ESales_DB[[#This Row],[Quantity]])</f>
        <v>2</v>
      </c>
      <c r="I1791" s="2">
        <v>803.3</v>
      </c>
      <c r="J1791">
        <v>0.17</v>
      </c>
      <c r="K1791" t="s">
        <v>1824</v>
      </c>
      <c r="L1791" s="2">
        <v>1333.4780000000001</v>
      </c>
      <c r="M1791" s="2" t="str">
        <f>IF(ESales_DB[[#This Row],[Total_Amount]]&gt;1000,"High","Low")</f>
        <v>High</v>
      </c>
      <c r="N1791" s="2" t="str">
        <f>VLOOKUP(ESales_DB[[#This Row],[Customer_ID]],Ecustom_DB[],3,FALSE)</f>
        <v>Amber Mcclain</v>
      </c>
      <c r="O1791" s="2" t="str">
        <f>_xlfn.XLOOKUP(ESales_DB[[#This Row],[Product_ID]],Eproduct_DB[Product_ID],Eproduct_DB[Category])</f>
        <v>Clothing</v>
      </c>
      <c r="P1791" s="2" t="str">
        <f>_xlfn.XLOOKUP(ESales_DB[[#This Row],[Product_ID]],Eproduct_DB[Product_ID],Eproduct_DB[Product_Name])</f>
        <v>Women's Casual Hoodie</v>
      </c>
      <c r="Q1791" s="2" t="str">
        <f>_xlfn.XLOOKUP(ESales_DB[[#This Row],[Store_ID]],Estore_DB[Store_ID],Estore_DB[Region])</f>
        <v>South</v>
      </c>
      <c r="R1791" t="str">
        <f>VLOOKUP(ESales_DB[[#This Row],[Customer_ID]],Ecustom_DB[],10,FALSE)</f>
        <v>Silver</v>
      </c>
      <c r="S1791" t="str">
        <f>IF(ESales_DB[[#This Row],[Quantity1]]&gt;3,"Bulk order","Normal order")</f>
        <v>Normal order</v>
      </c>
    </row>
    <row r="1792" spans="1:19" x14ac:dyDescent="0.3">
      <c r="A1792" t="s">
        <v>1907</v>
      </c>
      <c r="B1792" s="4">
        <v>45616</v>
      </c>
      <c r="C1792" s="4" t="str">
        <f>TEXT(ESales_DB[[#This Row],[Order_Date]],"mmm")</f>
        <v>Nov</v>
      </c>
      <c r="D1792" t="s">
        <v>809</v>
      </c>
      <c r="E1792" t="s">
        <v>1690</v>
      </c>
      <c r="F1792" t="s">
        <v>1786</v>
      </c>
      <c r="G1792">
        <v>1</v>
      </c>
      <c r="H1792" s="10">
        <f>IF(ISBLANK(ESales_DB[[#This Row],[Quantity]]),AVERAGEIF(ESales_DB[Product_ID],ESales_DB[[#This Row],[Product_ID]],ESales_DB[Quantity]),ESales_DB[[#This Row],[Quantity]])</f>
        <v>1</v>
      </c>
      <c r="I1792" s="2">
        <v>363.73</v>
      </c>
      <c r="J1792">
        <v>0.25</v>
      </c>
      <c r="K1792" t="s">
        <v>1826</v>
      </c>
      <c r="L1792" s="2">
        <v>272.79750000000001</v>
      </c>
      <c r="M1792" s="2" t="str">
        <f>IF(ESales_DB[[#This Row],[Total_Amount]]&gt;1000,"High","Low")</f>
        <v>Low</v>
      </c>
      <c r="N1792" s="2" t="str">
        <f>VLOOKUP(ESales_DB[[#This Row],[Customer_ID]],Ecustom_DB[],3,FALSE)</f>
        <v>Dr. Ashley Yates Md</v>
      </c>
      <c r="O1792" s="2" t="str">
        <f>_xlfn.XLOOKUP(ESales_DB[[#This Row],[Product_ID]],Eproduct_DB[Product_ID],Eproduct_DB[Category])</f>
        <v>Beauty</v>
      </c>
      <c r="P1792" s="2" t="str">
        <f>_xlfn.XLOOKUP(ESales_DB[[#This Row],[Product_ID]],Eproduct_DB[Product_ID],Eproduct_DB[Product_Name])</f>
        <v>Hair Repair Oil Treatment</v>
      </c>
      <c r="Q1792" s="2" t="str">
        <f>_xlfn.XLOOKUP(ESales_DB[[#This Row],[Store_ID]],Estore_DB[Store_ID],Estore_DB[Region])</f>
        <v>South</v>
      </c>
      <c r="R1792" t="str">
        <f>VLOOKUP(ESales_DB[[#This Row],[Customer_ID]],Ecustom_DB[],10,FALSE)</f>
        <v>Bronze</v>
      </c>
      <c r="S1792" t="str">
        <f>IF(ESales_DB[[#This Row],[Quantity1]]&gt;3,"Bulk order","Normal order")</f>
        <v>Normal order</v>
      </c>
    </row>
    <row r="1793" spans="1:19" x14ac:dyDescent="0.3">
      <c r="A1793" t="s">
        <v>2636</v>
      </c>
      <c r="B1793" s="4">
        <v>45447</v>
      </c>
      <c r="C1793" s="4" t="str">
        <f>TEXT(ESales_DB[[#This Row],[Order_Date]],"mmm")</f>
        <v>Jun</v>
      </c>
      <c r="D1793" t="s">
        <v>63</v>
      </c>
      <c r="E1793" t="s">
        <v>1549</v>
      </c>
      <c r="F1793" t="s">
        <v>1789</v>
      </c>
      <c r="G1793">
        <v>4</v>
      </c>
      <c r="H1793" s="10">
        <f>IF(ISBLANK(ESales_DB[[#This Row],[Quantity]]),AVERAGEIF(ESales_DB[Product_ID],ESales_DB[[#This Row],[Product_ID]],ESales_DB[Quantity]),ESales_DB[[#This Row],[Quantity]])</f>
        <v>4</v>
      </c>
      <c r="I1793" s="2">
        <v>863.87</v>
      </c>
      <c r="J1793">
        <v>0.21</v>
      </c>
      <c r="K1793" t="s">
        <v>1829</v>
      </c>
      <c r="L1793" s="2">
        <v>2729.8292000000001</v>
      </c>
      <c r="M1793" s="2" t="str">
        <f>IF(ESales_DB[[#This Row],[Total_Amount]]&gt;1000,"High","Low")</f>
        <v>High</v>
      </c>
      <c r="N1793" s="2" t="str">
        <f>VLOOKUP(ESales_DB[[#This Row],[Customer_ID]],Ecustom_DB[],3,FALSE)</f>
        <v>Nathan Hernandez</v>
      </c>
      <c r="O1793" s="2" t="str">
        <f>_xlfn.XLOOKUP(ESales_DB[[#This Row],[Product_ID]],Eproduct_DB[Product_ID],Eproduct_DB[Category])</f>
        <v>Clothing</v>
      </c>
      <c r="P1793" s="2" t="str">
        <f>_xlfn.XLOOKUP(ESales_DB[[#This Row],[Product_ID]],Eproduct_DB[Product_ID],Eproduct_DB[Product_Name])</f>
        <v>Women's Casual Hoodie</v>
      </c>
      <c r="Q1793" s="2" t="str">
        <f>_xlfn.XLOOKUP(ESales_DB[[#This Row],[Store_ID]],Estore_DB[Store_ID],Estore_DB[Region])</f>
        <v>East</v>
      </c>
      <c r="R1793" t="str">
        <f>VLOOKUP(ESales_DB[[#This Row],[Customer_ID]],Ecustom_DB[],10,FALSE)</f>
        <v>Silver</v>
      </c>
      <c r="S1793" t="str">
        <f>IF(ESales_DB[[#This Row],[Quantity1]]&gt;3,"Bulk order","Normal order")</f>
        <v>Bulk order</v>
      </c>
    </row>
    <row r="1794" spans="1:19" x14ac:dyDescent="0.3">
      <c r="A1794" t="s">
        <v>2637</v>
      </c>
      <c r="B1794" s="4">
        <v>45513</v>
      </c>
      <c r="C1794" s="4" t="str">
        <f>TEXT(ESales_DB[[#This Row],[Order_Date]],"mmm")</f>
        <v>Aug</v>
      </c>
      <c r="D1794" t="s">
        <v>1446</v>
      </c>
      <c r="E1794" t="s">
        <v>1708</v>
      </c>
      <c r="F1794" t="s">
        <v>1810</v>
      </c>
      <c r="G1794">
        <v>1</v>
      </c>
      <c r="H1794" s="10">
        <f>IF(ISBLANK(ESales_DB[[#This Row],[Quantity]]),AVERAGEIF(ESales_DB[Product_ID],ESales_DB[[#This Row],[Product_ID]],ESales_DB[Quantity]),ESales_DB[[#This Row],[Quantity]])</f>
        <v>1</v>
      </c>
      <c r="I1794" s="2">
        <v>450.11</v>
      </c>
      <c r="J1794">
        <v>0.17</v>
      </c>
      <c r="K1794" t="s">
        <v>1824</v>
      </c>
      <c r="L1794" s="2">
        <v>373.59129999999999</v>
      </c>
      <c r="M1794" s="2" t="str">
        <f>IF(ESales_DB[[#This Row],[Total_Amount]]&gt;1000,"High","Low")</f>
        <v>Low</v>
      </c>
      <c r="N1794" s="2" t="str">
        <f>VLOOKUP(ESales_DB[[#This Row],[Customer_ID]],Ecustom_DB[],3,FALSE)</f>
        <v>James Foster</v>
      </c>
      <c r="O1794" s="2" t="str">
        <f>_xlfn.XLOOKUP(ESales_DB[[#This Row],[Product_ID]],Eproduct_DB[Product_ID],Eproduct_DB[Category])</f>
        <v>Home</v>
      </c>
      <c r="P1794" s="2" t="str">
        <f>_xlfn.XLOOKUP(ESales_DB[[#This Row],[Product_ID]],Eproduct_DB[Product_ID],Eproduct_DB[Product_Name])</f>
        <v>Wall-Mounted Spice Rack</v>
      </c>
      <c r="Q1794" s="2" t="str">
        <f>_xlfn.XLOOKUP(ESales_DB[[#This Row],[Store_ID]],Estore_DB[Store_ID],Estore_DB[Region])</f>
        <v>East</v>
      </c>
      <c r="R1794" t="str">
        <f>VLOOKUP(ESales_DB[[#This Row],[Customer_ID]],Ecustom_DB[],10,FALSE)</f>
        <v>Gold</v>
      </c>
      <c r="S1794" t="str">
        <f>IF(ESales_DB[[#This Row],[Quantity1]]&gt;3,"Bulk order","Normal order")</f>
        <v>Normal order</v>
      </c>
    </row>
    <row r="1795" spans="1:19" x14ac:dyDescent="0.3">
      <c r="A1795" t="s">
        <v>2638</v>
      </c>
      <c r="B1795" s="4">
        <v>45486</v>
      </c>
      <c r="C1795" s="4" t="str">
        <f>TEXT(ESales_DB[[#This Row],[Order_Date]],"mmm")</f>
        <v>Jul</v>
      </c>
      <c r="D1795" t="s">
        <v>740</v>
      </c>
      <c r="E1795" t="s">
        <v>1684</v>
      </c>
      <c r="F1795" t="s">
        <v>1797</v>
      </c>
      <c r="G1795">
        <v>1</v>
      </c>
      <c r="H1795" s="10">
        <f>IF(ISBLANK(ESales_DB[[#This Row],[Quantity]]),AVERAGEIF(ESales_DB[Product_ID],ESales_DB[[#This Row],[Product_ID]],ESales_DB[Quantity]),ESales_DB[[#This Row],[Quantity]])</f>
        <v>1</v>
      </c>
      <c r="I1795" s="2">
        <v>289.82</v>
      </c>
      <c r="J1795">
        <v>0.18</v>
      </c>
      <c r="K1795" t="s">
        <v>1829</v>
      </c>
      <c r="L1795" s="2">
        <v>237.6524</v>
      </c>
      <c r="M1795" s="2" t="str">
        <f>IF(ESales_DB[[#This Row],[Total_Amount]]&gt;1000,"High","Low")</f>
        <v>Low</v>
      </c>
      <c r="N1795" s="2" t="str">
        <f>VLOOKUP(ESales_DB[[#This Row],[Customer_ID]],Ecustom_DB[],3,FALSE)</f>
        <v>Timothy Sanders</v>
      </c>
      <c r="O1795" s="2" t="str">
        <f>_xlfn.XLOOKUP(ESales_DB[[#This Row],[Product_ID]],Eproduct_DB[Product_ID],Eproduct_DB[Category])</f>
        <v>Home</v>
      </c>
      <c r="P1795" s="2" t="str">
        <f>_xlfn.XLOOKUP(ESales_DB[[#This Row],[Product_ID]],Eproduct_DB[Product_ID],Eproduct_DB[Product_Name])</f>
        <v>Wooden Nightstand</v>
      </c>
      <c r="Q1795" s="2" t="str">
        <f>_xlfn.XLOOKUP(ESales_DB[[#This Row],[Store_ID]],Estore_DB[Store_ID],Estore_DB[Region])</f>
        <v>East</v>
      </c>
      <c r="R1795" t="str">
        <f>VLOOKUP(ESales_DB[[#This Row],[Customer_ID]],Ecustom_DB[],10,FALSE)</f>
        <v>Bronze</v>
      </c>
      <c r="S1795" t="str">
        <f>IF(ESales_DB[[#This Row],[Quantity1]]&gt;3,"Bulk order","Normal order")</f>
        <v>Normal order</v>
      </c>
    </row>
    <row r="1796" spans="1:19" x14ac:dyDescent="0.3">
      <c r="A1796" t="s">
        <v>2639</v>
      </c>
      <c r="B1796" s="4">
        <v>45890</v>
      </c>
      <c r="C1796" s="4" t="str">
        <f>TEXT(ESales_DB[[#This Row],[Order_Date]],"mmm")</f>
        <v>Aug</v>
      </c>
      <c r="D1796" t="s">
        <v>1050</v>
      </c>
      <c r="E1796" t="s">
        <v>1656</v>
      </c>
      <c r="F1796" t="s">
        <v>1789</v>
      </c>
      <c r="G1796">
        <v>4</v>
      </c>
      <c r="H1796" s="10">
        <f>IF(ISBLANK(ESales_DB[[#This Row],[Quantity]]),AVERAGEIF(ESales_DB[Product_ID],ESales_DB[[#This Row],[Product_ID]],ESales_DB[Quantity]),ESales_DB[[#This Row],[Quantity]])</f>
        <v>4</v>
      </c>
      <c r="I1796" s="2">
        <v>250.64</v>
      </c>
      <c r="J1796">
        <v>0.1</v>
      </c>
      <c r="K1796" t="s">
        <v>1826</v>
      </c>
      <c r="L1796" s="2">
        <v>902.30399999999997</v>
      </c>
      <c r="M1796" s="2" t="str">
        <f>IF(ESales_DB[[#This Row],[Total_Amount]]&gt;1000,"High","Low")</f>
        <v>Low</v>
      </c>
      <c r="N1796" s="2" t="str">
        <f>VLOOKUP(ESales_DB[[#This Row],[Customer_ID]],Ecustom_DB[],3,FALSE)</f>
        <v>Mr. Christopher Sims</v>
      </c>
      <c r="O1796" s="2" t="str">
        <f>_xlfn.XLOOKUP(ESales_DB[[#This Row],[Product_ID]],Eproduct_DB[Product_ID],Eproduct_DB[Category])</f>
        <v>Sports</v>
      </c>
      <c r="P1796" s="2" t="str">
        <f>_xlfn.XLOOKUP(ESales_DB[[#This Row],[Product_ID]],Eproduct_DB[Product_ID],Eproduct_DB[Product_Name])</f>
        <v>Sports Stopwatch Pro</v>
      </c>
      <c r="Q1796" s="2" t="str">
        <f>_xlfn.XLOOKUP(ESales_DB[[#This Row],[Store_ID]],Estore_DB[Store_ID],Estore_DB[Region])</f>
        <v>East</v>
      </c>
      <c r="R1796" t="str">
        <f>VLOOKUP(ESales_DB[[#This Row],[Customer_ID]],Ecustom_DB[],10,FALSE)</f>
        <v>Silver</v>
      </c>
      <c r="S1796" t="str">
        <f>IF(ESales_DB[[#This Row],[Quantity1]]&gt;3,"Bulk order","Normal order")</f>
        <v>Bulk order</v>
      </c>
    </row>
    <row r="1797" spans="1:19" x14ac:dyDescent="0.3">
      <c r="A1797" t="s">
        <v>2640</v>
      </c>
      <c r="B1797" s="4">
        <v>45876</v>
      </c>
      <c r="C1797" s="4" t="str">
        <f>TEXT(ESales_DB[[#This Row],[Order_Date]],"mmm")</f>
        <v>Aug</v>
      </c>
      <c r="D1797" t="s">
        <v>911</v>
      </c>
      <c r="E1797" t="s">
        <v>1686</v>
      </c>
      <c r="F1797" t="s">
        <v>1813</v>
      </c>
      <c r="G1797">
        <v>4</v>
      </c>
      <c r="H1797" s="10">
        <f>IF(ISBLANK(ESales_DB[[#This Row],[Quantity]]),AVERAGEIF(ESales_DB[Product_ID],ESales_DB[[#This Row],[Product_ID]],ESales_DB[Quantity]),ESales_DB[[#This Row],[Quantity]])</f>
        <v>4</v>
      </c>
      <c r="I1797" s="2">
        <v>373.49</v>
      </c>
      <c r="J1797">
        <v>0.16</v>
      </c>
      <c r="K1797" t="s">
        <v>1829</v>
      </c>
      <c r="L1797" s="2">
        <v>1254.9264000000001</v>
      </c>
      <c r="M1797" s="2" t="str">
        <f>IF(ESales_DB[[#This Row],[Total_Amount]]&gt;1000,"High","Low")</f>
        <v>High</v>
      </c>
      <c r="N1797" s="2" t="str">
        <f>VLOOKUP(ESales_DB[[#This Row],[Customer_ID]],Ecustom_DB[],3,FALSE)</f>
        <v>Cynthia Roberts</v>
      </c>
      <c r="O1797" s="2" t="str">
        <f>_xlfn.XLOOKUP(ESales_DB[[#This Row],[Product_ID]],Eproduct_DB[Product_ID],Eproduct_DB[Category])</f>
        <v>Clothing</v>
      </c>
      <c r="P1797" s="2" t="str">
        <f>_xlfn.XLOOKUP(ESales_DB[[#This Row],[Product_ID]],Eproduct_DB[Product_ID],Eproduct_DB[Product_Name])</f>
        <v>Men's Sports Shorts</v>
      </c>
      <c r="Q1797" s="2" t="str">
        <f>_xlfn.XLOOKUP(ESales_DB[[#This Row],[Store_ID]],Estore_DB[Store_ID],Estore_DB[Region])</f>
        <v>East</v>
      </c>
      <c r="R1797" t="str">
        <f>VLOOKUP(ESales_DB[[#This Row],[Customer_ID]],Ecustom_DB[],10,FALSE)</f>
        <v>Gold</v>
      </c>
      <c r="S1797" t="str">
        <f>IF(ESales_DB[[#This Row],[Quantity1]]&gt;3,"Bulk order","Normal order")</f>
        <v>Bulk order</v>
      </c>
    </row>
    <row r="1798" spans="1:19" x14ac:dyDescent="0.3">
      <c r="A1798" t="s">
        <v>2641</v>
      </c>
      <c r="B1798" s="4">
        <v>45398</v>
      </c>
      <c r="C1798" s="4" t="str">
        <f>TEXT(ESales_DB[[#This Row],[Order_Date]],"mmm")</f>
        <v>Apr</v>
      </c>
      <c r="D1798" t="s">
        <v>244</v>
      </c>
      <c r="E1798" t="s">
        <v>1551</v>
      </c>
      <c r="F1798" t="s">
        <v>1786</v>
      </c>
      <c r="G1798">
        <v>4</v>
      </c>
      <c r="H1798" s="10">
        <f>IF(ISBLANK(ESales_DB[[#This Row],[Quantity]]),AVERAGEIF(ESales_DB[Product_ID],ESales_DB[[#This Row],[Product_ID]],ESales_DB[Quantity]),ESales_DB[[#This Row],[Quantity]])</f>
        <v>4</v>
      </c>
      <c r="I1798" s="2">
        <v>348.91</v>
      </c>
      <c r="J1798">
        <v>0.18</v>
      </c>
      <c r="K1798" t="s">
        <v>1826</v>
      </c>
      <c r="L1798" s="2">
        <v>1144.4248</v>
      </c>
      <c r="M1798" s="2" t="str">
        <f>IF(ESales_DB[[#This Row],[Total_Amount]]&gt;1000,"High","Low")</f>
        <v>High</v>
      </c>
      <c r="N1798" s="2" t="str">
        <f>VLOOKUP(ESales_DB[[#This Row],[Customer_ID]],Ecustom_DB[],3,FALSE)</f>
        <v>Cody Diaz</v>
      </c>
      <c r="O1798" s="2" t="str">
        <f>_xlfn.XLOOKUP(ESales_DB[[#This Row],[Product_ID]],Eproduct_DB[Product_ID],Eproduct_DB[Category])</f>
        <v>Clothing</v>
      </c>
      <c r="P1798" s="2" t="str">
        <f>_xlfn.XLOOKUP(ESales_DB[[#This Row],[Product_ID]],Eproduct_DB[Product_ID],Eproduct_DB[Product_Name])</f>
        <v>Men's Running Jacket</v>
      </c>
      <c r="Q1798" s="2" t="str">
        <f>_xlfn.XLOOKUP(ESales_DB[[#This Row],[Store_ID]],Estore_DB[Store_ID],Estore_DB[Region])</f>
        <v>South</v>
      </c>
      <c r="R1798" t="str">
        <f>VLOOKUP(ESales_DB[[#This Row],[Customer_ID]],Ecustom_DB[],10,FALSE)</f>
        <v>Silver</v>
      </c>
      <c r="S1798" t="str">
        <f>IF(ESales_DB[[#This Row],[Quantity1]]&gt;3,"Bulk order","Normal order")</f>
        <v>Bulk order</v>
      </c>
    </row>
    <row r="1799" spans="1:19" x14ac:dyDescent="0.3">
      <c r="A1799" t="s">
        <v>2642</v>
      </c>
      <c r="B1799" s="4">
        <v>45390</v>
      </c>
      <c r="C1799" s="4" t="str">
        <f>TEXT(ESales_DB[[#This Row],[Order_Date]],"mmm")</f>
        <v>Apr</v>
      </c>
      <c r="D1799" t="s">
        <v>387</v>
      </c>
      <c r="E1799" t="s">
        <v>1736</v>
      </c>
      <c r="F1799" t="s">
        <v>1807</v>
      </c>
      <c r="G1799">
        <v>4</v>
      </c>
      <c r="H1799" s="10">
        <f>IF(ISBLANK(ESales_DB[[#This Row],[Quantity]]),AVERAGEIF(ESales_DB[Product_ID],ESales_DB[[#This Row],[Product_ID]],ESales_DB[Quantity]),ESales_DB[[#This Row],[Quantity]])</f>
        <v>4</v>
      </c>
      <c r="I1799" s="2">
        <v>212.96</v>
      </c>
      <c r="J1799">
        <v>0.17</v>
      </c>
      <c r="K1799" t="s">
        <v>1824</v>
      </c>
      <c r="L1799" s="2">
        <v>707.02719999999999</v>
      </c>
      <c r="M1799" s="2" t="str">
        <f>IF(ESales_DB[[#This Row],[Total_Amount]]&gt;1000,"High","Low")</f>
        <v>Low</v>
      </c>
      <c r="N1799" s="2" t="str">
        <f>VLOOKUP(ESales_DB[[#This Row],[Customer_ID]],Ecustom_DB[],3,FALSE)</f>
        <v>Ashley Griffin</v>
      </c>
      <c r="O1799" s="2" t="str">
        <f>_xlfn.XLOOKUP(ESales_DB[[#This Row],[Product_ID]],Eproduct_DB[Product_ID],Eproduct_DB[Category])</f>
        <v>Beauty</v>
      </c>
      <c r="P1799" s="2" t="str">
        <f>_xlfn.XLOOKUP(ESales_DB[[#This Row],[Product_ID]],Eproduct_DB[Product_ID],Eproduct_DB[Product_Name])</f>
        <v>Vitamin E Body Lotion</v>
      </c>
      <c r="Q1799" s="2" t="str">
        <f>_xlfn.XLOOKUP(ESales_DB[[#This Row],[Store_ID]],Estore_DB[Store_ID],Estore_DB[Region])</f>
        <v>North</v>
      </c>
      <c r="R1799" t="str">
        <f>VLOOKUP(ESales_DB[[#This Row],[Customer_ID]],Ecustom_DB[],10,FALSE)</f>
        <v>Gold</v>
      </c>
      <c r="S1799" t="str">
        <f>IF(ESales_DB[[#This Row],[Quantity1]]&gt;3,"Bulk order","Normal order")</f>
        <v>Bulk order</v>
      </c>
    </row>
    <row r="1800" spans="1:19" x14ac:dyDescent="0.3">
      <c r="A1800" t="s">
        <v>2643</v>
      </c>
      <c r="B1800" s="4">
        <v>45406</v>
      </c>
      <c r="C1800" s="4" t="str">
        <f>TEXT(ESales_DB[[#This Row],[Order_Date]],"mmm")</f>
        <v>Apr</v>
      </c>
      <c r="D1800" t="s">
        <v>625</v>
      </c>
      <c r="E1800" t="s">
        <v>1602</v>
      </c>
      <c r="F1800" t="s">
        <v>1813</v>
      </c>
      <c r="G1800">
        <v>3</v>
      </c>
      <c r="H1800" s="10">
        <f>IF(ISBLANK(ESales_DB[[#This Row],[Quantity]]),AVERAGEIF(ESales_DB[Product_ID],ESales_DB[[#This Row],[Product_ID]],ESales_DB[Quantity]),ESales_DB[[#This Row],[Quantity]])</f>
        <v>3</v>
      </c>
      <c r="I1800" s="2">
        <v>871.34</v>
      </c>
      <c r="J1800">
        <v>0.11</v>
      </c>
      <c r="K1800" t="s">
        <v>1829</v>
      </c>
      <c r="L1800" s="2">
        <v>2326.4778000000001</v>
      </c>
      <c r="M1800" s="2" t="str">
        <f>IF(ESales_DB[[#This Row],[Total_Amount]]&gt;1000,"High","Low")</f>
        <v>High</v>
      </c>
      <c r="N1800" s="2" t="str">
        <f>VLOOKUP(ESales_DB[[#This Row],[Customer_ID]],Ecustom_DB[],3,FALSE)</f>
        <v>Christopher Stewart</v>
      </c>
      <c r="O1800" s="2" t="str">
        <f>_xlfn.XLOOKUP(ESales_DB[[#This Row],[Product_ID]],Eproduct_DB[Product_ID],Eproduct_DB[Category])</f>
        <v>Home</v>
      </c>
      <c r="P1800" s="2" t="str">
        <f>_xlfn.XLOOKUP(ESales_DB[[#This Row],[Product_ID]],Eproduct_DB[Product_ID],Eproduct_DB[Product_Name])</f>
        <v>Decorative Floor Vase</v>
      </c>
      <c r="Q1800" s="2" t="str">
        <f>_xlfn.XLOOKUP(ESales_DB[[#This Row],[Store_ID]],Estore_DB[Store_ID],Estore_DB[Region])</f>
        <v>East</v>
      </c>
      <c r="R1800" t="str">
        <f>VLOOKUP(ESales_DB[[#This Row],[Customer_ID]],Ecustom_DB[],10,FALSE)</f>
        <v>Bronze</v>
      </c>
      <c r="S1800" t="str">
        <f>IF(ESales_DB[[#This Row],[Quantity1]]&gt;3,"Bulk order","Normal order")</f>
        <v>Normal order</v>
      </c>
    </row>
    <row r="1801" spans="1:19" x14ac:dyDescent="0.3">
      <c r="A1801" t="s">
        <v>2644</v>
      </c>
      <c r="B1801" s="4">
        <v>45844</v>
      </c>
      <c r="C1801" s="4" t="str">
        <f>TEXT(ESales_DB[[#This Row],[Order_Date]],"mmm")</f>
        <v>Jul</v>
      </c>
      <c r="D1801" t="s">
        <v>356</v>
      </c>
      <c r="E1801" t="s">
        <v>1736</v>
      </c>
      <c r="F1801" t="s">
        <v>1752</v>
      </c>
      <c r="G1801">
        <v>2</v>
      </c>
      <c r="H1801" s="10">
        <f>IF(ISBLANK(ESales_DB[[#This Row],[Quantity]]),AVERAGEIF(ESales_DB[Product_ID],ESales_DB[[#This Row],[Product_ID]],ESales_DB[Quantity]),ESales_DB[[#This Row],[Quantity]])</f>
        <v>2</v>
      </c>
      <c r="I1801" s="2">
        <v>698.94</v>
      </c>
      <c r="J1801">
        <v>0.06</v>
      </c>
      <c r="K1801" t="s">
        <v>1824</v>
      </c>
      <c r="L1801" s="2">
        <v>1314.0072</v>
      </c>
      <c r="M1801" s="2" t="str">
        <f>IF(ESales_DB[[#This Row],[Total_Amount]]&gt;1000,"High","Low")</f>
        <v>High</v>
      </c>
      <c r="N1801" s="2" t="str">
        <f>VLOOKUP(ESales_DB[[#This Row],[Customer_ID]],Ecustom_DB[],3,FALSE)</f>
        <v>Diane Watson</v>
      </c>
      <c r="O1801" s="2" t="str">
        <f>_xlfn.XLOOKUP(ESales_DB[[#This Row],[Product_ID]],Eproduct_DB[Product_ID],Eproduct_DB[Category])</f>
        <v>Beauty</v>
      </c>
      <c r="P1801" s="2" t="str">
        <f>_xlfn.XLOOKUP(ESales_DB[[#This Row],[Product_ID]],Eproduct_DB[Product_ID],Eproduct_DB[Product_Name])</f>
        <v>Vitamin E Body Lotion</v>
      </c>
      <c r="Q1801" s="2" t="str">
        <f>_xlfn.XLOOKUP(ESales_DB[[#This Row],[Store_ID]],Estore_DB[Store_ID],Estore_DB[Region])</f>
        <v>East</v>
      </c>
      <c r="R1801" t="str">
        <f>VLOOKUP(ESales_DB[[#This Row],[Customer_ID]],Ecustom_DB[],10,FALSE)</f>
        <v>Platinum</v>
      </c>
      <c r="S1801" t="str">
        <f>IF(ESales_DB[[#This Row],[Quantity1]]&gt;3,"Bulk order","Normal order")</f>
        <v>Normal order</v>
      </c>
    </row>
    <row r="1802" spans="1:19" x14ac:dyDescent="0.3">
      <c r="A1802" t="s">
        <v>2645</v>
      </c>
      <c r="B1802" s="4">
        <v>45697</v>
      </c>
      <c r="C1802" s="4" t="str">
        <f>TEXT(ESales_DB[[#This Row],[Order_Date]],"mmm")</f>
        <v>Feb</v>
      </c>
      <c r="D1802" t="s">
        <v>996</v>
      </c>
      <c r="E1802" t="s">
        <v>1696</v>
      </c>
      <c r="F1802" t="s">
        <v>1752</v>
      </c>
      <c r="G1802">
        <v>1</v>
      </c>
      <c r="H1802" s="10">
        <f>IF(ISBLANK(ESales_DB[[#This Row],[Quantity]]),AVERAGEIF(ESales_DB[Product_ID],ESales_DB[[#This Row],[Product_ID]],ESales_DB[Quantity]),ESales_DB[[#This Row],[Quantity]])</f>
        <v>1</v>
      </c>
      <c r="I1802" s="2">
        <v>719.94</v>
      </c>
      <c r="J1802">
        <v>0.23</v>
      </c>
      <c r="K1802" t="s">
        <v>1829</v>
      </c>
      <c r="L1802" s="2">
        <v>554.35380000000009</v>
      </c>
      <c r="M1802" s="2" t="str">
        <f>IF(ESales_DB[[#This Row],[Total_Amount]]&gt;1000,"High","Low")</f>
        <v>Low</v>
      </c>
      <c r="N1802" s="2" t="str">
        <f>VLOOKUP(ESales_DB[[#This Row],[Customer_ID]],Ecustom_DB[],3,FALSE)</f>
        <v>Robert House</v>
      </c>
      <c r="O1802" s="2" t="str">
        <f>_xlfn.XLOOKUP(ESales_DB[[#This Row],[Product_ID]],Eproduct_DB[Product_ID],Eproduct_DB[Category])</f>
        <v>Electronics</v>
      </c>
      <c r="P1802" s="2" t="str">
        <f>_xlfn.XLOOKUP(ESales_DB[[#This Row],[Product_ID]],Eproduct_DB[Product_ID],Eproduct_DB[Product_Name])</f>
        <v>Bluetooth Car Audio System</v>
      </c>
      <c r="Q1802" s="2" t="str">
        <f>_xlfn.XLOOKUP(ESales_DB[[#This Row],[Store_ID]],Estore_DB[Store_ID],Estore_DB[Region])</f>
        <v>East</v>
      </c>
      <c r="R1802" t="str">
        <f>VLOOKUP(ESales_DB[[#This Row],[Customer_ID]],Ecustom_DB[],10,FALSE)</f>
        <v>Gold</v>
      </c>
      <c r="S1802" t="str">
        <f>IF(ESales_DB[[#This Row],[Quantity1]]&gt;3,"Bulk order","Normal order")</f>
        <v>Normal order</v>
      </c>
    </row>
    <row r="1803" spans="1:19" x14ac:dyDescent="0.3">
      <c r="A1803" t="s">
        <v>1908</v>
      </c>
      <c r="B1803" s="4">
        <v>45518</v>
      </c>
      <c r="C1803" s="4" t="str">
        <f>TEXT(ESales_DB[[#This Row],[Order_Date]],"mmm")</f>
        <v>Aug</v>
      </c>
      <c r="D1803" t="s">
        <v>1181</v>
      </c>
      <c r="E1803" t="s">
        <v>1730</v>
      </c>
      <c r="F1803" t="s">
        <v>1807</v>
      </c>
      <c r="G1803">
        <v>2</v>
      </c>
      <c r="H1803" s="10">
        <f>IF(ISBLANK(ESales_DB[[#This Row],[Quantity]]),AVERAGEIF(ESales_DB[Product_ID],ESales_DB[[#This Row],[Product_ID]],ESales_DB[Quantity]),ESales_DB[[#This Row],[Quantity]])</f>
        <v>2</v>
      </c>
      <c r="I1803" s="2">
        <v>601.33000000000004</v>
      </c>
      <c r="J1803">
        <v>0.16</v>
      </c>
      <c r="K1803" t="s">
        <v>1826</v>
      </c>
      <c r="L1803" s="2">
        <v>1010.2344000000001</v>
      </c>
      <c r="M1803" s="2" t="str">
        <f>IF(ESales_DB[[#This Row],[Total_Amount]]&gt;1000,"High","Low")</f>
        <v>High</v>
      </c>
      <c r="N1803" s="2" t="str">
        <f>VLOOKUP(ESales_DB[[#This Row],[Customer_ID]],Ecustom_DB[],3,FALSE)</f>
        <v>Frank Stewart</v>
      </c>
      <c r="O1803" s="2" t="str">
        <f>_xlfn.XLOOKUP(ESales_DB[[#This Row],[Product_ID]],Eproduct_DB[Product_ID],Eproduct_DB[Category])</f>
        <v>Clothing</v>
      </c>
      <c r="P1803" s="2" t="str">
        <f>_xlfn.XLOOKUP(ESales_DB[[#This Row],[Product_ID]],Eproduct_DB[Product_ID],Eproduct_DB[Product_Name])</f>
        <v>Women's High Heels</v>
      </c>
      <c r="Q1803" s="2" t="str">
        <f>_xlfn.XLOOKUP(ESales_DB[[#This Row],[Store_ID]],Estore_DB[Store_ID],Estore_DB[Region])</f>
        <v>North</v>
      </c>
      <c r="R1803" t="str">
        <f>VLOOKUP(ESales_DB[[#This Row],[Customer_ID]],Ecustom_DB[],10,FALSE)</f>
        <v>Bronze</v>
      </c>
      <c r="S1803" t="str">
        <f>IF(ESales_DB[[#This Row],[Quantity1]]&gt;3,"Bulk order","Normal order")</f>
        <v>Normal order</v>
      </c>
    </row>
    <row r="1804" spans="1:19" x14ac:dyDescent="0.3">
      <c r="A1804" t="s">
        <v>2646</v>
      </c>
      <c r="B1804" s="4">
        <v>45607</v>
      </c>
      <c r="C1804" s="4" t="str">
        <f>TEXT(ESales_DB[[#This Row],[Order_Date]],"mmm")</f>
        <v>Nov</v>
      </c>
      <c r="D1804" t="s">
        <v>36</v>
      </c>
      <c r="E1804" t="s">
        <v>1604</v>
      </c>
      <c r="F1804" t="s">
        <v>1769</v>
      </c>
      <c r="G1804">
        <v>2</v>
      </c>
      <c r="H1804" s="10">
        <f>IF(ISBLANK(ESales_DB[[#This Row],[Quantity]]),AVERAGEIF(ESales_DB[Product_ID],ESales_DB[[#This Row],[Product_ID]],ESales_DB[Quantity]),ESales_DB[[#This Row],[Quantity]])</f>
        <v>2</v>
      </c>
      <c r="I1804" s="2">
        <v>278.16000000000003</v>
      </c>
      <c r="J1804">
        <v>0.22</v>
      </c>
      <c r="K1804" t="s">
        <v>1826</v>
      </c>
      <c r="L1804" s="2">
        <v>433.92960000000011</v>
      </c>
      <c r="M1804" s="2" t="str">
        <f>IF(ESales_DB[[#This Row],[Total_Amount]]&gt;1000,"High","Low")</f>
        <v>Low</v>
      </c>
      <c r="N1804" s="2" t="str">
        <f>VLOOKUP(ESales_DB[[#This Row],[Customer_ID]],Ecustom_DB[],3,FALSE)</f>
        <v>Amber Jackson</v>
      </c>
      <c r="O1804" s="2" t="str">
        <f>_xlfn.XLOOKUP(ESales_DB[[#This Row],[Product_ID]],Eproduct_DB[Product_ID],Eproduct_DB[Category])</f>
        <v>Sports</v>
      </c>
      <c r="P1804" s="2" t="str">
        <f>_xlfn.XLOOKUP(ESales_DB[[#This Row],[Product_ID]],Eproduct_DB[Product_ID],Eproduct_DB[Product_Name])</f>
        <v>Sports Stopwatch Timer</v>
      </c>
      <c r="Q1804" s="2" t="str">
        <f>_xlfn.XLOOKUP(ESales_DB[[#This Row],[Store_ID]],Estore_DB[Store_ID],Estore_DB[Region])</f>
        <v>South</v>
      </c>
      <c r="R1804" t="str">
        <f>VLOOKUP(ESales_DB[[#This Row],[Customer_ID]],Ecustom_DB[],10,FALSE)</f>
        <v>Platinum</v>
      </c>
      <c r="S1804" t="str">
        <f>IF(ESales_DB[[#This Row],[Quantity1]]&gt;3,"Bulk order","Normal order")</f>
        <v>Normal order</v>
      </c>
    </row>
    <row r="1805" spans="1:19" x14ac:dyDescent="0.3">
      <c r="A1805" t="s">
        <v>2647</v>
      </c>
      <c r="B1805" s="4">
        <v>45307</v>
      </c>
      <c r="C1805" s="4" t="str">
        <f>TEXT(ESales_DB[[#This Row],[Order_Date]],"mmm")</f>
        <v>Jan</v>
      </c>
      <c r="D1805" t="s">
        <v>202</v>
      </c>
      <c r="E1805" t="s">
        <v>1646</v>
      </c>
      <c r="F1805" t="s">
        <v>1773</v>
      </c>
      <c r="G1805">
        <v>1</v>
      </c>
      <c r="H1805" s="10">
        <f>IF(ISBLANK(ESales_DB[[#This Row],[Quantity]]),AVERAGEIF(ESales_DB[Product_ID],ESales_DB[[#This Row],[Product_ID]],ESales_DB[Quantity]),ESales_DB[[#This Row],[Quantity]])</f>
        <v>1</v>
      </c>
      <c r="I1805" s="2">
        <v>678.9</v>
      </c>
      <c r="J1805">
        <v>0.17</v>
      </c>
      <c r="K1805" t="s">
        <v>1824</v>
      </c>
      <c r="L1805" s="2">
        <v>563.48699999999997</v>
      </c>
      <c r="M1805" s="2" t="str">
        <f>IF(ESales_DB[[#This Row],[Total_Amount]]&gt;1000,"High","Low")</f>
        <v>Low</v>
      </c>
      <c r="N1805" s="2" t="str">
        <f>VLOOKUP(ESales_DB[[#This Row],[Customer_ID]],Ecustom_DB[],3,FALSE)</f>
        <v>Sharon Brown</v>
      </c>
      <c r="O1805" s="2" t="str">
        <f>_xlfn.XLOOKUP(ESales_DB[[#This Row],[Product_ID]],Eproduct_DB[Product_ID],Eproduct_DB[Category])</f>
        <v>Beauty</v>
      </c>
      <c r="P1805" s="2" t="str">
        <f>_xlfn.XLOOKUP(ESales_DB[[#This Row],[Product_ID]],Eproduct_DB[Product_ID],Eproduct_DB[Product_Name])</f>
        <v>Men's Roll-On Perfume</v>
      </c>
      <c r="Q1805" s="2" t="str">
        <f>_xlfn.XLOOKUP(ESales_DB[[#This Row],[Store_ID]],Estore_DB[Store_ID],Estore_DB[Region])</f>
        <v>North</v>
      </c>
      <c r="R1805" t="str">
        <f>VLOOKUP(ESales_DB[[#This Row],[Customer_ID]],Ecustom_DB[],10,FALSE)</f>
        <v>Gold</v>
      </c>
      <c r="S1805" t="str">
        <f>IF(ESales_DB[[#This Row],[Quantity1]]&gt;3,"Bulk order","Normal order")</f>
        <v>Normal order</v>
      </c>
    </row>
    <row r="1806" spans="1:19" x14ac:dyDescent="0.3">
      <c r="A1806" t="s">
        <v>2648</v>
      </c>
      <c r="B1806" s="4">
        <v>45520</v>
      </c>
      <c r="C1806" s="4" t="str">
        <f>TEXT(ESales_DB[[#This Row],[Order_Date]],"mmm")</f>
        <v>Aug</v>
      </c>
      <c r="D1806" t="s">
        <v>71</v>
      </c>
      <c r="E1806" t="s">
        <v>1598</v>
      </c>
      <c r="F1806" t="s">
        <v>1801</v>
      </c>
      <c r="G1806">
        <v>4</v>
      </c>
      <c r="H1806" s="10">
        <f>IF(ISBLANK(ESales_DB[[#This Row],[Quantity]]),AVERAGEIF(ESales_DB[Product_ID],ESales_DB[[#This Row],[Product_ID]],ESales_DB[Quantity]),ESales_DB[[#This Row],[Quantity]])</f>
        <v>4</v>
      </c>
      <c r="I1806" s="2">
        <v>94.13</v>
      </c>
      <c r="J1806">
        <v>0.15</v>
      </c>
      <c r="K1806" t="s">
        <v>1824</v>
      </c>
      <c r="L1806" s="2">
        <v>320.04199999999997</v>
      </c>
      <c r="M1806" s="2" t="str">
        <f>IF(ESales_DB[[#This Row],[Total_Amount]]&gt;1000,"High","Low")</f>
        <v>Low</v>
      </c>
      <c r="N1806" s="2" t="str">
        <f>VLOOKUP(ESales_DB[[#This Row],[Customer_ID]],Ecustom_DB[],3,FALSE)</f>
        <v>Laura Alvarez</v>
      </c>
      <c r="O1806" s="2" t="str">
        <f>_xlfn.XLOOKUP(ESales_DB[[#This Row],[Product_ID]],Eproduct_DB[Product_ID],Eproduct_DB[Category])</f>
        <v>Clothing</v>
      </c>
      <c r="P1806" s="2" t="str">
        <f>_xlfn.XLOOKUP(ESales_DB[[#This Row],[Product_ID]],Eproduct_DB[Product_ID],Eproduct_DB[Product_Name])</f>
        <v>Women's Scarf Set</v>
      </c>
      <c r="Q1806" s="2" t="str">
        <f>_xlfn.XLOOKUP(ESales_DB[[#This Row],[Store_ID]],Estore_DB[Store_ID],Estore_DB[Region])</f>
        <v>North</v>
      </c>
      <c r="R1806" t="str">
        <f>VLOOKUP(ESales_DB[[#This Row],[Customer_ID]],Ecustom_DB[],10,FALSE)</f>
        <v>Platinum</v>
      </c>
      <c r="S1806" t="str">
        <f>IF(ESales_DB[[#This Row],[Quantity1]]&gt;3,"Bulk order","Normal order")</f>
        <v>Bulk order</v>
      </c>
    </row>
    <row r="1807" spans="1:19" x14ac:dyDescent="0.3">
      <c r="A1807" t="s">
        <v>2649</v>
      </c>
      <c r="B1807" s="4">
        <v>45933</v>
      </c>
      <c r="C1807" s="4" t="str">
        <f>TEXT(ESales_DB[[#This Row],[Order_Date]],"mmm")</f>
        <v>Oct</v>
      </c>
      <c r="D1807" t="s">
        <v>1365</v>
      </c>
      <c r="E1807" t="s">
        <v>1636</v>
      </c>
      <c r="F1807" t="s">
        <v>1757</v>
      </c>
      <c r="G1807">
        <v>4</v>
      </c>
      <c r="H1807" s="10">
        <f>IF(ISBLANK(ESales_DB[[#This Row],[Quantity]]),AVERAGEIF(ESales_DB[Product_ID],ESales_DB[[#This Row],[Product_ID]],ESales_DB[Quantity]),ESales_DB[[#This Row],[Quantity]])</f>
        <v>4</v>
      </c>
      <c r="I1807" s="2">
        <v>415.02</v>
      </c>
      <c r="J1807">
        <v>0.01</v>
      </c>
      <c r="K1807" t="s">
        <v>1826</v>
      </c>
      <c r="L1807" s="2">
        <v>1643.4792</v>
      </c>
      <c r="M1807" s="2" t="str">
        <f>IF(ESales_DB[[#This Row],[Total_Amount]]&gt;1000,"High","Low")</f>
        <v>High</v>
      </c>
      <c r="N1807" s="2" t="str">
        <f>VLOOKUP(ESales_DB[[#This Row],[Customer_ID]],Ecustom_DB[],3,FALSE)</f>
        <v>Dalton Walters</v>
      </c>
      <c r="O1807" s="2" t="str">
        <f>_xlfn.XLOOKUP(ESales_DB[[#This Row],[Product_ID]],Eproduct_DB[Product_ID],Eproduct_DB[Category])</f>
        <v>Sports</v>
      </c>
      <c r="P1807" s="2" t="str">
        <f>_xlfn.XLOOKUP(ESales_DB[[#This Row],[Product_ID]],Eproduct_DB[Product_ID],Eproduct_DB[Product_Name])</f>
        <v>Adjustable Jump Rope</v>
      </c>
      <c r="Q1807" s="2" t="str">
        <f>_xlfn.XLOOKUP(ESales_DB[[#This Row],[Store_ID]],Estore_DB[Store_ID],Estore_DB[Region])</f>
        <v>North</v>
      </c>
      <c r="R1807" t="str">
        <f>VLOOKUP(ESales_DB[[#This Row],[Customer_ID]],Ecustom_DB[],10,FALSE)</f>
        <v>Silver</v>
      </c>
      <c r="S1807" t="str">
        <f>IF(ESales_DB[[#This Row],[Quantity1]]&gt;3,"Bulk order","Normal order")</f>
        <v>Bulk order</v>
      </c>
    </row>
    <row r="1808" spans="1:19" x14ac:dyDescent="0.3">
      <c r="A1808" t="s">
        <v>2650</v>
      </c>
      <c r="B1808" s="4">
        <v>45841</v>
      </c>
      <c r="C1808" s="4" t="str">
        <f>TEXT(ESales_DB[[#This Row],[Order_Date]],"mmm")</f>
        <v>Jul</v>
      </c>
      <c r="D1808" t="s">
        <v>195</v>
      </c>
      <c r="E1808" t="s">
        <v>1570</v>
      </c>
      <c r="F1808" t="s">
        <v>1769</v>
      </c>
      <c r="G1808">
        <v>4</v>
      </c>
      <c r="H1808" s="10">
        <f>IF(ISBLANK(ESales_DB[[#This Row],[Quantity]]),AVERAGEIF(ESales_DB[Product_ID],ESales_DB[[#This Row],[Product_ID]],ESales_DB[Quantity]),ESales_DB[[#This Row],[Quantity]])</f>
        <v>4</v>
      </c>
      <c r="I1808" s="2">
        <v>780.07</v>
      </c>
      <c r="J1808">
        <v>0.03</v>
      </c>
      <c r="K1808" t="s">
        <v>1824</v>
      </c>
      <c r="L1808" s="2">
        <v>3026.6716000000001</v>
      </c>
      <c r="M1808" s="2" t="str">
        <f>IF(ESales_DB[[#This Row],[Total_Amount]]&gt;1000,"High","Low")</f>
        <v>High</v>
      </c>
      <c r="N1808" s="2" t="str">
        <f>VLOOKUP(ESales_DB[[#This Row],[Customer_ID]],Ecustom_DB[],3,FALSE)</f>
        <v>Sarah Rodgers</v>
      </c>
      <c r="O1808" s="2" t="str">
        <f>_xlfn.XLOOKUP(ESales_DB[[#This Row],[Product_ID]],Eproduct_DB[Product_ID],Eproduct_DB[Category])</f>
        <v>Electronics</v>
      </c>
      <c r="P1808" s="2" t="str">
        <f>_xlfn.XLOOKUP(ESales_DB[[#This Row],[Product_ID]],Eproduct_DB[Product_ID],Eproduct_DB[Product_Name])</f>
        <v>HD Smart TV Stick</v>
      </c>
      <c r="Q1808" s="2" t="str">
        <f>_xlfn.XLOOKUP(ESales_DB[[#This Row],[Store_ID]],Estore_DB[Store_ID],Estore_DB[Region])</f>
        <v>South</v>
      </c>
      <c r="R1808" t="str">
        <f>VLOOKUP(ESales_DB[[#This Row],[Customer_ID]],Ecustom_DB[],10,FALSE)</f>
        <v>Gold</v>
      </c>
      <c r="S1808" t="str">
        <f>IF(ESales_DB[[#This Row],[Quantity1]]&gt;3,"Bulk order","Normal order")</f>
        <v>Bulk order</v>
      </c>
    </row>
    <row r="1809" spans="1:19" x14ac:dyDescent="0.3">
      <c r="A1809" t="s">
        <v>2651</v>
      </c>
      <c r="B1809" s="4">
        <v>45877</v>
      </c>
      <c r="C1809" s="4" t="str">
        <f>TEXT(ESales_DB[[#This Row],[Order_Date]],"mmm")</f>
        <v>Aug</v>
      </c>
      <c r="D1809" t="s">
        <v>1328</v>
      </c>
      <c r="E1809" t="s">
        <v>1622</v>
      </c>
      <c r="F1809" t="s">
        <v>1801</v>
      </c>
      <c r="G1809">
        <v>4</v>
      </c>
      <c r="H1809" s="10">
        <f>IF(ISBLANK(ESales_DB[[#This Row],[Quantity]]),AVERAGEIF(ESales_DB[Product_ID],ESales_DB[[#This Row],[Product_ID]],ESales_DB[Quantity]),ESales_DB[[#This Row],[Quantity]])</f>
        <v>4</v>
      </c>
      <c r="I1809" s="2">
        <v>184.57</v>
      </c>
      <c r="J1809">
        <v>0.28000000000000003</v>
      </c>
      <c r="K1809" t="s">
        <v>1824</v>
      </c>
      <c r="L1809" s="2">
        <v>531.5616</v>
      </c>
      <c r="M1809" s="2" t="str">
        <f>IF(ESales_DB[[#This Row],[Total_Amount]]&gt;1000,"High","Low")</f>
        <v>Low</v>
      </c>
      <c r="N1809" s="2" t="str">
        <f>VLOOKUP(ESales_DB[[#This Row],[Customer_ID]],Ecustom_DB[],3,FALSE)</f>
        <v>Samuel Mullins</v>
      </c>
      <c r="O1809" s="2" t="str">
        <f>_xlfn.XLOOKUP(ESales_DB[[#This Row],[Product_ID]],Eproduct_DB[Product_ID],Eproduct_DB[Category])</f>
        <v>Clothing</v>
      </c>
      <c r="P1809" s="2" t="str">
        <f>_xlfn.XLOOKUP(ESales_DB[[#This Row],[Product_ID]],Eproduct_DB[Product_ID],Eproduct_DB[Product_Name])</f>
        <v>Men's Casual Sneakers</v>
      </c>
      <c r="Q1809" s="2" t="str">
        <f>_xlfn.XLOOKUP(ESales_DB[[#This Row],[Store_ID]],Estore_DB[Store_ID],Estore_DB[Region])</f>
        <v>North</v>
      </c>
      <c r="R1809" t="str">
        <f>VLOOKUP(ESales_DB[[#This Row],[Customer_ID]],Ecustom_DB[],10,FALSE)</f>
        <v>Bronze</v>
      </c>
      <c r="S1809" t="str">
        <f>IF(ESales_DB[[#This Row],[Quantity1]]&gt;3,"Bulk order","Normal order")</f>
        <v>Bulk order</v>
      </c>
    </row>
    <row r="1810" spans="1:19" x14ac:dyDescent="0.3">
      <c r="A1810" t="s">
        <v>2652</v>
      </c>
      <c r="B1810" s="4">
        <v>45532</v>
      </c>
      <c r="C1810" s="4" t="str">
        <f>TEXT(ESales_DB[[#This Row],[Order_Date]],"mmm")</f>
        <v>Aug</v>
      </c>
      <c r="D1810" t="s">
        <v>911</v>
      </c>
      <c r="E1810" t="s">
        <v>1678</v>
      </c>
      <c r="F1810" t="s">
        <v>1769</v>
      </c>
      <c r="G1810">
        <v>4</v>
      </c>
      <c r="H1810" s="10">
        <f>IF(ISBLANK(ESales_DB[[#This Row],[Quantity]]),AVERAGEIF(ESales_DB[Product_ID],ESales_DB[[#This Row],[Product_ID]],ESales_DB[Quantity]),ESales_DB[[#This Row],[Quantity]])</f>
        <v>4</v>
      </c>
      <c r="I1810" s="2">
        <v>277.58</v>
      </c>
      <c r="J1810">
        <v>0.22</v>
      </c>
      <c r="K1810" t="s">
        <v>1826</v>
      </c>
      <c r="L1810" s="2">
        <v>866.04959999999994</v>
      </c>
      <c r="M1810" s="2" t="str">
        <f>IF(ESales_DB[[#This Row],[Total_Amount]]&gt;1000,"High","Low")</f>
        <v>Low</v>
      </c>
      <c r="N1810" s="2" t="str">
        <f>VLOOKUP(ESales_DB[[#This Row],[Customer_ID]],Ecustom_DB[],3,FALSE)</f>
        <v>Cynthia Roberts</v>
      </c>
      <c r="O1810" s="2" t="str">
        <f>_xlfn.XLOOKUP(ESales_DB[[#This Row],[Product_ID]],Eproduct_DB[Product_ID],Eproduct_DB[Category])</f>
        <v>Sports</v>
      </c>
      <c r="P1810" s="2" t="str">
        <f>_xlfn.XLOOKUP(ESales_DB[[#This Row],[Product_ID]],Eproduct_DB[Product_ID],Eproduct_DB[Product_Name])</f>
        <v>Adjustable Dumbbells 20kg</v>
      </c>
      <c r="Q1810" s="2" t="str">
        <f>_xlfn.XLOOKUP(ESales_DB[[#This Row],[Store_ID]],Estore_DB[Store_ID],Estore_DB[Region])</f>
        <v>South</v>
      </c>
      <c r="R1810" t="str">
        <f>VLOOKUP(ESales_DB[[#This Row],[Customer_ID]],Ecustom_DB[],10,FALSE)</f>
        <v>Gold</v>
      </c>
      <c r="S1810" t="str">
        <f>IF(ESales_DB[[#This Row],[Quantity1]]&gt;3,"Bulk order","Normal order")</f>
        <v>Bulk order</v>
      </c>
    </row>
    <row r="1811" spans="1:19" x14ac:dyDescent="0.3">
      <c r="A1811" t="s">
        <v>2653</v>
      </c>
      <c r="B1811" s="4">
        <v>45734</v>
      </c>
      <c r="C1811" s="4" t="str">
        <f>TEXT(ESales_DB[[#This Row],[Order_Date]],"mmm")</f>
        <v>Mar</v>
      </c>
      <c r="D1811" t="s">
        <v>369</v>
      </c>
      <c r="E1811" t="s">
        <v>1610</v>
      </c>
      <c r="F1811" t="s">
        <v>1766</v>
      </c>
      <c r="G1811">
        <v>1</v>
      </c>
      <c r="H1811" s="10">
        <f>IF(ISBLANK(ESales_DB[[#This Row],[Quantity]]),AVERAGEIF(ESales_DB[Product_ID],ESales_DB[[#This Row],[Product_ID]],ESales_DB[Quantity]),ESales_DB[[#This Row],[Quantity]])</f>
        <v>1</v>
      </c>
      <c r="I1811" s="2">
        <v>36.799999999999997</v>
      </c>
      <c r="J1811">
        <v>0.18</v>
      </c>
      <c r="K1811" t="s">
        <v>1824</v>
      </c>
      <c r="L1811" s="2">
        <v>30.175999999999998</v>
      </c>
      <c r="M1811" s="2" t="str">
        <f>IF(ESales_DB[[#This Row],[Total_Amount]]&gt;1000,"High","Low")</f>
        <v>Low</v>
      </c>
      <c r="N1811" s="2" t="str">
        <f>VLOOKUP(ESales_DB[[#This Row],[Customer_ID]],Ecustom_DB[],3,FALSE)</f>
        <v>Christopher Lester</v>
      </c>
      <c r="O1811" s="2" t="str">
        <f>_xlfn.XLOOKUP(ESales_DB[[#This Row],[Product_ID]],Eproduct_DB[Product_ID],Eproduct_DB[Category])</f>
        <v>Sports</v>
      </c>
      <c r="P1811" s="2" t="str">
        <f>_xlfn.XLOOKUP(ESales_DB[[#This Row],[Product_ID]],Eproduct_DB[Product_ID],Eproduct_DB[Product_Name])</f>
        <v>Basketball</v>
      </c>
      <c r="Q1811" s="2" t="str">
        <f>_xlfn.XLOOKUP(ESales_DB[[#This Row],[Store_ID]],Estore_DB[Store_ID],Estore_DB[Region])</f>
        <v>North</v>
      </c>
      <c r="R1811" t="str">
        <f>VLOOKUP(ESales_DB[[#This Row],[Customer_ID]],Ecustom_DB[],10,FALSE)</f>
        <v>Silver</v>
      </c>
      <c r="S1811" t="str">
        <f>IF(ESales_DB[[#This Row],[Quantity1]]&gt;3,"Bulk order","Normal order")</f>
        <v>Normal order</v>
      </c>
    </row>
    <row r="1812" spans="1:19" x14ac:dyDescent="0.3">
      <c r="A1812" t="s">
        <v>2654</v>
      </c>
      <c r="B1812" s="4">
        <v>45809</v>
      </c>
      <c r="C1812" s="4" t="str">
        <f>TEXT(ESales_DB[[#This Row],[Order_Date]],"mmm")</f>
        <v>Jun</v>
      </c>
      <c r="D1812" t="s">
        <v>1115</v>
      </c>
      <c r="E1812" t="s">
        <v>1724</v>
      </c>
      <c r="F1812" t="s">
        <v>1776</v>
      </c>
      <c r="G1812">
        <v>1</v>
      </c>
      <c r="H1812" s="10">
        <f>IF(ISBLANK(ESales_DB[[#This Row],[Quantity]]),AVERAGEIF(ESales_DB[Product_ID],ESales_DB[[#This Row],[Product_ID]],ESales_DB[Quantity]),ESales_DB[[#This Row],[Quantity]])</f>
        <v>1</v>
      </c>
      <c r="I1812" s="2">
        <v>539.37</v>
      </c>
      <c r="J1812">
        <v>0.14000000000000001</v>
      </c>
      <c r="K1812" t="s">
        <v>1824</v>
      </c>
      <c r="L1812" s="2">
        <v>463.85820000000001</v>
      </c>
      <c r="M1812" s="2" t="str">
        <f>IF(ESales_DB[[#This Row],[Total_Amount]]&gt;1000,"High","Low")</f>
        <v>Low</v>
      </c>
      <c r="N1812" s="2" t="str">
        <f>VLOOKUP(ESales_DB[[#This Row],[Customer_ID]],Ecustom_DB[],3,FALSE)</f>
        <v>Steve Hunt</v>
      </c>
      <c r="O1812" s="2" t="str">
        <f>_xlfn.XLOOKUP(ESales_DB[[#This Row],[Product_ID]],Eproduct_DB[Product_ID],Eproduct_DB[Category])</f>
        <v>Sports</v>
      </c>
      <c r="P1812" s="2" t="str">
        <f>_xlfn.XLOOKUP(ESales_DB[[#This Row],[Product_ID]],Eproduct_DB[Product_ID],Eproduct_DB[Product_Name])</f>
        <v>Sports Wrist Sweatbands</v>
      </c>
      <c r="Q1812" s="2" t="str">
        <f>_xlfn.XLOOKUP(ESales_DB[[#This Row],[Store_ID]],Estore_DB[Store_ID],Estore_DB[Region])</f>
        <v>East</v>
      </c>
      <c r="R1812" t="str">
        <f>VLOOKUP(ESales_DB[[#This Row],[Customer_ID]],Ecustom_DB[],10,FALSE)</f>
        <v>Bronze</v>
      </c>
      <c r="S1812" t="str">
        <f>IF(ESales_DB[[#This Row],[Quantity1]]&gt;3,"Bulk order","Normal order")</f>
        <v>Normal order</v>
      </c>
    </row>
    <row r="1813" spans="1:19" x14ac:dyDescent="0.3">
      <c r="A1813" t="s">
        <v>2655</v>
      </c>
      <c r="B1813" s="4">
        <v>45760</v>
      </c>
      <c r="C1813" s="4" t="str">
        <f>TEXT(ESales_DB[[#This Row],[Order_Date]],"mmm")</f>
        <v>Apr</v>
      </c>
      <c r="D1813" t="s">
        <v>321</v>
      </c>
      <c r="E1813" t="s">
        <v>1588</v>
      </c>
      <c r="F1813" t="s">
        <v>1810</v>
      </c>
      <c r="G1813">
        <v>1</v>
      </c>
      <c r="H1813" s="10">
        <f>IF(ISBLANK(ESales_DB[[#This Row],[Quantity]]),AVERAGEIF(ESales_DB[Product_ID],ESales_DB[[#This Row],[Product_ID]],ESales_DB[Quantity]),ESales_DB[[#This Row],[Quantity]])</f>
        <v>1</v>
      </c>
      <c r="I1813" s="2">
        <v>27.83</v>
      </c>
      <c r="J1813">
        <v>0.3</v>
      </c>
      <c r="K1813" t="s">
        <v>1826</v>
      </c>
      <c r="L1813" s="2">
        <v>19.481000000000002</v>
      </c>
      <c r="M1813" s="2" t="str">
        <f>IF(ESales_DB[[#This Row],[Total_Amount]]&gt;1000,"High","Low")</f>
        <v>Low</v>
      </c>
      <c r="N1813" s="2" t="str">
        <f>VLOOKUP(ESales_DB[[#This Row],[Customer_ID]],Ecustom_DB[],3,FALSE)</f>
        <v>Jamie Yoder</v>
      </c>
      <c r="O1813" s="2" t="str">
        <f>_xlfn.XLOOKUP(ESales_DB[[#This Row],[Product_ID]],Eproduct_DB[Product_ID],Eproduct_DB[Category])</f>
        <v>Sports</v>
      </c>
      <c r="P1813" s="2" t="str">
        <f>_xlfn.XLOOKUP(ESales_DB[[#This Row],[Product_ID]],Eproduct_DB[Product_ID],Eproduct_DB[Product_Name])</f>
        <v>Outdoor Sports Water Bottle</v>
      </c>
      <c r="Q1813" s="2" t="str">
        <f>_xlfn.XLOOKUP(ESales_DB[[#This Row],[Store_ID]],Estore_DB[Store_ID],Estore_DB[Region])</f>
        <v>East</v>
      </c>
      <c r="R1813" t="str">
        <f>VLOOKUP(ESales_DB[[#This Row],[Customer_ID]],Ecustom_DB[],10,FALSE)</f>
        <v>Platinum</v>
      </c>
      <c r="S1813" t="str">
        <f>IF(ESales_DB[[#This Row],[Quantity1]]&gt;3,"Bulk order","Normal order")</f>
        <v>Normal order</v>
      </c>
    </row>
    <row r="1814" spans="1:19" x14ac:dyDescent="0.3">
      <c r="A1814" t="s">
        <v>1909</v>
      </c>
      <c r="B1814" s="4">
        <v>45427</v>
      </c>
      <c r="C1814" s="4" t="str">
        <f>TEXT(ESales_DB[[#This Row],[Order_Date]],"mmm")</f>
        <v>May</v>
      </c>
      <c r="D1814" t="s">
        <v>1254</v>
      </c>
      <c r="E1814" t="s">
        <v>1582</v>
      </c>
      <c r="F1814" t="s">
        <v>1810</v>
      </c>
      <c r="G1814">
        <v>4</v>
      </c>
      <c r="H1814" s="10">
        <f>IF(ISBLANK(ESales_DB[[#This Row],[Quantity]]),AVERAGEIF(ESales_DB[Product_ID],ESales_DB[[#This Row],[Product_ID]],ESales_DB[Quantity]),ESales_DB[[#This Row],[Quantity]])</f>
        <v>4</v>
      </c>
      <c r="I1814" s="2">
        <v>34.39</v>
      </c>
      <c r="J1814">
        <v>0.03</v>
      </c>
      <c r="K1814" t="s">
        <v>1826</v>
      </c>
      <c r="L1814" s="2">
        <v>133.4332</v>
      </c>
      <c r="M1814" s="2" t="str">
        <f>IF(ESales_DB[[#This Row],[Total_Amount]]&gt;1000,"High","Low")</f>
        <v>Low</v>
      </c>
      <c r="N1814" s="2" t="str">
        <f>VLOOKUP(ESales_DB[[#This Row],[Customer_ID]],Ecustom_DB[],3,FALSE)</f>
        <v>Justin Ingram</v>
      </c>
      <c r="O1814" s="2" t="str">
        <f>_xlfn.XLOOKUP(ESales_DB[[#This Row],[Product_ID]],Eproduct_DB[Product_ID],Eproduct_DB[Category])</f>
        <v>Sports</v>
      </c>
      <c r="P1814" s="2" t="str">
        <f>_xlfn.XLOOKUP(ESales_DB[[#This Row],[Product_ID]],Eproduct_DB[Product_ID],Eproduct_DB[Product_Name])</f>
        <v>Soccer Training Cone Set</v>
      </c>
      <c r="Q1814" s="2" t="str">
        <f>_xlfn.XLOOKUP(ESales_DB[[#This Row],[Store_ID]],Estore_DB[Store_ID],Estore_DB[Region])</f>
        <v>East</v>
      </c>
      <c r="R1814" t="str">
        <f>VLOOKUP(ESales_DB[[#This Row],[Customer_ID]],Ecustom_DB[],10,FALSE)</f>
        <v>Bronze</v>
      </c>
      <c r="S1814" t="str">
        <f>IF(ESales_DB[[#This Row],[Quantity1]]&gt;3,"Bulk order","Normal order")</f>
        <v>Bulk order</v>
      </c>
    </row>
    <row r="1815" spans="1:19" x14ac:dyDescent="0.3">
      <c r="A1815" t="s">
        <v>2656</v>
      </c>
      <c r="B1815" s="4">
        <v>45456</v>
      </c>
      <c r="C1815" s="4" t="str">
        <f>TEXT(ESales_DB[[#This Row],[Order_Date]],"mmm")</f>
        <v>Jun</v>
      </c>
      <c r="D1815" t="s">
        <v>899</v>
      </c>
      <c r="E1815" t="s">
        <v>1688</v>
      </c>
      <c r="F1815" t="s">
        <v>1769</v>
      </c>
      <c r="G1815">
        <v>3</v>
      </c>
      <c r="H1815" s="10">
        <f>IF(ISBLANK(ESales_DB[[#This Row],[Quantity]]),AVERAGEIF(ESales_DB[Product_ID],ESales_DB[[#This Row],[Product_ID]],ESales_DB[Quantity]),ESales_DB[[#This Row],[Quantity]])</f>
        <v>3</v>
      </c>
      <c r="I1815" s="2">
        <v>698.72</v>
      </c>
      <c r="J1815">
        <v>0.28000000000000003</v>
      </c>
      <c r="K1815" t="s">
        <v>1829</v>
      </c>
      <c r="L1815" s="2">
        <v>1509.2352000000001</v>
      </c>
      <c r="M1815" s="2" t="str">
        <f>IF(ESales_DB[[#This Row],[Total_Amount]]&gt;1000,"High","Low")</f>
        <v>High</v>
      </c>
      <c r="N1815" s="2" t="str">
        <f>VLOOKUP(ESales_DB[[#This Row],[Customer_ID]],Ecustom_DB[],3,FALSE)</f>
        <v>Bryan Garcia</v>
      </c>
      <c r="O1815" s="2" t="str">
        <f>_xlfn.XLOOKUP(ESales_DB[[#This Row],[Product_ID]],Eproduct_DB[Product_ID],Eproduct_DB[Category])</f>
        <v>Home</v>
      </c>
      <c r="P1815" s="2" t="str">
        <f>_xlfn.XLOOKUP(ESales_DB[[#This Row],[Product_ID]],Eproduct_DB[Product_ID],Eproduct_DB[Product_Name])</f>
        <v>Kitchen Storage Rack</v>
      </c>
      <c r="Q1815" s="2" t="str">
        <f>_xlfn.XLOOKUP(ESales_DB[[#This Row],[Store_ID]],Estore_DB[Store_ID],Estore_DB[Region])</f>
        <v>South</v>
      </c>
      <c r="R1815" t="str">
        <f>VLOOKUP(ESales_DB[[#This Row],[Customer_ID]],Ecustom_DB[],10,FALSE)</f>
        <v>Silver</v>
      </c>
      <c r="S1815" t="str">
        <f>IF(ESales_DB[[#This Row],[Quantity1]]&gt;3,"Bulk order","Normal order")</f>
        <v>Normal order</v>
      </c>
    </row>
    <row r="1816" spans="1:19" x14ac:dyDescent="0.3">
      <c r="A1816" t="s">
        <v>2657</v>
      </c>
      <c r="B1816" s="4">
        <v>45698</v>
      </c>
      <c r="C1816" s="4" t="str">
        <f>TEXT(ESales_DB[[#This Row],[Order_Date]],"mmm")</f>
        <v>Feb</v>
      </c>
      <c r="D1816" t="s">
        <v>59</v>
      </c>
      <c r="E1816" t="s">
        <v>1700</v>
      </c>
      <c r="F1816" t="s">
        <v>1797</v>
      </c>
      <c r="G1816">
        <v>4</v>
      </c>
      <c r="H1816" s="10">
        <f>IF(ISBLANK(ESales_DB[[#This Row],[Quantity]]),AVERAGEIF(ESales_DB[Product_ID],ESales_DB[[#This Row],[Product_ID]],ESales_DB[Quantity]),ESales_DB[[#This Row],[Quantity]])</f>
        <v>4</v>
      </c>
      <c r="I1816" s="2">
        <v>528.23</v>
      </c>
      <c r="J1816">
        <v>0.15</v>
      </c>
      <c r="K1816" t="s">
        <v>1829</v>
      </c>
      <c r="L1816" s="2">
        <v>1795.982</v>
      </c>
      <c r="M1816" s="2" t="str">
        <f>IF(ESales_DB[[#This Row],[Total_Amount]]&gt;1000,"High","Low")</f>
        <v>High</v>
      </c>
      <c r="N1816" s="2" t="str">
        <f>VLOOKUP(ESales_DB[[#This Row],[Customer_ID]],Ecustom_DB[],3,FALSE)</f>
        <v>Kenneth Lambert</v>
      </c>
      <c r="O1816" s="2" t="str">
        <f>_xlfn.XLOOKUP(ESales_DB[[#This Row],[Product_ID]],Eproduct_DB[Product_ID],Eproduct_DB[Category])</f>
        <v>Electronics</v>
      </c>
      <c r="P1816" s="2" t="str">
        <f>_xlfn.XLOOKUP(ESales_DB[[#This Row],[Product_ID]],Eproduct_DB[Product_ID],Eproduct_DB[Product_Name])</f>
        <v>Wireless Mouse</v>
      </c>
      <c r="Q1816" s="2" t="str">
        <f>_xlfn.XLOOKUP(ESales_DB[[#This Row],[Store_ID]],Estore_DB[Store_ID],Estore_DB[Region])</f>
        <v>East</v>
      </c>
      <c r="R1816" t="str">
        <f>VLOOKUP(ESales_DB[[#This Row],[Customer_ID]],Ecustom_DB[],10,FALSE)</f>
        <v>Platinum</v>
      </c>
      <c r="S1816" t="str">
        <f>IF(ESales_DB[[#This Row],[Quantity1]]&gt;3,"Bulk order","Normal order")</f>
        <v>Bulk order</v>
      </c>
    </row>
    <row r="1817" spans="1:19" x14ac:dyDescent="0.3">
      <c r="A1817" t="s">
        <v>2658</v>
      </c>
      <c r="B1817" s="4">
        <v>45548</v>
      </c>
      <c r="C1817" s="4" t="str">
        <f>TEXT(ESales_DB[[#This Row],[Order_Date]],"mmm")</f>
        <v>Sep</v>
      </c>
      <c r="D1817" t="s">
        <v>1513</v>
      </c>
      <c r="E1817" t="s">
        <v>1640</v>
      </c>
      <c r="F1817" t="s">
        <v>1804</v>
      </c>
      <c r="G1817">
        <v>2</v>
      </c>
      <c r="H1817" s="10">
        <f>IF(ISBLANK(ESales_DB[[#This Row],[Quantity]]),AVERAGEIF(ESales_DB[Product_ID],ESales_DB[[#This Row],[Product_ID]],ESales_DB[Quantity]),ESales_DB[[#This Row],[Quantity]])</f>
        <v>2</v>
      </c>
      <c r="I1817" s="2">
        <v>780.9</v>
      </c>
      <c r="J1817">
        <v>0.24</v>
      </c>
      <c r="K1817" t="s">
        <v>1826</v>
      </c>
      <c r="L1817" s="2">
        <v>1186.9680000000001</v>
      </c>
      <c r="M1817" s="2" t="str">
        <f>IF(ESales_DB[[#This Row],[Total_Amount]]&gt;1000,"High","Low")</f>
        <v>High</v>
      </c>
      <c r="N1817" s="2" t="str">
        <f>VLOOKUP(ESales_DB[[#This Row],[Customer_ID]],Ecustom_DB[],3,FALSE)</f>
        <v>Darrell Miller</v>
      </c>
      <c r="O1817" s="2" t="str">
        <f>_xlfn.XLOOKUP(ESales_DB[[#This Row],[Product_ID]],Eproduct_DB[Product_ID],Eproduct_DB[Category])</f>
        <v>Clothing</v>
      </c>
      <c r="P1817" s="2" t="str">
        <f>_xlfn.XLOOKUP(ESales_DB[[#This Row],[Product_ID]],Eproduct_DB[Product_ID],Eproduct_DB[Product_Name])</f>
        <v>Men's Winter Jacket</v>
      </c>
      <c r="Q1817" s="2" t="str">
        <f>_xlfn.XLOOKUP(ESales_DB[[#This Row],[Store_ID]],Estore_DB[Store_ID],Estore_DB[Region])</f>
        <v>West</v>
      </c>
      <c r="R1817" t="str">
        <f>VLOOKUP(ESales_DB[[#This Row],[Customer_ID]],Ecustom_DB[],10,FALSE)</f>
        <v>Platinum</v>
      </c>
      <c r="S1817" t="str">
        <f>IF(ESales_DB[[#This Row],[Quantity1]]&gt;3,"Bulk order","Normal order")</f>
        <v>Normal order</v>
      </c>
    </row>
    <row r="1818" spans="1:19" x14ac:dyDescent="0.3">
      <c r="A1818" t="s">
        <v>2659</v>
      </c>
      <c r="B1818" s="4">
        <v>45236</v>
      </c>
      <c r="C1818" s="4" t="str">
        <f>TEXT(ESales_DB[[#This Row],[Order_Date]],"mmm")</f>
        <v>Nov</v>
      </c>
      <c r="D1818" t="s">
        <v>595</v>
      </c>
      <c r="E1818" t="s">
        <v>1590</v>
      </c>
      <c r="F1818" t="s">
        <v>1799</v>
      </c>
      <c r="G1818">
        <v>1</v>
      </c>
      <c r="H1818" s="10">
        <f>IF(ISBLANK(ESales_DB[[#This Row],[Quantity]]),AVERAGEIF(ESales_DB[Product_ID],ESales_DB[[#This Row],[Product_ID]],ESales_DB[Quantity]),ESales_DB[[#This Row],[Quantity]])</f>
        <v>1</v>
      </c>
      <c r="I1818" s="2">
        <v>977.97</v>
      </c>
      <c r="J1818">
        <v>0.06</v>
      </c>
      <c r="K1818" t="s">
        <v>1829</v>
      </c>
      <c r="L1818" s="2">
        <v>919.29179999999997</v>
      </c>
      <c r="M1818" s="2" t="str">
        <f>IF(ESales_DB[[#This Row],[Total_Amount]]&gt;1000,"High","Low")</f>
        <v>Low</v>
      </c>
      <c r="N1818" s="2" t="str">
        <f>VLOOKUP(ESales_DB[[#This Row],[Customer_ID]],Ecustom_DB[],3,FALSE)</f>
        <v>Wesley Thompson</v>
      </c>
      <c r="O1818" s="2" t="str">
        <f>_xlfn.XLOOKUP(ESales_DB[[#This Row],[Product_ID]],Eproduct_DB[Product_ID],Eproduct_DB[Category])</f>
        <v>Home</v>
      </c>
      <c r="P1818" s="2" t="str">
        <f>_xlfn.XLOOKUP(ESales_DB[[#This Row],[Product_ID]],Eproduct_DB[Product_ID],Eproduct_DB[Product_Name])</f>
        <v>Multi-Purpose Storage Box</v>
      </c>
      <c r="Q1818" s="2" t="str">
        <f>_xlfn.XLOOKUP(ESales_DB[[#This Row],[Store_ID]],Estore_DB[Store_ID],Estore_DB[Region])</f>
        <v>South</v>
      </c>
      <c r="R1818" t="str">
        <f>VLOOKUP(ESales_DB[[#This Row],[Customer_ID]],Ecustom_DB[],10,FALSE)</f>
        <v>Bronze</v>
      </c>
      <c r="S1818" t="str">
        <f>IF(ESales_DB[[#This Row],[Quantity1]]&gt;3,"Bulk order","Normal order")</f>
        <v>Normal order</v>
      </c>
    </row>
    <row r="1819" spans="1:19" x14ac:dyDescent="0.3">
      <c r="A1819" t="s">
        <v>2660</v>
      </c>
      <c r="B1819" s="4">
        <v>45310</v>
      </c>
      <c r="C1819" s="4" t="str">
        <f>TEXT(ESales_DB[[#This Row],[Order_Date]],"mmm")</f>
        <v>Jan</v>
      </c>
      <c r="D1819" t="s">
        <v>1154</v>
      </c>
      <c r="E1819" t="s">
        <v>1714</v>
      </c>
      <c r="F1819" t="s">
        <v>1794</v>
      </c>
      <c r="G1819">
        <v>4</v>
      </c>
      <c r="H1819" s="10">
        <f>IF(ISBLANK(ESales_DB[[#This Row],[Quantity]]),AVERAGEIF(ESales_DB[Product_ID],ESales_DB[[#This Row],[Product_ID]],ESales_DB[Quantity]),ESales_DB[[#This Row],[Quantity]])</f>
        <v>4</v>
      </c>
      <c r="I1819" s="2">
        <v>354.65</v>
      </c>
      <c r="J1819">
        <v>0.19</v>
      </c>
      <c r="K1819" t="s">
        <v>1824</v>
      </c>
      <c r="L1819" s="2">
        <v>1149.066</v>
      </c>
      <c r="M1819" s="2" t="str">
        <f>IF(ESales_DB[[#This Row],[Total_Amount]]&gt;1000,"High","Low")</f>
        <v>High</v>
      </c>
      <c r="N1819" s="2" t="str">
        <f>VLOOKUP(ESales_DB[[#This Row],[Customer_ID]],Ecustom_DB[],3,FALSE)</f>
        <v>Gregory Allen</v>
      </c>
      <c r="O1819" s="2" t="str">
        <f>_xlfn.XLOOKUP(ESales_DB[[#This Row],[Product_ID]],Eproduct_DB[Product_ID],Eproduct_DB[Category])</f>
        <v>Beauty</v>
      </c>
      <c r="P1819" s="2" t="str">
        <f>_xlfn.XLOOKUP(ESales_DB[[#This Row],[Product_ID]],Eproduct_DB[Product_ID],Eproduct_DB[Product_Name])</f>
        <v>Hydrating Face Cleanser</v>
      </c>
      <c r="Q1819" s="2" t="str">
        <f>_xlfn.XLOOKUP(ESales_DB[[#This Row],[Store_ID]],Estore_DB[Store_ID],Estore_DB[Region])</f>
        <v>North</v>
      </c>
      <c r="R1819" t="str">
        <f>VLOOKUP(ESales_DB[[#This Row],[Customer_ID]],Ecustom_DB[],10,FALSE)</f>
        <v>Platinum</v>
      </c>
      <c r="S1819" t="str">
        <f>IF(ESales_DB[[#This Row],[Quantity1]]&gt;3,"Bulk order","Normal order")</f>
        <v>Bulk order</v>
      </c>
    </row>
    <row r="1820" spans="1:19" x14ac:dyDescent="0.3">
      <c r="A1820" t="s">
        <v>2661</v>
      </c>
      <c r="B1820" s="4">
        <v>45376</v>
      </c>
      <c r="C1820" s="4" t="str">
        <f>TEXT(ESales_DB[[#This Row],[Order_Date]],"mmm")</f>
        <v>Mar</v>
      </c>
      <c r="D1820" t="s">
        <v>899</v>
      </c>
      <c r="E1820" t="s">
        <v>1684</v>
      </c>
      <c r="F1820" t="s">
        <v>1813</v>
      </c>
      <c r="G1820">
        <v>1</v>
      </c>
      <c r="H1820" s="10">
        <f>IF(ISBLANK(ESales_DB[[#This Row],[Quantity]]),AVERAGEIF(ESales_DB[Product_ID],ESales_DB[[#This Row],[Product_ID]],ESales_DB[Quantity]),ESales_DB[[#This Row],[Quantity]])</f>
        <v>1</v>
      </c>
      <c r="I1820" s="2">
        <v>671.62</v>
      </c>
      <c r="J1820">
        <v>0.09</v>
      </c>
      <c r="K1820" t="s">
        <v>1829</v>
      </c>
      <c r="L1820" s="2">
        <v>611.17420000000004</v>
      </c>
      <c r="M1820" s="2" t="str">
        <f>IF(ESales_DB[[#This Row],[Total_Amount]]&gt;1000,"High","Low")</f>
        <v>Low</v>
      </c>
      <c r="N1820" s="2" t="str">
        <f>VLOOKUP(ESales_DB[[#This Row],[Customer_ID]],Ecustom_DB[],3,FALSE)</f>
        <v>Bryan Garcia</v>
      </c>
      <c r="O1820" s="2" t="str">
        <f>_xlfn.XLOOKUP(ESales_DB[[#This Row],[Product_ID]],Eproduct_DB[Product_ID],Eproduct_DB[Category])</f>
        <v>Home</v>
      </c>
      <c r="P1820" s="2" t="str">
        <f>_xlfn.XLOOKUP(ESales_DB[[#This Row],[Product_ID]],Eproduct_DB[Product_ID],Eproduct_DB[Product_Name])</f>
        <v>Wooden Nightstand</v>
      </c>
      <c r="Q1820" s="2" t="str">
        <f>_xlfn.XLOOKUP(ESales_DB[[#This Row],[Store_ID]],Estore_DB[Store_ID],Estore_DB[Region])</f>
        <v>East</v>
      </c>
      <c r="R1820" t="str">
        <f>VLOOKUP(ESales_DB[[#This Row],[Customer_ID]],Ecustom_DB[],10,FALSE)</f>
        <v>Silver</v>
      </c>
      <c r="S1820" t="str">
        <f>IF(ESales_DB[[#This Row],[Quantity1]]&gt;3,"Bulk order","Normal order")</f>
        <v>Normal order</v>
      </c>
    </row>
    <row r="1821" spans="1:19" x14ac:dyDescent="0.3">
      <c r="A1821" t="s">
        <v>2662</v>
      </c>
      <c r="B1821" s="4">
        <v>45914</v>
      </c>
      <c r="C1821" s="4" t="str">
        <f>TEXT(ESales_DB[[#This Row],[Order_Date]],"mmm")</f>
        <v>Sep</v>
      </c>
      <c r="D1821" t="s">
        <v>999</v>
      </c>
      <c r="E1821" t="s">
        <v>1712</v>
      </c>
      <c r="F1821" t="s">
        <v>1766</v>
      </c>
      <c r="G1821">
        <v>1</v>
      </c>
      <c r="H1821" s="10">
        <f>IF(ISBLANK(ESales_DB[[#This Row],[Quantity]]),AVERAGEIF(ESales_DB[Product_ID],ESales_DB[[#This Row],[Product_ID]],ESales_DB[Quantity]),ESales_DB[[#This Row],[Quantity]])</f>
        <v>1</v>
      </c>
      <c r="I1821" s="2">
        <v>867.32</v>
      </c>
      <c r="J1821">
        <v>0.28999999999999998</v>
      </c>
      <c r="K1821" t="s">
        <v>1826</v>
      </c>
      <c r="L1821" s="2">
        <v>615.79719999999998</v>
      </c>
      <c r="M1821" s="2" t="str">
        <f>IF(ESales_DB[[#This Row],[Total_Amount]]&gt;1000,"High","Low")</f>
        <v>Low</v>
      </c>
      <c r="N1821" s="2" t="str">
        <f>VLOOKUP(ESales_DB[[#This Row],[Customer_ID]],Ecustom_DB[],3,FALSE)</f>
        <v>Tiffany Williams</v>
      </c>
      <c r="O1821" s="2" t="str">
        <f>_xlfn.XLOOKUP(ESales_DB[[#This Row],[Product_ID]],Eproduct_DB[Product_ID],Eproduct_DB[Category])</f>
        <v>Sports</v>
      </c>
      <c r="P1821" s="2" t="str">
        <f>_xlfn.XLOOKUP(ESales_DB[[#This Row],[Product_ID]],Eproduct_DB[Product_ID],Eproduct_DB[Product_Name])</f>
        <v>Fitness Resistance Bands</v>
      </c>
      <c r="Q1821" s="2" t="str">
        <f>_xlfn.XLOOKUP(ESales_DB[[#This Row],[Store_ID]],Estore_DB[Store_ID],Estore_DB[Region])</f>
        <v>North</v>
      </c>
      <c r="R1821" t="str">
        <f>VLOOKUP(ESales_DB[[#This Row],[Customer_ID]],Ecustom_DB[],10,FALSE)</f>
        <v>Gold</v>
      </c>
      <c r="S1821" t="str">
        <f>IF(ESales_DB[[#This Row],[Quantity1]]&gt;3,"Bulk order","Normal order")</f>
        <v>Normal order</v>
      </c>
    </row>
    <row r="1822" spans="1:19" x14ac:dyDescent="0.3">
      <c r="A1822" t="s">
        <v>2663</v>
      </c>
      <c r="B1822" s="4">
        <v>45336</v>
      </c>
      <c r="C1822" s="4" t="str">
        <f>TEXT(ESales_DB[[#This Row],[Order_Date]],"mmm")</f>
        <v>Feb</v>
      </c>
      <c r="D1822" t="s">
        <v>295</v>
      </c>
      <c r="E1822" t="s">
        <v>1568</v>
      </c>
      <c r="F1822" t="s">
        <v>1794</v>
      </c>
      <c r="G1822">
        <v>3</v>
      </c>
      <c r="H1822" s="10">
        <f>IF(ISBLANK(ESales_DB[[#This Row],[Quantity]]),AVERAGEIF(ESales_DB[Product_ID],ESales_DB[[#This Row],[Product_ID]],ESales_DB[Quantity]),ESales_DB[[#This Row],[Quantity]])</f>
        <v>3</v>
      </c>
      <c r="I1822" s="2">
        <v>240.27</v>
      </c>
      <c r="J1822">
        <v>0.15</v>
      </c>
      <c r="K1822" t="s">
        <v>1826</v>
      </c>
      <c r="L1822" s="2">
        <v>612.68850000000009</v>
      </c>
      <c r="M1822" s="2" t="str">
        <f>IF(ESales_DB[[#This Row],[Total_Amount]]&gt;1000,"High","Low")</f>
        <v>Low</v>
      </c>
      <c r="N1822" s="2" t="str">
        <f>VLOOKUP(ESales_DB[[#This Row],[Customer_ID]],Ecustom_DB[],3,FALSE)</f>
        <v>Krystal Ford</v>
      </c>
      <c r="O1822" s="2" t="str">
        <f>_xlfn.XLOOKUP(ESales_DB[[#This Row],[Product_ID]],Eproduct_DB[Product_ID],Eproduct_DB[Category])</f>
        <v>Home</v>
      </c>
      <c r="P1822" s="2" t="str">
        <f>_xlfn.XLOOKUP(ESales_DB[[#This Row],[Product_ID]],Eproduct_DB[Product_ID],Eproduct_DB[Product_Name])</f>
        <v>Ceramic Kitchen Bowl Set</v>
      </c>
      <c r="Q1822" s="2" t="str">
        <f>_xlfn.XLOOKUP(ESales_DB[[#This Row],[Store_ID]],Estore_DB[Store_ID],Estore_DB[Region])</f>
        <v>North</v>
      </c>
      <c r="R1822" t="str">
        <f>VLOOKUP(ESales_DB[[#This Row],[Customer_ID]],Ecustom_DB[],10,FALSE)</f>
        <v>Platinum</v>
      </c>
      <c r="S1822" t="str">
        <f>IF(ESales_DB[[#This Row],[Quantity1]]&gt;3,"Bulk order","Normal order")</f>
        <v>Normal order</v>
      </c>
    </row>
    <row r="1823" spans="1:19" x14ac:dyDescent="0.3">
      <c r="A1823" t="s">
        <v>2664</v>
      </c>
      <c r="B1823" s="4">
        <v>45728</v>
      </c>
      <c r="C1823" s="4" t="str">
        <f>TEXT(ESales_DB[[#This Row],[Order_Date]],"mmm")</f>
        <v>Mar</v>
      </c>
      <c r="D1823" t="s">
        <v>275</v>
      </c>
      <c r="E1823" t="s">
        <v>1604</v>
      </c>
      <c r="F1823" t="s">
        <v>1804</v>
      </c>
      <c r="G1823">
        <v>2</v>
      </c>
      <c r="H1823" s="10">
        <f>IF(ISBLANK(ESales_DB[[#This Row],[Quantity]]),AVERAGEIF(ESales_DB[Product_ID],ESales_DB[[#This Row],[Product_ID]],ESales_DB[Quantity]),ESales_DB[[#This Row],[Quantity]])</f>
        <v>2</v>
      </c>
      <c r="I1823" s="2">
        <v>619.12</v>
      </c>
      <c r="J1823">
        <v>0.28000000000000003</v>
      </c>
      <c r="K1823" t="s">
        <v>1829</v>
      </c>
      <c r="L1823" s="2">
        <v>891.53279999999995</v>
      </c>
      <c r="M1823" s="2" t="str">
        <f>IF(ESales_DB[[#This Row],[Total_Amount]]&gt;1000,"High","Low")</f>
        <v>Low</v>
      </c>
      <c r="N1823" s="2" t="str">
        <f>VLOOKUP(ESales_DB[[#This Row],[Customer_ID]],Ecustom_DB[],3,FALSE)</f>
        <v>Rhonda Morales</v>
      </c>
      <c r="O1823" s="2" t="str">
        <f>_xlfn.XLOOKUP(ESales_DB[[#This Row],[Product_ID]],Eproduct_DB[Product_ID],Eproduct_DB[Category])</f>
        <v>Sports</v>
      </c>
      <c r="P1823" s="2" t="str">
        <f>_xlfn.XLOOKUP(ESales_DB[[#This Row],[Product_ID]],Eproduct_DB[Product_ID],Eproduct_DB[Product_Name])</f>
        <v>Sports Stopwatch Timer</v>
      </c>
      <c r="Q1823" s="2" t="str">
        <f>_xlfn.XLOOKUP(ESales_DB[[#This Row],[Store_ID]],Estore_DB[Store_ID],Estore_DB[Region])</f>
        <v>West</v>
      </c>
      <c r="R1823" t="str">
        <f>VLOOKUP(ESales_DB[[#This Row],[Customer_ID]],Ecustom_DB[],10,FALSE)</f>
        <v>Gold</v>
      </c>
      <c r="S1823" t="str">
        <f>IF(ESales_DB[[#This Row],[Quantity1]]&gt;3,"Bulk order","Normal order")</f>
        <v>Normal order</v>
      </c>
    </row>
    <row r="1824" spans="1:19" x14ac:dyDescent="0.3">
      <c r="A1824" t="s">
        <v>2665</v>
      </c>
      <c r="B1824" s="4">
        <v>45755</v>
      </c>
      <c r="C1824" s="4" t="str">
        <f>TEXT(ESales_DB[[#This Row],[Order_Date]],"mmm")</f>
        <v>Apr</v>
      </c>
      <c r="D1824" t="s">
        <v>693</v>
      </c>
      <c r="E1824" t="s">
        <v>1722</v>
      </c>
      <c r="F1824" t="s">
        <v>1752</v>
      </c>
      <c r="G1824">
        <v>3</v>
      </c>
      <c r="H1824" s="10">
        <f>IF(ISBLANK(ESales_DB[[#This Row],[Quantity]]),AVERAGEIF(ESales_DB[Product_ID],ESales_DB[[#This Row],[Product_ID]],ESales_DB[Quantity]),ESales_DB[[#This Row],[Quantity]])</f>
        <v>3</v>
      </c>
      <c r="I1824" s="2">
        <v>693.42</v>
      </c>
      <c r="J1824">
        <v>0.08</v>
      </c>
      <c r="K1824" t="s">
        <v>1826</v>
      </c>
      <c r="L1824" s="2">
        <v>1913.8391999999999</v>
      </c>
      <c r="M1824" s="2" t="str">
        <f>IF(ESales_DB[[#This Row],[Total_Amount]]&gt;1000,"High","Low")</f>
        <v>High</v>
      </c>
      <c r="N1824" s="2" t="str">
        <f>VLOOKUP(ESales_DB[[#This Row],[Customer_ID]],Ecustom_DB[],3,FALSE)</f>
        <v>Stuart Johnson</v>
      </c>
      <c r="O1824" s="2" t="str">
        <f>_xlfn.XLOOKUP(ESales_DB[[#This Row],[Product_ID]],Eproduct_DB[Product_ID],Eproduct_DB[Category])</f>
        <v>Home</v>
      </c>
      <c r="P1824" s="2" t="str">
        <f>_xlfn.XLOOKUP(ESales_DB[[#This Row],[Product_ID]],Eproduct_DB[Product_ID],Eproduct_DB[Product_Name])</f>
        <v>LED Bedside Lamp</v>
      </c>
      <c r="Q1824" s="2" t="str">
        <f>_xlfn.XLOOKUP(ESales_DB[[#This Row],[Store_ID]],Estore_DB[Store_ID],Estore_DB[Region])</f>
        <v>East</v>
      </c>
      <c r="R1824" t="str">
        <f>VLOOKUP(ESales_DB[[#This Row],[Customer_ID]],Ecustom_DB[],10,FALSE)</f>
        <v>Platinum</v>
      </c>
      <c r="S1824" t="str">
        <f>IF(ESales_DB[[#This Row],[Quantity1]]&gt;3,"Bulk order","Normal order")</f>
        <v>Normal order</v>
      </c>
    </row>
    <row r="1825" spans="1:19" x14ac:dyDescent="0.3">
      <c r="A1825" t="s">
        <v>1910</v>
      </c>
      <c r="B1825" s="4">
        <v>45268</v>
      </c>
      <c r="C1825" s="4" t="str">
        <f>TEXT(ESales_DB[[#This Row],[Order_Date]],"mmm")</f>
        <v>Dec</v>
      </c>
      <c r="D1825" t="s">
        <v>1313</v>
      </c>
      <c r="E1825" t="s">
        <v>1640</v>
      </c>
      <c r="F1825" t="s">
        <v>1807</v>
      </c>
      <c r="G1825">
        <v>1</v>
      </c>
      <c r="H1825" s="10">
        <f>IF(ISBLANK(ESales_DB[[#This Row],[Quantity]]),AVERAGEIF(ESales_DB[Product_ID],ESales_DB[[#This Row],[Product_ID]],ESales_DB[Quantity]),ESales_DB[[#This Row],[Quantity]])</f>
        <v>1</v>
      </c>
      <c r="I1825" s="2">
        <v>773.57</v>
      </c>
      <c r="J1825">
        <v>0.05</v>
      </c>
      <c r="K1825" t="s">
        <v>1829</v>
      </c>
      <c r="M1825" s="2" t="str">
        <f>IF(ESales_DB[[#This Row],[Total_Amount]]&gt;1000,"High","Low")</f>
        <v>Low</v>
      </c>
      <c r="N1825" s="2" t="str">
        <f>VLOOKUP(ESales_DB[[#This Row],[Customer_ID]],Ecustom_DB[],3,FALSE)</f>
        <v>Rebecca Baker</v>
      </c>
      <c r="O1825" s="2" t="str">
        <f>_xlfn.XLOOKUP(ESales_DB[[#This Row],[Product_ID]],Eproduct_DB[Product_ID],Eproduct_DB[Category])</f>
        <v>Clothing</v>
      </c>
      <c r="P1825" s="2" t="str">
        <f>_xlfn.XLOOKUP(ESales_DB[[#This Row],[Product_ID]],Eproduct_DB[Product_ID],Eproduct_DB[Product_Name])</f>
        <v>Men's Winter Jacket</v>
      </c>
      <c r="Q1825" s="2" t="str">
        <f>_xlfn.XLOOKUP(ESales_DB[[#This Row],[Store_ID]],Estore_DB[Store_ID],Estore_DB[Region])</f>
        <v>North</v>
      </c>
      <c r="R1825" t="str">
        <f>VLOOKUP(ESales_DB[[#This Row],[Customer_ID]],Ecustom_DB[],10,FALSE)</f>
        <v>Silver</v>
      </c>
      <c r="S1825" t="str">
        <f>IF(ESales_DB[[#This Row],[Quantity1]]&gt;3,"Bulk order","Normal order")</f>
        <v>Normal order</v>
      </c>
    </row>
    <row r="1826" spans="1:19" x14ac:dyDescent="0.3">
      <c r="A1826" t="s">
        <v>2666</v>
      </c>
      <c r="B1826" s="4">
        <v>45695</v>
      </c>
      <c r="C1826" s="4" t="str">
        <f>TEXT(ESales_DB[[#This Row],[Order_Date]],"mmm")</f>
        <v>Feb</v>
      </c>
      <c r="D1826" t="s">
        <v>381</v>
      </c>
      <c r="E1826" t="s">
        <v>1644</v>
      </c>
      <c r="F1826" t="s">
        <v>1789</v>
      </c>
      <c r="G1826">
        <v>4</v>
      </c>
      <c r="H1826" s="10">
        <f>IF(ISBLANK(ESales_DB[[#This Row],[Quantity]]),AVERAGEIF(ESales_DB[Product_ID],ESales_DB[[#This Row],[Product_ID]],ESales_DB[Quantity]),ESales_DB[[#This Row],[Quantity]])</f>
        <v>4</v>
      </c>
      <c r="I1826" s="2">
        <v>751.63</v>
      </c>
      <c r="J1826">
        <v>0.28000000000000003</v>
      </c>
      <c r="K1826" t="s">
        <v>1829</v>
      </c>
      <c r="L1826" s="2">
        <v>2164.6943999999999</v>
      </c>
      <c r="M1826" s="2" t="str">
        <f>IF(ESales_DB[[#This Row],[Total_Amount]]&gt;1000,"High","Low")</f>
        <v>High</v>
      </c>
      <c r="N1826" s="2" t="str">
        <f>VLOOKUP(ESales_DB[[#This Row],[Customer_ID]],Ecustom_DB[],3,FALSE)</f>
        <v>Travis Holland</v>
      </c>
      <c r="O1826" s="2" t="str">
        <f>_xlfn.XLOOKUP(ESales_DB[[#This Row],[Product_ID]],Eproduct_DB[Product_ID],Eproduct_DB[Category])</f>
        <v>Electronics</v>
      </c>
      <c r="P1826" s="2" t="str">
        <f>_xlfn.XLOOKUP(ESales_DB[[#This Row],[Product_ID]],Eproduct_DB[Product_ID],Eproduct_DB[Product_Name])</f>
        <v>Car Dashboard Phone Holder</v>
      </c>
      <c r="Q1826" s="2" t="str">
        <f>_xlfn.XLOOKUP(ESales_DB[[#This Row],[Store_ID]],Estore_DB[Store_ID],Estore_DB[Region])</f>
        <v>East</v>
      </c>
      <c r="R1826" t="str">
        <f>VLOOKUP(ESales_DB[[#This Row],[Customer_ID]],Ecustom_DB[],10,FALSE)</f>
        <v>Bronze</v>
      </c>
      <c r="S1826" t="str">
        <f>IF(ESales_DB[[#This Row],[Quantity1]]&gt;3,"Bulk order","Normal order")</f>
        <v>Bulk order</v>
      </c>
    </row>
    <row r="1827" spans="1:19" x14ac:dyDescent="0.3">
      <c r="A1827" t="s">
        <v>2667</v>
      </c>
      <c r="B1827" s="4">
        <v>45380</v>
      </c>
      <c r="C1827" s="4" t="str">
        <f>TEXT(ESales_DB[[#This Row],[Order_Date]],"mmm")</f>
        <v>Mar</v>
      </c>
      <c r="D1827" t="s">
        <v>387</v>
      </c>
      <c r="E1827" t="s">
        <v>1610</v>
      </c>
      <c r="F1827" t="s">
        <v>1801</v>
      </c>
      <c r="G1827">
        <v>3</v>
      </c>
      <c r="H1827" s="10">
        <f>IF(ISBLANK(ESales_DB[[#This Row],[Quantity]]),AVERAGEIF(ESales_DB[Product_ID],ESales_DB[[#This Row],[Product_ID]],ESales_DB[Quantity]),ESales_DB[[#This Row],[Quantity]])</f>
        <v>3</v>
      </c>
      <c r="I1827" s="2">
        <v>108.14</v>
      </c>
      <c r="J1827">
        <v>0.19</v>
      </c>
      <c r="K1827" t="s">
        <v>1829</v>
      </c>
      <c r="L1827" s="2">
        <v>262.78019999999998</v>
      </c>
      <c r="M1827" s="2" t="str">
        <f>IF(ESales_DB[[#This Row],[Total_Amount]]&gt;1000,"High","Low")</f>
        <v>Low</v>
      </c>
      <c r="N1827" s="2" t="str">
        <f>VLOOKUP(ESales_DB[[#This Row],[Customer_ID]],Ecustom_DB[],3,FALSE)</f>
        <v>Ashley Griffin</v>
      </c>
      <c r="O1827" s="2" t="str">
        <f>_xlfn.XLOOKUP(ESales_DB[[#This Row],[Product_ID]],Eproduct_DB[Product_ID],Eproduct_DB[Category])</f>
        <v>Sports</v>
      </c>
      <c r="P1827" s="2" t="str">
        <f>_xlfn.XLOOKUP(ESales_DB[[#This Row],[Product_ID]],Eproduct_DB[Product_ID],Eproduct_DB[Product_Name])</f>
        <v>Basketball</v>
      </c>
      <c r="Q1827" s="2" t="str">
        <f>_xlfn.XLOOKUP(ESales_DB[[#This Row],[Store_ID]],Estore_DB[Store_ID],Estore_DB[Region])</f>
        <v>North</v>
      </c>
      <c r="R1827" t="str">
        <f>VLOOKUP(ESales_DB[[#This Row],[Customer_ID]],Ecustom_DB[],10,FALSE)</f>
        <v>Gold</v>
      </c>
      <c r="S1827" t="str">
        <f>IF(ESales_DB[[#This Row],[Quantity1]]&gt;3,"Bulk order","Normal order")</f>
        <v>Normal order</v>
      </c>
    </row>
    <row r="1828" spans="1:19" x14ac:dyDescent="0.3">
      <c r="A1828" t="s">
        <v>2668</v>
      </c>
      <c r="B1828" s="4">
        <v>45446</v>
      </c>
      <c r="C1828" s="4" t="str">
        <f>TEXT(ESales_DB[[#This Row],[Order_Date]],"mmm")</f>
        <v>Jun</v>
      </c>
      <c r="D1828" t="s">
        <v>818</v>
      </c>
      <c r="E1828" t="s">
        <v>1602</v>
      </c>
      <c r="F1828" t="s">
        <v>1769</v>
      </c>
      <c r="G1828">
        <v>1</v>
      </c>
      <c r="H1828" s="10">
        <f>IF(ISBLANK(ESales_DB[[#This Row],[Quantity]]),AVERAGEIF(ESales_DB[Product_ID],ESales_DB[[#This Row],[Product_ID]],ESales_DB[Quantity]),ESales_DB[[#This Row],[Quantity]])</f>
        <v>1</v>
      </c>
      <c r="I1828" s="2">
        <v>964.11</v>
      </c>
      <c r="J1828">
        <v>0.17</v>
      </c>
      <c r="K1828" t="s">
        <v>1829</v>
      </c>
      <c r="L1828" s="2">
        <v>800.21129999999994</v>
      </c>
      <c r="M1828" s="2" t="str">
        <f>IF(ESales_DB[[#This Row],[Total_Amount]]&gt;1000,"High","Low")</f>
        <v>Low</v>
      </c>
      <c r="N1828" s="2" t="str">
        <f>VLOOKUP(ESales_DB[[#This Row],[Customer_ID]],Ecustom_DB[],3,FALSE)</f>
        <v>Kristen Fischer</v>
      </c>
      <c r="O1828" s="2" t="str">
        <f>_xlfn.XLOOKUP(ESales_DB[[#This Row],[Product_ID]],Eproduct_DB[Product_ID],Eproduct_DB[Category])</f>
        <v>Home</v>
      </c>
      <c r="P1828" s="2" t="str">
        <f>_xlfn.XLOOKUP(ESales_DB[[#This Row],[Product_ID]],Eproduct_DB[Product_ID],Eproduct_DB[Product_Name])</f>
        <v>Decorative Floor Vase</v>
      </c>
      <c r="Q1828" s="2" t="str">
        <f>_xlfn.XLOOKUP(ESales_DB[[#This Row],[Store_ID]],Estore_DB[Store_ID],Estore_DB[Region])</f>
        <v>South</v>
      </c>
      <c r="R1828" t="str">
        <f>VLOOKUP(ESales_DB[[#This Row],[Customer_ID]],Ecustom_DB[],10,FALSE)</f>
        <v>Platinum</v>
      </c>
      <c r="S1828" t="str">
        <f>IF(ESales_DB[[#This Row],[Quantity1]]&gt;3,"Bulk order","Normal order")</f>
        <v>Normal order</v>
      </c>
    </row>
    <row r="1829" spans="1:19" x14ac:dyDescent="0.3">
      <c r="A1829" t="s">
        <v>2669</v>
      </c>
      <c r="B1829" s="4">
        <v>45525</v>
      </c>
      <c r="C1829" s="4" t="str">
        <f>TEXT(ESales_DB[[#This Row],[Order_Date]],"mmm")</f>
        <v>Aug</v>
      </c>
      <c r="D1829" t="s">
        <v>449</v>
      </c>
      <c r="E1829" t="s">
        <v>1586</v>
      </c>
      <c r="F1829" t="s">
        <v>1752</v>
      </c>
      <c r="G1829">
        <v>1</v>
      </c>
      <c r="H1829" s="10">
        <f>IF(ISBLANK(ESales_DB[[#This Row],[Quantity]]),AVERAGEIF(ESales_DB[Product_ID],ESales_DB[[#This Row],[Product_ID]],ESales_DB[Quantity]),ESales_DB[[#This Row],[Quantity]])</f>
        <v>1</v>
      </c>
      <c r="I1829" s="2">
        <v>346.2</v>
      </c>
      <c r="J1829">
        <v>0.28999999999999998</v>
      </c>
      <c r="K1829" t="s">
        <v>1824</v>
      </c>
      <c r="L1829" s="2">
        <v>245.80199999999999</v>
      </c>
      <c r="M1829" s="2" t="str">
        <f>IF(ESales_DB[[#This Row],[Total_Amount]]&gt;1000,"High","Low")</f>
        <v>Low</v>
      </c>
      <c r="N1829" s="2" t="str">
        <f>VLOOKUP(ESales_DB[[#This Row],[Customer_ID]],Ecustom_DB[],3,FALSE)</f>
        <v>Joseph Richards</v>
      </c>
      <c r="O1829" s="2" t="str">
        <f>_xlfn.XLOOKUP(ESales_DB[[#This Row],[Product_ID]],Eproduct_DB[Product_ID],Eproduct_DB[Category])</f>
        <v>Sports</v>
      </c>
      <c r="P1829" s="2" t="str">
        <f>_xlfn.XLOOKUP(ESales_DB[[#This Row],[Product_ID]],Eproduct_DB[Product_ID],Eproduct_DB[Product_Name])</f>
        <v>Knee Support Brace</v>
      </c>
      <c r="Q1829" s="2" t="str">
        <f>_xlfn.XLOOKUP(ESales_DB[[#This Row],[Store_ID]],Estore_DB[Store_ID],Estore_DB[Region])</f>
        <v>East</v>
      </c>
      <c r="R1829" t="str">
        <f>VLOOKUP(ESales_DB[[#This Row],[Customer_ID]],Ecustom_DB[],10,FALSE)</f>
        <v>Bronze</v>
      </c>
      <c r="S1829" t="str">
        <f>IF(ESales_DB[[#This Row],[Quantity1]]&gt;3,"Bulk order","Normal order")</f>
        <v>Normal order</v>
      </c>
    </row>
    <row r="1830" spans="1:19" x14ac:dyDescent="0.3">
      <c r="A1830" t="s">
        <v>2670</v>
      </c>
      <c r="B1830" s="4">
        <v>45527</v>
      </c>
      <c r="C1830" s="4" t="str">
        <f>TEXT(ESales_DB[[#This Row],[Order_Date]],"mmm")</f>
        <v>Aug</v>
      </c>
      <c r="D1830" t="s">
        <v>1411</v>
      </c>
      <c r="E1830" t="s">
        <v>1634</v>
      </c>
      <c r="F1830" t="s">
        <v>1801</v>
      </c>
      <c r="G1830">
        <v>3</v>
      </c>
      <c r="H1830" s="10">
        <f>IF(ISBLANK(ESales_DB[[#This Row],[Quantity]]),AVERAGEIF(ESales_DB[Product_ID],ESales_DB[[#This Row],[Product_ID]],ESales_DB[Quantity]),ESales_DB[[#This Row],[Quantity]])</f>
        <v>3</v>
      </c>
      <c r="I1830" s="2">
        <v>791.75</v>
      </c>
      <c r="J1830">
        <v>0.28999999999999998</v>
      </c>
      <c r="K1830" t="s">
        <v>1824</v>
      </c>
      <c r="L1830" s="2">
        <v>1686.4275</v>
      </c>
      <c r="M1830" s="2" t="str">
        <f>IF(ESales_DB[[#This Row],[Total_Amount]]&gt;1000,"High","Low")</f>
        <v>High</v>
      </c>
      <c r="N1830" s="2" t="str">
        <f>VLOOKUP(ESales_DB[[#This Row],[Customer_ID]],Ecustom_DB[],3,FALSE)</f>
        <v>Christina Robertson</v>
      </c>
      <c r="O1830" s="2" t="str">
        <f>_xlfn.XLOOKUP(ESales_DB[[#This Row],[Product_ID]],Eproduct_DB[Product_ID],Eproduct_DB[Category])</f>
        <v>Electronics</v>
      </c>
      <c r="P1830" s="2" t="str">
        <f>_xlfn.XLOOKUP(ESales_DB[[#This Row],[Product_ID]],Eproduct_DB[Product_ID],Eproduct_DB[Product_Name])</f>
        <v>USB External Hard Drive</v>
      </c>
      <c r="Q1830" s="2" t="str">
        <f>_xlfn.XLOOKUP(ESales_DB[[#This Row],[Store_ID]],Estore_DB[Store_ID],Estore_DB[Region])</f>
        <v>North</v>
      </c>
      <c r="R1830" t="str">
        <f>VLOOKUP(ESales_DB[[#This Row],[Customer_ID]],Ecustom_DB[],10,FALSE)</f>
        <v>Platinum</v>
      </c>
      <c r="S1830" t="str">
        <f>IF(ESales_DB[[#This Row],[Quantity1]]&gt;3,"Bulk order","Normal order")</f>
        <v>Normal order</v>
      </c>
    </row>
    <row r="1831" spans="1:19" x14ac:dyDescent="0.3">
      <c r="A1831" t="s">
        <v>2671</v>
      </c>
      <c r="B1831" s="4">
        <v>45265</v>
      </c>
      <c r="C1831" s="4" t="str">
        <f>TEXT(ESales_DB[[#This Row],[Order_Date]],"mmm")</f>
        <v>Dec</v>
      </c>
      <c r="D1831" t="s">
        <v>1005</v>
      </c>
      <c r="E1831" t="s">
        <v>1626</v>
      </c>
      <c r="F1831" t="s">
        <v>1797</v>
      </c>
      <c r="G1831">
        <v>1</v>
      </c>
      <c r="H1831" s="10">
        <f>IF(ISBLANK(ESales_DB[[#This Row],[Quantity]]),AVERAGEIF(ESales_DB[Product_ID],ESales_DB[[#This Row],[Product_ID]],ESales_DB[Quantity]),ESales_DB[[#This Row],[Quantity]])</f>
        <v>1</v>
      </c>
      <c r="I1831" s="2">
        <v>529.84</v>
      </c>
      <c r="J1831">
        <v>0.13</v>
      </c>
      <c r="K1831" t="s">
        <v>1826</v>
      </c>
      <c r="L1831" s="2">
        <v>460.96080000000001</v>
      </c>
      <c r="M1831" s="2" t="str">
        <f>IF(ESales_DB[[#This Row],[Total_Amount]]&gt;1000,"High","Low")</f>
        <v>Low</v>
      </c>
      <c r="N1831" s="2" t="str">
        <f>VLOOKUP(ESales_DB[[#This Row],[Customer_ID]],Ecustom_DB[],3,FALSE)</f>
        <v>Casey Simpson</v>
      </c>
      <c r="O1831" s="2" t="str">
        <f>_xlfn.XLOOKUP(ESales_DB[[#This Row],[Product_ID]],Eproduct_DB[Product_ID],Eproduct_DB[Category])</f>
        <v>Electronics</v>
      </c>
      <c r="P1831" s="2" t="str">
        <f>_xlfn.XLOOKUP(ESales_DB[[#This Row],[Product_ID]],Eproduct_DB[Product_ID],Eproduct_DB[Product_Name])</f>
        <v>Portable Power Bank</v>
      </c>
      <c r="Q1831" s="2" t="str">
        <f>_xlfn.XLOOKUP(ESales_DB[[#This Row],[Store_ID]],Estore_DB[Store_ID],Estore_DB[Region])</f>
        <v>East</v>
      </c>
      <c r="R1831" t="str">
        <f>VLOOKUP(ESales_DB[[#This Row],[Customer_ID]],Ecustom_DB[],10,FALSE)</f>
        <v>Platinum</v>
      </c>
      <c r="S1831" t="str">
        <f>IF(ESales_DB[[#This Row],[Quantity1]]&gt;3,"Bulk order","Normal order")</f>
        <v>Normal order</v>
      </c>
    </row>
    <row r="1832" spans="1:19" x14ac:dyDescent="0.3">
      <c r="A1832" t="s">
        <v>2672</v>
      </c>
      <c r="B1832" s="4">
        <v>45936</v>
      </c>
      <c r="C1832" s="4" t="str">
        <f>TEXT(ESales_DB[[#This Row],[Order_Date]],"mmm")</f>
        <v>Oct</v>
      </c>
      <c r="D1832" t="s">
        <v>1452</v>
      </c>
      <c r="E1832" t="s">
        <v>1656</v>
      </c>
      <c r="F1832" t="s">
        <v>1766</v>
      </c>
      <c r="G1832">
        <v>3</v>
      </c>
      <c r="H1832" s="10">
        <f>IF(ISBLANK(ESales_DB[[#This Row],[Quantity]]),AVERAGEIF(ESales_DB[Product_ID],ESales_DB[[#This Row],[Product_ID]],ESales_DB[Quantity]),ESales_DB[[#This Row],[Quantity]])</f>
        <v>3</v>
      </c>
      <c r="I1832" s="2">
        <v>582.57000000000005</v>
      </c>
      <c r="J1832">
        <v>0.11</v>
      </c>
      <c r="K1832" t="s">
        <v>1826</v>
      </c>
      <c r="L1832" s="2">
        <v>1555.4619</v>
      </c>
      <c r="M1832" s="2" t="str">
        <f>IF(ESales_DB[[#This Row],[Total_Amount]]&gt;1000,"High","Low")</f>
        <v>High</v>
      </c>
      <c r="N1832" s="2" t="str">
        <f>VLOOKUP(ESales_DB[[#This Row],[Customer_ID]],Ecustom_DB[],3,FALSE)</f>
        <v>Debra Mccullough</v>
      </c>
      <c r="O1832" s="2" t="str">
        <f>_xlfn.XLOOKUP(ESales_DB[[#This Row],[Product_ID]],Eproduct_DB[Product_ID],Eproduct_DB[Category])</f>
        <v>Sports</v>
      </c>
      <c r="P1832" s="2" t="str">
        <f>_xlfn.XLOOKUP(ESales_DB[[#This Row],[Product_ID]],Eproduct_DB[Product_ID],Eproduct_DB[Product_Name])</f>
        <v>Sports Stopwatch Pro</v>
      </c>
      <c r="Q1832" s="2" t="str">
        <f>_xlfn.XLOOKUP(ESales_DB[[#This Row],[Store_ID]],Estore_DB[Store_ID],Estore_DB[Region])</f>
        <v>North</v>
      </c>
      <c r="R1832" t="str">
        <f>VLOOKUP(ESales_DB[[#This Row],[Customer_ID]],Ecustom_DB[],10,FALSE)</f>
        <v>Platinum</v>
      </c>
      <c r="S1832" t="str">
        <f>IF(ESales_DB[[#This Row],[Quantity1]]&gt;3,"Bulk order","Normal order")</f>
        <v>Normal order</v>
      </c>
    </row>
    <row r="1833" spans="1:19" x14ac:dyDescent="0.3">
      <c r="A1833" t="s">
        <v>2673</v>
      </c>
      <c r="B1833" s="4">
        <v>45242</v>
      </c>
      <c r="C1833" s="4" t="str">
        <f>TEXT(ESales_DB[[#This Row],[Order_Date]],"mmm")</f>
        <v>Nov</v>
      </c>
      <c r="D1833" t="s">
        <v>687</v>
      </c>
      <c r="E1833" t="s">
        <v>1738</v>
      </c>
      <c r="F1833" t="s">
        <v>1807</v>
      </c>
      <c r="G1833">
        <v>1</v>
      </c>
      <c r="H1833" s="10">
        <f>IF(ISBLANK(ESales_DB[[#This Row],[Quantity]]),AVERAGEIF(ESales_DB[Product_ID],ESales_DB[[#This Row],[Product_ID]],ESales_DB[Quantity]),ESales_DB[[#This Row],[Quantity]])</f>
        <v>1</v>
      </c>
      <c r="I1833" s="2">
        <v>219.81</v>
      </c>
      <c r="J1833">
        <v>0.22</v>
      </c>
      <c r="K1833" t="s">
        <v>1829</v>
      </c>
      <c r="L1833" s="2">
        <v>171.45179999999999</v>
      </c>
      <c r="M1833" s="2" t="str">
        <f>IF(ESales_DB[[#This Row],[Total_Amount]]&gt;1000,"High","Low")</f>
        <v>Low</v>
      </c>
      <c r="N1833" s="2" t="str">
        <f>VLOOKUP(ESales_DB[[#This Row],[Customer_ID]],Ecustom_DB[],3,FALSE)</f>
        <v>Rodney Huffman</v>
      </c>
      <c r="O1833" s="2" t="str">
        <f>_xlfn.XLOOKUP(ESales_DB[[#This Row],[Product_ID]],Eproduct_DB[Product_ID],Eproduct_DB[Category])</f>
        <v>Sports</v>
      </c>
      <c r="P1833" s="2" t="str">
        <f>_xlfn.XLOOKUP(ESales_DB[[#This Row],[Product_ID]],Eproduct_DB[Product_ID],Eproduct_DB[Product_Name])</f>
        <v>Sports Stopwatch Basic</v>
      </c>
      <c r="Q1833" s="2" t="str">
        <f>_xlfn.XLOOKUP(ESales_DB[[#This Row],[Store_ID]],Estore_DB[Store_ID],Estore_DB[Region])</f>
        <v>North</v>
      </c>
      <c r="R1833" t="str">
        <f>VLOOKUP(ESales_DB[[#This Row],[Customer_ID]],Ecustom_DB[],10,FALSE)</f>
        <v>Silver</v>
      </c>
      <c r="S1833" t="str">
        <f>IF(ESales_DB[[#This Row],[Quantity1]]&gt;3,"Bulk order","Normal order")</f>
        <v>Normal order</v>
      </c>
    </row>
    <row r="1834" spans="1:19" x14ac:dyDescent="0.3">
      <c r="A1834" t="s">
        <v>2674</v>
      </c>
      <c r="B1834" s="4">
        <v>45437</v>
      </c>
      <c r="C1834" s="4" t="str">
        <f>TEXT(ESales_DB[[#This Row],[Order_Date]],"mmm")</f>
        <v>May</v>
      </c>
      <c r="D1834" t="s">
        <v>1527</v>
      </c>
      <c r="E1834" t="s">
        <v>1688</v>
      </c>
      <c r="F1834" t="s">
        <v>1810</v>
      </c>
      <c r="G1834">
        <v>4</v>
      </c>
      <c r="H1834" s="10">
        <f>IF(ISBLANK(ESales_DB[[#This Row],[Quantity]]),AVERAGEIF(ESales_DB[Product_ID],ESales_DB[[#This Row],[Product_ID]],ESales_DB[Quantity]),ESales_DB[[#This Row],[Quantity]])</f>
        <v>4</v>
      </c>
      <c r="I1834" s="2">
        <v>883.31</v>
      </c>
      <c r="J1834">
        <v>0.27</v>
      </c>
      <c r="K1834" t="s">
        <v>1824</v>
      </c>
      <c r="L1834" s="2">
        <v>2579.2651999999998</v>
      </c>
      <c r="M1834" s="2" t="str">
        <f>IF(ESales_DB[[#This Row],[Total_Amount]]&gt;1000,"High","Low")</f>
        <v>High</v>
      </c>
      <c r="N1834" s="2" t="str">
        <f>VLOOKUP(ESales_DB[[#This Row],[Customer_ID]],Ecustom_DB[],3,FALSE)</f>
        <v>Sarah Marsh</v>
      </c>
      <c r="O1834" s="2" t="str">
        <f>_xlfn.XLOOKUP(ESales_DB[[#This Row],[Product_ID]],Eproduct_DB[Product_ID],Eproduct_DB[Category])</f>
        <v>Home</v>
      </c>
      <c r="P1834" s="2" t="str">
        <f>_xlfn.XLOOKUP(ESales_DB[[#This Row],[Product_ID]],Eproduct_DB[Product_ID],Eproduct_DB[Product_Name])</f>
        <v>Kitchen Storage Rack</v>
      </c>
      <c r="Q1834" s="2" t="str">
        <f>_xlfn.XLOOKUP(ESales_DB[[#This Row],[Store_ID]],Estore_DB[Store_ID],Estore_DB[Region])</f>
        <v>East</v>
      </c>
      <c r="R1834" t="str">
        <f>VLOOKUP(ESales_DB[[#This Row],[Customer_ID]],Ecustom_DB[],10,FALSE)</f>
        <v>Gold</v>
      </c>
      <c r="S1834" t="str">
        <f>IF(ESales_DB[[#This Row],[Quantity1]]&gt;3,"Bulk order","Normal order")</f>
        <v>Bulk order</v>
      </c>
    </row>
    <row r="1835" spans="1:19" x14ac:dyDescent="0.3">
      <c r="A1835" t="s">
        <v>2675</v>
      </c>
      <c r="B1835" s="4">
        <v>45627</v>
      </c>
      <c r="C1835" s="4" t="str">
        <f>TEXT(ESales_DB[[#This Row],[Order_Date]],"mmm")</f>
        <v>Dec</v>
      </c>
      <c r="D1835" t="s">
        <v>752</v>
      </c>
      <c r="E1835" t="s">
        <v>1582</v>
      </c>
      <c r="F1835" t="s">
        <v>1799</v>
      </c>
      <c r="G1835">
        <v>4</v>
      </c>
      <c r="H1835" s="10">
        <f>IF(ISBLANK(ESales_DB[[#This Row],[Quantity]]),AVERAGEIF(ESales_DB[Product_ID],ESales_DB[[#This Row],[Product_ID]],ESales_DB[Quantity]),ESales_DB[[#This Row],[Quantity]])</f>
        <v>4</v>
      </c>
      <c r="I1835" s="2">
        <v>329.06</v>
      </c>
      <c r="J1835">
        <v>0.04</v>
      </c>
      <c r="K1835" t="s">
        <v>1829</v>
      </c>
      <c r="L1835" s="2">
        <v>1263.5904</v>
      </c>
      <c r="M1835" s="2" t="str">
        <f>IF(ESales_DB[[#This Row],[Total_Amount]]&gt;1000,"High","Low")</f>
        <v>High</v>
      </c>
      <c r="N1835" s="2" t="str">
        <f>VLOOKUP(ESales_DB[[#This Row],[Customer_ID]],Ecustom_DB[],3,FALSE)</f>
        <v>Nathaniel Hill</v>
      </c>
      <c r="O1835" s="2" t="str">
        <f>_xlfn.XLOOKUP(ESales_DB[[#This Row],[Product_ID]],Eproduct_DB[Product_ID],Eproduct_DB[Category])</f>
        <v>Sports</v>
      </c>
      <c r="P1835" s="2" t="str">
        <f>_xlfn.XLOOKUP(ESales_DB[[#This Row],[Product_ID]],Eproduct_DB[Product_ID],Eproduct_DB[Product_Name])</f>
        <v>Soccer Training Cone Set</v>
      </c>
      <c r="Q1835" s="2" t="str">
        <f>_xlfn.XLOOKUP(ESales_DB[[#This Row],[Store_ID]],Estore_DB[Store_ID],Estore_DB[Region])</f>
        <v>South</v>
      </c>
      <c r="R1835" t="str">
        <f>VLOOKUP(ESales_DB[[#This Row],[Customer_ID]],Ecustom_DB[],10,FALSE)</f>
        <v>Gold</v>
      </c>
      <c r="S1835" t="str">
        <f>IF(ESales_DB[[#This Row],[Quantity1]]&gt;3,"Bulk order","Normal order")</f>
        <v>Bulk order</v>
      </c>
    </row>
    <row r="1836" spans="1:19" x14ac:dyDescent="0.3">
      <c r="A1836" t="s">
        <v>1911</v>
      </c>
      <c r="B1836" s="4">
        <v>45282</v>
      </c>
      <c r="C1836" s="4" t="str">
        <f>TEXT(ESales_DB[[#This Row],[Order_Date]],"mmm")</f>
        <v>Dec</v>
      </c>
      <c r="D1836" t="s">
        <v>205</v>
      </c>
      <c r="E1836" t="s">
        <v>1724</v>
      </c>
      <c r="F1836" t="s">
        <v>1779</v>
      </c>
      <c r="G1836">
        <v>4</v>
      </c>
      <c r="H1836" s="10">
        <f>IF(ISBLANK(ESales_DB[[#This Row],[Quantity]]),AVERAGEIF(ESales_DB[Product_ID],ESales_DB[[#This Row],[Product_ID]],ESales_DB[Quantity]),ESales_DB[[#This Row],[Quantity]])</f>
        <v>4</v>
      </c>
      <c r="I1836" s="2">
        <v>127.1</v>
      </c>
      <c r="J1836">
        <v>0.24</v>
      </c>
      <c r="K1836" t="s">
        <v>1829</v>
      </c>
      <c r="L1836" s="2">
        <v>386.38400000000001</v>
      </c>
      <c r="M1836" s="2" t="str">
        <f>IF(ESales_DB[[#This Row],[Total_Amount]]&gt;1000,"High","Low")</f>
        <v>Low</v>
      </c>
      <c r="N1836" s="2" t="str">
        <f>VLOOKUP(ESales_DB[[#This Row],[Customer_ID]],Ecustom_DB[],3,FALSE)</f>
        <v>Katherine Dorsey</v>
      </c>
      <c r="O1836" s="2" t="str">
        <f>_xlfn.XLOOKUP(ESales_DB[[#This Row],[Product_ID]],Eproduct_DB[Product_ID],Eproduct_DB[Category])</f>
        <v>Sports</v>
      </c>
      <c r="P1836" s="2" t="str">
        <f>_xlfn.XLOOKUP(ESales_DB[[#This Row],[Product_ID]],Eproduct_DB[Product_ID],Eproduct_DB[Product_Name])</f>
        <v>Sports Wrist Sweatbands</v>
      </c>
      <c r="Q1836" s="2" t="str">
        <f>_xlfn.XLOOKUP(ESales_DB[[#This Row],[Store_ID]],Estore_DB[Store_ID],Estore_DB[Region])</f>
        <v>South</v>
      </c>
      <c r="R1836" t="str">
        <f>VLOOKUP(ESales_DB[[#This Row],[Customer_ID]],Ecustom_DB[],10,FALSE)</f>
        <v>Platinum</v>
      </c>
      <c r="S1836" t="str">
        <f>IF(ESales_DB[[#This Row],[Quantity1]]&gt;3,"Bulk order","Normal order")</f>
        <v>Bulk order</v>
      </c>
    </row>
    <row r="1837" spans="1:19" x14ac:dyDescent="0.3">
      <c r="A1837" t="s">
        <v>2676</v>
      </c>
      <c r="B1837" s="4">
        <v>45678</v>
      </c>
      <c r="C1837" s="4" t="str">
        <f>TEXT(ESales_DB[[#This Row],[Order_Date]],"mmm")</f>
        <v>Jan</v>
      </c>
      <c r="D1837" t="s">
        <v>372</v>
      </c>
      <c r="E1837" t="s">
        <v>1684</v>
      </c>
      <c r="F1837" t="s">
        <v>1792</v>
      </c>
      <c r="G1837">
        <v>1</v>
      </c>
      <c r="H1837" s="10">
        <f>IF(ISBLANK(ESales_DB[[#This Row],[Quantity]]),AVERAGEIF(ESales_DB[Product_ID],ESales_DB[[#This Row],[Product_ID]],ESales_DB[Quantity]),ESales_DB[[#This Row],[Quantity]])</f>
        <v>1</v>
      </c>
      <c r="I1837" s="2">
        <v>935.78</v>
      </c>
      <c r="J1837">
        <v>0.03</v>
      </c>
      <c r="K1837" t="s">
        <v>1826</v>
      </c>
      <c r="L1837" s="2">
        <v>907.70659999999998</v>
      </c>
      <c r="M1837" s="2" t="str">
        <f>IF(ESales_DB[[#This Row],[Total_Amount]]&gt;1000,"High","Low")</f>
        <v>Low</v>
      </c>
      <c r="N1837" s="2" t="str">
        <f>VLOOKUP(ESales_DB[[#This Row],[Customer_ID]],Ecustom_DB[],3,FALSE)</f>
        <v>Lance Baker</v>
      </c>
      <c r="O1837" s="2" t="str">
        <f>_xlfn.XLOOKUP(ESales_DB[[#This Row],[Product_ID]],Eproduct_DB[Product_ID],Eproduct_DB[Category])</f>
        <v>Home</v>
      </c>
      <c r="P1837" s="2" t="str">
        <f>_xlfn.XLOOKUP(ESales_DB[[#This Row],[Product_ID]],Eproduct_DB[Product_ID],Eproduct_DB[Product_Name])</f>
        <v>Wooden Nightstand</v>
      </c>
      <c r="Q1837" s="2" t="str">
        <f>_xlfn.XLOOKUP(ESales_DB[[#This Row],[Store_ID]],Estore_DB[Store_ID],Estore_DB[Region])</f>
        <v>South</v>
      </c>
      <c r="R1837" t="str">
        <f>VLOOKUP(ESales_DB[[#This Row],[Customer_ID]],Ecustom_DB[],10,FALSE)</f>
        <v>Gold</v>
      </c>
      <c r="S1837" t="str">
        <f>IF(ESales_DB[[#This Row],[Quantity1]]&gt;3,"Bulk order","Normal order")</f>
        <v>Normal order</v>
      </c>
    </row>
    <row r="1838" spans="1:19" x14ac:dyDescent="0.3">
      <c r="A1838" t="s">
        <v>2677</v>
      </c>
      <c r="B1838" s="4">
        <v>45484</v>
      </c>
      <c r="C1838" s="4" t="str">
        <f>TEXT(ESales_DB[[#This Row],[Order_Date]],"mmm")</f>
        <v>Jul</v>
      </c>
      <c r="D1838" t="s">
        <v>1008</v>
      </c>
      <c r="E1838" t="s">
        <v>1668</v>
      </c>
      <c r="F1838" t="s">
        <v>1789</v>
      </c>
      <c r="G1838">
        <v>4</v>
      </c>
      <c r="H1838" s="10">
        <f>IF(ISBLANK(ESales_DB[[#This Row],[Quantity]]),AVERAGEIF(ESales_DB[Product_ID],ESales_DB[[#This Row],[Product_ID]],ESales_DB[Quantity]),ESales_DB[[#This Row],[Quantity]])</f>
        <v>4</v>
      </c>
      <c r="I1838" s="2">
        <v>597.79999999999995</v>
      </c>
      <c r="J1838">
        <v>0.2</v>
      </c>
      <c r="K1838" t="s">
        <v>1824</v>
      </c>
      <c r="L1838" s="2">
        <v>1912.96</v>
      </c>
      <c r="M1838" s="2" t="str">
        <f>IF(ESales_DB[[#This Row],[Total_Amount]]&gt;1000,"High","Low")</f>
        <v>High</v>
      </c>
      <c r="N1838" s="2" t="str">
        <f>VLOOKUP(ESales_DB[[#This Row],[Customer_ID]],Ecustom_DB[],3,FALSE)</f>
        <v>Jessica Gonzalez</v>
      </c>
      <c r="O1838" s="2" t="str">
        <f>_xlfn.XLOOKUP(ESales_DB[[#This Row],[Product_ID]],Eproduct_DB[Product_ID],Eproduct_DB[Category])</f>
        <v>Beauty</v>
      </c>
      <c r="P1838" s="2" t="str">
        <f>_xlfn.XLOOKUP(ESales_DB[[#This Row],[Product_ID]],Eproduct_DB[Product_ID],Eproduct_DB[Product_Name])</f>
        <v>Luxury Perfume Spray</v>
      </c>
      <c r="Q1838" s="2" t="str">
        <f>_xlfn.XLOOKUP(ESales_DB[[#This Row],[Store_ID]],Estore_DB[Store_ID],Estore_DB[Region])</f>
        <v>East</v>
      </c>
      <c r="R1838" t="str">
        <f>VLOOKUP(ESales_DB[[#This Row],[Customer_ID]],Ecustom_DB[],10,FALSE)</f>
        <v>Bronze</v>
      </c>
      <c r="S1838" t="str">
        <f>IF(ESales_DB[[#This Row],[Quantity1]]&gt;3,"Bulk order","Normal order")</f>
        <v>Bulk order</v>
      </c>
    </row>
    <row r="1839" spans="1:19" x14ac:dyDescent="0.3">
      <c r="A1839" t="s">
        <v>2678</v>
      </c>
      <c r="B1839" s="4">
        <v>45700</v>
      </c>
      <c r="C1839" s="4" t="str">
        <f>TEXT(ESales_DB[[#This Row],[Order_Date]],"mmm")</f>
        <v>Feb</v>
      </c>
      <c r="D1839" t="s">
        <v>827</v>
      </c>
      <c r="E1839" t="s">
        <v>1574</v>
      </c>
      <c r="F1839" t="s">
        <v>1810</v>
      </c>
      <c r="G1839">
        <v>4</v>
      </c>
      <c r="H1839" s="10">
        <f>IF(ISBLANK(ESales_DB[[#This Row],[Quantity]]),AVERAGEIF(ESales_DB[Product_ID],ESales_DB[[#This Row],[Product_ID]],ESales_DB[Quantity]),ESales_DB[[#This Row],[Quantity]])</f>
        <v>4</v>
      </c>
      <c r="I1839" s="2">
        <v>266.98</v>
      </c>
      <c r="J1839">
        <v>0.16</v>
      </c>
      <c r="K1839" t="s">
        <v>1824</v>
      </c>
      <c r="L1839" s="2">
        <v>897.05280000000005</v>
      </c>
      <c r="M1839" s="2" t="str">
        <f>IF(ESales_DB[[#This Row],[Total_Amount]]&gt;1000,"High","Low")</f>
        <v>Low</v>
      </c>
      <c r="N1839" s="2" t="str">
        <f>VLOOKUP(ESales_DB[[#This Row],[Customer_ID]],Ecustom_DB[],3,FALSE)</f>
        <v>Beth Allen</v>
      </c>
      <c r="O1839" s="2" t="str">
        <f>_xlfn.XLOOKUP(ESales_DB[[#This Row],[Product_ID]],Eproduct_DB[Product_ID],Eproduct_DB[Category])</f>
        <v>Electronics</v>
      </c>
      <c r="P1839" s="2" t="str">
        <f>_xlfn.XLOOKUP(ESales_DB[[#This Row],[Product_ID]],Eproduct_DB[Product_ID],Eproduct_DB[Product_Name])</f>
        <v>USB-C Fast Charger</v>
      </c>
      <c r="Q1839" s="2" t="str">
        <f>_xlfn.XLOOKUP(ESales_DB[[#This Row],[Store_ID]],Estore_DB[Store_ID],Estore_DB[Region])</f>
        <v>East</v>
      </c>
      <c r="R1839" t="str">
        <f>VLOOKUP(ESales_DB[[#This Row],[Customer_ID]],Ecustom_DB[],10,FALSE)</f>
        <v>Silver</v>
      </c>
      <c r="S1839" t="str">
        <f>IF(ESales_DB[[#This Row],[Quantity1]]&gt;3,"Bulk order","Normal order")</f>
        <v>Bulk order</v>
      </c>
    </row>
    <row r="1840" spans="1:19" x14ac:dyDescent="0.3">
      <c r="A1840" t="s">
        <v>2679</v>
      </c>
      <c r="B1840" s="4">
        <v>45873</v>
      </c>
      <c r="C1840" s="4" t="str">
        <f>TEXT(ESales_DB[[#This Row],[Order_Date]],"mmm")</f>
        <v>Aug</v>
      </c>
      <c r="D1840" t="s">
        <v>1266</v>
      </c>
      <c r="E1840" t="s">
        <v>1688</v>
      </c>
      <c r="F1840" t="s">
        <v>1801</v>
      </c>
      <c r="G1840">
        <v>3</v>
      </c>
      <c r="H1840" s="10">
        <f>IF(ISBLANK(ESales_DB[[#This Row],[Quantity]]),AVERAGEIF(ESales_DB[Product_ID],ESales_DB[[#This Row],[Product_ID]],ESales_DB[Quantity]),ESales_DB[[#This Row],[Quantity]])</f>
        <v>3</v>
      </c>
      <c r="I1840" s="2">
        <v>360.18</v>
      </c>
      <c r="J1840">
        <v>0.03</v>
      </c>
      <c r="K1840" t="s">
        <v>1824</v>
      </c>
      <c r="L1840" s="2">
        <v>1048.1238000000001</v>
      </c>
      <c r="M1840" s="2" t="str">
        <f>IF(ESales_DB[[#This Row],[Total_Amount]]&gt;1000,"High","Low")</f>
        <v>High</v>
      </c>
      <c r="N1840" s="2" t="str">
        <f>VLOOKUP(ESales_DB[[#This Row],[Customer_ID]],Ecustom_DB[],3,FALSE)</f>
        <v>Joseph Mendoza</v>
      </c>
      <c r="O1840" s="2" t="str">
        <f>_xlfn.XLOOKUP(ESales_DB[[#This Row],[Product_ID]],Eproduct_DB[Product_ID],Eproduct_DB[Category])</f>
        <v>Home</v>
      </c>
      <c r="P1840" s="2" t="str">
        <f>_xlfn.XLOOKUP(ESales_DB[[#This Row],[Product_ID]],Eproduct_DB[Product_ID],Eproduct_DB[Product_Name])</f>
        <v>Kitchen Storage Rack</v>
      </c>
      <c r="Q1840" s="2" t="str">
        <f>_xlfn.XLOOKUP(ESales_DB[[#This Row],[Store_ID]],Estore_DB[Store_ID],Estore_DB[Region])</f>
        <v>North</v>
      </c>
      <c r="R1840" t="str">
        <f>VLOOKUP(ESales_DB[[#This Row],[Customer_ID]],Ecustom_DB[],10,FALSE)</f>
        <v>Gold</v>
      </c>
      <c r="S1840" t="str">
        <f>IF(ESales_DB[[#This Row],[Quantity1]]&gt;3,"Bulk order","Normal order")</f>
        <v>Normal order</v>
      </c>
    </row>
    <row r="1841" spans="1:19" x14ac:dyDescent="0.3">
      <c r="A1841" t="s">
        <v>2680</v>
      </c>
      <c r="B1841" s="4">
        <v>45860</v>
      </c>
      <c r="C1841" s="4" t="str">
        <f>TEXT(ESales_DB[[#This Row],[Order_Date]],"mmm")</f>
        <v>Jul</v>
      </c>
      <c r="D1841" t="s">
        <v>1136</v>
      </c>
      <c r="E1841" t="s">
        <v>1660</v>
      </c>
      <c r="F1841" t="s">
        <v>1752</v>
      </c>
      <c r="G1841">
        <v>3</v>
      </c>
      <c r="H1841" s="10">
        <f>IF(ISBLANK(ESales_DB[[#This Row],[Quantity]]),AVERAGEIF(ESales_DB[Product_ID],ESales_DB[[#This Row],[Product_ID]],ESales_DB[Quantity]),ESales_DB[[#This Row],[Quantity]])</f>
        <v>3</v>
      </c>
      <c r="I1841" s="2">
        <v>247.41</v>
      </c>
      <c r="J1841">
        <v>0.05</v>
      </c>
      <c r="K1841" t="s">
        <v>1829</v>
      </c>
      <c r="L1841" s="2">
        <v>705.11850000000004</v>
      </c>
      <c r="M1841" s="2" t="str">
        <f>IF(ESales_DB[[#This Row],[Total_Amount]]&gt;1000,"High","Low")</f>
        <v>Low</v>
      </c>
      <c r="N1841" s="2" t="str">
        <f>VLOOKUP(ESales_DB[[#This Row],[Customer_ID]],Ecustom_DB[],3,FALSE)</f>
        <v>Elizabeth Smith</v>
      </c>
      <c r="O1841" s="2" t="str">
        <f>_xlfn.XLOOKUP(ESales_DB[[#This Row],[Product_ID]],Eproduct_DB[Product_ID],Eproduct_DB[Category])</f>
        <v>Home</v>
      </c>
      <c r="P1841" s="2" t="str">
        <f>_xlfn.XLOOKUP(ESales_DB[[#This Row],[Product_ID]],Eproduct_DB[Product_ID],Eproduct_DB[Product_Name])</f>
        <v>Premium Blanket Throw</v>
      </c>
      <c r="Q1841" s="2" t="str">
        <f>_xlfn.XLOOKUP(ESales_DB[[#This Row],[Store_ID]],Estore_DB[Store_ID],Estore_DB[Region])</f>
        <v>East</v>
      </c>
      <c r="R1841" t="str">
        <f>VLOOKUP(ESales_DB[[#This Row],[Customer_ID]],Ecustom_DB[],10,FALSE)</f>
        <v>Bronze</v>
      </c>
      <c r="S1841" t="str">
        <f>IF(ESales_DB[[#This Row],[Quantity1]]&gt;3,"Bulk order","Normal order")</f>
        <v>Normal order</v>
      </c>
    </row>
    <row r="1842" spans="1:19" x14ac:dyDescent="0.3">
      <c r="A1842" t="s">
        <v>2681</v>
      </c>
      <c r="B1842" s="4">
        <v>45235</v>
      </c>
      <c r="C1842" s="4" t="str">
        <f>TEXT(ESales_DB[[#This Row],[Order_Date]],"mmm")</f>
        <v>Nov</v>
      </c>
      <c r="D1842" t="s">
        <v>284</v>
      </c>
      <c r="E1842" t="s">
        <v>1638</v>
      </c>
      <c r="F1842" t="s">
        <v>1801</v>
      </c>
      <c r="G1842">
        <v>3</v>
      </c>
      <c r="H1842" s="10">
        <f>IF(ISBLANK(ESales_DB[[#This Row],[Quantity]]),AVERAGEIF(ESales_DB[Product_ID],ESales_DB[[#This Row],[Product_ID]],ESales_DB[Quantity]),ESales_DB[[#This Row],[Quantity]])</f>
        <v>3</v>
      </c>
      <c r="I1842" s="2">
        <v>674.66</v>
      </c>
      <c r="J1842">
        <v>0.23</v>
      </c>
      <c r="K1842" t="s">
        <v>1824</v>
      </c>
      <c r="L1842" s="2">
        <v>1558.4646</v>
      </c>
      <c r="M1842" s="2" t="str">
        <f>IF(ESales_DB[[#This Row],[Total_Amount]]&gt;1000,"High","Low")</f>
        <v>High</v>
      </c>
      <c r="N1842" s="2" t="str">
        <f>VLOOKUP(ESales_DB[[#This Row],[Customer_ID]],Ecustom_DB[],3,FALSE)</f>
        <v>Cody Blake</v>
      </c>
      <c r="O1842" s="2" t="str">
        <f>_xlfn.XLOOKUP(ESales_DB[[#This Row],[Product_ID]],Eproduct_DB[Product_ID],Eproduct_DB[Category])</f>
        <v>Sports</v>
      </c>
      <c r="P1842" s="2" t="str">
        <f>_xlfn.XLOOKUP(ESales_DB[[#This Row],[Product_ID]],Eproduct_DB[Product_ID],Eproduct_DB[Product_Name])</f>
        <v>High-Grip Football</v>
      </c>
      <c r="Q1842" s="2" t="str">
        <f>_xlfn.XLOOKUP(ESales_DB[[#This Row],[Store_ID]],Estore_DB[Store_ID],Estore_DB[Region])</f>
        <v>North</v>
      </c>
      <c r="R1842" t="str">
        <f>VLOOKUP(ESales_DB[[#This Row],[Customer_ID]],Ecustom_DB[],10,FALSE)</f>
        <v>Gold</v>
      </c>
      <c r="S1842" t="str">
        <f>IF(ESales_DB[[#This Row],[Quantity1]]&gt;3,"Bulk order","Normal order")</f>
        <v>Normal order</v>
      </c>
    </row>
    <row r="1843" spans="1:19" x14ac:dyDescent="0.3">
      <c r="A1843" t="s">
        <v>2682</v>
      </c>
      <c r="B1843" s="4">
        <v>45874</v>
      </c>
      <c r="C1843" s="4" t="str">
        <f>TEXT(ESales_DB[[#This Row],[Order_Date]],"mmm")</f>
        <v>Aug</v>
      </c>
      <c r="D1843" t="s">
        <v>1289</v>
      </c>
      <c r="E1843" t="s">
        <v>1632</v>
      </c>
      <c r="F1843" t="s">
        <v>1769</v>
      </c>
      <c r="G1843">
        <v>1</v>
      </c>
      <c r="H1843" s="10">
        <f>IF(ISBLANK(ESales_DB[[#This Row],[Quantity]]),AVERAGEIF(ESales_DB[Product_ID],ESales_DB[[#This Row],[Product_ID]],ESales_DB[Quantity]),ESales_DB[[#This Row],[Quantity]])</f>
        <v>1</v>
      </c>
      <c r="I1843" s="2">
        <v>913.98</v>
      </c>
      <c r="J1843">
        <v>0.27</v>
      </c>
      <c r="K1843" t="s">
        <v>1826</v>
      </c>
      <c r="L1843" s="2">
        <v>667.20539999999994</v>
      </c>
      <c r="M1843" s="2" t="str">
        <f>IF(ESales_DB[[#This Row],[Total_Amount]]&gt;1000,"High","Low")</f>
        <v>Low</v>
      </c>
      <c r="N1843" s="2" t="str">
        <f>VLOOKUP(ESales_DB[[#This Row],[Customer_ID]],Ecustom_DB[],3,FALSE)</f>
        <v>Tyler Cook</v>
      </c>
      <c r="O1843" s="2" t="str">
        <f>_xlfn.XLOOKUP(ESales_DB[[#This Row],[Product_ID]],Eproduct_DB[Product_ID],Eproduct_DB[Category])</f>
        <v>Electronics</v>
      </c>
      <c r="P1843" s="2" t="str">
        <f>_xlfn.XLOOKUP(ESales_DB[[#This Row],[Product_ID]],Eproduct_DB[Product_ID],Eproduct_DB[Product_Name])</f>
        <v>Smart Home WiFi Camera</v>
      </c>
      <c r="Q1843" s="2" t="str">
        <f>_xlfn.XLOOKUP(ESales_DB[[#This Row],[Store_ID]],Estore_DB[Store_ID],Estore_DB[Region])</f>
        <v>South</v>
      </c>
      <c r="R1843" t="str">
        <f>VLOOKUP(ESales_DB[[#This Row],[Customer_ID]],Ecustom_DB[],10,FALSE)</f>
        <v>Silver</v>
      </c>
      <c r="S1843" t="str">
        <f>IF(ESales_DB[[#This Row],[Quantity1]]&gt;3,"Bulk order","Normal order")</f>
        <v>Normal order</v>
      </c>
    </row>
    <row r="1844" spans="1:19" x14ac:dyDescent="0.3">
      <c r="A1844" t="s">
        <v>2683</v>
      </c>
      <c r="B1844" s="4">
        <v>45769</v>
      </c>
      <c r="C1844" s="4" t="str">
        <f>TEXT(ESales_DB[[#This Row],[Order_Date]],"mmm")</f>
        <v>Apr</v>
      </c>
      <c r="D1844" t="s">
        <v>990</v>
      </c>
      <c r="E1844" t="s">
        <v>1734</v>
      </c>
      <c r="F1844" t="s">
        <v>1789</v>
      </c>
      <c r="G1844">
        <v>4</v>
      </c>
      <c r="H1844" s="10">
        <f>IF(ISBLANK(ESales_DB[[#This Row],[Quantity]]),AVERAGEIF(ESales_DB[Product_ID],ESales_DB[[#This Row],[Product_ID]],ESales_DB[Quantity]),ESales_DB[[#This Row],[Quantity]])</f>
        <v>4</v>
      </c>
      <c r="I1844" s="2">
        <v>370.5</v>
      </c>
      <c r="J1844">
        <v>0.13</v>
      </c>
      <c r="K1844" t="s">
        <v>1826</v>
      </c>
      <c r="L1844" s="2">
        <v>1289.3399999999999</v>
      </c>
      <c r="M1844" s="2" t="str">
        <f>IF(ESales_DB[[#This Row],[Total_Amount]]&gt;1000,"High","Low")</f>
        <v>High</v>
      </c>
      <c r="N1844" s="2" t="str">
        <f>VLOOKUP(ESales_DB[[#This Row],[Customer_ID]],Ecustom_DB[],3,FALSE)</f>
        <v>Elizabeth Johnson</v>
      </c>
      <c r="O1844" s="2" t="str">
        <f>_xlfn.XLOOKUP(ESales_DB[[#This Row],[Product_ID]],Eproduct_DB[Product_ID],Eproduct_DB[Category])</f>
        <v>Electronics</v>
      </c>
      <c r="P1844" s="2" t="str">
        <f>_xlfn.XLOOKUP(ESales_DB[[#This Row],[Product_ID]],Eproduct_DB[Product_ID],Eproduct_DB[Product_Name])</f>
        <v>USB-C Laptop Charger</v>
      </c>
      <c r="Q1844" s="2" t="str">
        <f>_xlfn.XLOOKUP(ESales_DB[[#This Row],[Store_ID]],Estore_DB[Store_ID],Estore_DB[Region])</f>
        <v>East</v>
      </c>
      <c r="R1844" t="str">
        <f>VLOOKUP(ESales_DB[[#This Row],[Customer_ID]],Ecustom_DB[],10,FALSE)</f>
        <v>Silver</v>
      </c>
      <c r="S1844" t="str">
        <f>IF(ESales_DB[[#This Row],[Quantity1]]&gt;3,"Bulk order","Normal order")</f>
        <v>Bulk order</v>
      </c>
    </row>
    <row r="1845" spans="1:19" x14ac:dyDescent="0.3">
      <c r="A1845" t="s">
        <v>2684</v>
      </c>
      <c r="B1845" s="4">
        <v>45619</v>
      </c>
      <c r="C1845" s="4" t="str">
        <f>TEXT(ESales_DB[[#This Row],[Order_Date]],"mmm")</f>
        <v>Nov</v>
      </c>
      <c r="D1845" t="s">
        <v>1121</v>
      </c>
      <c r="E1845" t="s">
        <v>1692</v>
      </c>
      <c r="F1845" t="s">
        <v>1797</v>
      </c>
      <c r="G1845">
        <v>1</v>
      </c>
      <c r="H1845" s="10">
        <f>IF(ISBLANK(ESales_DB[[#This Row],[Quantity]]),AVERAGEIF(ESales_DB[Product_ID],ESales_DB[[#This Row],[Product_ID]],ESales_DB[Quantity]),ESales_DB[[#This Row],[Quantity]])</f>
        <v>1</v>
      </c>
      <c r="I1845" s="2">
        <v>735.1</v>
      </c>
      <c r="J1845">
        <v>0.1</v>
      </c>
      <c r="K1845" t="s">
        <v>1826</v>
      </c>
      <c r="L1845" s="2">
        <v>661.59</v>
      </c>
      <c r="M1845" s="2" t="str">
        <f>IF(ESales_DB[[#This Row],[Total_Amount]]&gt;1000,"High","Low")</f>
        <v>Low</v>
      </c>
      <c r="N1845" s="2" t="str">
        <f>VLOOKUP(ESales_DB[[#This Row],[Customer_ID]],Ecustom_DB[],3,FALSE)</f>
        <v>Ashley Anderson</v>
      </c>
      <c r="O1845" s="2" t="str">
        <f>_xlfn.XLOOKUP(ESales_DB[[#This Row],[Product_ID]],Eproduct_DB[Product_ID],Eproduct_DB[Category])</f>
        <v>Sports</v>
      </c>
      <c r="P1845" s="2" t="str">
        <f>_xlfn.XLOOKUP(ESales_DB[[#This Row],[Product_ID]],Eproduct_DB[Product_ID],Eproduct_DB[Product_Name])</f>
        <v>Professional Jump Rope</v>
      </c>
      <c r="Q1845" s="2" t="str">
        <f>_xlfn.XLOOKUP(ESales_DB[[#This Row],[Store_ID]],Estore_DB[Store_ID],Estore_DB[Region])</f>
        <v>East</v>
      </c>
      <c r="R1845" t="str">
        <f>VLOOKUP(ESales_DB[[#This Row],[Customer_ID]],Ecustom_DB[],10,FALSE)</f>
        <v>Gold</v>
      </c>
      <c r="S1845" t="str">
        <f>IF(ESales_DB[[#This Row],[Quantity1]]&gt;3,"Bulk order","Normal order")</f>
        <v>Normal order</v>
      </c>
    </row>
    <row r="1846" spans="1:19" x14ac:dyDescent="0.3">
      <c r="A1846" t="s">
        <v>2685</v>
      </c>
      <c r="B1846" s="4">
        <v>45614</v>
      </c>
      <c r="C1846" s="4" t="str">
        <f>TEXT(ESales_DB[[#This Row],[Order_Date]],"mmm")</f>
        <v>Nov</v>
      </c>
      <c r="D1846" t="s">
        <v>461</v>
      </c>
      <c r="E1846" t="s">
        <v>1706</v>
      </c>
      <c r="F1846" t="s">
        <v>1761</v>
      </c>
      <c r="G1846">
        <v>3</v>
      </c>
      <c r="H1846" s="10">
        <f>IF(ISBLANK(ESales_DB[[#This Row],[Quantity]]),AVERAGEIF(ESales_DB[Product_ID],ESales_DB[[#This Row],[Product_ID]],ESales_DB[Quantity]),ESales_DB[[#This Row],[Quantity]])</f>
        <v>3</v>
      </c>
      <c r="I1846" s="2">
        <v>448.55</v>
      </c>
      <c r="J1846">
        <v>0.05</v>
      </c>
      <c r="K1846" t="s">
        <v>1824</v>
      </c>
      <c r="L1846" s="2">
        <v>1278.3675000000001</v>
      </c>
      <c r="M1846" s="2" t="str">
        <f>IF(ESales_DB[[#This Row],[Total_Amount]]&gt;1000,"High","Low")</f>
        <v>High</v>
      </c>
      <c r="N1846" s="2" t="str">
        <f>VLOOKUP(ESales_DB[[#This Row],[Customer_ID]],Ecustom_DB[],3,FALSE)</f>
        <v>Matthew Hanna</v>
      </c>
      <c r="O1846" s="2" t="str">
        <f>_xlfn.XLOOKUP(ESales_DB[[#This Row],[Product_ID]],Eproduct_DB[Product_ID],Eproduct_DB[Category])</f>
        <v>Home</v>
      </c>
      <c r="P1846" s="2" t="str">
        <f>_xlfn.XLOOKUP(ESales_DB[[#This Row],[Product_ID]],Eproduct_DB[Product_ID],Eproduct_DB[Product_Name])</f>
        <v>Decorative Lamp Shade</v>
      </c>
      <c r="Q1846" s="2" t="str">
        <f>_xlfn.XLOOKUP(ESales_DB[[#This Row],[Store_ID]],Estore_DB[Store_ID],Estore_DB[Region])</f>
        <v>South</v>
      </c>
      <c r="R1846" t="str">
        <f>VLOOKUP(ESales_DB[[#This Row],[Customer_ID]],Ecustom_DB[],10,FALSE)</f>
        <v>Platinum</v>
      </c>
      <c r="S1846" t="str">
        <f>IF(ESales_DB[[#This Row],[Quantity1]]&gt;3,"Bulk order","Normal order")</f>
        <v>Normal order</v>
      </c>
    </row>
    <row r="1847" spans="1:19" x14ac:dyDescent="0.3">
      <c r="A1847" t="s">
        <v>1912</v>
      </c>
      <c r="B1847" s="4">
        <v>45545</v>
      </c>
      <c r="C1847" s="4" t="str">
        <f>TEXT(ESales_DB[[#This Row],[Order_Date]],"mmm")</f>
        <v>Sep</v>
      </c>
      <c r="D1847" t="s">
        <v>957</v>
      </c>
      <c r="E1847" t="s">
        <v>1588</v>
      </c>
      <c r="F1847" t="s">
        <v>1766</v>
      </c>
      <c r="G1847">
        <v>3</v>
      </c>
      <c r="H1847" s="10">
        <f>IF(ISBLANK(ESales_DB[[#This Row],[Quantity]]),AVERAGEIF(ESales_DB[Product_ID],ESales_DB[[#This Row],[Product_ID]],ESales_DB[Quantity]),ESales_DB[[#This Row],[Quantity]])</f>
        <v>3</v>
      </c>
      <c r="I1847" s="2">
        <v>899.58</v>
      </c>
      <c r="J1847">
        <v>0.28000000000000003</v>
      </c>
      <c r="K1847" t="s">
        <v>1826</v>
      </c>
      <c r="L1847" s="2">
        <v>1943.0927999999999</v>
      </c>
      <c r="M1847" s="2" t="str">
        <f>IF(ESales_DB[[#This Row],[Total_Amount]]&gt;1000,"High","Low")</f>
        <v>High</v>
      </c>
      <c r="N1847" s="2" t="str">
        <f>VLOOKUP(ESales_DB[[#This Row],[Customer_ID]],Ecustom_DB[],3,FALSE)</f>
        <v>John Sloan</v>
      </c>
      <c r="O1847" s="2" t="str">
        <f>_xlfn.XLOOKUP(ESales_DB[[#This Row],[Product_ID]],Eproduct_DB[Product_ID],Eproduct_DB[Category])</f>
        <v>Sports</v>
      </c>
      <c r="P1847" s="2" t="str">
        <f>_xlfn.XLOOKUP(ESales_DB[[#This Row],[Product_ID]],Eproduct_DB[Product_ID],Eproduct_DB[Product_Name])</f>
        <v>Outdoor Sports Water Bottle</v>
      </c>
      <c r="Q1847" s="2" t="str">
        <f>_xlfn.XLOOKUP(ESales_DB[[#This Row],[Store_ID]],Estore_DB[Store_ID],Estore_DB[Region])</f>
        <v>North</v>
      </c>
      <c r="R1847" t="str">
        <f>VLOOKUP(ESales_DB[[#This Row],[Customer_ID]],Ecustom_DB[],10,FALSE)</f>
        <v>Platinum</v>
      </c>
      <c r="S1847" t="str">
        <f>IF(ESales_DB[[#This Row],[Quantity1]]&gt;3,"Bulk order","Normal order")</f>
        <v>Normal order</v>
      </c>
    </row>
    <row r="1848" spans="1:19" x14ac:dyDescent="0.3">
      <c r="A1848" t="s">
        <v>2686</v>
      </c>
      <c r="B1848" s="4">
        <v>45691</v>
      </c>
      <c r="C1848" s="4" t="str">
        <f>TEXT(ESales_DB[[#This Row],[Order_Date]],"mmm")</f>
        <v>Feb</v>
      </c>
      <c r="D1848" t="s">
        <v>221</v>
      </c>
      <c r="E1848" t="s">
        <v>1716</v>
      </c>
      <c r="F1848" t="s">
        <v>1797</v>
      </c>
      <c r="G1848">
        <v>3</v>
      </c>
      <c r="H1848" s="10">
        <f>IF(ISBLANK(ESales_DB[[#This Row],[Quantity]]),AVERAGEIF(ESales_DB[Product_ID],ESales_DB[[#This Row],[Product_ID]],ESales_DB[Quantity]),ESales_DB[[#This Row],[Quantity]])</f>
        <v>3</v>
      </c>
      <c r="I1848" s="2">
        <v>904.96</v>
      </c>
      <c r="J1848">
        <v>7.0000000000000007E-2</v>
      </c>
      <c r="K1848" t="s">
        <v>1829</v>
      </c>
      <c r="L1848" s="2">
        <v>2524.8384000000001</v>
      </c>
      <c r="M1848" s="2" t="str">
        <f>IF(ESales_DB[[#This Row],[Total_Amount]]&gt;1000,"High","Low")</f>
        <v>High</v>
      </c>
      <c r="N1848" s="2" t="str">
        <f>VLOOKUP(ESales_DB[[#This Row],[Customer_ID]],Ecustom_DB[],3,FALSE)</f>
        <v>Alyssa Vargas</v>
      </c>
      <c r="O1848" s="2" t="str">
        <f>_xlfn.XLOOKUP(ESales_DB[[#This Row],[Product_ID]],Eproduct_DB[Product_ID],Eproduct_DB[Category])</f>
        <v>Home</v>
      </c>
      <c r="P1848" s="2" t="str">
        <f>_xlfn.XLOOKUP(ESales_DB[[#This Row],[Product_ID]],Eproduct_DB[Product_ID],Eproduct_DB[Product_Name])</f>
        <v>Wooden Bookshelf</v>
      </c>
      <c r="Q1848" s="2" t="str">
        <f>_xlfn.XLOOKUP(ESales_DB[[#This Row],[Store_ID]],Estore_DB[Store_ID],Estore_DB[Region])</f>
        <v>East</v>
      </c>
      <c r="R1848" t="str">
        <f>VLOOKUP(ESales_DB[[#This Row],[Customer_ID]],Ecustom_DB[],10,FALSE)</f>
        <v>Platinum</v>
      </c>
      <c r="S1848" t="str">
        <f>IF(ESales_DB[[#This Row],[Quantity1]]&gt;3,"Bulk order","Normal order")</f>
        <v>Normal order</v>
      </c>
    </row>
    <row r="1849" spans="1:19" x14ac:dyDescent="0.3">
      <c r="A1849" t="s">
        <v>2687</v>
      </c>
      <c r="B1849" s="4">
        <v>45608</v>
      </c>
      <c r="C1849" s="4" t="str">
        <f>TEXT(ESales_DB[[#This Row],[Order_Date]],"mmm")</f>
        <v>Nov</v>
      </c>
      <c r="D1849" t="s">
        <v>1187</v>
      </c>
      <c r="E1849" t="s">
        <v>1684</v>
      </c>
      <c r="F1849" t="s">
        <v>1797</v>
      </c>
      <c r="G1849">
        <v>4</v>
      </c>
      <c r="H1849" s="10">
        <f>IF(ISBLANK(ESales_DB[[#This Row],[Quantity]]),AVERAGEIF(ESales_DB[Product_ID],ESales_DB[[#This Row],[Product_ID]],ESales_DB[Quantity]),ESales_DB[[#This Row],[Quantity]])</f>
        <v>4</v>
      </c>
      <c r="I1849" s="2">
        <v>408.72</v>
      </c>
      <c r="J1849">
        <v>0.16</v>
      </c>
      <c r="K1849" t="s">
        <v>1829</v>
      </c>
      <c r="L1849" s="2">
        <v>1373.2991999999999</v>
      </c>
      <c r="M1849" s="2" t="str">
        <f>IF(ESales_DB[[#This Row],[Total_Amount]]&gt;1000,"High","Low")</f>
        <v>High</v>
      </c>
      <c r="N1849" s="2" t="str">
        <f>VLOOKUP(ESales_DB[[#This Row],[Customer_ID]],Ecustom_DB[],3,FALSE)</f>
        <v>Shelley Ponce</v>
      </c>
      <c r="O1849" s="2" t="str">
        <f>_xlfn.XLOOKUP(ESales_DB[[#This Row],[Product_ID]],Eproduct_DB[Product_ID],Eproduct_DB[Category])</f>
        <v>Home</v>
      </c>
      <c r="P1849" s="2" t="str">
        <f>_xlfn.XLOOKUP(ESales_DB[[#This Row],[Product_ID]],Eproduct_DB[Product_ID],Eproduct_DB[Product_Name])</f>
        <v>Wooden Nightstand</v>
      </c>
      <c r="Q1849" s="2" t="str">
        <f>_xlfn.XLOOKUP(ESales_DB[[#This Row],[Store_ID]],Estore_DB[Store_ID],Estore_DB[Region])</f>
        <v>East</v>
      </c>
      <c r="R1849" t="str">
        <f>VLOOKUP(ESales_DB[[#This Row],[Customer_ID]],Ecustom_DB[],10,FALSE)</f>
        <v>Gold</v>
      </c>
      <c r="S1849" t="str">
        <f>IF(ESales_DB[[#This Row],[Quantity1]]&gt;3,"Bulk order","Normal order")</f>
        <v>Bulk order</v>
      </c>
    </row>
    <row r="1850" spans="1:19" x14ac:dyDescent="0.3">
      <c r="A1850" t="s">
        <v>2688</v>
      </c>
      <c r="B1850" s="4">
        <v>45412</v>
      </c>
      <c r="C1850" s="4" t="str">
        <f>TEXT(ESales_DB[[#This Row],[Order_Date]],"mmm")</f>
        <v>Apr</v>
      </c>
      <c r="D1850" t="s">
        <v>896</v>
      </c>
      <c r="E1850" t="s">
        <v>1690</v>
      </c>
      <c r="F1850" t="s">
        <v>1766</v>
      </c>
      <c r="G1850">
        <v>4</v>
      </c>
      <c r="H1850" s="10">
        <f>IF(ISBLANK(ESales_DB[[#This Row],[Quantity]]),AVERAGEIF(ESales_DB[Product_ID],ESales_DB[[#This Row],[Product_ID]],ESales_DB[Quantity]),ESales_DB[[#This Row],[Quantity]])</f>
        <v>4</v>
      </c>
      <c r="I1850" s="2">
        <v>770.65</v>
      </c>
      <c r="J1850">
        <v>0.27</v>
      </c>
      <c r="K1850" t="s">
        <v>1824</v>
      </c>
      <c r="L1850" s="2">
        <v>2250.2979999999998</v>
      </c>
      <c r="M1850" s="2" t="str">
        <f>IF(ESales_DB[[#This Row],[Total_Amount]]&gt;1000,"High","Low")</f>
        <v>High</v>
      </c>
      <c r="N1850" s="2" t="str">
        <f>VLOOKUP(ESales_DB[[#This Row],[Customer_ID]],Ecustom_DB[],3,FALSE)</f>
        <v>Kristi Lopez</v>
      </c>
      <c r="O1850" s="2" t="str">
        <f>_xlfn.XLOOKUP(ESales_DB[[#This Row],[Product_ID]],Eproduct_DB[Product_ID],Eproduct_DB[Category])</f>
        <v>Beauty</v>
      </c>
      <c r="P1850" s="2" t="str">
        <f>_xlfn.XLOOKUP(ESales_DB[[#This Row],[Product_ID]],Eproduct_DB[Product_ID],Eproduct_DB[Product_Name])</f>
        <v>Hair Repair Oil Treatment</v>
      </c>
      <c r="Q1850" s="2" t="str">
        <f>_xlfn.XLOOKUP(ESales_DB[[#This Row],[Store_ID]],Estore_DB[Store_ID],Estore_DB[Region])</f>
        <v>North</v>
      </c>
      <c r="R1850" t="str">
        <f>VLOOKUP(ESales_DB[[#This Row],[Customer_ID]],Ecustom_DB[],10,FALSE)</f>
        <v>Gold</v>
      </c>
      <c r="S1850" t="str">
        <f>IF(ESales_DB[[#This Row],[Quantity1]]&gt;3,"Bulk order","Normal order")</f>
        <v>Bulk order</v>
      </c>
    </row>
    <row r="1851" spans="1:19" x14ac:dyDescent="0.3">
      <c r="A1851" t="s">
        <v>2689</v>
      </c>
      <c r="B1851" s="4">
        <v>45767</v>
      </c>
      <c r="C1851" s="4" t="str">
        <f>TEXT(ESales_DB[[#This Row],[Order_Date]],"mmm")</f>
        <v>Apr</v>
      </c>
      <c r="D1851" t="s">
        <v>663</v>
      </c>
      <c r="E1851" t="s">
        <v>1608</v>
      </c>
      <c r="F1851" t="s">
        <v>1776</v>
      </c>
      <c r="G1851">
        <v>1</v>
      </c>
      <c r="H1851" s="10">
        <f>IF(ISBLANK(ESales_DB[[#This Row],[Quantity]]),AVERAGEIF(ESales_DB[Product_ID],ESales_DB[[#This Row],[Product_ID]],ESales_DB[Quantity]),ESales_DB[[#This Row],[Quantity]])</f>
        <v>1</v>
      </c>
      <c r="I1851" s="2">
        <v>649.22</v>
      </c>
      <c r="J1851">
        <v>0.03</v>
      </c>
      <c r="K1851" t="s">
        <v>1829</v>
      </c>
      <c r="L1851" s="2">
        <v>629.74340000000007</v>
      </c>
      <c r="M1851" s="2" t="str">
        <f>IF(ESales_DB[[#This Row],[Total_Amount]]&gt;1000,"High","Low")</f>
        <v>Low</v>
      </c>
      <c r="N1851" s="2" t="str">
        <f>VLOOKUP(ESales_DB[[#This Row],[Customer_ID]],Ecustom_DB[],3,FALSE)</f>
        <v>Sarah Brady</v>
      </c>
      <c r="O1851" s="2" t="str">
        <f>_xlfn.XLOOKUP(ESales_DB[[#This Row],[Product_ID]],Eproduct_DB[Product_ID],Eproduct_DB[Category])</f>
        <v>Home</v>
      </c>
      <c r="P1851" s="2" t="str">
        <f>_xlfn.XLOOKUP(ESales_DB[[#This Row],[Product_ID]],Eproduct_DB[Product_ID],Eproduct_DB[Product_Name])</f>
        <v>Stainless Steel Cutlery Set</v>
      </c>
      <c r="Q1851" s="2" t="str">
        <f>_xlfn.XLOOKUP(ESales_DB[[#This Row],[Store_ID]],Estore_DB[Store_ID],Estore_DB[Region])</f>
        <v>East</v>
      </c>
      <c r="R1851" t="str">
        <f>VLOOKUP(ESales_DB[[#This Row],[Customer_ID]],Ecustom_DB[],10,FALSE)</f>
        <v>Platinum</v>
      </c>
      <c r="S1851" t="str">
        <f>IF(ESales_DB[[#This Row],[Quantity1]]&gt;3,"Bulk order","Normal order")</f>
        <v>Normal order</v>
      </c>
    </row>
    <row r="1852" spans="1:19" x14ac:dyDescent="0.3">
      <c r="A1852" t="s">
        <v>2690</v>
      </c>
      <c r="B1852" s="4">
        <v>45428</v>
      </c>
      <c r="C1852" s="4" t="str">
        <f>TEXT(ESales_DB[[#This Row],[Order_Date]],"mmm")</f>
        <v>May</v>
      </c>
      <c r="D1852" t="s">
        <v>1092</v>
      </c>
      <c r="E1852" t="s">
        <v>1614</v>
      </c>
      <c r="F1852" t="s">
        <v>1789</v>
      </c>
      <c r="G1852">
        <v>2</v>
      </c>
      <c r="H1852" s="10">
        <f>IF(ISBLANK(ESales_DB[[#This Row],[Quantity]]),AVERAGEIF(ESales_DB[Product_ID],ESales_DB[[#This Row],[Product_ID]],ESales_DB[Quantity]),ESales_DB[[#This Row],[Quantity]])</f>
        <v>2</v>
      </c>
      <c r="I1852" s="2">
        <v>379.78</v>
      </c>
      <c r="J1852">
        <v>0.2</v>
      </c>
      <c r="K1852" t="s">
        <v>1824</v>
      </c>
      <c r="L1852" s="2">
        <v>607.64800000000002</v>
      </c>
      <c r="M1852" s="2" t="str">
        <f>IF(ESales_DB[[#This Row],[Total_Amount]]&gt;1000,"High","Low")</f>
        <v>Low</v>
      </c>
      <c r="N1852" s="2" t="str">
        <f>VLOOKUP(ESales_DB[[#This Row],[Customer_ID]],Ecustom_DB[],3,FALSE)</f>
        <v>Sherry Cabrera</v>
      </c>
      <c r="O1852" s="2" t="str">
        <f>_xlfn.XLOOKUP(ESales_DB[[#This Row],[Product_ID]],Eproduct_DB[Product_ID],Eproduct_DB[Category])</f>
        <v>Home</v>
      </c>
      <c r="P1852" s="2" t="str">
        <f>_xlfn.XLOOKUP(ESales_DB[[#This Row],[Product_ID]],Eproduct_DB[Product_ID],Eproduct_DB[Product_Name])</f>
        <v>Modern Wall Clock</v>
      </c>
      <c r="Q1852" s="2" t="str">
        <f>_xlfn.XLOOKUP(ESales_DB[[#This Row],[Store_ID]],Estore_DB[Store_ID],Estore_DB[Region])</f>
        <v>East</v>
      </c>
      <c r="R1852" t="str">
        <f>VLOOKUP(ESales_DB[[#This Row],[Customer_ID]],Ecustom_DB[],10,FALSE)</f>
        <v>Silver</v>
      </c>
      <c r="S1852" t="str">
        <f>IF(ESales_DB[[#This Row],[Quantity1]]&gt;3,"Bulk order","Normal order")</f>
        <v>Normal order</v>
      </c>
    </row>
    <row r="1853" spans="1:19" x14ac:dyDescent="0.3">
      <c r="A1853" t="s">
        <v>2691</v>
      </c>
      <c r="B1853" s="4">
        <v>45770</v>
      </c>
      <c r="C1853" s="4" t="str">
        <f>TEXT(ESales_DB[[#This Row],[Order_Date]],"mmm")</f>
        <v>Apr</v>
      </c>
      <c r="D1853" t="s">
        <v>794</v>
      </c>
      <c r="E1853" t="s">
        <v>1634</v>
      </c>
      <c r="F1853" t="s">
        <v>1782</v>
      </c>
      <c r="G1853">
        <v>3</v>
      </c>
      <c r="H1853" s="10">
        <f>IF(ISBLANK(ESales_DB[[#This Row],[Quantity]]),AVERAGEIF(ESales_DB[Product_ID],ESales_DB[[#This Row],[Product_ID]],ESales_DB[Quantity]),ESales_DB[[#This Row],[Quantity]])</f>
        <v>3</v>
      </c>
      <c r="I1853" s="2">
        <v>924.15</v>
      </c>
      <c r="J1853">
        <v>0.1</v>
      </c>
      <c r="K1853" t="s">
        <v>1826</v>
      </c>
      <c r="L1853" s="2">
        <v>2495.2049999999999</v>
      </c>
      <c r="M1853" s="2" t="str">
        <f>IF(ESales_DB[[#This Row],[Total_Amount]]&gt;1000,"High","Low")</f>
        <v>High</v>
      </c>
      <c r="N1853" s="2" t="str">
        <f>VLOOKUP(ESales_DB[[#This Row],[Customer_ID]],Ecustom_DB[],3,FALSE)</f>
        <v>Nicholas Webb</v>
      </c>
      <c r="O1853" s="2" t="str">
        <f>_xlfn.XLOOKUP(ESales_DB[[#This Row],[Product_ID]],Eproduct_DB[Product_ID],Eproduct_DB[Category])</f>
        <v>Electronics</v>
      </c>
      <c r="P1853" s="2" t="str">
        <f>_xlfn.XLOOKUP(ESales_DB[[#This Row],[Product_ID]],Eproduct_DB[Product_ID],Eproduct_DB[Product_Name])</f>
        <v>USB External Hard Drive</v>
      </c>
      <c r="Q1853" s="2" t="str">
        <f>_xlfn.XLOOKUP(ESales_DB[[#This Row],[Store_ID]],Estore_DB[Store_ID],Estore_DB[Region])</f>
        <v>West</v>
      </c>
      <c r="R1853" t="str">
        <f>VLOOKUP(ESales_DB[[#This Row],[Customer_ID]],Ecustom_DB[],10,FALSE)</f>
        <v>Gold</v>
      </c>
      <c r="S1853" t="str">
        <f>IF(ESales_DB[[#This Row],[Quantity1]]&gt;3,"Bulk order","Normal order")</f>
        <v>Normal order</v>
      </c>
    </row>
    <row r="1854" spans="1:19" x14ac:dyDescent="0.3">
      <c r="A1854" t="s">
        <v>2692</v>
      </c>
      <c r="B1854" s="4">
        <v>45571</v>
      </c>
      <c r="C1854" s="4" t="str">
        <f>TEXT(ESales_DB[[#This Row],[Order_Date]],"mmm")</f>
        <v>Oct</v>
      </c>
      <c r="D1854" t="s">
        <v>1446</v>
      </c>
      <c r="E1854" t="s">
        <v>1638</v>
      </c>
      <c r="F1854" t="s">
        <v>1807</v>
      </c>
      <c r="G1854">
        <v>3</v>
      </c>
      <c r="H1854" s="10">
        <f>IF(ISBLANK(ESales_DB[[#This Row],[Quantity]]),AVERAGEIF(ESales_DB[Product_ID],ESales_DB[[#This Row],[Product_ID]],ESales_DB[Quantity]),ESales_DB[[#This Row],[Quantity]])</f>
        <v>3</v>
      </c>
      <c r="I1854" s="2">
        <v>144.66999999999999</v>
      </c>
      <c r="J1854">
        <v>0.28999999999999998</v>
      </c>
      <c r="K1854" t="s">
        <v>1829</v>
      </c>
      <c r="L1854" s="2">
        <v>308.14710000000002</v>
      </c>
      <c r="M1854" s="2" t="str">
        <f>IF(ESales_DB[[#This Row],[Total_Amount]]&gt;1000,"High","Low")</f>
        <v>Low</v>
      </c>
      <c r="N1854" s="2" t="str">
        <f>VLOOKUP(ESales_DB[[#This Row],[Customer_ID]],Ecustom_DB[],3,FALSE)</f>
        <v>James Foster</v>
      </c>
      <c r="O1854" s="2" t="str">
        <f>_xlfn.XLOOKUP(ESales_DB[[#This Row],[Product_ID]],Eproduct_DB[Product_ID],Eproduct_DB[Category])</f>
        <v>Sports</v>
      </c>
      <c r="P1854" s="2" t="str">
        <f>_xlfn.XLOOKUP(ESales_DB[[#This Row],[Product_ID]],Eproduct_DB[Product_ID],Eproduct_DB[Product_Name])</f>
        <v>High-Grip Football</v>
      </c>
      <c r="Q1854" s="2" t="str">
        <f>_xlfn.XLOOKUP(ESales_DB[[#This Row],[Store_ID]],Estore_DB[Store_ID],Estore_DB[Region])</f>
        <v>North</v>
      </c>
      <c r="R1854" t="str">
        <f>VLOOKUP(ESales_DB[[#This Row],[Customer_ID]],Ecustom_DB[],10,FALSE)</f>
        <v>Gold</v>
      </c>
      <c r="S1854" t="str">
        <f>IF(ESales_DB[[#This Row],[Quantity1]]&gt;3,"Bulk order","Normal order")</f>
        <v>Normal order</v>
      </c>
    </row>
    <row r="1855" spans="1:19" x14ac:dyDescent="0.3">
      <c r="A1855" t="s">
        <v>2693</v>
      </c>
      <c r="B1855" s="4">
        <v>45700</v>
      </c>
      <c r="C1855" s="4" t="str">
        <f>TEXT(ESales_DB[[#This Row],[Order_Date]],"mmm")</f>
        <v>Feb</v>
      </c>
      <c r="D1855" t="s">
        <v>419</v>
      </c>
      <c r="E1855" t="s">
        <v>1614</v>
      </c>
      <c r="F1855" t="s">
        <v>1801</v>
      </c>
      <c r="G1855">
        <v>2</v>
      </c>
      <c r="H1855" s="10">
        <f>IF(ISBLANK(ESales_DB[[#This Row],[Quantity]]),AVERAGEIF(ESales_DB[Product_ID],ESales_DB[[#This Row],[Product_ID]],ESales_DB[Quantity]),ESales_DB[[#This Row],[Quantity]])</f>
        <v>2</v>
      </c>
      <c r="I1855" s="2">
        <v>667.17</v>
      </c>
      <c r="J1855">
        <v>0.1</v>
      </c>
      <c r="K1855" t="s">
        <v>1826</v>
      </c>
      <c r="L1855" s="2">
        <v>1200.9059999999999</v>
      </c>
      <c r="M1855" s="2" t="str">
        <f>IF(ESales_DB[[#This Row],[Total_Amount]]&gt;1000,"High","Low")</f>
        <v>High</v>
      </c>
      <c r="N1855" s="2" t="str">
        <f>VLOOKUP(ESales_DB[[#This Row],[Customer_ID]],Ecustom_DB[],3,FALSE)</f>
        <v>Joel Robinson</v>
      </c>
      <c r="O1855" s="2" t="str">
        <f>_xlfn.XLOOKUP(ESales_DB[[#This Row],[Product_ID]],Eproduct_DB[Product_ID],Eproduct_DB[Category])</f>
        <v>Home</v>
      </c>
      <c r="P1855" s="2" t="str">
        <f>_xlfn.XLOOKUP(ESales_DB[[#This Row],[Product_ID]],Eproduct_DB[Product_ID],Eproduct_DB[Product_Name])</f>
        <v>Modern Wall Clock</v>
      </c>
      <c r="Q1855" s="2" t="str">
        <f>_xlfn.XLOOKUP(ESales_DB[[#This Row],[Store_ID]],Estore_DB[Store_ID],Estore_DB[Region])</f>
        <v>North</v>
      </c>
      <c r="R1855" t="str">
        <f>VLOOKUP(ESales_DB[[#This Row],[Customer_ID]],Ecustom_DB[],10,FALSE)</f>
        <v>Platinum</v>
      </c>
      <c r="S1855" t="str">
        <f>IF(ESales_DB[[#This Row],[Quantity1]]&gt;3,"Bulk order","Normal order")</f>
        <v>Normal order</v>
      </c>
    </row>
    <row r="1856" spans="1:19" x14ac:dyDescent="0.3">
      <c r="A1856" t="s">
        <v>2694</v>
      </c>
      <c r="B1856" s="4">
        <v>45382</v>
      </c>
      <c r="C1856" s="4" t="str">
        <f>TEXT(ESales_DB[[#This Row],[Order_Date]],"mmm")</f>
        <v>Mar</v>
      </c>
      <c r="D1856" t="s">
        <v>1252</v>
      </c>
      <c r="E1856" t="s">
        <v>1680</v>
      </c>
      <c r="F1856" t="s">
        <v>1766</v>
      </c>
      <c r="G1856">
        <v>1</v>
      </c>
      <c r="H1856" s="10">
        <f>IF(ISBLANK(ESales_DB[[#This Row],[Quantity]]),AVERAGEIF(ESales_DB[Product_ID],ESales_DB[[#This Row],[Product_ID]],ESales_DB[Quantity]),ESales_DB[[#This Row],[Quantity]])</f>
        <v>1</v>
      </c>
      <c r="I1856" s="2">
        <v>984.6</v>
      </c>
      <c r="J1856">
        <v>0.22</v>
      </c>
      <c r="K1856" t="s">
        <v>1824</v>
      </c>
      <c r="L1856" s="2">
        <v>767.98800000000006</v>
      </c>
      <c r="M1856" s="2" t="str">
        <f>IF(ESales_DB[[#This Row],[Total_Amount]]&gt;1000,"High","Low")</f>
        <v>Low</v>
      </c>
      <c r="N1856" s="2" t="str">
        <f>VLOOKUP(ESales_DB[[#This Row],[Customer_ID]],Ecustom_DB[],3,FALSE)</f>
        <v>Cassandra Perez</v>
      </c>
      <c r="O1856" s="2" t="str">
        <f>_xlfn.XLOOKUP(ESales_DB[[#This Row],[Product_ID]],Eproduct_DB[Product_ID],Eproduct_DB[Category])</f>
        <v>Beauty</v>
      </c>
      <c r="P1856" s="2" t="str">
        <f>_xlfn.XLOOKUP(ESales_DB[[#This Row],[Product_ID]],Eproduct_DB[Product_ID],Eproduct_DB[Product_Name])</f>
        <v>Women's Hair Dryer Brush</v>
      </c>
      <c r="Q1856" s="2" t="str">
        <f>_xlfn.XLOOKUP(ESales_DB[[#This Row],[Store_ID]],Estore_DB[Store_ID],Estore_DB[Region])</f>
        <v>North</v>
      </c>
      <c r="R1856" t="str">
        <f>VLOOKUP(ESales_DB[[#This Row],[Customer_ID]],Ecustom_DB[],10,FALSE)</f>
        <v>Bronze</v>
      </c>
      <c r="S1856" t="str">
        <f>IF(ESales_DB[[#This Row],[Quantity1]]&gt;3,"Bulk order","Normal order")</f>
        <v>Normal order</v>
      </c>
    </row>
    <row r="1857" spans="1:19" x14ac:dyDescent="0.3">
      <c r="A1857" t="s">
        <v>2695</v>
      </c>
      <c r="B1857" s="4">
        <v>45260</v>
      </c>
      <c r="C1857" s="4" t="str">
        <f>TEXT(ESales_DB[[#This Row],[Order_Date]],"mmm")</f>
        <v>Nov</v>
      </c>
      <c r="D1857" t="s">
        <v>887</v>
      </c>
      <c r="E1857" t="s">
        <v>1574</v>
      </c>
      <c r="F1857" t="s">
        <v>1782</v>
      </c>
      <c r="G1857">
        <v>1</v>
      </c>
      <c r="H1857" s="10">
        <f>IF(ISBLANK(ESales_DB[[#This Row],[Quantity]]),AVERAGEIF(ESales_DB[Product_ID],ESales_DB[[#This Row],[Product_ID]],ESales_DB[Quantity]),ESales_DB[[#This Row],[Quantity]])</f>
        <v>1</v>
      </c>
      <c r="I1857" s="2">
        <v>139.29</v>
      </c>
      <c r="J1857">
        <v>0</v>
      </c>
      <c r="K1857" t="s">
        <v>1824</v>
      </c>
      <c r="L1857" s="2">
        <v>139.29</v>
      </c>
      <c r="M1857" s="2" t="str">
        <f>IF(ESales_DB[[#This Row],[Total_Amount]]&gt;1000,"High","Low")</f>
        <v>Low</v>
      </c>
      <c r="N1857" s="2" t="str">
        <f>VLOOKUP(ESales_DB[[#This Row],[Customer_ID]],Ecustom_DB[],3,FALSE)</f>
        <v>Aaron Luna</v>
      </c>
      <c r="O1857" s="2" t="str">
        <f>_xlfn.XLOOKUP(ESales_DB[[#This Row],[Product_ID]],Eproduct_DB[Product_ID],Eproduct_DB[Category])</f>
        <v>Electronics</v>
      </c>
      <c r="P1857" s="2" t="str">
        <f>_xlfn.XLOOKUP(ESales_DB[[#This Row],[Product_ID]],Eproduct_DB[Product_ID],Eproduct_DB[Product_Name])</f>
        <v>USB-C Fast Charger</v>
      </c>
      <c r="Q1857" s="2" t="str">
        <f>_xlfn.XLOOKUP(ESales_DB[[#This Row],[Store_ID]],Estore_DB[Store_ID],Estore_DB[Region])</f>
        <v>West</v>
      </c>
      <c r="R1857" t="str">
        <f>VLOOKUP(ESales_DB[[#This Row],[Customer_ID]],Ecustom_DB[],10,FALSE)</f>
        <v>Bronze</v>
      </c>
      <c r="S1857" t="str">
        <f>IF(ESales_DB[[#This Row],[Quantity1]]&gt;3,"Bulk order","Normal order")</f>
        <v>Normal order</v>
      </c>
    </row>
    <row r="1858" spans="1:19" x14ac:dyDescent="0.3">
      <c r="A1858" t="s">
        <v>1913</v>
      </c>
      <c r="B1858" s="4">
        <v>45755</v>
      </c>
      <c r="C1858" s="4" t="str">
        <f>TEXT(ESales_DB[[#This Row],[Order_Date]],"mmm")</f>
        <v>Apr</v>
      </c>
      <c r="D1858" t="s">
        <v>1029</v>
      </c>
      <c r="E1858" t="s">
        <v>1546</v>
      </c>
      <c r="F1858" t="s">
        <v>1789</v>
      </c>
      <c r="G1858">
        <v>3</v>
      </c>
      <c r="H1858" s="10">
        <f>IF(ISBLANK(ESales_DB[[#This Row],[Quantity]]),AVERAGEIF(ESales_DB[Product_ID],ESales_DB[[#This Row],[Product_ID]],ESales_DB[Quantity]),ESales_DB[[#This Row],[Quantity]])</f>
        <v>3</v>
      </c>
      <c r="I1858" s="2">
        <v>964.39</v>
      </c>
      <c r="J1858">
        <v>0.04</v>
      </c>
      <c r="K1858" t="s">
        <v>1824</v>
      </c>
      <c r="L1858" s="2">
        <v>2777.4432000000002</v>
      </c>
      <c r="M1858" s="2" t="str">
        <f>IF(ESales_DB[[#This Row],[Total_Amount]]&gt;1000,"High","Low")</f>
        <v>High</v>
      </c>
      <c r="N1858" s="2" t="str">
        <f>VLOOKUP(ESales_DB[[#This Row],[Customer_ID]],Ecustom_DB[],3,FALSE)</f>
        <v>Reginald Willis</v>
      </c>
      <c r="O1858" s="2" t="str">
        <f>_xlfn.XLOOKUP(ESales_DB[[#This Row],[Product_ID]],Eproduct_DB[Product_ID],Eproduct_DB[Category])</f>
        <v>Clothing</v>
      </c>
      <c r="P1858" s="2" t="str">
        <f>_xlfn.XLOOKUP(ESales_DB[[#This Row],[Product_ID]],Eproduct_DB[Product_ID],Eproduct_DB[Product_Name])</f>
        <v>Men's Graphic T-Shirt</v>
      </c>
      <c r="Q1858" s="2" t="str">
        <f>_xlfn.XLOOKUP(ESales_DB[[#This Row],[Store_ID]],Estore_DB[Store_ID],Estore_DB[Region])</f>
        <v>East</v>
      </c>
      <c r="R1858" t="str">
        <f>VLOOKUP(ESales_DB[[#This Row],[Customer_ID]],Ecustom_DB[],10,FALSE)</f>
        <v>Bronze</v>
      </c>
      <c r="S1858" t="str">
        <f>IF(ESales_DB[[#This Row],[Quantity1]]&gt;3,"Bulk order","Normal order")</f>
        <v>Normal order</v>
      </c>
    </row>
    <row r="1859" spans="1:19" x14ac:dyDescent="0.3">
      <c r="A1859" t="s">
        <v>2696</v>
      </c>
      <c r="B1859" s="4">
        <v>45702</v>
      </c>
      <c r="C1859" s="4" t="str">
        <f>TEXT(ESales_DB[[#This Row],[Order_Date]],"mmm")</f>
        <v>Feb</v>
      </c>
      <c r="D1859" t="s">
        <v>134</v>
      </c>
      <c r="E1859" t="s">
        <v>1580</v>
      </c>
      <c r="F1859" t="s">
        <v>1782</v>
      </c>
      <c r="G1859">
        <v>3</v>
      </c>
      <c r="H1859" s="10">
        <f>IF(ISBLANK(ESales_DB[[#This Row],[Quantity]]),AVERAGEIF(ESales_DB[Product_ID],ESales_DB[[#This Row],[Product_ID]],ESales_DB[Quantity]),ESales_DB[[#This Row],[Quantity]])</f>
        <v>3</v>
      </c>
      <c r="I1859" s="2">
        <v>459.57</v>
      </c>
      <c r="J1859">
        <v>0.1</v>
      </c>
      <c r="K1859" t="s">
        <v>1829</v>
      </c>
      <c r="L1859" s="2">
        <v>1240.8389999999999</v>
      </c>
      <c r="M1859" s="2" t="str">
        <f>IF(ESales_DB[[#This Row],[Total_Amount]]&gt;1000,"High","Low")</f>
        <v>High</v>
      </c>
      <c r="N1859" s="2" t="str">
        <f>VLOOKUP(ESales_DB[[#This Row],[Customer_ID]],Ecustom_DB[],3,FALSE)</f>
        <v>Robert Jones Dds</v>
      </c>
      <c r="O1859" s="2" t="str">
        <f>_xlfn.XLOOKUP(ESales_DB[[#This Row],[Product_ID]],Eproduct_DB[Product_ID],Eproduct_DB[Category])</f>
        <v>Beauty</v>
      </c>
      <c r="P1859" s="2" t="str">
        <f>_xlfn.XLOOKUP(ESales_DB[[#This Row],[Product_ID]],Eproduct_DB[Product_ID],Eproduct_DB[Product_Name])</f>
        <v>Beard Grooming Kit</v>
      </c>
      <c r="Q1859" s="2" t="str">
        <f>_xlfn.XLOOKUP(ESales_DB[[#This Row],[Store_ID]],Estore_DB[Store_ID],Estore_DB[Region])</f>
        <v>West</v>
      </c>
      <c r="R1859" t="str">
        <f>VLOOKUP(ESales_DB[[#This Row],[Customer_ID]],Ecustom_DB[],10,FALSE)</f>
        <v>Platinum</v>
      </c>
      <c r="S1859" t="str">
        <f>IF(ESales_DB[[#This Row],[Quantity1]]&gt;3,"Bulk order","Normal order")</f>
        <v>Normal order</v>
      </c>
    </row>
    <row r="1860" spans="1:19" x14ac:dyDescent="0.3">
      <c r="A1860" t="s">
        <v>2697</v>
      </c>
      <c r="B1860" s="4">
        <v>45302</v>
      </c>
      <c r="C1860" s="4" t="str">
        <f>TEXT(ESales_DB[[#This Row],[Order_Date]],"mmm")</f>
        <v>Jan</v>
      </c>
      <c r="D1860" t="s">
        <v>244</v>
      </c>
      <c r="E1860" t="s">
        <v>1628</v>
      </c>
      <c r="F1860" t="s">
        <v>1801</v>
      </c>
      <c r="G1860">
        <v>1</v>
      </c>
      <c r="H1860" s="10">
        <f>IF(ISBLANK(ESales_DB[[#This Row],[Quantity]]),AVERAGEIF(ESales_DB[Product_ID],ESales_DB[[#This Row],[Product_ID]],ESales_DB[Quantity]),ESales_DB[[#This Row],[Quantity]])</f>
        <v>1</v>
      </c>
      <c r="I1860" s="2">
        <v>517.82000000000005</v>
      </c>
      <c r="J1860">
        <v>0.28999999999999998</v>
      </c>
      <c r="K1860" t="s">
        <v>1824</v>
      </c>
      <c r="L1860" s="2">
        <v>367.65219999999999</v>
      </c>
      <c r="M1860" s="2" t="str">
        <f>IF(ESales_DB[[#This Row],[Total_Amount]]&gt;1000,"High","Low")</f>
        <v>Low</v>
      </c>
      <c r="N1860" s="2" t="str">
        <f>VLOOKUP(ESales_DB[[#This Row],[Customer_ID]],Ecustom_DB[],3,FALSE)</f>
        <v>Cody Diaz</v>
      </c>
      <c r="O1860" s="2" t="str">
        <f>_xlfn.XLOOKUP(ESales_DB[[#This Row],[Product_ID]],Eproduct_DB[Product_ID],Eproduct_DB[Category])</f>
        <v>Electronics</v>
      </c>
      <c r="P1860" s="2" t="str">
        <f>_xlfn.XLOOKUP(ESales_DB[[#This Row],[Product_ID]],Eproduct_DB[Product_ID],Eproduct_DB[Product_Name])</f>
        <v>Noise-Canceling Headphones</v>
      </c>
      <c r="Q1860" s="2" t="str">
        <f>_xlfn.XLOOKUP(ESales_DB[[#This Row],[Store_ID]],Estore_DB[Store_ID],Estore_DB[Region])</f>
        <v>North</v>
      </c>
      <c r="R1860" t="str">
        <f>VLOOKUP(ESales_DB[[#This Row],[Customer_ID]],Ecustom_DB[],10,FALSE)</f>
        <v>Silver</v>
      </c>
      <c r="S1860" t="str">
        <f>IF(ESales_DB[[#This Row],[Quantity1]]&gt;3,"Bulk order","Normal order")</f>
        <v>Normal order</v>
      </c>
    </row>
    <row r="1861" spans="1:19" x14ac:dyDescent="0.3">
      <c r="A1861" t="s">
        <v>2698</v>
      </c>
      <c r="B1861" s="4">
        <v>45653</v>
      </c>
      <c r="C1861" s="4" t="str">
        <f>TEXT(ESales_DB[[#This Row],[Order_Date]],"mmm")</f>
        <v>Dec</v>
      </c>
      <c r="D1861" t="s">
        <v>1184</v>
      </c>
      <c r="E1861" t="s">
        <v>1700</v>
      </c>
      <c r="F1861" t="s">
        <v>1776</v>
      </c>
      <c r="G1861">
        <v>4</v>
      </c>
      <c r="H1861" s="10">
        <f>IF(ISBLANK(ESales_DB[[#This Row],[Quantity]]),AVERAGEIF(ESales_DB[Product_ID],ESales_DB[[#This Row],[Product_ID]],ESales_DB[Quantity]),ESales_DB[[#This Row],[Quantity]])</f>
        <v>4</v>
      </c>
      <c r="I1861" s="2">
        <v>282.45</v>
      </c>
      <c r="J1861">
        <v>0.28999999999999998</v>
      </c>
      <c r="K1861" t="s">
        <v>1829</v>
      </c>
      <c r="L1861" s="2">
        <v>802.1579999999999</v>
      </c>
      <c r="M1861" s="2" t="str">
        <f>IF(ESales_DB[[#This Row],[Total_Amount]]&gt;1000,"High","Low")</f>
        <v>Low</v>
      </c>
      <c r="N1861" s="2" t="str">
        <f>VLOOKUP(ESales_DB[[#This Row],[Customer_ID]],Ecustom_DB[],3,FALSE)</f>
        <v>Tanya Lopez</v>
      </c>
      <c r="O1861" s="2" t="str">
        <f>_xlfn.XLOOKUP(ESales_DB[[#This Row],[Product_ID]],Eproduct_DB[Product_ID],Eproduct_DB[Category])</f>
        <v>Electronics</v>
      </c>
      <c r="P1861" s="2" t="str">
        <f>_xlfn.XLOOKUP(ESales_DB[[#This Row],[Product_ID]],Eproduct_DB[Product_ID],Eproduct_DB[Product_Name])</f>
        <v>Wireless Mouse</v>
      </c>
      <c r="Q1861" s="2" t="str">
        <f>_xlfn.XLOOKUP(ESales_DB[[#This Row],[Store_ID]],Estore_DB[Store_ID],Estore_DB[Region])</f>
        <v>East</v>
      </c>
      <c r="R1861" t="str">
        <f>VLOOKUP(ESales_DB[[#This Row],[Customer_ID]],Ecustom_DB[],10,FALSE)</f>
        <v>Gold</v>
      </c>
      <c r="S1861" t="str">
        <f>IF(ESales_DB[[#This Row],[Quantity1]]&gt;3,"Bulk order","Normal order")</f>
        <v>Bulk order</v>
      </c>
    </row>
    <row r="1862" spans="1:19" x14ac:dyDescent="0.3">
      <c r="A1862" t="s">
        <v>2699</v>
      </c>
      <c r="B1862" s="4">
        <v>45250</v>
      </c>
      <c r="C1862" s="4" t="str">
        <f>TEXT(ESales_DB[[#This Row],[Order_Date]],"mmm")</f>
        <v>Nov</v>
      </c>
      <c r="D1862" t="s">
        <v>1405</v>
      </c>
      <c r="E1862" t="s">
        <v>1722</v>
      </c>
      <c r="F1862" t="s">
        <v>1779</v>
      </c>
      <c r="G1862">
        <v>2</v>
      </c>
      <c r="H1862" s="10">
        <f>IF(ISBLANK(ESales_DB[[#This Row],[Quantity]]),AVERAGEIF(ESales_DB[Product_ID],ESales_DB[[#This Row],[Product_ID]],ESales_DB[Quantity]),ESales_DB[[#This Row],[Quantity]])</f>
        <v>2</v>
      </c>
      <c r="I1862" s="2">
        <v>386.46</v>
      </c>
      <c r="J1862">
        <v>0.23</v>
      </c>
      <c r="K1862" t="s">
        <v>1829</v>
      </c>
      <c r="L1862" s="2">
        <v>595.14840000000004</v>
      </c>
      <c r="M1862" s="2" t="str">
        <f>IF(ESales_DB[[#This Row],[Total_Amount]]&gt;1000,"High","Low")</f>
        <v>Low</v>
      </c>
      <c r="N1862" s="2" t="str">
        <f>VLOOKUP(ESales_DB[[#This Row],[Customer_ID]],Ecustom_DB[],3,FALSE)</f>
        <v>Tyler Weber</v>
      </c>
      <c r="O1862" s="2" t="str">
        <f>_xlfn.XLOOKUP(ESales_DB[[#This Row],[Product_ID]],Eproduct_DB[Product_ID],Eproduct_DB[Category])</f>
        <v>Home</v>
      </c>
      <c r="P1862" s="2" t="str">
        <f>_xlfn.XLOOKUP(ESales_DB[[#This Row],[Product_ID]],Eproduct_DB[Product_ID],Eproduct_DB[Product_Name])</f>
        <v>LED Bedside Lamp</v>
      </c>
      <c r="Q1862" s="2" t="str">
        <f>_xlfn.XLOOKUP(ESales_DB[[#This Row],[Store_ID]],Estore_DB[Store_ID],Estore_DB[Region])</f>
        <v>South</v>
      </c>
      <c r="R1862" t="str">
        <f>VLOOKUP(ESales_DB[[#This Row],[Customer_ID]],Ecustom_DB[],10,FALSE)</f>
        <v>Gold</v>
      </c>
      <c r="S1862" t="str">
        <f>IF(ESales_DB[[#This Row],[Quantity1]]&gt;3,"Bulk order","Normal order")</f>
        <v>Normal order</v>
      </c>
    </row>
    <row r="1863" spans="1:19" x14ac:dyDescent="0.3">
      <c r="A1863" t="s">
        <v>2700</v>
      </c>
      <c r="B1863" s="4">
        <v>45661</v>
      </c>
      <c r="C1863" s="4" t="str">
        <f>TEXT(ESales_DB[[#This Row],[Order_Date]],"mmm")</f>
        <v>Jan</v>
      </c>
      <c r="D1863" t="s">
        <v>640</v>
      </c>
      <c r="E1863" t="s">
        <v>1586</v>
      </c>
      <c r="F1863" t="s">
        <v>1766</v>
      </c>
      <c r="G1863">
        <v>1</v>
      </c>
      <c r="H1863" s="10">
        <f>IF(ISBLANK(ESales_DB[[#This Row],[Quantity]]),AVERAGEIF(ESales_DB[Product_ID],ESales_DB[[#This Row],[Product_ID]],ESales_DB[Quantity]),ESales_DB[[#This Row],[Quantity]])</f>
        <v>1</v>
      </c>
      <c r="I1863" s="2">
        <v>270.45</v>
      </c>
      <c r="J1863">
        <v>0.15</v>
      </c>
      <c r="K1863" t="s">
        <v>1829</v>
      </c>
      <c r="L1863" s="2">
        <v>229.88249999999999</v>
      </c>
      <c r="M1863" s="2" t="str">
        <f>IF(ESales_DB[[#This Row],[Total_Amount]]&gt;1000,"High","Low")</f>
        <v>Low</v>
      </c>
      <c r="N1863" s="2" t="str">
        <f>VLOOKUP(ESales_DB[[#This Row],[Customer_ID]],Ecustom_DB[],3,FALSE)</f>
        <v>Anthony Garcia</v>
      </c>
      <c r="O1863" s="2" t="str">
        <f>_xlfn.XLOOKUP(ESales_DB[[#This Row],[Product_ID]],Eproduct_DB[Product_ID],Eproduct_DB[Category])</f>
        <v>Sports</v>
      </c>
      <c r="P1863" s="2" t="str">
        <f>_xlfn.XLOOKUP(ESales_DB[[#This Row],[Product_ID]],Eproduct_DB[Product_ID],Eproduct_DB[Product_Name])</f>
        <v>Knee Support Brace</v>
      </c>
      <c r="Q1863" s="2" t="str">
        <f>_xlfn.XLOOKUP(ESales_DB[[#This Row],[Store_ID]],Estore_DB[Store_ID],Estore_DB[Region])</f>
        <v>North</v>
      </c>
      <c r="R1863" t="str">
        <f>VLOOKUP(ESales_DB[[#This Row],[Customer_ID]],Ecustom_DB[],10,FALSE)</f>
        <v>Silver</v>
      </c>
      <c r="S1863" t="str">
        <f>IF(ESales_DB[[#This Row],[Quantity1]]&gt;3,"Bulk order","Normal order")</f>
        <v>Normal order</v>
      </c>
    </row>
    <row r="1864" spans="1:19" x14ac:dyDescent="0.3">
      <c r="A1864" t="s">
        <v>2701</v>
      </c>
      <c r="B1864" s="4">
        <v>45493</v>
      </c>
      <c r="C1864" s="4" t="str">
        <f>TEXT(ESales_DB[[#This Row],[Order_Date]],"mmm")</f>
        <v>Jul</v>
      </c>
      <c r="D1864" t="s">
        <v>160</v>
      </c>
      <c r="E1864" t="s">
        <v>1700</v>
      </c>
      <c r="F1864" t="s">
        <v>1789</v>
      </c>
      <c r="G1864">
        <v>4</v>
      </c>
      <c r="H1864" s="10">
        <f>IF(ISBLANK(ESales_DB[[#This Row],[Quantity]]),AVERAGEIF(ESales_DB[Product_ID],ESales_DB[[#This Row],[Product_ID]],ESales_DB[Quantity]),ESales_DB[[#This Row],[Quantity]])</f>
        <v>4</v>
      </c>
      <c r="I1864" s="2">
        <v>762.94</v>
      </c>
      <c r="J1864">
        <v>0.09</v>
      </c>
      <c r="K1864" t="s">
        <v>1829</v>
      </c>
      <c r="L1864" s="2">
        <v>2777.1016</v>
      </c>
      <c r="M1864" s="2" t="str">
        <f>IF(ESales_DB[[#This Row],[Total_Amount]]&gt;1000,"High","Low")</f>
        <v>High</v>
      </c>
      <c r="N1864" s="2" t="str">
        <f>VLOOKUP(ESales_DB[[#This Row],[Customer_ID]],Ecustom_DB[],3,FALSE)</f>
        <v>James Gibbs</v>
      </c>
      <c r="O1864" s="2" t="str">
        <f>_xlfn.XLOOKUP(ESales_DB[[#This Row],[Product_ID]],Eproduct_DB[Product_ID],Eproduct_DB[Category])</f>
        <v>Electronics</v>
      </c>
      <c r="P1864" s="2" t="str">
        <f>_xlfn.XLOOKUP(ESales_DB[[#This Row],[Product_ID]],Eproduct_DB[Product_ID],Eproduct_DB[Product_Name])</f>
        <v>Wireless Mouse</v>
      </c>
      <c r="Q1864" s="2" t="str">
        <f>_xlfn.XLOOKUP(ESales_DB[[#This Row],[Store_ID]],Estore_DB[Store_ID],Estore_DB[Region])</f>
        <v>East</v>
      </c>
      <c r="R1864" t="str">
        <f>VLOOKUP(ESales_DB[[#This Row],[Customer_ID]],Ecustom_DB[],10,FALSE)</f>
        <v>Platinum</v>
      </c>
      <c r="S1864" t="str">
        <f>IF(ESales_DB[[#This Row],[Quantity1]]&gt;3,"Bulk order","Normal order")</f>
        <v>Bulk order</v>
      </c>
    </row>
    <row r="1865" spans="1:19" x14ac:dyDescent="0.3">
      <c r="A1865" t="s">
        <v>2702</v>
      </c>
      <c r="B1865" s="4">
        <v>45242</v>
      </c>
      <c r="C1865" s="4" t="str">
        <f>TEXT(ESales_DB[[#This Row],[Order_Date]],"mmm")</f>
        <v>Nov</v>
      </c>
      <c r="D1865" t="s">
        <v>1518</v>
      </c>
      <c r="E1865" t="s">
        <v>1630</v>
      </c>
      <c r="F1865" t="s">
        <v>1797</v>
      </c>
      <c r="G1865">
        <v>1</v>
      </c>
      <c r="H1865" s="10">
        <f>IF(ISBLANK(ESales_DB[[#This Row],[Quantity]]),AVERAGEIF(ESales_DB[Product_ID],ESales_DB[[#This Row],[Product_ID]],ESales_DB[Quantity]),ESales_DB[[#This Row],[Quantity]])</f>
        <v>1</v>
      </c>
      <c r="I1865" s="2">
        <v>409.03</v>
      </c>
      <c r="J1865">
        <v>0.25</v>
      </c>
      <c r="K1865" t="s">
        <v>1829</v>
      </c>
      <c r="L1865" s="2">
        <v>306.77249999999998</v>
      </c>
      <c r="M1865" s="2" t="str">
        <f>IF(ESales_DB[[#This Row],[Total_Amount]]&gt;1000,"High","Low")</f>
        <v>Low</v>
      </c>
      <c r="N1865" s="2" t="str">
        <f>VLOOKUP(ESales_DB[[#This Row],[Customer_ID]],Ecustom_DB[],3,FALSE)</f>
        <v>Justin Lopez</v>
      </c>
      <c r="O1865" s="2" t="str">
        <f>_xlfn.XLOOKUP(ESales_DB[[#This Row],[Product_ID]],Eproduct_DB[Product_ID],Eproduct_DB[Category])</f>
        <v>Sports</v>
      </c>
      <c r="P1865" s="2" t="str">
        <f>_xlfn.XLOOKUP(ESales_DB[[#This Row],[Product_ID]],Eproduct_DB[Product_ID],Eproduct_DB[Product_Name])</f>
        <v>Yoga Exercise Mat</v>
      </c>
      <c r="Q1865" s="2" t="str">
        <f>_xlfn.XLOOKUP(ESales_DB[[#This Row],[Store_ID]],Estore_DB[Store_ID],Estore_DB[Region])</f>
        <v>East</v>
      </c>
      <c r="R1865" t="str">
        <f>VLOOKUP(ESales_DB[[#This Row],[Customer_ID]],Ecustom_DB[],10,FALSE)</f>
        <v>Gold</v>
      </c>
      <c r="S1865" t="str">
        <f>IF(ESales_DB[[#This Row],[Quantity1]]&gt;3,"Bulk order","Normal order")</f>
        <v>Normal order</v>
      </c>
    </row>
    <row r="1866" spans="1:19" x14ac:dyDescent="0.3">
      <c r="A1866" t="s">
        <v>2703</v>
      </c>
      <c r="B1866" s="4">
        <v>45411</v>
      </c>
      <c r="C1866" s="4" t="str">
        <f>TEXT(ESales_DB[[#This Row],[Order_Date]],"mmm")</f>
        <v>Apr</v>
      </c>
      <c r="D1866" t="s">
        <v>711</v>
      </c>
      <c r="E1866" t="s">
        <v>1740</v>
      </c>
      <c r="F1866" t="s">
        <v>1810</v>
      </c>
      <c r="G1866">
        <v>2</v>
      </c>
      <c r="H1866" s="10">
        <f>IF(ISBLANK(ESales_DB[[#This Row],[Quantity]]),AVERAGEIF(ESales_DB[Product_ID],ESales_DB[[#This Row],[Product_ID]],ESales_DB[Quantity]),ESales_DB[[#This Row],[Quantity]])</f>
        <v>2</v>
      </c>
      <c r="I1866" s="2">
        <v>891.13</v>
      </c>
      <c r="J1866">
        <v>0.13</v>
      </c>
      <c r="K1866" t="s">
        <v>1824</v>
      </c>
      <c r="L1866" s="2">
        <v>1550.5662</v>
      </c>
      <c r="M1866" s="2" t="str">
        <f>IF(ESales_DB[[#This Row],[Total_Amount]]&gt;1000,"High","Low")</f>
        <v>High</v>
      </c>
      <c r="N1866" s="2" t="str">
        <f>VLOOKUP(ESales_DB[[#This Row],[Customer_ID]],Ecustom_DB[],3,FALSE)</f>
        <v>Jordan Wells</v>
      </c>
      <c r="O1866" s="2" t="str">
        <f>_xlfn.XLOOKUP(ESales_DB[[#This Row],[Product_ID]],Eproduct_DB[Product_ID],Eproduct_DB[Category])</f>
        <v>Clothing</v>
      </c>
      <c r="P1866" s="2" t="str">
        <f>_xlfn.XLOOKUP(ESales_DB[[#This Row],[Product_ID]],Eproduct_DB[Product_ID],Eproduct_DB[Product_Name])</f>
        <v>Women's Formal Blazer</v>
      </c>
      <c r="Q1866" s="2" t="str">
        <f>_xlfn.XLOOKUP(ESales_DB[[#This Row],[Store_ID]],Estore_DB[Store_ID],Estore_DB[Region])</f>
        <v>East</v>
      </c>
      <c r="R1866" t="str">
        <f>VLOOKUP(ESales_DB[[#This Row],[Customer_ID]],Ecustom_DB[],10,FALSE)</f>
        <v>Gold</v>
      </c>
      <c r="S1866" t="str">
        <f>IF(ESales_DB[[#This Row],[Quantity1]]&gt;3,"Bulk order","Normal order")</f>
        <v>Normal order</v>
      </c>
    </row>
    <row r="1867" spans="1:19" x14ac:dyDescent="0.3">
      <c r="A1867" t="s">
        <v>2704</v>
      </c>
      <c r="B1867" s="4">
        <v>45593</v>
      </c>
      <c r="C1867" s="4" t="str">
        <f>TEXT(ESales_DB[[#This Row],[Order_Date]],"mmm")</f>
        <v>Oct</v>
      </c>
      <c r="D1867" t="s">
        <v>130</v>
      </c>
      <c r="E1867" t="s">
        <v>1732</v>
      </c>
      <c r="F1867" t="s">
        <v>1804</v>
      </c>
      <c r="G1867">
        <v>1</v>
      </c>
      <c r="H1867" s="10">
        <f>IF(ISBLANK(ESales_DB[[#This Row],[Quantity]]),AVERAGEIF(ESales_DB[Product_ID],ESales_DB[[#This Row],[Product_ID]],ESales_DB[Quantity]),ESales_DB[[#This Row],[Quantity]])</f>
        <v>1</v>
      </c>
      <c r="I1867" s="2">
        <v>553.38</v>
      </c>
      <c r="J1867">
        <v>0.21</v>
      </c>
      <c r="K1867" t="s">
        <v>1826</v>
      </c>
      <c r="L1867" s="2">
        <v>437.17020000000002</v>
      </c>
      <c r="M1867" s="2" t="str">
        <f>IF(ESales_DB[[#This Row],[Total_Amount]]&gt;1000,"High","Low")</f>
        <v>Low</v>
      </c>
      <c r="N1867" s="2" t="str">
        <f>VLOOKUP(ESales_DB[[#This Row],[Customer_ID]],Ecustom_DB[],3,FALSE)</f>
        <v>Mike Jennings</v>
      </c>
      <c r="O1867" s="2" t="str">
        <f>_xlfn.XLOOKUP(ESales_DB[[#This Row],[Product_ID]],Eproduct_DB[Product_ID],Eproduct_DB[Category])</f>
        <v>Home</v>
      </c>
      <c r="P1867" s="2" t="str">
        <f>_xlfn.XLOOKUP(ESales_DB[[#This Row],[Product_ID]],Eproduct_DB[Product_ID],Eproduct_DB[Product_Name])</f>
        <v>Microwave Oven</v>
      </c>
      <c r="Q1867" s="2" t="str">
        <f>_xlfn.XLOOKUP(ESales_DB[[#This Row],[Store_ID]],Estore_DB[Store_ID],Estore_DB[Region])</f>
        <v>West</v>
      </c>
      <c r="R1867" t="str">
        <f>VLOOKUP(ESales_DB[[#This Row],[Customer_ID]],Ecustom_DB[],10,FALSE)</f>
        <v>Gold</v>
      </c>
      <c r="S1867" t="str">
        <f>IF(ESales_DB[[#This Row],[Quantity1]]&gt;3,"Bulk order","Normal order")</f>
        <v>Normal order</v>
      </c>
    </row>
    <row r="1868" spans="1:19" x14ac:dyDescent="0.3">
      <c r="A1868" t="s">
        <v>2705</v>
      </c>
      <c r="B1868" s="4">
        <v>45281</v>
      </c>
      <c r="C1868" s="4" t="str">
        <f>TEXT(ESales_DB[[#This Row],[Order_Date]],"mmm")</f>
        <v>Dec</v>
      </c>
      <c r="D1868" t="s">
        <v>535</v>
      </c>
      <c r="E1868" t="s">
        <v>1718</v>
      </c>
      <c r="F1868" t="s">
        <v>1797</v>
      </c>
      <c r="G1868">
        <v>2</v>
      </c>
      <c r="H1868" s="10">
        <f>IF(ISBLANK(ESales_DB[[#This Row],[Quantity]]),AVERAGEIF(ESales_DB[Product_ID],ESales_DB[[#This Row],[Product_ID]],ESales_DB[Quantity]),ESales_DB[[#This Row],[Quantity]])</f>
        <v>2</v>
      </c>
      <c r="I1868" s="2">
        <v>652.29999999999995</v>
      </c>
      <c r="J1868">
        <v>0.16</v>
      </c>
      <c r="K1868" t="s">
        <v>1829</v>
      </c>
      <c r="L1868" s="2">
        <v>1095.864</v>
      </c>
      <c r="M1868" s="2" t="str">
        <f>IF(ESales_DB[[#This Row],[Total_Amount]]&gt;1000,"High","Low")</f>
        <v>High</v>
      </c>
      <c r="N1868" s="2" t="str">
        <f>VLOOKUP(ESales_DB[[#This Row],[Customer_ID]],Ecustom_DB[],3,FALSE)</f>
        <v>John Lawson</v>
      </c>
      <c r="O1868" s="2" t="str">
        <f>_xlfn.XLOOKUP(ESales_DB[[#This Row],[Product_ID]],Eproduct_DB[Product_ID],Eproduct_DB[Category])</f>
        <v>Clothing</v>
      </c>
      <c r="P1868" s="2" t="str">
        <f>_xlfn.XLOOKUP(ESales_DB[[#This Row],[Product_ID]],Eproduct_DB[Product_ID],Eproduct_DB[Product_Name])</f>
        <v>Women's Beanie Hat</v>
      </c>
      <c r="Q1868" s="2" t="str">
        <f>_xlfn.XLOOKUP(ESales_DB[[#This Row],[Store_ID]],Estore_DB[Store_ID],Estore_DB[Region])</f>
        <v>East</v>
      </c>
      <c r="R1868" t="str">
        <f>VLOOKUP(ESales_DB[[#This Row],[Customer_ID]],Ecustom_DB[],10,FALSE)</f>
        <v>Platinum</v>
      </c>
      <c r="S1868" t="str">
        <f>IF(ESales_DB[[#This Row],[Quantity1]]&gt;3,"Bulk order","Normal order")</f>
        <v>Normal order</v>
      </c>
    </row>
    <row r="1869" spans="1:19" x14ac:dyDescent="0.3">
      <c r="A1869" t="s">
        <v>1914</v>
      </c>
      <c r="B1869" s="4">
        <v>45588</v>
      </c>
      <c r="C1869" s="4" t="str">
        <f>TEXT(ESales_DB[[#This Row],[Order_Date]],"mmm")</f>
        <v>Oct</v>
      </c>
      <c r="D1869" t="s">
        <v>604</v>
      </c>
      <c r="E1869" t="s">
        <v>1624</v>
      </c>
      <c r="F1869" t="s">
        <v>1752</v>
      </c>
      <c r="G1869">
        <v>2</v>
      </c>
      <c r="H1869" s="10">
        <f>IF(ISBLANK(ESales_DB[[#This Row],[Quantity]]),AVERAGEIF(ESales_DB[Product_ID],ESales_DB[[#This Row],[Product_ID]],ESales_DB[Quantity]),ESales_DB[[#This Row],[Quantity]])</f>
        <v>2</v>
      </c>
      <c r="I1869" s="2">
        <v>217.83</v>
      </c>
      <c r="J1869">
        <v>0.14000000000000001</v>
      </c>
      <c r="K1869" t="s">
        <v>1826</v>
      </c>
      <c r="L1869" s="2">
        <v>374.66759999999999</v>
      </c>
      <c r="M1869" s="2" t="str">
        <f>IF(ESales_DB[[#This Row],[Total_Amount]]&gt;1000,"High","Low")</f>
        <v>Low</v>
      </c>
      <c r="N1869" s="2" t="str">
        <f>VLOOKUP(ESales_DB[[#This Row],[Customer_ID]],Ecustom_DB[],3,FALSE)</f>
        <v>Mario Jacobs</v>
      </c>
      <c r="O1869" s="2" t="str">
        <f>_xlfn.XLOOKUP(ESales_DB[[#This Row],[Product_ID]],Eproduct_DB[Product_ID],Eproduct_DB[Category])</f>
        <v>Sports</v>
      </c>
      <c r="P1869" s="2" t="str">
        <f>_xlfn.XLOOKUP(ESales_DB[[#This Row],[Product_ID]],Eproduct_DB[Product_ID],Eproduct_DB[Product_Name])</f>
        <v>Sports Water Hydration Pack</v>
      </c>
      <c r="Q1869" s="2" t="str">
        <f>_xlfn.XLOOKUP(ESales_DB[[#This Row],[Store_ID]],Estore_DB[Store_ID],Estore_DB[Region])</f>
        <v>East</v>
      </c>
      <c r="R1869" t="str">
        <f>VLOOKUP(ESales_DB[[#This Row],[Customer_ID]],Ecustom_DB[],10,FALSE)</f>
        <v>Platinum</v>
      </c>
      <c r="S1869" t="str">
        <f>IF(ESales_DB[[#This Row],[Quantity1]]&gt;3,"Bulk order","Normal order")</f>
        <v>Normal order</v>
      </c>
    </row>
    <row r="1870" spans="1:19" x14ac:dyDescent="0.3">
      <c r="A1870" t="s">
        <v>2706</v>
      </c>
      <c r="B1870" s="4">
        <v>45575</v>
      </c>
      <c r="C1870" s="4" t="str">
        <f>TEXT(ESales_DB[[#This Row],[Order_Date]],"mmm")</f>
        <v>Oct</v>
      </c>
      <c r="D1870" t="s">
        <v>422</v>
      </c>
      <c r="E1870" t="s">
        <v>1632</v>
      </c>
      <c r="F1870" t="s">
        <v>1786</v>
      </c>
      <c r="G1870">
        <v>4</v>
      </c>
      <c r="H1870" s="10">
        <f>IF(ISBLANK(ESales_DB[[#This Row],[Quantity]]),AVERAGEIF(ESales_DB[Product_ID],ESales_DB[[#This Row],[Product_ID]],ESales_DB[Quantity]),ESales_DB[[#This Row],[Quantity]])</f>
        <v>4</v>
      </c>
      <c r="I1870" s="2">
        <v>194.36</v>
      </c>
      <c r="J1870">
        <v>0.18</v>
      </c>
      <c r="K1870" t="s">
        <v>1829</v>
      </c>
      <c r="L1870" s="2">
        <v>637.50080000000014</v>
      </c>
      <c r="M1870" s="2" t="str">
        <f>IF(ESales_DB[[#This Row],[Total_Amount]]&gt;1000,"High","Low")</f>
        <v>Low</v>
      </c>
      <c r="N1870" s="2" t="str">
        <f>VLOOKUP(ESales_DB[[#This Row],[Customer_ID]],Ecustom_DB[],3,FALSE)</f>
        <v>Michael Chang</v>
      </c>
      <c r="O1870" s="2" t="str">
        <f>_xlfn.XLOOKUP(ESales_DB[[#This Row],[Product_ID]],Eproduct_DB[Product_ID],Eproduct_DB[Category])</f>
        <v>Electronics</v>
      </c>
      <c r="P1870" s="2" t="str">
        <f>_xlfn.XLOOKUP(ESales_DB[[#This Row],[Product_ID]],Eproduct_DB[Product_ID],Eproduct_DB[Product_Name])</f>
        <v>Smart Home WiFi Camera</v>
      </c>
      <c r="Q1870" s="2" t="str">
        <f>_xlfn.XLOOKUP(ESales_DB[[#This Row],[Store_ID]],Estore_DB[Store_ID],Estore_DB[Region])</f>
        <v>South</v>
      </c>
      <c r="R1870" t="str">
        <f>VLOOKUP(ESales_DB[[#This Row],[Customer_ID]],Ecustom_DB[],10,FALSE)</f>
        <v>Platinum</v>
      </c>
      <c r="S1870" t="str">
        <f>IF(ESales_DB[[#This Row],[Quantity1]]&gt;3,"Bulk order","Normal order")</f>
        <v>Bulk order</v>
      </c>
    </row>
    <row r="1871" spans="1:19" x14ac:dyDescent="0.3">
      <c r="A1871" t="s">
        <v>2707</v>
      </c>
      <c r="B1871" s="4">
        <v>45660</v>
      </c>
      <c r="C1871" s="4" t="str">
        <f>TEXT(ESales_DB[[#This Row],[Order_Date]],"mmm")</f>
        <v>Jan</v>
      </c>
      <c r="D1871" t="s">
        <v>514</v>
      </c>
      <c r="E1871" t="s">
        <v>1732</v>
      </c>
      <c r="F1871" t="s">
        <v>1757</v>
      </c>
      <c r="G1871">
        <v>3</v>
      </c>
      <c r="H1871" s="10">
        <f>IF(ISBLANK(ESales_DB[[#This Row],[Quantity]]),AVERAGEIF(ESales_DB[Product_ID],ESales_DB[[#This Row],[Product_ID]],ESales_DB[Quantity]),ESales_DB[[#This Row],[Quantity]])</f>
        <v>3</v>
      </c>
      <c r="I1871" s="2">
        <v>476.37</v>
      </c>
      <c r="J1871">
        <v>0.21</v>
      </c>
      <c r="K1871" t="s">
        <v>1829</v>
      </c>
      <c r="L1871" s="2">
        <v>1128.9969000000001</v>
      </c>
      <c r="M1871" s="2" t="str">
        <f>IF(ESales_DB[[#This Row],[Total_Amount]]&gt;1000,"High","Low")</f>
        <v>High</v>
      </c>
      <c r="N1871" s="2" t="str">
        <f>VLOOKUP(ESales_DB[[#This Row],[Customer_ID]],Ecustom_DB[],3,FALSE)</f>
        <v>Joseph Faulkner</v>
      </c>
      <c r="O1871" s="2" t="str">
        <f>_xlfn.XLOOKUP(ESales_DB[[#This Row],[Product_ID]],Eproduct_DB[Product_ID],Eproduct_DB[Category])</f>
        <v>Home</v>
      </c>
      <c r="P1871" s="2" t="str">
        <f>_xlfn.XLOOKUP(ESales_DB[[#This Row],[Product_ID]],Eproduct_DB[Product_ID],Eproduct_DB[Product_Name])</f>
        <v>Microwave Oven</v>
      </c>
      <c r="Q1871" s="2" t="str">
        <f>_xlfn.XLOOKUP(ESales_DB[[#This Row],[Store_ID]],Estore_DB[Store_ID],Estore_DB[Region])</f>
        <v>North</v>
      </c>
      <c r="R1871" t="str">
        <f>VLOOKUP(ESales_DB[[#This Row],[Customer_ID]],Ecustom_DB[],10,FALSE)</f>
        <v>Bronze</v>
      </c>
      <c r="S1871" t="str">
        <f>IF(ESales_DB[[#This Row],[Quantity1]]&gt;3,"Bulk order","Normal order")</f>
        <v>Normal order</v>
      </c>
    </row>
    <row r="1872" spans="1:19" x14ac:dyDescent="0.3">
      <c r="A1872" t="s">
        <v>2708</v>
      </c>
      <c r="B1872" s="4">
        <v>45360</v>
      </c>
      <c r="C1872" s="4" t="str">
        <f>TEXT(ESales_DB[[#This Row],[Order_Date]],"mmm")</f>
        <v>Mar</v>
      </c>
      <c r="D1872" t="s">
        <v>1142</v>
      </c>
      <c r="E1872" t="s">
        <v>1628</v>
      </c>
      <c r="F1872" t="s">
        <v>1773</v>
      </c>
      <c r="G1872">
        <v>3</v>
      </c>
      <c r="H1872" s="10">
        <f>IF(ISBLANK(ESales_DB[[#This Row],[Quantity]]),AVERAGEIF(ESales_DB[Product_ID],ESales_DB[[#This Row],[Product_ID]],ESales_DB[Quantity]),ESales_DB[[#This Row],[Quantity]])</f>
        <v>3</v>
      </c>
      <c r="I1872" s="2">
        <v>174.57</v>
      </c>
      <c r="J1872">
        <v>0</v>
      </c>
      <c r="K1872" t="s">
        <v>1826</v>
      </c>
      <c r="L1872" s="2">
        <v>523.71</v>
      </c>
      <c r="M1872" s="2" t="str">
        <f>IF(ESales_DB[[#This Row],[Total_Amount]]&gt;1000,"High","Low")</f>
        <v>Low</v>
      </c>
      <c r="N1872" s="2" t="str">
        <f>VLOOKUP(ESales_DB[[#This Row],[Customer_ID]],Ecustom_DB[],3,FALSE)</f>
        <v>Brandon Mcbride</v>
      </c>
      <c r="O1872" s="2" t="str">
        <f>_xlfn.XLOOKUP(ESales_DB[[#This Row],[Product_ID]],Eproduct_DB[Product_ID],Eproduct_DB[Category])</f>
        <v>Electronics</v>
      </c>
      <c r="P1872" s="2" t="str">
        <f>_xlfn.XLOOKUP(ESales_DB[[#This Row],[Product_ID]],Eproduct_DB[Product_ID],Eproduct_DB[Product_Name])</f>
        <v>Noise-Canceling Headphones</v>
      </c>
      <c r="Q1872" s="2" t="str">
        <f>_xlfn.XLOOKUP(ESales_DB[[#This Row],[Store_ID]],Estore_DB[Store_ID],Estore_DB[Region])</f>
        <v>North</v>
      </c>
      <c r="R1872" t="str">
        <f>VLOOKUP(ESales_DB[[#This Row],[Customer_ID]],Ecustom_DB[],10,FALSE)</f>
        <v>Platinum</v>
      </c>
      <c r="S1872" t="str">
        <f>IF(ESales_DB[[#This Row],[Quantity1]]&gt;3,"Bulk order","Normal order")</f>
        <v>Normal order</v>
      </c>
    </row>
    <row r="1873" spans="1:19" x14ac:dyDescent="0.3">
      <c r="A1873" t="s">
        <v>2709</v>
      </c>
      <c r="B1873" s="4">
        <v>45526</v>
      </c>
      <c r="C1873" s="4" t="str">
        <f>TEXT(ESales_DB[[#This Row],[Order_Date]],"mmm")</f>
        <v>Aug</v>
      </c>
      <c r="D1873" t="s">
        <v>414</v>
      </c>
      <c r="E1873" t="s">
        <v>1718</v>
      </c>
      <c r="F1873" t="s">
        <v>1752</v>
      </c>
      <c r="G1873">
        <v>3</v>
      </c>
      <c r="H1873" s="10">
        <f>IF(ISBLANK(ESales_DB[[#This Row],[Quantity]]),AVERAGEIF(ESales_DB[Product_ID],ESales_DB[[#This Row],[Product_ID]],ESales_DB[Quantity]),ESales_DB[[#This Row],[Quantity]])</f>
        <v>3</v>
      </c>
      <c r="I1873" s="2">
        <v>762</v>
      </c>
      <c r="J1873">
        <v>0.02</v>
      </c>
      <c r="K1873" t="s">
        <v>1826</v>
      </c>
      <c r="L1873" s="2">
        <v>2240.2800000000002</v>
      </c>
      <c r="M1873" s="2" t="str">
        <f>IF(ESales_DB[[#This Row],[Total_Amount]]&gt;1000,"High","Low")</f>
        <v>High</v>
      </c>
      <c r="N1873" s="2" t="str">
        <f>VLOOKUP(ESales_DB[[#This Row],[Customer_ID]],Ecustom_DB[],3,FALSE)</f>
        <v>Michael Jones</v>
      </c>
      <c r="O1873" s="2" t="str">
        <f>_xlfn.XLOOKUP(ESales_DB[[#This Row],[Product_ID]],Eproduct_DB[Product_ID],Eproduct_DB[Category])</f>
        <v>Clothing</v>
      </c>
      <c r="P1873" s="2" t="str">
        <f>_xlfn.XLOOKUP(ESales_DB[[#This Row],[Product_ID]],Eproduct_DB[Product_ID],Eproduct_DB[Product_Name])</f>
        <v>Women's Beanie Hat</v>
      </c>
      <c r="Q1873" s="2" t="str">
        <f>_xlfn.XLOOKUP(ESales_DB[[#This Row],[Store_ID]],Estore_DB[Store_ID],Estore_DB[Region])</f>
        <v>East</v>
      </c>
      <c r="R1873" t="str">
        <f>VLOOKUP(ESales_DB[[#This Row],[Customer_ID]],Ecustom_DB[],10,FALSE)</f>
        <v>Bronze</v>
      </c>
      <c r="S1873" t="str">
        <f>IF(ESales_DB[[#This Row],[Quantity1]]&gt;3,"Bulk order","Normal order")</f>
        <v>Normal order</v>
      </c>
    </row>
    <row r="1874" spans="1:19" x14ac:dyDescent="0.3">
      <c r="A1874" t="s">
        <v>2710</v>
      </c>
      <c r="B1874" s="4">
        <v>45395</v>
      </c>
      <c r="C1874" s="4" t="str">
        <f>TEXT(ESales_DB[[#This Row],[Order_Date]],"mmm")</f>
        <v>Apr</v>
      </c>
      <c r="D1874" t="s">
        <v>1319</v>
      </c>
      <c r="E1874" t="s">
        <v>1692</v>
      </c>
      <c r="F1874" t="s">
        <v>1813</v>
      </c>
      <c r="G1874">
        <v>1</v>
      </c>
      <c r="H1874" s="10">
        <f>IF(ISBLANK(ESales_DB[[#This Row],[Quantity]]),AVERAGEIF(ESales_DB[Product_ID],ESales_DB[[#This Row],[Product_ID]],ESales_DB[Quantity]),ESales_DB[[#This Row],[Quantity]])</f>
        <v>1</v>
      </c>
      <c r="I1874" s="2">
        <v>44.08</v>
      </c>
      <c r="J1874">
        <v>0.05</v>
      </c>
      <c r="K1874" t="s">
        <v>1824</v>
      </c>
      <c r="L1874" s="2">
        <v>41.875999999999998</v>
      </c>
      <c r="M1874" s="2" t="str">
        <f>IF(ESales_DB[[#This Row],[Total_Amount]]&gt;1000,"High","Low")</f>
        <v>Low</v>
      </c>
      <c r="N1874" s="2" t="str">
        <f>VLOOKUP(ESales_DB[[#This Row],[Customer_ID]],Ecustom_DB[],3,FALSE)</f>
        <v>Bryce Hawkins</v>
      </c>
      <c r="O1874" s="2" t="str">
        <f>_xlfn.XLOOKUP(ESales_DB[[#This Row],[Product_ID]],Eproduct_DB[Product_ID],Eproduct_DB[Category])</f>
        <v>Sports</v>
      </c>
      <c r="P1874" s="2" t="str">
        <f>_xlfn.XLOOKUP(ESales_DB[[#This Row],[Product_ID]],Eproduct_DB[Product_ID],Eproduct_DB[Product_Name])</f>
        <v>Professional Jump Rope</v>
      </c>
      <c r="Q1874" s="2" t="str">
        <f>_xlfn.XLOOKUP(ESales_DB[[#This Row],[Store_ID]],Estore_DB[Store_ID],Estore_DB[Region])</f>
        <v>East</v>
      </c>
      <c r="R1874" t="str">
        <f>VLOOKUP(ESales_DB[[#This Row],[Customer_ID]],Ecustom_DB[],10,FALSE)</f>
        <v>Bronze</v>
      </c>
      <c r="S1874" t="str">
        <f>IF(ESales_DB[[#This Row],[Quantity1]]&gt;3,"Bulk order","Normal order")</f>
        <v>Normal order</v>
      </c>
    </row>
    <row r="1875" spans="1:19" x14ac:dyDescent="0.3">
      <c r="A1875" t="s">
        <v>2711</v>
      </c>
      <c r="B1875" s="4">
        <v>45466</v>
      </c>
      <c r="C1875" s="4" t="str">
        <f>TEXT(ESales_DB[[#This Row],[Order_Date]],"mmm")</f>
        <v>Jun</v>
      </c>
      <c r="D1875" t="s">
        <v>1521</v>
      </c>
      <c r="E1875" t="s">
        <v>1666</v>
      </c>
      <c r="F1875" t="s">
        <v>1797</v>
      </c>
      <c r="G1875">
        <v>1</v>
      </c>
      <c r="H1875" s="10">
        <f>IF(ISBLANK(ESales_DB[[#This Row],[Quantity]]),AVERAGEIF(ESales_DB[Product_ID],ESales_DB[[#This Row],[Product_ID]],ESales_DB[Quantity]),ESales_DB[[#This Row],[Quantity]])</f>
        <v>1</v>
      </c>
      <c r="I1875" s="2">
        <v>992.37</v>
      </c>
      <c r="J1875">
        <v>0.24</v>
      </c>
      <c r="K1875" t="s">
        <v>1829</v>
      </c>
      <c r="L1875" s="2">
        <v>754.20119999999997</v>
      </c>
      <c r="M1875" s="2" t="str">
        <f>IF(ESales_DB[[#This Row],[Total_Amount]]&gt;1000,"High","Low")</f>
        <v>Low</v>
      </c>
      <c r="N1875" s="2" t="str">
        <f>VLOOKUP(ESales_DB[[#This Row],[Customer_ID]],Ecustom_DB[],3,FALSE)</f>
        <v>James Berger</v>
      </c>
      <c r="O1875" s="2" t="str">
        <f>_xlfn.XLOOKUP(ESales_DB[[#This Row],[Product_ID]],Eproduct_DB[Product_ID],Eproduct_DB[Category])</f>
        <v>Beauty</v>
      </c>
      <c r="P1875" s="2" t="str">
        <f>_xlfn.XLOOKUP(ESales_DB[[#This Row],[Product_ID]],Eproduct_DB[Product_ID],Eproduct_DB[Product_Name])</f>
        <v>Men's Hair Styling Gel</v>
      </c>
      <c r="Q1875" s="2" t="str">
        <f>_xlfn.XLOOKUP(ESales_DB[[#This Row],[Store_ID]],Estore_DB[Store_ID],Estore_DB[Region])</f>
        <v>East</v>
      </c>
      <c r="R1875" t="str">
        <f>VLOOKUP(ESales_DB[[#This Row],[Customer_ID]],Ecustom_DB[],10,FALSE)</f>
        <v>Bronze</v>
      </c>
      <c r="S1875" t="str">
        <f>IF(ESales_DB[[#This Row],[Quantity1]]&gt;3,"Bulk order","Normal order")</f>
        <v>Normal order</v>
      </c>
    </row>
    <row r="1876" spans="1:19" x14ac:dyDescent="0.3">
      <c r="A1876" t="s">
        <v>2712</v>
      </c>
      <c r="B1876" s="4">
        <v>45876</v>
      </c>
      <c r="C1876" s="4" t="str">
        <f>TEXT(ESales_DB[[#This Row],[Order_Date]],"mmm")</f>
        <v>Aug</v>
      </c>
      <c r="D1876" t="s">
        <v>657</v>
      </c>
      <c r="E1876" t="s">
        <v>1610</v>
      </c>
      <c r="F1876" t="s">
        <v>1789</v>
      </c>
      <c r="G1876">
        <v>3</v>
      </c>
      <c r="H1876" s="10">
        <f>IF(ISBLANK(ESales_DB[[#This Row],[Quantity]]),AVERAGEIF(ESales_DB[Product_ID],ESales_DB[[#This Row],[Product_ID]],ESales_DB[Quantity]),ESales_DB[[#This Row],[Quantity]])</f>
        <v>3</v>
      </c>
      <c r="I1876" s="2">
        <v>465.4</v>
      </c>
      <c r="J1876">
        <v>0.28999999999999998</v>
      </c>
      <c r="K1876" t="s">
        <v>1829</v>
      </c>
      <c r="L1876" s="2">
        <v>991.30199999999979</v>
      </c>
      <c r="M1876" s="2" t="str">
        <f>IF(ESales_DB[[#This Row],[Total_Amount]]&gt;1000,"High","Low")</f>
        <v>Low</v>
      </c>
      <c r="N1876" s="2" t="str">
        <f>VLOOKUP(ESales_DB[[#This Row],[Customer_ID]],Ecustom_DB[],3,FALSE)</f>
        <v>Mary Boyd</v>
      </c>
      <c r="O1876" s="2" t="str">
        <f>_xlfn.XLOOKUP(ESales_DB[[#This Row],[Product_ID]],Eproduct_DB[Product_ID],Eproduct_DB[Category])</f>
        <v>Sports</v>
      </c>
      <c r="P1876" s="2" t="str">
        <f>_xlfn.XLOOKUP(ESales_DB[[#This Row],[Product_ID]],Eproduct_DB[Product_ID],Eproduct_DB[Product_Name])</f>
        <v>Basketball</v>
      </c>
      <c r="Q1876" s="2" t="str">
        <f>_xlfn.XLOOKUP(ESales_DB[[#This Row],[Store_ID]],Estore_DB[Store_ID],Estore_DB[Region])</f>
        <v>East</v>
      </c>
      <c r="R1876" t="str">
        <f>VLOOKUP(ESales_DB[[#This Row],[Customer_ID]],Ecustom_DB[],10,FALSE)</f>
        <v>Bronze</v>
      </c>
      <c r="S1876" t="str">
        <f>IF(ESales_DB[[#This Row],[Quantity1]]&gt;3,"Bulk order","Normal order")</f>
        <v>Normal order</v>
      </c>
    </row>
    <row r="1877" spans="1:19" x14ac:dyDescent="0.3">
      <c r="A1877" t="s">
        <v>2713</v>
      </c>
      <c r="B1877" s="4">
        <v>45724</v>
      </c>
      <c r="C1877" s="4" t="str">
        <f>TEXT(ESales_DB[[#This Row],[Order_Date]],"mmm")</f>
        <v>Mar</v>
      </c>
      <c r="D1877" t="s">
        <v>1059</v>
      </c>
      <c r="E1877" t="s">
        <v>1580</v>
      </c>
      <c r="F1877" t="s">
        <v>1789</v>
      </c>
      <c r="G1877">
        <v>2</v>
      </c>
      <c r="H1877" s="10">
        <f>IF(ISBLANK(ESales_DB[[#This Row],[Quantity]]),AVERAGEIF(ESales_DB[Product_ID],ESales_DB[[#This Row],[Product_ID]],ESales_DB[Quantity]),ESales_DB[[#This Row],[Quantity]])</f>
        <v>2</v>
      </c>
      <c r="I1877" s="2">
        <v>693.61</v>
      </c>
      <c r="J1877">
        <v>0.15</v>
      </c>
      <c r="K1877" t="s">
        <v>1826</v>
      </c>
      <c r="L1877" s="2">
        <v>1179.1369999999999</v>
      </c>
      <c r="M1877" s="2" t="str">
        <f>IF(ESales_DB[[#This Row],[Total_Amount]]&gt;1000,"High","Low")</f>
        <v>High</v>
      </c>
      <c r="N1877" s="2" t="str">
        <f>VLOOKUP(ESales_DB[[#This Row],[Customer_ID]],Ecustom_DB[],3,FALSE)</f>
        <v>Carol Lewis</v>
      </c>
      <c r="O1877" s="2" t="str">
        <f>_xlfn.XLOOKUP(ESales_DB[[#This Row],[Product_ID]],Eproduct_DB[Product_ID],Eproduct_DB[Category])</f>
        <v>Beauty</v>
      </c>
      <c r="P1877" s="2" t="str">
        <f>_xlfn.XLOOKUP(ESales_DB[[#This Row],[Product_ID]],Eproduct_DB[Product_ID],Eproduct_DB[Product_Name])</f>
        <v>Beard Grooming Kit</v>
      </c>
      <c r="Q1877" s="2" t="str">
        <f>_xlfn.XLOOKUP(ESales_DB[[#This Row],[Store_ID]],Estore_DB[Store_ID],Estore_DB[Region])</f>
        <v>East</v>
      </c>
      <c r="R1877" t="str">
        <f>VLOOKUP(ESales_DB[[#This Row],[Customer_ID]],Ecustom_DB[],10,FALSE)</f>
        <v>Bronze</v>
      </c>
      <c r="S1877" t="str">
        <f>IF(ESales_DB[[#This Row],[Quantity1]]&gt;3,"Bulk order","Normal order")</f>
        <v>Normal order</v>
      </c>
    </row>
    <row r="1878" spans="1:19" x14ac:dyDescent="0.3">
      <c r="A1878" t="s">
        <v>2714</v>
      </c>
      <c r="B1878" s="4">
        <v>45801</v>
      </c>
      <c r="C1878" s="4" t="str">
        <f>TEXT(ESales_DB[[#This Row],[Order_Date]],"mmm")</f>
        <v>May</v>
      </c>
      <c r="D1878" t="s">
        <v>1434</v>
      </c>
      <c r="E1878" t="s">
        <v>1682</v>
      </c>
      <c r="F1878" t="s">
        <v>1782</v>
      </c>
      <c r="G1878">
        <v>2</v>
      </c>
      <c r="H1878" s="10">
        <f>IF(ISBLANK(ESales_DB[[#This Row],[Quantity]]),AVERAGEIF(ESales_DB[Product_ID],ESales_DB[[#This Row],[Product_ID]],ESales_DB[Quantity]),ESales_DB[[#This Row],[Quantity]])</f>
        <v>2</v>
      </c>
      <c r="I1878" s="2">
        <v>995.11</v>
      </c>
      <c r="J1878">
        <v>0.13</v>
      </c>
      <c r="K1878" t="s">
        <v>1826</v>
      </c>
      <c r="L1878" s="2">
        <v>1731.4914000000001</v>
      </c>
      <c r="M1878" s="2" t="str">
        <f>IF(ESales_DB[[#This Row],[Total_Amount]]&gt;1000,"High","Low")</f>
        <v>High</v>
      </c>
      <c r="N1878" s="2" t="str">
        <f>VLOOKUP(ESales_DB[[#This Row],[Customer_ID]],Ecustom_DB[],3,FALSE)</f>
        <v>Ronald Ross</v>
      </c>
      <c r="O1878" s="2" t="str">
        <f>_xlfn.XLOOKUP(ESales_DB[[#This Row],[Product_ID]],Eproduct_DB[Product_ID],Eproduct_DB[Category])</f>
        <v>Electronics</v>
      </c>
      <c r="P1878" s="2" t="str">
        <f>_xlfn.XLOOKUP(ESales_DB[[#This Row],[Product_ID]],Eproduct_DB[Product_ID],Eproduct_DB[Product_Name])</f>
        <v>Smart LED Light Strip</v>
      </c>
      <c r="Q1878" s="2" t="str">
        <f>_xlfn.XLOOKUP(ESales_DB[[#This Row],[Store_ID]],Estore_DB[Store_ID],Estore_DB[Region])</f>
        <v>West</v>
      </c>
      <c r="R1878" t="str">
        <f>VLOOKUP(ESales_DB[[#This Row],[Customer_ID]],Ecustom_DB[],10,FALSE)</f>
        <v>Silver</v>
      </c>
      <c r="S1878" t="str">
        <f>IF(ESales_DB[[#This Row],[Quantity1]]&gt;3,"Bulk order","Normal order")</f>
        <v>Normal order</v>
      </c>
    </row>
    <row r="1879" spans="1:19" x14ac:dyDescent="0.3">
      <c r="A1879" t="s">
        <v>2715</v>
      </c>
      <c r="B1879" s="4">
        <v>45749</v>
      </c>
      <c r="C1879" s="4" t="str">
        <f>TEXT(ESales_DB[[#This Row],[Order_Date]],"mmm")</f>
        <v>Apr</v>
      </c>
      <c r="D1879" t="s">
        <v>1190</v>
      </c>
      <c r="E1879" t="s">
        <v>1594</v>
      </c>
      <c r="F1879" t="s">
        <v>1769</v>
      </c>
      <c r="G1879">
        <v>3</v>
      </c>
      <c r="H1879" s="10">
        <f>IF(ISBLANK(ESales_DB[[#This Row],[Quantity]]),AVERAGEIF(ESales_DB[Product_ID],ESales_DB[[#This Row],[Product_ID]],ESales_DB[Quantity]),ESales_DB[[#This Row],[Quantity]])</f>
        <v>3</v>
      </c>
      <c r="I1879" s="2">
        <v>70.97</v>
      </c>
      <c r="J1879">
        <v>0.06</v>
      </c>
      <c r="K1879" t="s">
        <v>1829</v>
      </c>
      <c r="L1879" s="2">
        <v>200.1354</v>
      </c>
      <c r="M1879" s="2" t="str">
        <f>IF(ESales_DB[[#This Row],[Total_Amount]]&gt;1000,"High","Low")</f>
        <v>Low</v>
      </c>
      <c r="N1879" s="2" t="str">
        <f>VLOOKUP(ESales_DB[[#This Row],[Customer_ID]],Ecustom_DB[],3,FALSE)</f>
        <v>Erika Padilla</v>
      </c>
      <c r="O1879" s="2" t="str">
        <f>_xlfn.XLOOKUP(ESales_DB[[#This Row],[Product_ID]],Eproduct_DB[Product_ID],Eproduct_DB[Category])</f>
        <v>Clothing</v>
      </c>
      <c r="P1879" s="2" t="str">
        <f>_xlfn.XLOOKUP(ESales_DB[[#This Row],[Product_ID]],Eproduct_DB[Product_ID],Eproduct_DB[Product_Name])</f>
        <v>Men's Formal Shirt</v>
      </c>
      <c r="Q1879" s="2" t="str">
        <f>_xlfn.XLOOKUP(ESales_DB[[#This Row],[Store_ID]],Estore_DB[Store_ID],Estore_DB[Region])</f>
        <v>South</v>
      </c>
      <c r="R1879" t="str">
        <f>VLOOKUP(ESales_DB[[#This Row],[Customer_ID]],Ecustom_DB[],10,FALSE)</f>
        <v>Silver</v>
      </c>
      <c r="S1879" t="str">
        <f>IF(ESales_DB[[#This Row],[Quantity1]]&gt;3,"Bulk order","Normal order")</f>
        <v>Normal order</v>
      </c>
    </row>
    <row r="1880" spans="1:19" x14ac:dyDescent="0.3">
      <c r="A1880" t="s">
        <v>1915</v>
      </c>
      <c r="B1880" s="4">
        <v>45848</v>
      </c>
      <c r="C1880" s="4" t="str">
        <f>TEXT(ESales_DB[[#This Row],[Order_Date]],"mmm")</f>
        <v>Jul</v>
      </c>
      <c r="D1880" t="s">
        <v>484</v>
      </c>
      <c r="E1880" t="s">
        <v>1582</v>
      </c>
      <c r="F1880" t="s">
        <v>1757</v>
      </c>
      <c r="G1880">
        <v>4</v>
      </c>
      <c r="H1880" s="10">
        <f>IF(ISBLANK(ESales_DB[[#This Row],[Quantity]]),AVERAGEIF(ESales_DB[Product_ID],ESales_DB[[#This Row],[Product_ID]],ESales_DB[Quantity]),ESales_DB[[#This Row],[Quantity]])</f>
        <v>4</v>
      </c>
      <c r="I1880" s="2">
        <v>187.71</v>
      </c>
      <c r="J1880">
        <v>0.06</v>
      </c>
      <c r="K1880" t="s">
        <v>1829</v>
      </c>
      <c r="L1880" s="2">
        <v>705.78959999999995</v>
      </c>
      <c r="M1880" s="2" t="str">
        <f>IF(ESales_DB[[#This Row],[Total_Amount]]&gt;1000,"High","Low")</f>
        <v>Low</v>
      </c>
      <c r="N1880" s="2" t="str">
        <f>VLOOKUP(ESales_DB[[#This Row],[Customer_ID]],Ecustom_DB[],3,FALSE)</f>
        <v>Carlos Skinner</v>
      </c>
      <c r="O1880" s="2" t="str">
        <f>_xlfn.XLOOKUP(ESales_DB[[#This Row],[Product_ID]],Eproduct_DB[Product_ID],Eproduct_DB[Category])</f>
        <v>Sports</v>
      </c>
      <c r="P1880" s="2" t="str">
        <f>_xlfn.XLOOKUP(ESales_DB[[#This Row],[Product_ID]],Eproduct_DB[Product_ID],Eproduct_DB[Product_Name])</f>
        <v>Soccer Training Cone Set</v>
      </c>
      <c r="Q1880" s="2" t="str">
        <f>_xlfn.XLOOKUP(ESales_DB[[#This Row],[Store_ID]],Estore_DB[Store_ID],Estore_DB[Region])</f>
        <v>North</v>
      </c>
      <c r="R1880" t="str">
        <f>VLOOKUP(ESales_DB[[#This Row],[Customer_ID]],Ecustom_DB[],10,FALSE)</f>
        <v>Bronze</v>
      </c>
      <c r="S1880" t="str">
        <f>IF(ESales_DB[[#This Row],[Quantity1]]&gt;3,"Bulk order","Normal order")</f>
        <v>Bulk order</v>
      </c>
    </row>
    <row r="1881" spans="1:19" x14ac:dyDescent="0.3">
      <c r="A1881" t="s">
        <v>2716</v>
      </c>
      <c r="B1881" s="4">
        <v>45325</v>
      </c>
      <c r="C1881" s="4" t="str">
        <f>TEXT(ESales_DB[[#This Row],[Order_Date]],"mmm")</f>
        <v>Feb</v>
      </c>
      <c r="D1881" t="s">
        <v>396</v>
      </c>
      <c r="E1881" t="s">
        <v>1714</v>
      </c>
      <c r="F1881" t="s">
        <v>1786</v>
      </c>
      <c r="G1881">
        <v>3</v>
      </c>
      <c r="H1881" s="10">
        <f>IF(ISBLANK(ESales_DB[[#This Row],[Quantity]]),AVERAGEIF(ESales_DB[Product_ID],ESales_DB[[#This Row],[Product_ID]],ESales_DB[Quantity]),ESales_DB[[#This Row],[Quantity]])</f>
        <v>3</v>
      </c>
      <c r="I1881" s="2">
        <v>470.42</v>
      </c>
      <c r="J1881">
        <v>0.16</v>
      </c>
      <c r="K1881" t="s">
        <v>1824</v>
      </c>
      <c r="L1881" s="2">
        <v>1185.4584</v>
      </c>
      <c r="M1881" s="2" t="str">
        <f>IF(ESales_DB[[#This Row],[Total_Amount]]&gt;1000,"High","Low")</f>
        <v>High</v>
      </c>
      <c r="N1881" s="2" t="str">
        <f>VLOOKUP(ESales_DB[[#This Row],[Customer_ID]],Ecustom_DB[],3,FALSE)</f>
        <v>Edward Hall</v>
      </c>
      <c r="O1881" s="2" t="str">
        <f>_xlfn.XLOOKUP(ESales_DB[[#This Row],[Product_ID]],Eproduct_DB[Product_ID],Eproduct_DB[Category])</f>
        <v>Beauty</v>
      </c>
      <c r="P1881" s="2" t="str">
        <f>_xlfn.XLOOKUP(ESales_DB[[#This Row],[Product_ID]],Eproduct_DB[Product_ID],Eproduct_DB[Product_Name])</f>
        <v>Hydrating Face Cleanser</v>
      </c>
      <c r="Q1881" s="2" t="str">
        <f>_xlfn.XLOOKUP(ESales_DB[[#This Row],[Store_ID]],Estore_DB[Store_ID],Estore_DB[Region])</f>
        <v>South</v>
      </c>
      <c r="R1881" t="str">
        <f>VLOOKUP(ESales_DB[[#This Row],[Customer_ID]],Ecustom_DB[],10,FALSE)</f>
        <v>Gold</v>
      </c>
      <c r="S1881" t="str">
        <f>IF(ESales_DB[[#This Row],[Quantity1]]&gt;3,"Bulk order","Normal order")</f>
        <v>Normal order</v>
      </c>
    </row>
    <row r="1882" spans="1:19" x14ac:dyDescent="0.3">
      <c r="A1882" t="s">
        <v>2717</v>
      </c>
      <c r="B1882" s="4">
        <v>45932</v>
      </c>
      <c r="C1882" s="4" t="str">
        <f>TEXT(ESales_DB[[#This Row],[Order_Date]],"mmm")</f>
        <v>Oct</v>
      </c>
      <c r="D1882" t="s">
        <v>990</v>
      </c>
      <c r="E1882" t="s">
        <v>1720</v>
      </c>
      <c r="F1882" t="s">
        <v>1804</v>
      </c>
      <c r="G1882">
        <v>2</v>
      </c>
      <c r="H1882" s="10">
        <f>IF(ISBLANK(ESales_DB[[#This Row],[Quantity]]),AVERAGEIF(ESales_DB[Product_ID],ESales_DB[[#This Row],[Product_ID]],ESales_DB[Quantity]),ESales_DB[[#This Row],[Quantity]])</f>
        <v>2</v>
      </c>
      <c r="I1882" s="2">
        <v>215.59</v>
      </c>
      <c r="J1882">
        <v>0.18</v>
      </c>
      <c r="K1882" t="s">
        <v>1824</v>
      </c>
      <c r="L1882" s="2">
        <v>353.56760000000003</v>
      </c>
      <c r="M1882" s="2" t="str">
        <f>IF(ESales_DB[[#This Row],[Total_Amount]]&gt;1000,"High","Low")</f>
        <v>Low</v>
      </c>
      <c r="N1882" s="2" t="str">
        <f>VLOOKUP(ESales_DB[[#This Row],[Customer_ID]],Ecustom_DB[],3,FALSE)</f>
        <v>Elizabeth Johnson</v>
      </c>
      <c r="O1882" s="2" t="str">
        <f>_xlfn.XLOOKUP(ESales_DB[[#This Row],[Product_ID]],Eproduct_DB[Product_ID],Eproduct_DB[Category])</f>
        <v>Home</v>
      </c>
      <c r="P1882" s="2" t="str">
        <f>_xlfn.XLOOKUP(ESales_DB[[#This Row],[Product_ID]],Eproduct_DB[Product_ID],Eproduct_DB[Product_Name])</f>
        <v>Kitchen Cutting Board</v>
      </c>
      <c r="Q1882" s="2" t="str">
        <f>_xlfn.XLOOKUP(ESales_DB[[#This Row],[Store_ID]],Estore_DB[Store_ID],Estore_DB[Region])</f>
        <v>West</v>
      </c>
      <c r="R1882" t="str">
        <f>VLOOKUP(ESales_DB[[#This Row],[Customer_ID]],Ecustom_DB[],10,FALSE)</f>
        <v>Silver</v>
      </c>
      <c r="S1882" t="str">
        <f>IF(ESales_DB[[#This Row],[Quantity1]]&gt;3,"Bulk order","Normal order")</f>
        <v>Normal order</v>
      </c>
    </row>
    <row r="1883" spans="1:19" x14ac:dyDescent="0.3">
      <c r="A1883" t="s">
        <v>2718</v>
      </c>
      <c r="B1883" s="4">
        <v>45895</v>
      </c>
      <c r="C1883" s="4" t="str">
        <f>TEXT(ESales_DB[[#This Row],[Order_Date]],"mmm")</f>
        <v>Aug</v>
      </c>
      <c r="D1883" t="s">
        <v>767</v>
      </c>
      <c r="E1883" t="s">
        <v>1732</v>
      </c>
      <c r="F1883" t="s">
        <v>1752</v>
      </c>
      <c r="G1883">
        <v>1</v>
      </c>
      <c r="H1883" s="10">
        <f>IF(ISBLANK(ESales_DB[[#This Row],[Quantity]]),AVERAGEIF(ESales_DB[Product_ID],ESales_DB[[#This Row],[Product_ID]],ESales_DB[Quantity]),ESales_DB[[#This Row],[Quantity]])</f>
        <v>1</v>
      </c>
      <c r="I1883" s="2">
        <v>533.79999999999995</v>
      </c>
      <c r="J1883">
        <v>0.27</v>
      </c>
      <c r="K1883" t="s">
        <v>1829</v>
      </c>
      <c r="L1883" s="2">
        <v>389.67399999999998</v>
      </c>
      <c r="M1883" s="2" t="str">
        <f>IF(ESales_DB[[#This Row],[Total_Amount]]&gt;1000,"High","Low")</f>
        <v>Low</v>
      </c>
      <c r="N1883" s="2" t="str">
        <f>VLOOKUP(ESales_DB[[#This Row],[Customer_ID]],Ecustom_DB[],3,FALSE)</f>
        <v>Maria Hill</v>
      </c>
      <c r="O1883" s="2" t="str">
        <f>_xlfn.XLOOKUP(ESales_DB[[#This Row],[Product_ID]],Eproduct_DB[Product_ID],Eproduct_DB[Category])</f>
        <v>Home</v>
      </c>
      <c r="P1883" s="2" t="str">
        <f>_xlfn.XLOOKUP(ESales_DB[[#This Row],[Product_ID]],Eproduct_DB[Product_ID],Eproduct_DB[Product_Name])</f>
        <v>Microwave Oven</v>
      </c>
      <c r="Q1883" s="2" t="str">
        <f>_xlfn.XLOOKUP(ESales_DB[[#This Row],[Store_ID]],Estore_DB[Store_ID],Estore_DB[Region])</f>
        <v>East</v>
      </c>
      <c r="R1883" t="str">
        <f>VLOOKUP(ESales_DB[[#This Row],[Customer_ID]],Ecustom_DB[],10,FALSE)</f>
        <v>Platinum</v>
      </c>
      <c r="S1883" t="str">
        <f>IF(ESales_DB[[#This Row],[Quantity1]]&gt;3,"Bulk order","Normal order")</f>
        <v>Normal order</v>
      </c>
    </row>
    <row r="1884" spans="1:19" x14ac:dyDescent="0.3">
      <c r="A1884" t="s">
        <v>2719</v>
      </c>
      <c r="B1884" s="4">
        <v>45614</v>
      </c>
      <c r="C1884" s="4" t="str">
        <f>TEXT(ESales_DB[[#This Row],[Order_Date]],"mmm")</f>
        <v>Nov</v>
      </c>
      <c r="D1884" t="s">
        <v>335</v>
      </c>
      <c r="E1884" t="s">
        <v>1612</v>
      </c>
      <c r="F1884" t="s">
        <v>1766</v>
      </c>
      <c r="G1884">
        <v>2</v>
      </c>
      <c r="H1884" s="10">
        <f>IF(ISBLANK(ESales_DB[[#This Row],[Quantity]]),AVERAGEIF(ESales_DB[Product_ID],ESales_DB[[#This Row],[Product_ID]],ESales_DB[Quantity]),ESales_DB[[#This Row],[Quantity]])</f>
        <v>2</v>
      </c>
      <c r="I1884" s="2">
        <v>732.67</v>
      </c>
      <c r="J1884">
        <v>0.24</v>
      </c>
      <c r="K1884" t="s">
        <v>1826</v>
      </c>
      <c r="L1884" s="2">
        <v>1113.6584</v>
      </c>
      <c r="M1884" s="2" t="str">
        <f>IF(ESales_DB[[#This Row],[Total_Amount]]&gt;1000,"High","Low")</f>
        <v>High</v>
      </c>
      <c r="N1884" s="2" t="str">
        <f>VLOOKUP(ESales_DB[[#This Row],[Customer_ID]],Ecustom_DB[],3,FALSE)</f>
        <v>Christy Vasquez</v>
      </c>
      <c r="O1884" s="2" t="str">
        <f>_xlfn.XLOOKUP(ESales_DB[[#This Row],[Product_ID]],Eproduct_DB[Product_ID],Eproduct_DB[Category])</f>
        <v>Beauty</v>
      </c>
      <c r="P1884" s="2" t="str">
        <f>_xlfn.XLOOKUP(ESales_DB[[#This Row],[Product_ID]],Eproduct_DB[Product_ID],Eproduct_DB[Product_Name])</f>
        <v>Vitamin C Face Serum</v>
      </c>
      <c r="Q1884" s="2" t="str">
        <f>_xlfn.XLOOKUP(ESales_DB[[#This Row],[Store_ID]],Estore_DB[Store_ID],Estore_DB[Region])</f>
        <v>North</v>
      </c>
      <c r="R1884" t="str">
        <f>VLOOKUP(ESales_DB[[#This Row],[Customer_ID]],Ecustom_DB[],10,FALSE)</f>
        <v>Gold</v>
      </c>
      <c r="S1884" t="str">
        <f>IF(ESales_DB[[#This Row],[Quantity1]]&gt;3,"Bulk order","Normal order")</f>
        <v>Normal order</v>
      </c>
    </row>
    <row r="1885" spans="1:19" x14ac:dyDescent="0.3">
      <c r="A1885" t="s">
        <v>2720</v>
      </c>
      <c r="B1885" s="4">
        <v>45247</v>
      </c>
      <c r="C1885" s="4" t="str">
        <f>TEXT(ESales_DB[[#This Row],[Order_Date]],"mmm")</f>
        <v>Nov</v>
      </c>
      <c r="D1885" t="s">
        <v>1504</v>
      </c>
      <c r="E1885" t="s">
        <v>1668</v>
      </c>
      <c r="F1885" t="s">
        <v>1797</v>
      </c>
      <c r="G1885">
        <v>4</v>
      </c>
      <c r="H1885" s="10">
        <f>IF(ISBLANK(ESales_DB[[#This Row],[Quantity]]),AVERAGEIF(ESales_DB[Product_ID],ESales_DB[[#This Row],[Product_ID]],ESales_DB[Quantity]),ESales_DB[[#This Row],[Quantity]])</f>
        <v>4</v>
      </c>
      <c r="I1885" s="2">
        <v>106.48</v>
      </c>
      <c r="J1885">
        <v>0.1</v>
      </c>
      <c r="K1885" t="s">
        <v>1829</v>
      </c>
      <c r="L1885" s="2">
        <v>383.32799999999997</v>
      </c>
      <c r="M1885" s="2" t="str">
        <f>IF(ESales_DB[[#This Row],[Total_Amount]]&gt;1000,"High","Low")</f>
        <v>Low</v>
      </c>
      <c r="N1885" s="2" t="str">
        <f>VLOOKUP(ESales_DB[[#This Row],[Customer_ID]],Ecustom_DB[],3,FALSE)</f>
        <v>Melinda Thomas</v>
      </c>
      <c r="O1885" s="2" t="str">
        <f>_xlfn.XLOOKUP(ESales_DB[[#This Row],[Product_ID]],Eproduct_DB[Product_ID],Eproduct_DB[Category])</f>
        <v>Beauty</v>
      </c>
      <c r="P1885" s="2" t="str">
        <f>_xlfn.XLOOKUP(ESales_DB[[#This Row],[Product_ID]],Eproduct_DB[Product_ID],Eproduct_DB[Product_Name])</f>
        <v>Luxury Perfume Spray</v>
      </c>
      <c r="Q1885" s="2" t="str">
        <f>_xlfn.XLOOKUP(ESales_DB[[#This Row],[Store_ID]],Estore_DB[Store_ID],Estore_DB[Region])</f>
        <v>East</v>
      </c>
      <c r="R1885" t="str">
        <f>VLOOKUP(ESales_DB[[#This Row],[Customer_ID]],Ecustom_DB[],10,FALSE)</f>
        <v>Silver</v>
      </c>
      <c r="S1885" t="str">
        <f>IF(ESales_DB[[#This Row],[Quantity1]]&gt;3,"Bulk order","Normal order")</f>
        <v>Bulk order</v>
      </c>
    </row>
    <row r="1886" spans="1:19" x14ac:dyDescent="0.3">
      <c r="A1886" t="s">
        <v>2721</v>
      </c>
      <c r="B1886" s="4">
        <v>45696</v>
      </c>
      <c r="C1886" s="4" t="str">
        <f>TEXT(ESales_DB[[#This Row],[Order_Date]],"mmm")</f>
        <v>Feb</v>
      </c>
      <c r="D1886" t="s">
        <v>372</v>
      </c>
      <c r="E1886" t="s">
        <v>1662</v>
      </c>
      <c r="F1886" t="s">
        <v>1766</v>
      </c>
      <c r="G1886">
        <v>1</v>
      </c>
      <c r="H1886" s="10">
        <f>IF(ISBLANK(ESales_DB[[#This Row],[Quantity]]),AVERAGEIF(ESales_DB[Product_ID],ESales_DB[[#This Row],[Product_ID]],ESales_DB[Quantity]),ESales_DB[[#This Row],[Quantity]])</f>
        <v>1</v>
      </c>
      <c r="I1886" s="2">
        <v>38.950000000000003</v>
      </c>
      <c r="J1886">
        <v>0.28000000000000003</v>
      </c>
      <c r="K1886" t="s">
        <v>1824</v>
      </c>
      <c r="L1886" s="2">
        <v>28.044</v>
      </c>
      <c r="M1886" s="2" t="str">
        <f>IF(ESales_DB[[#This Row],[Total_Amount]]&gt;1000,"High","Low")</f>
        <v>Low</v>
      </c>
      <c r="N1886" s="2" t="str">
        <f>VLOOKUP(ESales_DB[[#This Row],[Customer_ID]],Ecustom_DB[],3,FALSE)</f>
        <v>Lance Baker</v>
      </c>
      <c r="O1886" s="2" t="str">
        <f>_xlfn.XLOOKUP(ESales_DB[[#This Row],[Product_ID]],Eproduct_DB[Product_ID],Eproduct_DB[Category])</f>
        <v>Sports</v>
      </c>
      <c r="P1886" s="2" t="str">
        <f>_xlfn.XLOOKUP(ESales_DB[[#This Row],[Product_ID]],Eproduct_DB[Product_ID],Eproduct_DB[Product_Name])</f>
        <v>Foam Roller</v>
      </c>
      <c r="Q1886" s="2" t="str">
        <f>_xlfn.XLOOKUP(ESales_DB[[#This Row],[Store_ID]],Estore_DB[Store_ID],Estore_DB[Region])</f>
        <v>North</v>
      </c>
      <c r="R1886" t="str">
        <f>VLOOKUP(ESales_DB[[#This Row],[Customer_ID]],Ecustom_DB[],10,FALSE)</f>
        <v>Gold</v>
      </c>
      <c r="S1886" t="str">
        <f>IF(ESales_DB[[#This Row],[Quantity1]]&gt;3,"Bulk order","Normal order")</f>
        <v>Normal order</v>
      </c>
    </row>
    <row r="1887" spans="1:19" x14ac:dyDescent="0.3">
      <c r="A1887" t="s">
        <v>2722</v>
      </c>
      <c r="B1887" s="4">
        <v>45294</v>
      </c>
      <c r="C1887" s="4" t="str">
        <f>TEXT(ESales_DB[[#This Row],[Order_Date]],"mmm")</f>
        <v>Jan</v>
      </c>
      <c r="D1887" t="s">
        <v>1337</v>
      </c>
      <c r="E1887" t="s">
        <v>1740</v>
      </c>
      <c r="F1887" t="s">
        <v>1804</v>
      </c>
      <c r="G1887">
        <v>1</v>
      </c>
      <c r="H1887" s="10">
        <f>IF(ISBLANK(ESales_DB[[#This Row],[Quantity]]),AVERAGEIF(ESales_DB[Product_ID],ESales_DB[[#This Row],[Product_ID]],ESales_DB[Quantity]),ESales_DB[[#This Row],[Quantity]])</f>
        <v>1</v>
      </c>
      <c r="I1887" s="2">
        <v>835.17</v>
      </c>
      <c r="J1887">
        <v>0.02</v>
      </c>
      <c r="K1887" t="s">
        <v>1829</v>
      </c>
      <c r="L1887" s="2">
        <v>818.46659999999997</v>
      </c>
      <c r="M1887" s="2" t="str">
        <f>IF(ESales_DB[[#This Row],[Total_Amount]]&gt;1000,"High","Low")</f>
        <v>Low</v>
      </c>
      <c r="N1887" s="2" t="str">
        <f>VLOOKUP(ESales_DB[[#This Row],[Customer_ID]],Ecustom_DB[],3,FALSE)</f>
        <v>John Smith</v>
      </c>
      <c r="O1887" s="2" t="str">
        <f>_xlfn.XLOOKUP(ESales_DB[[#This Row],[Product_ID]],Eproduct_DB[Product_ID],Eproduct_DB[Category])</f>
        <v>Clothing</v>
      </c>
      <c r="P1887" s="2" t="str">
        <f>_xlfn.XLOOKUP(ESales_DB[[#This Row],[Product_ID]],Eproduct_DB[Product_ID],Eproduct_DB[Product_Name])</f>
        <v>Women's Formal Blazer</v>
      </c>
      <c r="Q1887" s="2" t="str">
        <f>_xlfn.XLOOKUP(ESales_DB[[#This Row],[Store_ID]],Estore_DB[Store_ID],Estore_DB[Region])</f>
        <v>West</v>
      </c>
      <c r="R1887" t="str">
        <f>VLOOKUP(ESales_DB[[#This Row],[Customer_ID]],Ecustom_DB[],10,FALSE)</f>
        <v>Platinum</v>
      </c>
      <c r="S1887" t="str">
        <f>IF(ESales_DB[[#This Row],[Quantity1]]&gt;3,"Bulk order","Normal order")</f>
        <v>Normal order</v>
      </c>
    </row>
    <row r="1888" spans="1:19" x14ac:dyDescent="0.3">
      <c r="A1888" t="s">
        <v>2723</v>
      </c>
      <c r="B1888" s="4">
        <v>45389</v>
      </c>
      <c r="C1888" s="4" t="str">
        <f>TEXT(ESales_DB[[#This Row],[Order_Date]],"mmm")</f>
        <v>Apr</v>
      </c>
      <c r="D1888" t="s">
        <v>458</v>
      </c>
      <c r="E1888" t="s">
        <v>1714</v>
      </c>
      <c r="F1888" t="s">
        <v>1766</v>
      </c>
      <c r="G1888">
        <v>1</v>
      </c>
      <c r="H1888" s="10">
        <f>IF(ISBLANK(ESales_DB[[#This Row],[Quantity]]),AVERAGEIF(ESales_DB[Product_ID],ESales_DB[[#This Row],[Product_ID]],ESales_DB[Quantity]),ESales_DB[[#This Row],[Quantity]])</f>
        <v>1</v>
      </c>
      <c r="I1888" s="2">
        <v>113.07</v>
      </c>
      <c r="J1888">
        <v>0.24</v>
      </c>
      <c r="K1888" t="s">
        <v>1824</v>
      </c>
      <c r="L1888" s="2">
        <v>85.933199999999999</v>
      </c>
      <c r="M1888" s="2" t="str">
        <f>IF(ESales_DB[[#This Row],[Total_Amount]]&gt;1000,"High","Low")</f>
        <v>Low</v>
      </c>
      <c r="N1888" s="2" t="str">
        <f>VLOOKUP(ESales_DB[[#This Row],[Customer_ID]],Ecustom_DB[],3,FALSE)</f>
        <v>Morgan Bowen</v>
      </c>
      <c r="O1888" s="2" t="str">
        <f>_xlfn.XLOOKUP(ESales_DB[[#This Row],[Product_ID]],Eproduct_DB[Product_ID],Eproduct_DB[Category])</f>
        <v>Beauty</v>
      </c>
      <c r="P1888" s="2" t="str">
        <f>_xlfn.XLOOKUP(ESales_DB[[#This Row],[Product_ID]],Eproduct_DB[Product_ID],Eproduct_DB[Product_Name])</f>
        <v>Hydrating Face Cleanser</v>
      </c>
      <c r="Q1888" s="2" t="str">
        <f>_xlfn.XLOOKUP(ESales_DB[[#This Row],[Store_ID]],Estore_DB[Store_ID],Estore_DB[Region])</f>
        <v>North</v>
      </c>
      <c r="R1888" t="str">
        <f>VLOOKUP(ESales_DB[[#This Row],[Customer_ID]],Ecustom_DB[],10,FALSE)</f>
        <v>Gold</v>
      </c>
      <c r="S1888" t="str">
        <f>IF(ESales_DB[[#This Row],[Quantity1]]&gt;3,"Bulk order","Normal order")</f>
        <v>Normal order</v>
      </c>
    </row>
    <row r="1889" spans="1:19" x14ac:dyDescent="0.3">
      <c r="A1889" t="s">
        <v>2724</v>
      </c>
      <c r="B1889" s="4">
        <v>45930</v>
      </c>
      <c r="C1889" s="4" t="str">
        <f>TEXT(ESales_DB[[#This Row],[Order_Date]],"mmm")</f>
        <v>Sep</v>
      </c>
      <c r="D1889" t="s">
        <v>1437</v>
      </c>
      <c r="E1889" t="s">
        <v>1736</v>
      </c>
      <c r="F1889" t="s">
        <v>1794</v>
      </c>
      <c r="G1889">
        <v>2</v>
      </c>
      <c r="H1889" s="10">
        <f>IF(ISBLANK(ESales_DB[[#This Row],[Quantity]]),AVERAGEIF(ESales_DB[Product_ID],ESales_DB[[#This Row],[Product_ID]],ESales_DB[Quantity]),ESales_DB[[#This Row],[Quantity]])</f>
        <v>2</v>
      </c>
      <c r="I1889" s="2">
        <v>451.33</v>
      </c>
      <c r="J1889">
        <v>0.23</v>
      </c>
      <c r="K1889" t="s">
        <v>1829</v>
      </c>
      <c r="L1889" s="2">
        <v>695.04819999999995</v>
      </c>
      <c r="M1889" s="2" t="str">
        <f>IF(ESales_DB[[#This Row],[Total_Amount]]&gt;1000,"High","Low")</f>
        <v>Low</v>
      </c>
      <c r="N1889" s="2" t="str">
        <f>VLOOKUP(ESales_DB[[#This Row],[Customer_ID]],Ecustom_DB[],3,FALSE)</f>
        <v>Cynthia Parrish</v>
      </c>
      <c r="O1889" s="2" t="str">
        <f>_xlfn.XLOOKUP(ESales_DB[[#This Row],[Product_ID]],Eproduct_DB[Product_ID],Eproduct_DB[Category])</f>
        <v>Beauty</v>
      </c>
      <c r="P1889" s="2" t="str">
        <f>_xlfn.XLOOKUP(ESales_DB[[#This Row],[Product_ID]],Eproduct_DB[Product_ID],Eproduct_DB[Product_Name])</f>
        <v>Vitamin E Body Lotion</v>
      </c>
      <c r="Q1889" s="2" t="str">
        <f>_xlfn.XLOOKUP(ESales_DB[[#This Row],[Store_ID]],Estore_DB[Store_ID],Estore_DB[Region])</f>
        <v>North</v>
      </c>
      <c r="R1889" t="str">
        <f>VLOOKUP(ESales_DB[[#This Row],[Customer_ID]],Ecustom_DB[],10,FALSE)</f>
        <v>Silver</v>
      </c>
      <c r="S1889" t="str">
        <f>IF(ESales_DB[[#This Row],[Quantity1]]&gt;3,"Bulk order","Normal order")</f>
        <v>Normal order</v>
      </c>
    </row>
    <row r="1890" spans="1:19" x14ac:dyDescent="0.3">
      <c r="A1890" t="s">
        <v>2725</v>
      </c>
      <c r="B1890" s="4">
        <v>45456</v>
      </c>
      <c r="C1890" s="4" t="str">
        <f>TEXT(ESales_DB[[#This Row],[Order_Date]],"mmm")</f>
        <v>Jun</v>
      </c>
      <c r="D1890" t="s">
        <v>1163</v>
      </c>
      <c r="E1890" t="s">
        <v>1720</v>
      </c>
      <c r="F1890" t="s">
        <v>1776</v>
      </c>
      <c r="G1890">
        <v>3</v>
      </c>
      <c r="H1890" s="10">
        <f>IF(ISBLANK(ESales_DB[[#This Row],[Quantity]]),AVERAGEIF(ESales_DB[Product_ID],ESales_DB[[#This Row],[Product_ID]],ESales_DB[Quantity]),ESales_DB[[#This Row],[Quantity]])</f>
        <v>3</v>
      </c>
      <c r="I1890" s="2">
        <v>619.80999999999995</v>
      </c>
      <c r="J1890">
        <v>0.16</v>
      </c>
      <c r="K1890" t="s">
        <v>1829</v>
      </c>
      <c r="L1890" s="2">
        <v>1561.9212</v>
      </c>
      <c r="M1890" s="2" t="str">
        <f>IF(ESales_DB[[#This Row],[Total_Amount]]&gt;1000,"High","Low")</f>
        <v>High</v>
      </c>
      <c r="N1890" s="2" t="str">
        <f>VLOOKUP(ESales_DB[[#This Row],[Customer_ID]],Ecustom_DB[],3,FALSE)</f>
        <v>Jacqueline Anthony</v>
      </c>
      <c r="O1890" s="2" t="str">
        <f>_xlfn.XLOOKUP(ESales_DB[[#This Row],[Product_ID]],Eproduct_DB[Product_ID],Eproduct_DB[Category])</f>
        <v>Home</v>
      </c>
      <c r="P1890" s="2" t="str">
        <f>_xlfn.XLOOKUP(ESales_DB[[#This Row],[Product_ID]],Eproduct_DB[Product_ID],Eproduct_DB[Product_Name])</f>
        <v>Kitchen Cutting Board</v>
      </c>
      <c r="Q1890" s="2" t="str">
        <f>_xlfn.XLOOKUP(ESales_DB[[#This Row],[Store_ID]],Estore_DB[Store_ID],Estore_DB[Region])</f>
        <v>East</v>
      </c>
      <c r="R1890" t="str">
        <f>VLOOKUP(ESales_DB[[#This Row],[Customer_ID]],Ecustom_DB[],10,FALSE)</f>
        <v>Bronze</v>
      </c>
      <c r="S1890" t="str">
        <f>IF(ESales_DB[[#This Row],[Quantity1]]&gt;3,"Bulk order","Normal order")</f>
        <v>Normal order</v>
      </c>
    </row>
    <row r="1891" spans="1:19" x14ac:dyDescent="0.3">
      <c r="A1891" t="s">
        <v>1835</v>
      </c>
      <c r="B1891" s="4">
        <v>45869</v>
      </c>
      <c r="C1891" s="4" t="str">
        <f>TEXT(ESales_DB[[#This Row],[Order_Date]],"mmm")</f>
        <v>Jul</v>
      </c>
      <c r="D1891" t="s">
        <v>1431</v>
      </c>
      <c r="E1891" t="s">
        <v>1614</v>
      </c>
      <c r="F1891" t="s">
        <v>1752</v>
      </c>
      <c r="G1891">
        <v>2</v>
      </c>
      <c r="H1891" s="10">
        <f>IF(ISBLANK(ESales_DB[[#This Row],[Quantity]]),AVERAGEIF(ESales_DB[Product_ID],ESales_DB[[#This Row],[Product_ID]],ESales_DB[Quantity]),ESales_DB[[#This Row],[Quantity]])</f>
        <v>2</v>
      </c>
      <c r="I1891" s="2">
        <v>873.17</v>
      </c>
      <c r="J1891">
        <v>0.23</v>
      </c>
      <c r="K1891" t="s">
        <v>1826</v>
      </c>
      <c r="L1891" s="2">
        <v>1344.6818000000001</v>
      </c>
      <c r="M1891" s="2" t="str">
        <f>IF(ESales_DB[[#This Row],[Total_Amount]]&gt;1000,"High","Low")</f>
        <v>High</v>
      </c>
      <c r="N1891" s="2" t="str">
        <f>VLOOKUP(ESales_DB[[#This Row],[Customer_ID]],Ecustom_DB[],3,FALSE)</f>
        <v>David Pierce</v>
      </c>
      <c r="O1891" s="2" t="str">
        <f>_xlfn.XLOOKUP(ESales_DB[[#This Row],[Product_ID]],Eproduct_DB[Product_ID],Eproduct_DB[Category])</f>
        <v>Home</v>
      </c>
      <c r="P1891" s="2" t="str">
        <f>_xlfn.XLOOKUP(ESales_DB[[#This Row],[Product_ID]],Eproduct_DB[Product_ID],Eproduct_DB[Product_Name])</f>
        <v>Modern Wall Clock</v>
      </c>
      <c r="Q1891" s="2" t="str">
        <f>_xlfn.XLOOKUP(ESales_DB[[#This Row],[Store_ID]],Estore_DB[Store_ID],Estore_DB[Region])</f>
        <v>East</v>
      </c>
      <c r="R1891" t="str">
        <f>VLOOKUP(ESales_DB[[#This Row],[Customer_ID]],Ecustom_DB[],10,FALSE)</f>
        <v>Platinum</v>
      </c>
      <c r="S1891" t="str">
        <f>IF(ESales_DB[[#This Row],[Quantity1]]&gt;3,"Bulk order","Normal order")</f>
        <v>Normal order</v>
      </c>
    </row>
    <row r="1892" spans="1:19" x14ac:dyDescent="0.3">
      <c r="A1892" t="s">
        <v>1916</v>
      </c>
      <c r="B1892" s="4">
        <v>45577</v>
      </c>
      <c r="C1892" s="4" t="str">
        <f>TEXT(ESales_DB[[#This Row],[Order_Date]],"mmm")</f>
        <v>Oct</v>
      </c>
      <c r="D1892" t="s">
        <v>52</v>
      </c>
      <c r="E1892" t="s">
        <v>1614</v>
      </c>
      <c r="F1892" t="s">
        <v>1810</v>
      </c>
      <c r="G1892">
        <v>2</v>
      </c>
      <c r="H1892" s="10">
        <f>IF(ISBLANK(ESales_DB[[#This Row],[Quantity]]),AVERAGEIF(ESales_DB[Product_ID],ESales_DB[[#This Row],[Product_ID]],ESales_DB[Quantity]),ESales_DB[[#This Row],[Quantity]])</f>
        <v>2</v>
      </c>
      <c r="I1892" s="2">
        <v>350.12</v>
      </c>
      <c r="J1892">
        <v>0.12</v>
      </c>
      <c r="K1892" t="s">
        <v>1829</v>
      </c>
      <c r="L1892" s="2">
        <v>616.21119999999996</v>
      </c>
      <c r="M1892" s="2" t="str">
        <f>IF(ESales_DB[[#This Row],[Total_Amount]]&gt;1000,"High","Low")</f>
        <v>Low</v>
      </c>
      <c r="N1892" s="2" t="str">
        <f>VLOOKUP(ESales_DB[[#This Row],[Customer_ID]],Ecustom_DB[],3,FALSE)</f>
        <v>Dominic Page</v>
      </c>
      <c r="O1892" s="2" t="str">
        <f>_xlfn.XLOOKUP(ESales_DB[[#This Row],[Product_ID]],Eproduct_DB[Product_ID],Eproduct_DB[Category])</f>
        <v>Home</v>
      </c>
      <c r="P1892" s="2" t="str">
        <f>_xlfn.XLOOKUP(ESales_DB[[#This Row],[Product_ID]],Eproduct_DB[Product_ID],Eproduct_DB[Product_Name])</f>
        <v>Modern Wall Clock</v>
      </c>
      <c r="Q1892" s="2" t="str">
        <f>_xlfn.XLOOKUP(ESales_DB[[#This Row],[Store_ID]],Estore_DB[Store_ID],Estore_DB[Region])</f>
        <v>East</v>
      </c>
      <c r="R1892" t="str">
        <f>VLOOKUP(ESales_DB[[#This Row],[Customer_ID]],Ecustom_DB[],10,FALSE)</f>
        <v>Bronze</v>
      </c>
      <c r="S1892" t="str">
        <f>IF(ESales_DB[[#This Row],[Quantity1]]&gt;3,"Bulk order","Normal order")</f>
        <v>Normal order</v>
      </c>
    </row>
    <row r="1893" spans="1:19" x14ac:dyDescent="0.3">
      <c r="A1893" t="s">
        <v>2726</v>
      </c>
      <c r="B1893" s="4">
        <v>45713</v>
      </c>
      <c r="C1893" s="4" t="str">
        <f>TEXT(ESales_DB[[#This Row],[Order_Date]],"mmm")</f>
        <v>Feb</v>
      </c>
      <c r="D1893" t="s">
        <v>381</v>
      </c>
      <c r="E1893" t="s">
        <v>1672</v>
      </c>
      <c r="F1893" t="s">
        <v>1779</v>
      </c>
      <c r="G1893">
        <v>4</v>
      </c>
      <c r="H1893" s="10">
        <f>IF(ISBLANK(ESales_DB[[#This Row],[Quantity]]),AVERAGEIF(ESales_DB[Product_ID],ESales_DB[[#This Row],[Product_ID]],ESales_DB[Quantity]),ESales_DB[[#This Row],[Quantity]])</f>
        <v>4</v>
      </c>
      <c r="I1893" s="2">
        <v>46.97</v>
      </c>
      <c r="J1893">
        <v>0.26</v>
      </c>
      <c r="K1893" t="s">
        <v>1826</v>
      </c>
      <c r="L1893" s="2">
        <v>139.03120000000001</v>
      </c>
      <c r="M1893" s="2" t="str">
        <f>IF(ESales_DB[[#This Row],[Total_Amount]]&gt;1000,"High","Low")</f>
        <v>Low</v>
      </c>
      <c r="N1893" s="2" t="str">
        <f>VLOOKUP(ESales_DB[[#This Row],[Customer_ID]],Ecustom_DB[],3,FALSE)</f>
        <v>Travis Holland</v>
      </c>
      <c r="O1893" s="2" t="str">
        <f>_xlfn.XLOOKUP(ESales_DB[[#This Row],[Product_ID]],Eproduct_DB[Product_ID],Eproduct_DB[Category])</f>
        <v>Electronics</v>
      </c>
      <c r="P1893" s="2" t="str">
        <f>_xlfn.XLOOKUP(ESales_DB[[#This Row],[Product_ID]],Eproduct_DB[Product_ID],Eproduct_DB[Product_Name])</f>
        <v>Laptop Cooling Pad</v>
      </c>
      <c r="Q1893" s="2" t="str">
        <f>_xlfn.XLOOKUP(ESales_DB[[#This Row],[Store_ID]],Estore_DB[Store_ID],Estore_DB[Region])</f>
        <v>South</v>
      </c>
      <c r="R1893" t="str">
        <f>VLOOKUP(ESales_DB[[#This Row],[Customer_ID]],Ecustom_DB[],10,FALSE)</f>
        <v>Bronze</v>
      </c>
      <c r="S1893" t="str">
        <f>IF(ESales_DB[[#This Row],[Quantity1]]&gt;3,"Bulk order","Normal order")</f>
        <v>Bulk order</v>
      </c>
    </row>
    <row r="1894" spans="1:19" x14ac:dyDescent="0.3">
      <c r="A1894" t="s">
        <v>2727</v>
      </c>
      <c r="B1894" s="4">
        <v>45784</v>
      </c>
      <c r="C1894" s="4" t="str">
        <f>TEXT(ESales_DB[[#This Row],[Order_Date]],"mmm")</f>
        <v>May</v>
      </c>
      <c r="D1894" t="s">
        <v>607</v>
      </c>
      <c r="E1894" t="s">
        <v>1640</v>
      </c>
      <c r="F1894" t="s">
        <v>1761</v>
      </c>
      <c r="G1894">
        <v>2</v>
      </c>
      <c r="H1894" s="10">
        <f>IF(ISBLANK(ESales_DB[[#This Row],[Quantity]]),AVERAGEIF(ESales_DB[Product_ID],ESales_DB[[#This Row],[Product_ID]],ESales_DB[Quantity]),ESales_DB[[#This Row],[Quantity]])</f>
        <v>2</v>
      </c>
      <c r="I1894" s="2">
        <v>71.48</v>
      </c>
      <c r="J1894">
        <v>0.14000000000000001</v>
      </c>
      <c r="K1894" t="s">
        <v>1829</v>
      </c>
      <c r="L1894" s="2">
        <v>122.9456</v>
      </c>
      <c r="M1894" s="2" t="str">
        <f>IF(ESales_DB[[#This Row],[Total_Amount]]&gt;1000,"High","Low")</f>
        <v>Low</v>
      </c>
      <c r="N1894" s="2" t="str">
        <f>VLOOKUP(ESales_DB[[#This Row],[Customer_ID]],Ecustom_DB[],3,FALSE)</f>
        <v>Leonard Cochran</v>
      </c>
      <c r="O1894" s="2" t="str">
        <f>_xlfn.XLOOKUP(ESales_DB[[#This Row],[Product_ID]],Eproduct_DB[Product_ID],Eproduct_DB[Category])</f>
        <v>Clothing</v>
      </c>
      <c r="P1894" s="2" t="str">
        <f>_xlfn.XLOOKUP(ESales_DB[[#This Row],[Product_ID]],Eproduct_DB[Product_ID],Eproduct_DB[Product_Name])</f>
        <v>Men's Winter Jacket</v>
      </c>
      <c r="Q1894" s="2" t="str">
        <f>_xlfn.XLOOKUP(ESales_DB[[#This Row],[Store_ID]],Estore_DB[Store_ID],Estore_DB[Region])</f>
        <v>South</v>
      </c>
      <c r="R1894" t="str">
        <f>VLOOKUP(ESales_DB[[#This Row],[Customer_ID]],Ecustom_DB[],10,FALSE)</f>
        <v>Silver</v>
      </c>
      <c r="S1894" t="str">
        <f>IF(ESales_DB[[#This Row],[Quantity1]]&gt;3,"Bulk order","Normal order")</f>
        <v>Normal order</v>
      </c>
    </row>
    <row r="1895" spans="1:19" x14ac:dyDescent="0.3">
      <c r="A1895" t="s">
        <v>2728</v>
      </c>
      <c r="B1895" s="4">
        <v>45812</v>
      </c>
      <c r="C1895" s="4" t="str">
        <f>TEXT(ESales_DB[[#This Row],[Order_Date]],"mmm")</f>
        <v>Jun</v>
      </c>
      <c r="D1895" t="s">
        <v>8</v>
      </c>
      <c r="E1895" t="s">
        <v>1660</v>
      </c>
      <c r="F1895" t="s">
        <v>1813</v>
      </c>
      <c r="G1895">
        <v>2</v>
      </c>
      <c r="H1895" s="10">
        <f>IF(ISBLANK(ESales_DB[[#This Row],[Quantity]]),AVERAGEIF(ESales_DB[Product_ID],ESales_DB[[#This Row],[Product_ID]],ESales_DB[Quantity]),ESales_DB[[#This Row],[Quantity]])</f>
        <v>2</v>
      </c>
      <c r="I1895" s="2">
        <v>404.08</v>
      </c>
      <c r="J1895">
        <v>7.0000000000000007E-2</v>
      </c>
      <c r="K1895" t="s">
        <v>1824</v>
      </c>
      <c r="L1895" s="2">
        <v>751.58879999999988</v>
      </c>
      <c r="M1895" s="2" t="str">
        <f>IF(ESales_DB[[#This Row],[Total_Amount]]&gt;1000,"High","Low")</f>
        <v>Low</v>
      </c>
      <c r="N1895" s="2" t="str">
        <f>VLOOKUP(ESales_DB[[#This Row],[Customer_ID]],Ecustom_DB[],3,FALSE)</f>
        <v>Sheena Bonilla</v>
      </c>
      <c r="O1895" s="2" t="str">
        <f>_xlfn.XLOOKUP(ESales_DB[[#This Row],[Product_ID]],Eproduct_DB[Product_ID],Eproduct_DB[Category])</f>
        <v>Home</v>
      </c>
      <c r="P1895" s="2" t="str">
        <f>_xlfn.XLOOKUP(ESales_DB[[#This Row],[Product_ID]],Eproduct_DB[Product_ID],Eproduct_DB[Product_Name])</f>
        <v>Premium Blanket Throw</v>
      </c>
      <c r="Q1895" s="2" t="str">
        <f>_xlfn.XLOOKUP(ESales_DB[[#This Row],[Store_ID]],Estore_DB[Store_ID],Estore_DB[Region])</f>
        <v>East</v>
      </c>
      <c r="R1895" t="str">
        <f>VLOOKUP(ESales_DB[[#This Row],[Customer_ID]],Ecustom_DB[],10,FALSE)</f>
        <v>Uncategorized</v>
      </c>
      <c r="S1895" t="str">
        <f>IF(ESales_DB[[#This Row],[Quantity1]]&gt;3,"Bulk order","Normal order")</f>
        <v>Normal order</v>
      </c>
    </row>
    <row r="1896" spans="1:19" x14ac:dyDescent="0.3">
      <c r="A1896" t="s">
        <v>2729</v>
      </c>
      <c r="B1896" s="4">
        <v>45653</v>
      </c>
      <c r="C1896" s="4" t="str">
        <f>TEXT(ESales_DB[[#This Row],[Order_Date]],"mmm")</f>
        <v>Dec</v>
      </c>
      <c r="D1896" t="s">
        <v>842</v>
      </c>
      <c r="E1896" t="s">
        <v>1582</v>
      </c>
      <c r="F1896" t="s">
        <v>1804</v>
      </c>
      <c r="G1896">
        <v>1</v>
      </c>
      <c r="H1896" s="10">
        <f>IF(ISBLANK(ESales_DB[[#This Row],[Quantity]]),AVERAGEIF(ESales_DB[Product_ID],ESales_DB[[#This Row],[Product_ID]],ESales_DB[Quantity]),ESales_DB[[#This Row],[Quantity]])</f>
        <v>1</v>
      </c>
      <c r="I1896" s="2">
        <v>519.91</v>
      </c>
      <c r="J1896">
        <v>0.05</v>
      </c>
      <c r="K1896" t="s">
        <v>1829</v>
      </c>
      <c r="L1896" s="2">
        <v>493.91449999999992</v>
      </c>
      <c r="M1896" s="2" t="str">
        <f>IF(ESales_DB[[#This Row],[Total_Amount]]&gt;1000,"High","Low")</f>
        <v>Low</v>
      </c>
      <c r="N1896" s="2" t="str">
        <f>VLOOKUP(ESales_DB[[#This Row],[Customer_ID]],Ecustom_DB[],3,FALSE)</f>
        <v>Matthew Payne</v>
      </c>
      <c r="O1896" s="2" t="str">
        <f>_xlfn.XLOOKUP(ESales_DB[[#This Row],[Product_ID]],Eproduct_DB[Product_ID],Eproduct_DB[Category])</f>
        <v>Sports</v>
      </c>
      <c r="P1896" s="2" t="str">
        <f>_xlfn.XLOOKUP(ESales_DB[[#This Row],[Product_ID]],Eproduct_DB[Product_ID],Eproduct_DB[Product_Name])</f>
        <v>Soccer Training Cone Set</v>
      </c>
      <c r="Q1896" s="2" t="str">
        <f>_xlfn.XLOOKUP(ESales_DB[[#This Row],[Store_ID]],Estore_DB[Store_ID],Estore_DB[Region])</f>
        <v>West</v>
      </c>
      <c r="R1896" t="str">
        <f>VLOOKUP(ESales_DB[[#This Row],[Customer_ID]],Ecustom_DB[],10,FALSE)</f>
        <v>Gold</v>
      </c>
      <c r="S1896" t="str">
        <f>IF(ESales_DB[[#This Row],[Quantity1]]&gt;3,"Bulk order","Normal order")</f>
        <v>Normal order</v>
      </c>
    </row>
    <row r="1897" spans="1:19" x14ac:dyDescent="0.3">
      <c r="A1897" t="s">
        <v>2730</v>
      </c>
      <c r="B1897" s="4">
        <v>45672</v>
      </c>
      <c r="C1897" s="4" t="str">
        <f>TEXT(ESales_DB[[#This Row],[Order_Date]],"mmm")</f>
        <v>Jan</v>
      </c>
      <c r="D1897" t="s">
        <v>490</v>
      </c>
      <c r="E1897" t="s">
        <v>1644</v>
      </c>
      <c r="F1897" t="s">
        <v>1797</v>
      </c>
      <c r="G1897">
        <v>3</v>
      </c>
      <c r="H1897" s="10">
        <f>IF(ISBLANK(ESales_DB[[#This Row],[Quantity]]),AVERAGEIF(ESales_DB[Product_ID],ESales_DB[[#This Row],[Product_ID]],ESales_DB[Quantity]),ESales_DB[[#This Row],[Quantity]])</f>
        <v>3</v>
      </c>
      <c r="I1897" s="2">
        <v>566.16</v>
      </c>
      <c r="J1897">
        <v>0.05</v>
      </c>
      <c r="K1897" t="s">
        <v>1826</v>
      </c>
      <c r="L1897" s="2">
        <v>1613.556</v>
      </c>
      <c r="M1897" s="2" t="str">
        <f>IF(ESales_DB[[#This Row],[Total_Amount]]&gt;1000,"High","Low")</f>
        <v>High</v>
      </c>
      <c r="N1897" s="2" t="str">
        <f>VLOOKUP(ESales_DB[[#This Row],[Customer_ID]],Ecustom_DB[],3,FALSE)</f>
        <v>Cameron Simpson</v>
      </c>
      <c r="O1897" s="2" t="str">
        <f>_xlfn.XLOOKUP(ESales_DB[[#This Row],[Product_ID]],Eproduct_DB[Product_ID],Eproduct_DB[Category])</f>
        <v>Electronics</v>
      </c>
      <c r="P1897" s="2" t="str">
        <f>_xlfn.XLOOKUP(ESales_DB[[#This Row],[Product_ID]],Eproduct_DB[Product_ID],Eproduct_DB[Product_Name])</f>
        <v>Car Dashboard Phone Holder</v>
      </c>
      <c r="Q1897" s="2" t="str">
        <f>_xlfn.XLOOKUP(ESales_DB[[#This Row],[Store_ID]],Estore_DB[Store_ID],Estore_DB[Region])</f>
        <v>East</v>
      </c>
      <c r="R1897" t="str">
        <f>VLOOKUP(ESales_DB[[#This Row],[Customer_ID]],Ecustom_DB[],10,FALSE)</f>
        <v>Platinum</v>
      </c>
      <c r="S1897" t="str">
        <f>IF(ESales_DB[[#This Row],[Quantity1]]&gt;3,"Bulk order","Normal order")</f>
        <v>Normal order</v>
      </c>
    </row>
    <row r="1898" spans="1:19" x14ac:dyDescent="0.3">
      <c r="A1898" t="s">
        <v>2731</v>
      </c>
      <c r="B1898" s="4">
        <v>45799</v>
      </c>
      <c r="C1898" s="4" t="str">
        <f>TEXT(ESales_DB[[#This Row],[Order_Date]],"mmm")</f>
        <v>May</v>
      </c>
      <c r="D1898" t="s">
        <v>1223</v>
      </c>
      <c r="E1898" t="s">
        <v>1652</v>
      </c>
      <c r="F1898" t="s">
        <v>1789</v>
      </c>
      <c r="G1898">
        <v>2</v>
      </c>
      <c r="H1898" s="10">
        <f>IF(ISBLANK(ESales_DB[[#This Row],[Quantity]]),AVERAGEIF(ESales_DB[Product_ID],ESales_DB[[#This Row],[Product_ID]],ESales_DB[Quantity]),ESales_DB[[#This Row],[Quantity]])</f>
        <v>2</v>
      </c>
      <c r="I1898" s="2">
        <v>295.12</v>
      </c>
      <c r="J1898">
        <v>0.09</v>
      </c>
      <c r="K1898" t="s">
        <v>1829</v>
      </c>
      <c r="L1898" s="2">
        <v>537.11840000000007</v>
      </c>
      <c r="M1898" s="2" t="str">
        <f>IF(ESales_DB[[#This Row],[Total_Amount]]&gt;1000,"High","Low")</f>
        <v>Low</v>
      </c>
      <c r="N1898" s="2" t="str">
        <f>VLOOKUP(ESales_DB[[#This Row],[Customer_ID]],Ecustom_DB[],3,FALSE)</f>
        <v>Jacqueline Payne</v>
      </c>
      <c r="O1898" s="2" t="str">
        <f>_xlfn.XLOOKUP(ESales_DB[[#This Row],[Product_ID]],Eproduct_DB[Product_ID],Eproduct_DB[Category])</f>
        <v>Sports</v>
      </c>
      <c r="P1898" s="2" t="str">
        <f>_xlfn.XLOOKUP(ESales_DB[[#This Row],[Product_ID]],Eproduct_DB[Product_ID],Eproduct_DB[Product_Name])</f>
        <v>Rugby Ball</v>
      </c>
      <c r="Q1898" s="2" t="str">
        <f>_xlfn.XLOOKUP(ESales_DB[[#This Row],[Store_ID]],Estore_DB[Store_ID],Estore_DB[Region])</f>
        <v>East</v>
      </c>
      <c r="R1898" t="str">
        <f>VLOOKUP(ESales_DB[[#This Row],[Customer_ID]],Ecustom_DB[],10,FALSE)</f>
        <v>Gold</v>
      </c>
      <c r="S1898" t="str">
        <f>IF(ESales_DB[[#This Row],[Quantity1]]&gt;3,"Bulk order","Normal order")</f>
        <v>Normal order</v>
      </c>
    </row>
    <row r="1899" spans="1:19" x14ac:dyDescent="0.3">
      <c r="A1899" t="s">
        <v>2732</v>
      </c>
      <c r="B1899" s="4">
        <v>45848</v>
      </c>
      <c r="C1899" s="4" t="str">
        <f>TEXT(ESales_DB[[#This Row],[Order_Date]],"mmm")</f>
        <v>Jul</v>
      </c>
      <c r="D1899" t="s">
        <v>384</v>
      </c>
      <c r="E1899" t="s">
        <v>1616</v>
      </c>
      <c r="F1899" t="s">
        <v>1792</v>
      </c>
      <c r="G1899">
        <v>2</v>
      </c>
      <c r="H1899" s="10">
        <f>IF(ISBLANK(ESales_DB[[#This Row],[Quantity]]),AVERAGEIF(ESales_DB[Product_ID],ESales_DB[[#This Row],[Product_ID]],ESales_DB[Quantity]),ESales_DB[[#This Row],[Quantity]])</f>
        <v>2</v>
      </c>
      <c r="I1899" s="2">
        <v>414.18</v>
      </c>
      <c r="J1899">
        <v>0.25</v>
      </c>
      <c r="K1899" t="s">
        <v>1826</v>
      </c>
      <c r="L1899" s="2">
        <v>621.27</v>
      </c>
      <c r="M1899" s="2" t="str">
        <f>IF(ESales_DB[[#This Row],[Total_Amount]]&gt;1000,"High","Low")</f>
        <v>Low</v>
      </c>
      <c r="N1899" s="2" t="str">
        <f>VLOOKUP(ESales_DB[[#This Row],[Customer_ID]],Ecustom_DB[],3,FALSE)</f>
        <v>Amy Walker</v>
      </c>
      <c r="O1899" s="2" t="str">
        <f>_xlfn.XLOOKUP(ESales_DB[[#This Row],[Product_ID]],Eproduct_DB[Product_ID],Eproduct_DB[Category])</f>
        <v>Electronics</v>
      </c>
      <c r="P1899" s="2" t="str">
        <f>_xlfn.XLOOKUP(ESales_DB[[#This Row],[Product_ID]],Eproduct_DB[Product_ID],Eproduct_DB[Product_Name])</f>
        <v>Gaming Mechanical Keyboard</v>
      </c>
      <c r="Q1899" s="2" t="str">
        <f>_xlfn.XLOOKUP(ESales_DB[[#This Row],[Store_ID]],Estore_DB[Store_ID],Estore_DB[Region])</f>
        <v>South</v>
      </c>
      <c r="R1899" t="str">
        <f>VLOOKUP(ESales_DB[[#This Row],[Customer_ID]],Ecustom_DB[],10,FALSE)</f>
        <v>Silver</v>
      </c>
      <c r="S1899" t="str">
        <f>IF(ESales_DB[[#This Row],[Quantity1]]&gt;3,"Bulk order","Normal order")</f>
        <v>Normal order</v>
      </c>
    </row>
    <row r="1900" spans="1:19" x14ac:dyDescent="0.3">
      <c r="A1900" t="s">
        <v>2733</v>
      </c>
      <c r="B1900" s="4">
        <v>45918</v>
      </c>
      <c r="C1900" s="4" t="str">
        <f>TEXT(ESales_DB[[#This Row],[Order_Date]],"mmm")</f>
        <v>Sep</v>
      </c>
      <c r="D1900" t="s">
        <v>854</v>
      </c>
      <c r="E1900" t="s">
        <v>1664</v>
      </c>
      <c r="F1900" t="s">
        <v>1782</v>
      </c>
      <c r="G1900">
        <v>2</v>
      </c>
      <c r="H1900" s="10">
        <f>IF(ISBLANK(ESales_DB[[#This Row],[Quantity]]),AVERAGEIF(ESales_DB[Product_ID],ESales_DB[[#This Row],[Product_ID]],ESales_DB[Quantity]),ESales_DB[[#This Row],[Quantity]])</f>
        <v>2</v>
      </c>
      <c r="I1900" s="2">
        <v>433.75</v>
      </c>
      <c r="J1900">
        <v>0</v>
      </c>
      <c r="K1900" t="s">
        <v>1824</v>
      </c>
      <c r="L1900" s="2">
        <v>867.5</v>
      </c>
      <c r="M1900" s="2" t="str">
        <f>IF(ESales_DB[[#This Row],[Total_Amount]]&gt;1000,"High","Low")</f>
        <v>Low</v>
      </c>
      <c r="N1900" s="2" t="str">
        <f>VLOOKUP(ESales_DB[[#This Row],[Customer_ID]],Ecustom_DB[],3,FALSE)</f>
        <v>Kevin Orr</v>
      </c>
      <c r="O1900" s="2" t="str">
        <f>_xlfn.XLOOKUP(ESales_DB[[#This Row],[Product_ID]],Eproduct_DB[Product_ID],Eproduct_DB[Category])</f>
        <v>Clothing</v>
      </c>
      <c r="P1900" s="2" t="str">
        <f>_xlfn.XLOOKUP(ESales_DB[[#This Row],[Product_ID]],Eproduct_DB[Product_ID],Eproduct_DB[Product_Name])</f>
        <v>Womens Cotton Scarf</v>
      </c>
      <c r="Q1900" s="2" t="str">
        <f>_xlfn.XLOOKUP(ESales_DB[[#This Row],[Store_ID]],Estore_DB[Store_ID],Estore_DB[Region])</f>
        <v>West</v>
      </c>
      <c r="R1900" t="str">
        <f>VLOOKUP(ESales_DB[[#This Row],[Customer_ID]],Ecustom_DB[],10,FALSE)</f>
        <v>Bronze</v>
      </c>
      <c r="S1900" t="str">
        <f>IF(ESales_DB[[#This Row],[Quantity1]]&gt;3,"Bulk order","Normal order")</f>
        <v>Normal order</v>
      </c>
    </row>
    <row r="1901" spans="1:19" x14ac:dyDescent="0.3">
      <c r="A1901" t="s">
        <v>2734</v>
      </c>
      <c r="B1901" s="4">
        <v>45288</v>
      </c>
      <c r="C1901" s="4" t="str">
        <f>TEXT(ESales_DB[[#This Row],[Order_Date]],"mmm")</f>
        <v>Dec</v>
      </c>
      <c r="D1901" t="s">
        <v>893</v>
      </c>
      <c r="E1901" t="s">
        <v>1718</v>
      </c>
      <c r="F1901" t="s">
        <v>1813</v>
      </c>
      <c r="G1901">
        <v>3</v>
      </c>
      <c r="H1901" s="10">
        <f>IF(ISBLANK(ESales_DB[[#This Row],[Quantity]]),AVERAGEIF(ESales_DB[Product_ID],ESales_DB[[#This Row],[Product_ID]],ESales_DB[Quantity]),ESales_DB[[#This Row],[Quantity]])</f>
        <v>3</v>
      </c>
      <c r="I1901" s="2">
        <v>104.33</v>
      </c>
      <c r="J1901">
        <v>0.13</v>
      </c>
      <c r="K1901" t="s">
        <v>1829</v>
      </c>
      <c r="L1901" s="2">
        <v>272.30130000000003</v>
      </c>
      <c r="M1901" s="2" t="str">
        <f>IF(ESales_DB[[#This Row],[Total_Amount]]&gt;1000,"High","Low")</f>
        <v>Low</v>
      </c>
      <c r="N1901" s="2" t="str">
        <f>VLOOKUP(ESales_DB[[#This Row],[Customer_ID]],Ecustom_DB[],3,FALSE)</f>
        <v>Brittany Watson</v>
      </c>
      <c r="O1901" s="2" t="str">
        <f>_xlfn.XLOOKUP(ESales_DB[[#This Row],[Product_ID]],Eproduct_DB[Product_ID],Eproduct_DB[Category])</f>
        <v>Clothing</v>
      </c>
      <c r="P1901" s="2" t="str">
        <f>_xlfn.XLOOKUP(ESales_DB[[#This Row],[Product_ID]],Eproduct_DB[Product_ID],Eproduct_DB[Product_Name])</f>
        <v>Women's Beanie Hat</v>
      </c>
      <c r="Q1901" s="2" t="str">
        <f>_xlfn.XLOOKUP(ESales_DB[[#This Row],[Store_ID]],Estore_DB[Store_ID],Estore_DB[Region])</f>
        <v>East</v>
      </c>
      <c r="R1901" t="str">
        <f>VLOOKUP(ESales_DB[[#This Row],[Customer_ID]],Ecustom_DB[],10,FALSE)</f>
        <v>Platinum</v>
      </c>
      <c r="S1901" t="str">
        <f>IF(ESales_DB[[#This Row],[Quantity1]]&gt;3,"Bulk order","Normal order")</f>
        <v>Normal order</v>
      </c>
    </row>
    <row r="1902" spans="1:19" x14ac:dyDescent="0.3">
      <c r="A1902" t="s">
        <v>2735</v>
      </c>
      <c r="B1902" s="4">
        <v>45477</v>
      </c>
      <c r="C1902" s="4" t="str">
        <f>TEXT(ESales_DB[[#This Row],[Order_Date]],"mmm")</f>
        <v>Jul</v>
      </c>
      <c r="D1902" t="s">
        <v>1431</v>
      </c>
      <c r="E1902" t="s">
        <v>1553</v>
      </c>
      <c r="F1902" t="s">
        <v>1794</v>
      </c>
      <c r="G1902">
        <v>1</v>
      </c>
      <c r="H1902" s="10">
        <f>IF(ISBLANK(ESales_DB[[#This Row],[Quantity]]),AVERAGEIF(ESales_DB[Product_ID],ESales_DB[[#This Row],[Product_ID]],ESales_DB[Quantity]),ESales_DB[[#This Row],[Quantity]])</f>
        <v>1</v>
      </c>
      <c r="I1902" s="2">
        <v>221.7</v>
      </c>
      <c r="J1902">
        <v>0.04</v>
      </c>
      <c r="K1902" t="s">
        <v>1824</v>
      </c>
      <c r="L1902" s="2">
        <v>212.83199999999999</v>
      </c>
      <c r="M1902" s="2" t="str">
        <f>IF(ESales_DB[[#This Row],[Total_Amount]]&gt;1000,"High","Low")</f>
        <v>Low</v>
      </c>
      <c r="N1902" s="2" t="str">
        <f>VLOOKUP(ESales_DB[[#This Row],[Customer_ID]],Ecustom_DB[],3,FALSE)</f>
        <v>David Pierce</v>
      </c>
      <c r="O1902" s="2" t="str">
        <f>_xlfn.XLOOKUP(ESales_DB[[#This Row],[Product_ID]],Eproduct_DB[Product_ID],Eproduct_DB[Category])</f>
        <v>Clothing</v>
      </c>
      <c r="P1902" s="2" t="str">
        <f>_xlfn.XLOOKUP(ESales_DB[[#This Row],[Product_ID]],Eproduct_DB[Product_ID],Eproduct_DB[Product_Name])</f>
        <v>Women's Yoga Pants</v>
      </c>
      <c r="Q1902" s="2" t="str">
        <f>_xlfn.XLOOKUP(ESales_DB[[#This Row],[Store_ID]],Estore_DB[Store_ID],Estore_DB[Region])</f>
        <v>North</v>
      </c>
      <c r="R1902" t="str">
        <f>VLOOKUP(ESales_DB[[#This Row],[Customer_ID]],Ecustom_DB[],10,FALSE)</f>
        <v>Platinum</v>
      </c>
      <c r="S1902" t="str">
        <f>IF(ESales_DB[[#This Row],[Quantity1]]&gt;3,"Bulk order","Normal order")</f>
        <v>Normal order</v>
      </c>
    </row>
    <row r="1903" spans="1:19" x14ac:dyDescent="0.3">
      <c r="A1903" t="s">
        <v>1917</v>
      </c>
      <c r="B1903" s="4">
        <v>45312</v>
      </c>
      <c r="C1903" s="4" t="str">
        <f>TEXT(ESales_DB[[#This Row],[Order_Date]],"mmm")</f>
        <v>Jan</v>
      </c>
      <c r="D1903" t="s">
        <v>1263</v>
      </c>
      <c r="E1903" t="s">
        <v>1580</v>
      </c>
      <c r="F1903" t="s">
        <v>1757</v>
      </c>
      <c r="G1903">
        <v>4</v>
      </c>
      <c r="H1903" s="10">
        <f>IF(ISBLANK(ESales_DB[[#This Row],[Quantity]]),AVERAGEIF(ESales_DB[Product_ID],ESales_DB[[#This Row],[Product_ID]],ESales_DB[Quantity]),ESales_DB[[#This Row],[Quantity]])</f>
        <v>4</v>
      </c>
      <c r="I1903" s="2">
        <v>102.19</v>
      </c>
      <c r="J1903">
        <v>0.17</v>
      </c>
      <c r="K1903" t="s">
        <v>1826</v>
      </c>
      <c r="L1903" s="2">
        <v>339.27080000000001</v>
      </c>
      <c r="M1903" s="2" t="str">
        <f>IF(ESales_DB[[#This Row],[Total_Amount]]&gt;1000,"High","Low")</f>
        <v>Low</v>
      </c>
      <c r="N1903" s="2" t="str">
        <f>VLOOKUP(ESales_DB[[#This Row],[Customer_ID]],Ecustom_DB[],3,FALSE)</f>
        <v>David Lozano</v>
      </c>
      <c r="O1903" s="2" t="str">
        <f>_xlfn.XLOOKUP(ESales_DB[[#This Row],[Product_ID]],Eproduct_DB[Product_ID],Eproduct_DB[Category])</f>
        <v>Beauty</v>
      </c>
      <c r="P1903" s="2" t="str">
        <f>_xlfn.XLOOKUP(ESales_DB[[#This Row],[Product_ID]],Eproduct_DB[Product_ID],Eproduct_DB[Product_Name])</f>
        <v>Beard Grooming Kit</v>
      </c>
      <c r="Q1903" s="2" t="str">
        <f>_xlfn.XLOOKUP(ESales_DB[[#This Row],[Store_ID]],Estore_DB[Store_ID],Estore_DB[Region])</f>
        <v>North</v>
      </c>
      <c r="R1903" t="str">
        <f>VLOOKUP(ESales_DB[[#This Row],[Customer_ID]],Ecustom_DB[],10,FALSE)</f>
        <v>Gold</v>
      </c>
      <c r="S1903" t="str">
        <f>IF(ESales_DB[[#This Row],[Quantity1]]&gt;3,"Bulk order","Normal order")</f>
        <v>Bulk order</v>
      </c>
    </row>
    <row r="1904" spans="1:19" x14ac:dyDescent="0.3">
      <c r="A1904" t="s">
        <v>2736</v>
      </c>
      <c r="B1904" s="4">
        <v>45796</v>
      </c>
      <c r="C1904" s="4" t="str">
        <f>TEXT(ESales_DB[[#This Row],[Order_Date]],"mmm")</f>
        <v>May</v>
      </c>
      <c r="D1904" t="s">
        <v>687</v>
      </c>
      <c r="E1904" t="s">
        <v>1682</v>
      </c>
      <c r="F1904" t="s">
        <v>1773</v>
      </c>
      <c r="G1904">
        <v>2</v>
      </c>
      <c r="H1904" s="10">
        <f>IF(ISBLANK(ESales_DB[[#This Row],[Quantity]]),AVERAGEIF(ESales_DB[Product_ID],ESales_DB[[#This Row],[Product_ID]],ESales_DB[Quantity]),ESales_DB[[#This Row],[Quantity]])</f>
        <v>2</v>
      </c>
      <c r="I1904" s="2">
        <v>491.26</v>
      </c>
      <c r="J1904">
        <v>0.14000000000000001</v>
      </c>
      <c r="K1904" t="s">
        <v>1829</v>
      </c>
      <c r="L1904" s="2">
        <v>844.96719999999993</v>
      </c>
      <c r="M1904" s="2" t="str">
        <f>IF(ESales_DB[[#This Row],[Total_Amount]]&gt;1000,"High","Low")</f>
        <v>Low</v>
      </c>
      <c r="N1904" s="2" t="str">
        <f>VLOOKUP(ESales_DB[[#This Row],[Customer_ID]],Ecustom_DB[],3,FALSE)</f>
        <v>Rodney Huffman</v>
      </c>
      <c r="O1904" s="2" t="str">
        <f>_xlfn.XLOOKUP(ESales_DB[[#This Row],[Product_ID]],Eproduct_DB[Product_ID],Eproduct_DB[Category])</f>
        <v>Electronics</v>
      </c>
      <c r="P1904" s="2" t="str">
        <f>_xlfn.XLOOKUP(ESales_DB[[#This Row],[Product_ID]],Eproduct_DB[Product_ID],Eproduct_DB[Product_Name])</f>
        <v>Smart LED Light Strip</v>
      </c>
      <c r="Q1904" s="2" t="str">
        <f>_xlfn.XLOOKUP(ESales_DB[[#This Row],[Store_ID]],Estore_DB[Store_ID],Estore_DB[Region])</f>
        <v>North</v>
      </c>
      <c r="R1904" t="str">
        <f>VLOOKUP(ESales_DB[[#This Row],[Customer_ID]],Ecustom_DB[],10,FALSE)</f>
        <v>Silver</v>
      </c>
      <c r="S1904" t="str">
        <f>IF(ESales_DB[[#This Row],[Quantity1]]&gt;3,"Bulk order","Normal order")</f>
        <v>Normal order</v>
      </c>
    </row>
    <row r="1905" spans="1:19" x14ac:dyDescent="0.3">
      <c r="A1905" t="s">
        <v>2737</v>
      </c>
      <c r="B1905" s="4">
        <v>45630</v>
      </c>
      <c r="C1905" s="4" t="str">
        <f>TEXT(ESales_DB[[#This Row],[Order_Date]],"mmm")</f>
        <v>Dec</v>
      </c>
      <c r="D1905" t="s">
        <v>598</v>
      </c>
      <c r="E1905" t="s">
        <v>1622</v>
      </c>
      <c r="F1905" t="s">
        <v>1782</v>
      </c>
      <c r="G1905">
        <v>4</v>
      </c>
      <c r="H1905" s="10">
        <f>IF(ISBLANK(ESales_DB[[#This Row],[Quantity]]),AVERAGEIF(ESales_DB[Product_ID],ESales_DB[[#This Row],[Product_ID]],ESales_DB[Quantity]),ESales_DB[[#This Row],[Quantity]])</f>
        <v>4</v>
      </c>
      <c r="I1905" s="2">
        <v>923.14</v>
      </c>
      <c r="J1905">
        <v>0.15</v>
      </c>
      <c r="K1905" t="s">
        <v>1824</v>
      </c>
      <c r="L1905" s="2">
        <v>3138.6759999999999</v>
      </c>
      <c r="M1905" s="2" t="str">
        <f>IF(ESales_DB[[#This Row],[Total_Amount]]&gt;1000,"High","Low")</f>
        <v>High</v>
      </c>
      <c r="N1905" s="2" t="str">
        <f>VLOOKUP(ESales_DB[[#This Row],[Customer_ID]],Ecustom_DB[],3,FALSE)</f>
        <v>Erin Ward</v>
      </c>
      <c r="O1905" s="2" t="str">
        <f>_xlfn.XLOOKUP(ESales_DB[[#This Row],[Product_ID]],Eproduct_DB[Product_ID],Eproduct_DB[Category])</f>
        <v>Clothing</v>
      </c>
      <c r="P1905" s="2" t="str">
        <f>_xlfn.XLOOKUP(ESales_DB[[#This Row],[Product_ID]],Eproduct_DB[Product_ID],Eproduct_DB[Product_Name])</f>
        <v>Men's Casual Sneakers</v>
      </c>
      <c r="Q1905" s="2" t="str">
        <f>_xlfn.XLOOKUP(ESales_DB[[#This Row],[Store_ID]],Estore_DB[Store_ID],Estore_DB[Region])</f>
        <v>West</v>
      </c>
      <c r="R1905" t="str">
        <f>VLOOKUP(ESales_DB[[#This Row],[Customer_ID]],Ecustom_DB[],10,FALSE)</f>
        <v>Bronze</v>
      </c>
      <c r="S1905" t="str">
        <f>IF(ESales_DB[[#This Row],[Quantity1]]&gt;3,"Bulk order","Normal order")</f>
        <v>Bulk order</v>
      </c>
    </row>
    <row r="1906" spans="1:19" x14ac:dyDescent="0.3">
      <c r="A1906" t="s">
        <v>2738</v>
      </c>
      <c r="B1906" s="4">
        <v>45625</v>
      </c>
      <c r="C1906" s="4" t="str">
        <f>TEXT(ESales_DB[[#This Row],[Order_Date]],"mmm")</f>
        <v>Nov</v>
      </c>
      <c r="D1906" t="s">
        <v>634</v>
      </c>
      <c r="E1906" t="s">
        <v>1676</v>
      </c>
      <c r="F1906" t="s">
        <v>1779</v>
      </c>
      <c r="G1906">
        <v>2</v>
      </c>
      <c r="H1906" s="10">
        <f>IF(ISBLANK(ESales_DB[[#This Row],[Quantity]]),AVERAGEIF(ESales_DB[Product_ID],ESales_DB[[#This Row],[Product_ID]],ESales_DB[Quantity]),ESales_DB[[#This Row],[Quantity]])</f>
        <v>2</v>
      </c>
      <c r="I1906" s="2">
        <v>747.65</v>
      </c>
      <c r="J1906">
        <v>0.08</v>
      </c>
      <c r="K1906" t="s">
        <v>1824</v>
      </c>
      <c r="L1906" s="2">
        <v>1375.6759999999999</v>
      </c>
      <c r="M1906" s="2" t="str">
        <f>IF(ESales_DB[[#This Row],[Total_Amount]]&gt;1000,"High","Low")</f>
        <v>High</v>
      </c>
      <c r="N1906" s="2" t="str">
        <f>VLOOKUP(ESales_DB[[#This Row],[Customer_ID]],Ecustom_DB[],3,FALSE)</f>
        <v>David Roberts</v>
      </c>
      <c r="O1906" s="2" t="str">
        <f>_xlfn.XLOOKUP(ESales_DB[[#This Row],[Product_ID]],Eproduct_DB[Product_ID],Eproduct_DB[Category])</f>
        <v>Beauty</v>
      </c>
      <c r="P1906" s="2" t="str">
        <f>_xlfn.XLOOKUP(ESales_DB[[#This Row],[Product_ID]],Eproduct_DB[Product_ID],Eproduct_DB[Product_Name])</f>
        <v>Matte Lipstick Set</v>
      </c>
      <c r="Q1906" s="2" t="str">
        <f>_xlfn.XLOOKUP(ESales_DB[[#This Row],[Store_ID]],Estore_DB[Store_ID],Estore_DB[Region])</f>
        <v>South</v>
      </c>
      <c r="R1906" t="str">
        <f>VLOOKUP(ESales_DB[[#This Row],[Customer_ID]],Ecustom_DB[],10,FALSE)</f>
        <v>Gold</v>
      </c>
      <c r="S1906" t="str">
        <f>IF(ESales_DB[[#This Row],[Quantity1]]&gt;3,"Bulk order","Normal order")</f>
        <v>Normal order</v>
      </c>
    </row>
    <row r="1907" spans="1:19" x14ac:dyDescent="0.3">
      <c r="A1907" t="s">
        <v>2739</v>
      </c>
      <c r="B1907" s="4">
        <v>45773</v>
      </c>
      <c r="C1907" s="4" t="str">
        <f>TEXT(ESales_DB[[#This Row],[Order_Date]],"mmm")</f>
        <v>Apr</v>
      </c>
      <c r="D1907" t="s">
        <v>384</v>
      </c>
      <c r="E1907" t="s">
        <v>1632</v>
      </c>
      <c r="F1907" t="s">
        <v>1779</v>
      </c>
      <c r="G1907">
        <v>3</v>
      </c>
      <c r="H1907" s="10">
        <f>IF(ISBLANK(ESales_DB[[#This Row],[Quantity]]),AVERAGEIF(ESales_DB[Product_ID],ESales_DB[[#This Row],[Product_ID]],ESales_DB[Quantity]),ESales_DB[[#This Row],[Quantity]])</f>
        <v>3</v>
      </c>
      <c r="I1907" s="2">
        <v>94.55</v>
      </c>
      <c r="J1907">
        <v>0.13</v>
      </c>
      <c r="K1907" t="s">
        <v>1829</v>
      </c>
      <c r="L1907" s="2">
        <v>246.77549999999999</v>
      </c>
      <c r="M1907" s="2" t="str">
        <f>IF(ESales_DB[[#This Row],[Total_Amount]]&gt;1000,"High","Low")</f>
        <v>Low</v>
      </c>
      <c r="N1907" s="2" t="str">
        <f>VLOOKUP(ESales_DB[[#This Row],[Customer_ID]],Ecustom_DB[],3,FALSE)</f>
        <v>Amy Walker</v>
      </c>
      <c r="O1907" s="2" t="str">
        <f>_xlfn.XLOOKUP(ESales_DB[[#This Row],[Product_ID]],Eproduct_DB[Product_ID],Eproduct_DB[Category])</f>
        <v>Electronics</v>
      </c>
      <c r="P1907" s="2" t="str">
        <f>_xlfn.XLOOKUP(ESales_DB[[#This Row],[Product_ID]],Eproduct_DB[Product_ID],Eproduct_DB[Product_Name])</f>
        <v>Smart Home WiFi Camera</v>
      </c>
      <c r="Q1907" s="2" t="str">
        <f>_xlfn.XLOOKUP(ESales_DB[[#This Row],[Store_ID]],Estore_DB[Store_ID],Estore_DB[Region])</f>
        <v>South</v>
      </c>
      <c r="R1907" t="str">
        <f>VLOOKUP(ESales_DB[[#This Row],[Customer_ID]],Ecustom_DB[],10,FALSE)</f>
        <v>Silver</v>
      </c>
      <c r="S1907" t="str">
        <f>IF(ESales_DB[[#This Row],[Quantity1]]&gt;3,"Bulk order","Normal order")</f>
        <v>Normal order</v>
      </c>
    </row>
    <row r="1908" spans="1:19" x14ac:dyDescent="0.3">
      <c r="A1908" t="s">
        <v>2740</v>
      </c>
      <c r="B1908" s="4">
        <v>45308</v>
      </c>
      <c r="C1908" s="4" t="str">
        <f>TEXT(ESales_DB[[#This Row],[Order_Date]],"mmm")</f>
        <v>Jan</v>
      </c>
      <c r="D1908" t="s">
        <v>153</v>
      </c>
      <c r="E1908" t="s">
        <v>1578</v>
      </c>
      <c r="F1908" t="s">
        <v>1813</v>
      </c>
      <c r="G1908">
        <v>3</v>
      </c>
      <c r="H1908" s="10">
        <f>IF(ISBLANK(ESales_DB[[#This Row],[Quantity]]),AVERAGEIF(ESales_DB[Product_ID],ESales_DB[[#This Row],[Product_ID]],ESales_DB[Quantity]),ESales_DB[[#This Row],[Quantity]])</f>
        <v>3</v>
      </c>
      <c r="I1908" s="2">
        <v>620.12</v>
      </c>
      <c r="J1908">
        <v>0.06</v>
      </c>
      <c r="K1908" t="s">
        <v>1824</v>
      </c>
      <c r="L1908" s="2">
        <v>1748.7384</v>
      </c>
      <c r="M1908" s="2" t="str">
        <f>IF(ESales_DB[[#This Row],[Total_Amount]]&gt;1000,"High","Low")</f>
        <v>High</v>
      </c>
      <c r="N1908" s="2" t="str">
        <f>VLOOKUP(ESales_DB[[#This Row],[Customer_ID]],Ecustom_DB[],3,FALSE)</f>
        <v>Tonya Reynolds</v>
      </c>
      <c r="O1908" s="2" t="str">
        <f>_xlfn.XLOOKUP(ESales_DB[[#This Row],[Product_ID]],Eproduct_DB[Product_ID],Eproduct_DB[Category])</f>
        <v>Electronics</v>
      </c>
      <c r="P1908" s="2" t="str">
        <f>_xlfn.XLOOKUP(ESales_DB[[#This Row],[Product_ID]],Eproduct_DB[Product_ID],Eproduct_DB[Product_Name])</f>
        <v>4K Home Projector</v>
      </c>
      <c r="Q1908" s="2" t="str">
        <f>_xlfn.XLOOKUP(ESales_DB[[#This Row],[Store_ID]],Estore_DB[Store_ID],Estore_DB[Region])</f>
        <v>East</v>
      </c>
      <c r="R1908" t="str">
        <f>VLOOKUP(ESales_DB[[#This Row],[Customer_ID]],Ecustom_DB[],10,FALSE)</f>
        <v>Gold</v>
      </c>
      <c r="S1908" t="str">
        <f>IF(ESales_DB[[#This Row],[Quantity1]]&gt;3,"Bulk order","Normal order")</f>
        <v>Normal order</v>
      </c>
    </row>
    <row r="1909" spans="1:19" x14ac:dyDescent="0.3">
      <c r="A1909" t="s">
        <v>2741</v>
      </c>
      <c r="B1909" s="4">
        <v>45869</v>
      </c>
      <c r="C1909" s="4" t="str">
        <f>TEXT(ESales_DB[[#This Row],[Order_Date]],"mmm")</f>
        <v>Jul</v>
      </c>
      <c r="D1909" t="s">
        <v>1495</v>
      </c>
      <c r="E1909" t="s">
        <v>1686</v>
      </c>
      <c r="F1909" t="s">
        <v>1776</v>
      </c>
      <c r="G1909">
        <v>2</v>
      </c>
      <c r="H1909" s="10">
        <f>IF(ISBLANK(ESales_DB[[#This Row],[Quantity]]),AVERAGEIF(ESales_DB[Product_ID],ESales_DB[[#This Row],[Product_ID]],ESales_DB[Quantity]),ESales_DB[[#This Row],[Quantity]])</f>
        <v>2</v>
      </c>
      <c r="I1909" s="2">
        <v>354.09</v>
      </c>
      <c r="J1909">
        <v>0.12</v>
      </c>
      <c r="K1909" t="s">
        <v>1829</v>
      </c>
      <c r="L1909" s="2">
        <v>623.19839999999999</v>
      </c>
      <c r="M1909" s="2" t="str">
        <f>IF(ESales_DB[[#This Row],[Total_Amount]]&gt;1000,"High","Low")</f>
        <v>Low</v>
      </c>
      <c r="N1909" s="2" t="str">
        <f>VLOOKUP(ESales_DB[[#This Row],[Customer_ID]],Ecustom_DB[],3,FALSE)</f>
        <v>Eric Lee</v>
      </c>
      <c r="O1909" s="2" t="str">
        <f>_xlfn.XLOOKUP(ESales_DB[[#This Row],[Product_ID]],Eproduct_DB[Product_ID],Eproduct_DB[Category])</f>
        <v>Clothing</v>
      </c>
      <c r="P1909" s="2" t="str">
        <f>_xlfn.XLOOKUP(ESales_DB[[#This Row],[Product_ID]],Eproduct_DB[Product_ID],Eproduct_DB[Product_Name])</f>
        <v>Men's Sports Shorts</v>
      </c>
      <c r="Q1909" s="2" t="str">
        <f>_xlfn.XLOOKUP(ESales_DB[[#This Row],[Store_ID]],Estore_DB[Store_ID],Estore_DB[Region])</f>
        <v>East</v>
      </c>
      <c r="R1909" t="str">
        <f>VLOOKUP(ESales_DB[[#This Row],[Customer_ID]],Ecustom_DB[],10,FALSE)</f>
        <v>Bronze</v>
      </c>
      <c r="S1909" t="str">
        <f>IF(ESales_DB[[#This Row],[Quantity1]]&gt;3,"Bulk order","Normal order")</f>
        <v>Normal order</v>
      </c>
    </row>
    <row r="1910" spans="1:19" x14ac:dyDescent="0.3">
      <c r="A1910" t="s">
        <v>2742</v>
      </c>
      <c r="B1910" s="4">
        <v>45621</v>
      </c>
      <c r="C1910" s="4" t="str">
        <f>TEXT(ESales_DB[[#This Row],[Order_Date]],"mmm")</f>
        <v>Nov</v>
      </c>
      <c r="D1910" t="s">
        <v>447</v>
      </c>
      <c r="E1910" t="s">
        <v>1654</v>
      </c>
      <c r="F1910" t="s">
        <v>1773</v>
      </c>
      <c r="G1910">
        <v>3</v>
      </c>
      <c r="H1910" s="10">
        <f>IF(ISBLANK(ESales_DB[[#This Row],[Quantity]]),AVERAGEIF(ESales_DB[Product_ID],ESales_DB[[#This Row],[Product_ID]],ESales_DB[Quantity]),ESales_DB[[#This Row],[Quantity]])</f>
        <v>3</v>
      </c>
      <c r="I1910" s="2">
        <v>214.94</v>
      </c>
      <c r="J1910">
        <v>0.22</v>
      </c>
      <c r="K1910" t="s">
        <v>1829</v>
      </c>
      <c r="L1910" s="2">
        <v>502.95960000000002</v>
      </c>
      <c r="M1910" s="2" t="str">
        <f>IF(ESales_DB[[#This Row],[Total_Amount]]&gt;1000,"High","Low")</f>
        <v>Low</v>
      </c>
      <c r="N1910" s="2" t="str">
        <f>VLOOKUP(ESales_DB[[#This Row],[Customer_ID]],Ecustom_DB[],3,FALSE)</f>
        <v>Jamie Reyes</v>
      </c>
      <c r="O1910" s="2" t="str">
        <f>_xlfn.XLOOKUP(ESales_DB[[#This Row],[Product_ID]],Eproduct_DB[Product_ID],Eproduct_DB[Category])</f>
        <v>Clothing</v>
      </c>
      <c r="P1910" s="2" t="str">
        <f>_xlfn.XLOOKUP(ESales_DB[[#This Row],[Product_ID]],Eproduct_DB[Product_ID],Eproduct_DB[Product_Name])</f>
        <v>Men's Track Pants</v>
      </c>
      <c r="Q1910" s="2" t="str">
        <f>_xlfn.XLOOKUP(ESales_DB[[#This Row],[Store_ID]],Estore_DB[Store_ID],Estore_DB[Region])</f>
        <v>North</v>
      </c>
      <c r="R1910" t="str">
        <f>VLOOKUP(ESales_DB[[#This Row],[Customer_ID]],Ecustom_DB[],10,FALSE)</f>
        <v>Platinum</v>
      </c>
      <c r="S1910" t="str">
        <f>IF(ESales_DB[[#This Row],[Quantity1]]&gt;3,"Bulk order","Normal order")</f>
        <v>Normal order</v>
      </c>
    </row>
    <row r="1911" spans="1:19" x14ac:dyDescent="0.3">
      <c r="A1911" t="s">
        <v>2743</v>
      </c>
      <c r="B1911" s="4">
        <v>45428</v>
      </c>
      <c r="C1911" s="4" t="str">
        <f>TEXT(ESales_DB[[#This Row],[Order_Date]],"mmm")</f>
        <v>May</v>
      </c>
      <c r="D1911" t="s">
        <v>651</v>
      </c>
      <c r="E1911" t="s">
        <v>1565</v>
      </c>
      <c r="F1911" t="s">
        <v>1794</v>
      </c>
      <c r="G1911">
        <v>2</v>
      </c>
      <c r="H1911" s="10">
        <f>IF(ISBLANK(ESales_DB[[#This Row],[Quantity]]),AVERAGEIF(ESales_DB[Product_ID],ESales_DB[[#This Row],[Product_ID]],ESales_DB[Quantity]),ESales_DB[[#This Row],[Quantity]])</f>
        <v>2</v>
      </c>
      <c r="I1911" s="2">
        <v>309.77999999999997</v>
      </c>
      <c r="J1911">
        <v>0.16</v>
      </c>
      <c r="K1911" t="s">
        <v>1824</v>
      </c>
      <c r="L1911" s="2">
        <v>520.43039999999996</v>
      </c>
      <c r="M1911" s="2" t="str">
        <f>IF(ESales_DB[[#This Row],[Total_Amount]]&gt;1000,"High","Low")</f>
        <v>Low</v>
      </c>
      <c r="N1911" s="2" t="str">
        <f>VLOOKUP(ESales_DB[[#This Row],[Customer_ID]],Ecustom_DB[],3,FALSE)</f>
        <v>Carmen Price</v>
      </c>
      <c r="O1911" s="2" t="str">
        <f>_xlfn.XLOOKUP(ESales_DB[[#This Row],[Product_ID]],Eproduct_DB[Product_ID],Eproduct_DB[Category])</f>
        <v>Sports</v>
      </c>
      <c r="P1911" s="2" t="str">
        <f>_xlfn.XLOOKUP(ESales_DB[[#This Row],[Product_ID]],Eproduct_DB[Product_ID],Eproduct_DB[Product_Name])</f>
        <v>Adjustable Dumbbell Set</v>
      </c>
      <c r="Q1911" s="2" t="str">
        <f>_xlfn.XLOOKUP(ESales_DB[[#This Row],[Store_ID]],Estore_DB[Store_ID],Estore_DB[Region])</f>
        <v>North</v>
      </c>
      <c r="R1911" t="str">
        <f>VLOOKUP(ESales_DB[[#This Row],[Customer_ID]],Ecustom_DB[],10,FALSE)</f>
        <v>Bronze</v>
      </c>
      <c r="S1911" t="str">
        <f>IF(ESales_DB[[#This Row],[Quantity1]]&gt;3,"Bulk order","Normal order")</f>
        <v>Normal order</v>
      </c>
    </row>
    <row r="1912" spans="1:19" x14ac:dyDescent="0.3">
      <c r="A1912" t="s">
        <v>2744</v>
      </c>
      <c r="B1912" s="4">
        <v>45807</v>
      </c>
      <c r="C1912" s="4" t="str">
        <f>TEXT(ESales_DB[[#This Row],[Order_Date]],"mmm")</f>
        <v>May</v>
      </c>
      <c r="D1912" t="s">
        <v>255</v>
      </c>
      <c r="E1912" t="s">
        <v>1574</v>
      </c>
      <c r="F1912" t="s">
        <v>1766</v>
      </c>
      <c r="G1912">
        <v>2</v>
      </c>
      <c r="H1912" s="10">
        <f>IF(ISBLANK(ESales_DB[[#This Row],[Quantity]]),AVERAGEIF(ESales_DB[Product_ID],ESales_DB[[#This Row],[Product_ID]],ESales_DB[Quantity]),ESales_DB[[#This Row],[Quantity]])</f>
        <v>2</v>
      </c>
      <c r="I1912" s="2">
        <v>183.85</v>
      </c>
      <c r="J1912">
        <v>0.14000000000000001</v>
      </c>
      <c r="K1912" t="s">
        <v>1826</v>
      </c>
      <c r="L1912" s="2">
        <v>316.22199999999998</v>
      </c>
      <c r="M1912" s="2" t="str">
        <f>IF(ESales_DB[[#This Row],[Total_Amount]]&gt;1000,"High","Low")</f>
        <v>Low</v>
      </c>
      <c r="N1912" s="2" t="str">
        <f>VLOOKUP(ESales_DB[[#This Row],[Customer_ID]],Ecustom_DB[],3,FALSE)</f>
        <v>Roy Cole</v>
      </c>
      <c r="O1912" s="2" t="str">
        <f>_xlfn.XLOOKUP(ESales_DB[[#This Row],[Product_ID]],Eproduct_DB[Product_ID],Eproduct_DB[Category])</f>
        <v>Electronics</v>
      </c>
      <c r="P1912" s="2" t="str">
        <f>_xlfn.XLOOKUP(ESales_DB[[#This Row],[Product_ID]],Eproduct_DB[Product_ID],Eproduct_DB[Product_Name])</f>
        <v>USB-C Fast Charger</v>
      </c>
      <c r="Q1912" s="2" t="str">
        <f>_xlfn.XLOOKUP(ESales_DB[[#This Row],[Store_ID]],Estore_DB[Store_ID],Estore_DB[Region])</f>
        <v>North</v>
      </c>
      <c r="R1912" t="str">
        <f>VLOOKUP(ESales_DB[[#This Row],[Customer_ID]],Ecustom_DB[],10,FALSE)</f>
        <v>Platinum</v>
      </c>
      <c r="S1912" t="str">
        <f>IF(ESales_DB[[#This Row],[Quantity1]]&gt;3,"Bulk order","Normal order")</f>
        <v>Normal order</v>
      </c>
    </row>
    <row r="1913" spans="1:19" x14ac:dyDescent="0.3">
      <c r="A1913" t="s">
        <v>2745</v>
      </c>
      <c r="B1913" s="4">
        <v>45238</v>
      </c>
      <c r="C1913" s="4" t="str">
        <f>TEXT(ESales_DB[[#This Row],[Order_Date]],"mmm")</f>
        <v>Nov</v>
      </c>
      <c r="D1913" t="s">
        <v>1272</v>
      </c>
      <c r="E1913" t="s">
        <v>1688</v>
      </c>
      <c r="F1913" t="s">
        <v>1752</v>
      </c>
      <c r="G1913">
        <v>1</v>
      </c>
      <c r="H1913" s="10">
        <f>IF(ISBLANK(ESales_DB[[#This Row],[Quantity]]),AVERAGEIF(ESales_DB[Product_ID],ESales_DB[[#This Row],[Product_ID]],ESales_DB[Quantity]),ESales_DB[[#This Row],[Quantity]])</f>
        <v>1</v>
      </c>
      <c r="I1913" s="2">
        <v>550.05999999999995</v>
      </c>
      <c r="J1913">
        <v>0.01</v>
      </c>
      <c r="K1913" t="s">
        <v>1824</v>
      </c>
      <c r="L1913" s="2">
        <v>544.55939999999998</v>
      </c>
      <c r="M1913" s="2" t="str">
        <f>IF(ESales_DB[[#This Row],[Total_Amount]]&gt;1000,"High","Low")</f>
        <v>Low</v>
      </c>
      <c r="N1913" s="2" t="str">
        <f>VLOOKUP(ESales_DB[[#This Row],[Customer_ID]],Ecustom_DB[],3,FALSE)</f>
        <v>Sarah Smith</v>
      </c>
      <c r="O1913" s="2" t="str">
        <f>_xlfn.XLOOKUP(ESales_DB[[#This Row],[Product_ID]],Eproduct_DB[Product_ID],Eproduct_DB[Category])</f>
        <v>Home</v>
      </c>
      <c r="P1913" s="2" t="str">
        <f>_xlfn.XLOOKUP(ESales_DB[[#This Row],[Product_ID]],Eproduct_DB[Product_ID],Eproduct_DB[Product_Name])</f>
        <v>Kitchen Storage Rack</v>
      </c>
      <c r="Q1913" s="2" t="str">
        <f>_xlfn.XLOOKUP(ESales_DB[[#This Row],[Store_ID]],Estore_DB[Store_ID],Estore_DB[Region])</f>
        <v>East</v>
      </c>
      <c r="R1913" t="str">
        <f>VLOOKUP(ESales_DB[[#This Row],[Customer_ID]],Ecustom_DB[],10,FALSE)</f>
        <v>Gold</v>
      </c>
      <c r="S1913" t="str">
        <f>IF(ESales_DB[[#This Row],[Quantity1]]&gt;3,"Bulk order","Normal order")</f>
        <v>Normal order</v>
      </c>
    </row>
    <row r="1914" spans="1:19" x14ac:dyDescent="0.3">
      <c r="A1914" t="s">
        <v>1918</v>
      </c>
      <c r="B1914" s="4">
        <v>45350</v>
      </c>
      <c r="C1914" s="4" t="str">
        <f>TEXT(ESales_DB[[#This Row],[Order_Date]],"mmm")</f>
        <v>Feb</v>
      </c>
      <c r="D1914" t="s">
        <v>40</v>
      </c>
      <c r="E1914" t="s">
        <v>1720</v>
      </c>
      <c r="F1914" t="s">
        <v>1769</v>
      </c>
      <c r="G1914">
        <v>1</v>
      </c>
      <c r="H1914" s="10">
        <f>IF(ISBLANK(ESales_DB[[#This Row],[Quantity]]),AVERAGEIF(ESales_DB[Product_ID],ESales_DB[[#This Row],[Product_ID]],ESales_DB[Quantity]),ESales_DB[[#This Row],[Quantity]])</f>
        <v>1</v>
      </c>
      <c r="I1914" s="2">
        <v>696.53</v>
      </c>
      <c r="J1914">
        <v>0.17</v>
      </c>
      <c r="K1914" t="s">
        <v>1824</v>
      </c>
      <c r="L1914" s="2">
        <v>578.11989999999992</v>
      </c>
      <c r="M1914" s="2" t="str">
        <f>IF(ESales_DB[[#This Row],[Total_Amount]]&gt;1000,"High","Low")</f>
        <v>Low</v>
      </c>
      <c r="N1914" s="2" t="str">
        <f>VLOOKUP(ESales_DB[[#This Row],[Customer_ID]],Ecustom_DB[],3,FALSE)</f>
        <v>Daniel Boyd</v>
      </c>
      <c r="O1914" s="2" t="str">
        <f>_xlfn.XLOOKUP(ESales_DB[[#This Row],[Product_ID]],Eproduct_DB[Product_ID],Eproduct_DB[Category])</f>
        <v>Home</v>
      </c>
      <c r="P1914" s="2" t="str">
        <f>_xlfn.XLOOKUP(ESales_DB[[#This Row],[Product_ID]],Eproduct_DB[Product_ID],Eproduct_DB[Product_Name])</f>
        <v>Kitchen Cutting Board</v>
      </c>
      <c r="Q1914" s="2" t="str">
        <f>_xlfn.XLOOKUP(ESales_DB[[#This Row],[Store_ID]],Estore_DB[Store_ID],Estore_DB[Region])</f>
        <v>South</v>
      </c>
      <c r="R1914" t="str">
        <f>VLOOKUP(ESales_DB[[#This Row],[Customer_ID]],Ecustom_DB[],10,FALSE)</f>
        <v>Bronze</v>
      </c>
      <c r="S1914" t="str">
        <f>IF(ESales_DB[[#This Row],[Quantity1]]&gt;3,"Bulk order","Normal order")</f>
        <v>Normal order</v>
      </c>
    </row>
    <row r="1915" spans="1:19" x14ac:dyDescent="0.3">
      <c r="A1915" t="s">
        <v>2746</v>
      </c>
      <c r="B1915" s="4">
        <v>45253</v>
      </c>
      <c r="C1915" s="4" t="str">
        <f>TEXT(ESales_DB[[#This Row],[Order_Date]],"mmm")</f>
        <v>Nov</v>
      </c>
      <c r="D1915" t="s">
        <v>121</v>
      </c>
      <c r="E1915" t="s">
        <v>1706</v>
      </c>
      <c r="F1915" t="s">
        <v>1769</v>
      </c>
      <c r="G1915">
        <v>2</v>
      </c>
      <c r="H1915" s="10">
        <f>IF(ISBLANK(ESales_DB[[#This Row],[Quantity]]),AVERAGEIF(ESales_DB[Product_ID],ESales_DB[[#This Row],[Product_ID]],ESales_DB[Quantity]),ESales_DB[[#This Row],[Quantity]])</f>
        <v>2</v>
      </c>
      <c r="I1915" s="2">
        <v>32.19</v>
      </c>
      <c r="J1915">
        <v>0.13</v>
      </c>
      <c r="K1915" t="s">
        <v>1829</v>
      </c>
      <c r="L1915" s="2">
        <v>56.010599999999997</v>
      </c>
      <c r="M1915" s="2" t="str">
        <f>IF(ESales_DB[[#This Row],[Total_Amount]]&gt;1000,"High","Low")</f>
        <v>Low</v>
      </c>
      <c r="N1915" s="2" t="str">
        <f>VLOOKUP(ESales_DB[[#This Row],[Customer_ID]],Ecustom_DB[],3,FALSE)</f>
        <v>David Arnold</v>
      </c>
      <c r="O1915" s="2" t="str">
        <f>_xlfn.XLOOKUP(ESales_DB[[#This Row],[Product_ID]],Eproduct_DB[Product_ID],Eproduct_DB[Category])</f>
        <v>Home</v>
      </c>
      <c r="P1915" s="2" t="str">
        <f>_xlfn.XLOOKUP(ESales_DB[[#This Row],[Product_ID]],Eproduct_DB[Product_ID],Eproduct_DB[Product_Name])</f>
        <v>Decorative Lamp Shade</v>
      </c>
      <c r="Q1915" s="2" t="str">
        <f>_xlfn.XLOOKUP(ESales_DB[[#This Row],[Store_ID]],Estore_DB[Store_ID],Estore_DB[Region])</f>
        <v>South</v>
      </c>
      <c r="R1915" t="str">
        <f>VLOOKUP(ESales_DB[[#This Row],[Customer_ID]],Ecustom_DB[],10,FALSE)</f>
        <v>Silver</v>
      </c>
      <c r="S1915" t="str">
        <f>IF(ESales_DB[[#This Row],[Quantity1]]&gt;3,"Bulk order","Normal order")</f>
        <v>Normal order</v>
      </c>
    </row>
    <row r="1916" spans="1:19" x14ac:dyDescent="0.3">
      <c r="A1916" t="s">
        <v>2747</v>
      </c>
      <c r="B1916" s="4">
        <v>45460</v>
      </c>
      <c r="C1916" s="4" t="str">
        <f>TEXT(ESales_DB[[#This Row],[Order_Date]],"mmm")</f>
        <v>Jun</v>
      </c>
      <c r="D1916" t="s">
        <v>470</v>
      </c>
      <c r="E1916" t="s">
        <v>1614</v>
      </c>
      <c r="F1916" t="s">
        <v>1813</v>
      </c>
      <c r="G1916">
        <v>2</v>
      </c>
      <c r="H1916" s="10">
        <f>IF(ISBLANK(ESales_DB[[#This Row],[Quantity]]),AVERAGEIF(ESales_DB[Product_ID],ESales_DB[[#This Row],[Product_ID]],ESales_DB[Quantity]),ESales_DB[[#This Row],[Quantity]])</f>
        <v>2</v>
      </c>
      <c r="I1916" s="2">
        <v>892.06</v>
      </c>
      <c r="J1916">
        <v>0.08</v>
      </c>
      <c r="K1916" t="s">
        <v>1824</v>
      </c>
      <c r="L1916" s="2">
        <v>1641.3904</v>
      </c>
      <c r="M1916" s="2" t="str">
        <f>IF(ESales_DB[[#This Row],[Total_Amount]]&gt;1000,"High","Low")</f>
        <v>High</v>
      </c>
      <c r="N1916" s="2" t="str">
        <f>VLOOKUP(ESales_DB[[#This Row],[Customer_ID]],Ecustom_DB[],3,FALSE)</f>
        <v>Sean Roth</v>
      </c>
      <c r="O1916" s="2" t="str">
        <f>_xlfn.XLOOKUP(ESales_DB[[#This Row],[Product_ID]],Eproduct_DB[Product_ID],Eproduct_DB[Category])</f>
        <v>Home</v>
      </c>
      <c r="P1916" s="2" t="str">
        <f>_xlfn.XLOOKUP(ESales_DB[[#This Row],[Product_ID]],Eproduct_DB[Product_ID],Eproduct_DB[Product_Name])</f>
        <v>Modern Wall Clock</v>
      </c>
      <c r="Q1916" s="2" t="str">
        <f>_xlfn.XLOOKUP(ESales_DB[[#This Row],[Store_ID]],Estore_DB[Store_ID],Estore_DB[Region])</f>
        <v>East</v>
      </c>
      <c r="R1916" t="str">
        <f>VLOOKUP(ESales_DB[[#This Row],[Customer_ID]],Ecustom_DB[],10,FALSE)</f>
        <v>Gold</v>
      </c>
      <c r="S1916" t="str">
        <f>IF(ESales_DB[[#This Row],[Quantity1]]&gt;3,"Bulk order","Normal order")</f>
        <v>Normal order</v>
      </c>
    </row>
    <row r="1917" spans="1:19" x14ac:dyDescent="0.3">
      <c r="A1917" t="s">
        <v>2748</v>
      </c>
      <c r="B1917" s="4">
        <v>45628</v>
      </c>
      <c r="C1917" s="4" t="str">
        <f>TEXT(ESales_DB[[#This Row],[Order_Date]],"mmm")</f>
        <v>Dec</v>
      </c>
      <c r="D1917" t="s">
        <v>1455</v>
      </c>
      <c r="E1917" t="s">
        <v>1664</v>
      </c>
      <c r="F1917" t="s">
        <v>1776</v>
      </c>
      <c r="G1917">
        <v>1</v>
      </c>
      <c r="H1917" s="10">
        <f>IF(ISBLANK(ESales_DB[[#This Row],[Quantity]]),AVERAGEIF(ESales_DB[Product_ID],ESales_DB[[#This Row],[Product_ID]],ESales_DB[Quantity]),ESales_DB[[#This Row],[Quantity]])</f>
        <v>1</v>
      </c>
      <c r="I1917" s="2">
        <v>127.47</v>
      </c>
      <c r="J1917">
        <v>0.16</v>
      </c>
      <c r="K1917" t="s">
        <v>1829</v>
      </c>
      <c r="L1917" s="2">
        <v>107.0748</v>
      </c>
      <c r="M1917" s="2" t="str">
        <f>IF(ESales_DB[[#This Row],[Total_Amount]]&gt;1000,"High","Low")</f>
        <v>Low</v>
      </c>
      <c r="N1917" s="2" t="str">
        <f>VLOOKUP(ESales_DB[[#This Row],[Customer_ID]],Ecustom_DB[],3,FALSE)</f>
        <v>Philip Mendoza</v>
      </c>
      <c r="O1917" s="2" t="str">
        <f>_xlfn.XLOOKUP(ESales_DB[[#This Row],[Product_ID]],Eproduct_DB[Product_ID],Eproduct_DB[Category])</f>
        <v>Clothing</v>
      </c>
      <c r="P1917" s="2" t="str">
        <f>_xlfn.XLOOKUP(ESales_DB[[#This Row],[Product_ID]],Eproduct_DB[Product_ID],Eproduct_DB[Product_Name])</f>
        <v>Womens Cotton Scarf</v>
      </c>
      <c r="Q1917" s="2" t="str">
        <f>_xlfn.XLOOKUP(ESales_DB[[#This Row],[Store_ID]],Estore_DB[Store_ID],Estore_DB[Region])</f>
        <v>East</v>
      </c>
      <c r="R1917" t="str">
        <f>VLOOKUP(ESales_DB[[#This Row],[Customer_ID]],Ecustom_DB[],10,FALSE)</f>
        <v>Silver</v>
      </c>
      <c r="S1917" t="str">
        <f>IF(ESales_DB[[#This Row],[Quantity1]]&gt;3,"Bulk order","Normal order")</f>
        <v>Normal order</v>
      </c>
    </row>
    <row r="1918" spans="1:19" x14ac:dyDescent="0.3">
      <c r="A1918" t="s">
        <v>2749</v>
      </c>
      <c r="B1918" s="4">
        <v>45778</v>
      </c>
      <c r="C1918" s="4" t="str">
        <f>TEXT(ESales_DB[[#This Row],[Order_Date]],"mmm")</f>
        <v>May</v>
      </c>
      <c r="D1918" t="s">
        <v>1211</v>
      </c>
      <c r="E1918" t="s">
        <v>1702</v>
      </c>
      <c r="F1918" t="s">
        <v>1799</v>
      </c>
      <c r="G1918">
        <v>3</v>
      </c>
      <c r="H1918" s="10">
        <f>IF(ISBLANK(ESales_DB[[#This Row],[Quantity]]),AVERAGEIF(ESales_DB[Product_ID],ESales_DB[[#This Row],[Product_ID]],ESales_DB[Quantity]),ESales_DB[[#This Row],[Quantity]])</f>
        <v>3</v>
      </c>
      <c r="I1918" s="2">
        <v>212.87</v>
      </c>
      <c r="J1918">
        <v>0.18</v>
      </c>
      <c r="K1918" t="s">
        <v>1824</v>
      </c>
      <c r="L1918" s="2">
        <v>523.66020000000003</v>
      </c>
      <c r="M1918" s="2" t="str">
        <f>IF(ESales_DB[[#This Row],[Total_Amount]]&gt;1000,"High","Low")</f>
        <v>Low</v>
      </c>
      <c r="N1918" s="2" t="str">
        <f>VLOOKUP(ESales_DB[[#This Row],[Customer_ID]],Ecustom_DB[],3,FALSE)</f>
        <v>Timothy Valenzuela</v>
      </c>
      <c r="O1918" s="2" t="str">
        <f>_xlfn.XLOOKUP(ESales_DB[[#This Row],[Product_ID]],Eproduct_DB[Product_ID],Eproduct_DB[Category])</f>
        <v>Electronics</v>
      </c>
      <c r="P1918" s="2" t="str">
        <f>_xlfn.XLOOKUP(ESales_DB[[#This Row],[Product_ID]],Eproduct_DB[Product_ID],Eproduct_DB[Product_Name])</f>
        <v>WiFi Mesh Router</v>
      </c>
      <c r="Q1918" s="2" t="str">
        <f>_xlfn.XLOOKUP(ESales_DB[[#This Row],[Store_ID]],Estore_DB[Store_ID],Estore_DB[Region])</f>
        <v>South</v>
      </c>
      <c r="R1918" t="str">
        <f>VLOOKUP(ESales_DB[[#This Row],[Customer_ID]],Ecustom_DB[],10,FALSE)</f>
        <v>Platinum</v>
      </c>
      <c r="S1918" t="str">
        <f>IF(ESales_DB[[#This Row],[Quantity1]]&gt;3,"Bulk order","Normal order")</f>
        <v>Normal order</v>
      </c>
    </row>
    <row r="1919" spans="1:19" x14ac:dyDescent="0.3">
      <c r="A1919" t="s">
        <v>2750</v>
      </c>
      <c r="B1919" s="4">
        <v>45471</v>
      </c>
      <c r="C1919" s="4" t="str">
        <f>TEXT(ESales_DB[[#This Row],[Order_Date]],"mmm")</f>
        <v>Jun</v>
      </c>
      <c r="D1919" t="s">
        <v>598</v>
      </c>
      <c r="E1919" t="s">
        <v>1710</v>
      </c>
      <c r="F1919" t="s">
        <v>1779</v>
      </c>
      <c r="G1919">
        <v>1</v>
      </c>
      <c r="H1919" s="10">
        <f>IF(ISBLANK(ESales_DB[[#This Row],[Quantity]]),AVERAGEIF(ESales_DB[Product_ID],ESales_DB[[#This Row],[Product_ID]],ESales_DB[Quantity]),ESales_DB[[#This Row],[Quantity]])</f>
        <v>1</v>
      </c>
      <c r="I1919" s="2">
        <v>26.37</v>
      </c>
      <c r="J1919">
        <v>0.3</v>
      </c>
      <c r="K1919" t="s">
        <v>1829</v>
      </c>
      <c r="L1919" s="2">
        <v>18.459</v>
      </c>
      <c r="M1919" s="2" t="str">
        <f>IF(ESales_DB[[#This Row],[Total_Amount]]&gt;1000,"High","Low")</f>
        <v>Low</v>
      </c>
      <c r="N1919" s="2" t="str">
        <f>VLOOKUP(ESales_DB[[#This Row],[Customer_ID]],Ecustom_DB[],3,FALSE)</f>
        <v>Erin Ward</v>
      </c>
      <c r="O1919" s="2" t="str">
        <f>_xlfn.XLOOKUP(ESales_DB[[#This Row],[Product_ID]],Eproduct_DB[Product_ID],Eproduct_DB[Category])</f>
        <v>Sports</v>
      </c>
      <c r="P1919" s="2" t="str">
        <f>_xlfn.XLOOKUP(ESales_DB[[#This Row],[Product_ID]],Eproduct_DB[Product_ID],Eproduct_DB[Product_Name])</f>
        <v>Badminton Racket Set</v>
      </c>
      <c r="Q1919" s="2" t="str">
        <f>_xlfn.XLOOKUP(ESales_DB[[#This Row],[Store_ID]],Estore_DB[Store_ID],Estore_DB[Region])</f>
        <v>South</v>
      </c>
      <c r="R1919" t="str">
        <f>VLOOKUP(ESales_DB[[#This Row],[Customer_ID]],Ecustom_DB[],10,FALSE)</f>
        <v>Bronze</v>
      </c>
      <c r="S1919" t="str">
        <f>IF(ESales_DB[[#This Row],[Quantity1]]&gt;3,"Bulk order","Normal order")</f>
        <v>Normal order</v>
      </c>
    </row>
    <row r="1920" spans="1:19" x14ac:dyDescent="0.3">
      <c r="A1920" t="s">
        <v>2751</v>
      </c>
      <c r="B1920" s="4">
        <v>45770</v>
      </c>
      <c r="C1920" s="4" t="str">
        <f>TEXT(ESales_DB[[#This Row],[Order_Date]],"mmm")</f>
        <v>Apr</v>
      </c>
      <c r="D1920" t="s">
        <v>1437</v>
      </c>
      <c r="E1920" t="s">
        <v>1616</v>
      </c>
      <c r="F1920" t="s">
        <v>1810</v>
      </c>
      <c r="G1920">
        <v>4</v>
      </c>
      <c r="H1920" s="10">
        <f>IF(ISBLANK(ESales_DB[[#This Row],[Quantity]]),AVERAGEIF(ESales_DB[Product_ID],ESales_DB[[#This Row],[Product_ID]],ESales_DB[Quantity]),ESales_DB[[#This Row],[Quantity]])</f>
        <v>4</v>
      </c>
      <c r="I1920" s="2">
        <v>953.98</v>
      </c>
      <c r="J1920">
        <v>0.16</v>
      </c>
      <c r="K1920" t="s">
        <v>1824</v>
      </c>
      <c r="L1920" s="2">
        <v>3205.3728000000001</v>
      </c>
      <c r="M1920" s="2" t="str">
        <f>IF(ESales_DB[[#This Row],[Total_Amount]]&gt;1000,"High","Low")</f>
        <v>High</v>
      </c>
      <c r="N1920" s="2" t="str">
        <f>VLOOKUP(ESales_DB[[#This Row],[Customer_ID]],Ecustom_DB[],3,FALSE)</f>
        <v>Cynthia Parrish</v>
      </c>
      <c r="O1920" s="2" t="str">
        <f>_xlfn.XLOOKUP(ESales_DB[[#This Row],[Product_ID]],Eproduct_DB[Product_ID],Eproduct_DB[Category])</f>
        <v>Electronics</v>
      </c>
      <c r="P1920" s="2" t="str">
        <f>_xlfn.XLOOKUP(ESales_DB[[#This Row],[Product_ID]],Eproduct_DB[Product_ID],Eproduct_DB[Product_Name])</f>
        <v>Gaming Mechanical Keyboard</v>
      </c>
      <c r="Q1920" s="2" t="str">
        <f>_xlfn.XLOOKUP(ESales_DB[[#This Row],[Store_ID]],Estore_DB[Store_ID],Estore_DB[Region])</f>
        <v>East</v>
      </c>
      <c r="R1920" t="str">
        <f>VLOOKUP(ESales_DB[[#This Row],[Customer_ID]],Ecustom_DB[],10,FALSE)</f>
        <v>Silver</v>
      </c>
      <c r="S1920" t="str">
        <f>IF(ESales_DB[[#This Row],[Quantity1]]&gt;3,"Bulk order","Normal order")</f>
        <v>Bulk order</v>
      </c>
    </row>
    <row r="1921" spans="1:19" x14ac:dyDescent="0.3">
      <c r="A1921" t="s">
        <v>2752</v>
      </c>
      <c r="B1921" s="4">
        <v>45369</v>
      </c>
      <c r="C1921" s="4" t="str">
        <f>TEXT(ESales_DB[[#This Row],[Order_Date]],"mmm")</f>
        <v>Mar</v>
      </c>
      <c r="D1921" t="s">
        <v>699</v>
      </c>
      <c r="E1921" t="s">
        <v>1682</v>
      </c>
      <c r="F1921" t="s">
        <v>1813</v>
      </c>
      <c r="G1921">
        <v>3</v>
      </c>
      <c r="H1921" s="10">
        <f>IF(ISBLANK(ESales_DB[[#This Row],[Quantity]]),AVERAGEIF(ESales_DB[Product_ID],ESales_DB[[#This Row],[Product_ID]],ESales_DB[Quantity]),ESales_DB[[#This Row],[Quantity]])</f>
        <v>3</v>
      </c>
      <c r="I1921" s="2">
        <v>968.88</v>
      </c>
      <c r="J1921">
        <v>0.15</v>
      </c>
      <c r="K1921" t="s">
        <v>1824</v>
      </c>
      <c r="L1921" s="2">
        <v>2470.6439999999998</v>
      </c>
      <c r="M1921" s="2" t="str">
        <f>IF(ESales_DB[[#This Row],[Total_Amount]]&gt;1000,"High","Low")</f>
        <v>High</v>
      </c>
      <c r="N1921" s="2" t="str">
        <f>VLOOKUP(ESales_DB[[#This Row],[Customer_ID]],Ecustom_DB[],3,FALSE)</f>
        <v>Steve Medina</v>
      </c>
      <c r="O1921" s="2" t="str">
        <f>_xlfn.XLOOKUP(ESales_DB[[#This Row],[Product_ID]],Eproduct_DB[Product_ID],Eproduct_DB[Category])</f>
        <v>Electronics</v>
      </c>
      <c r="P1921" s="2" t="str">
        <f>_xlfn.XLOOKUP(ESales_DB[[#This Row],[Product_ID]],Eproduct_DB[Product_ID],Eproduct_DB[Product_Name])</f>
        <v>Smart LED Light Strip</v>
      </c>
      <c r="Q1921" s="2" t="str">
        <f>_xlfn.XLOOKUP(ESales_DB[[#This Row],[Store_ID]],Estore_DB[Store_ID],Estore_DB[Region])</f>
        <v>East</v>
      </c>
      <c r="R1921" t="str">
        <f>VLOOKUP(ESales_DB[[#This Row],[Customer_ID]],Ecustom_DB[],10,FALSE)</f>
        <v>Gold</v>
      </c>
      <c r="S1921" t="str">
        <f>IF(ESales_DB[[#This Row],[Quantity1]]&gt;3,"Bulk order","Normal order")</f>
        <v>Normal order</v>
      </c>
    </row>
    <row r="1922" spans="1:19" x14ac:dyDescent="0.3">
      <c r="A1922" t="s">
        <v>2753</v>
      </c>
      <c r="B1922" s="4">
        <v>45910</v>
      </c>
      <c r="C1922" s="4" t="str">
        <f>TEXT(ESales_DB[[#This Row],[Order_Date]],"mmm")</f>
        <v>Sep</v>
      </c>
      <c r="D1922" t="s">
        <v>616</v>
      </c>
      <c r="E1922" t="s">
        <v>1700</v>
      </c>
      <c r="F1922" t="s">
        <v>1810</v>
      </c>
      <c r="G1922">
        <v>1</v>
      </c>
      <c r="H1922" s="10">
        <f>IF(ISBLANK(ESales_DB[[#This Row],[Quantity]]),AVERAGEIF(ESales_DB[Product_ID],ESales_DB[[#This Row],[Product_ID]],ESales_DB[Quantity]),ESales_DB[[#This Row],[Quantity]])</f>
        <v>1</v>
      </c>
      <c r="I1922" s="2">
        <v>533.04999999999995</v>
      </c>
      <c r="J1922">
        <v>0.11</v>
      </c>
      <c r="K1922" t="s">
        <v>1826</v>
      </c>
      <c r="L1922" s="2">
        <v>474.41449999999998</v>
      </c>
      <c r="M1922" s="2" t="str">
        <f>IF(ESales_DB[[#This Row],[Total_Amount]]&gt;1000,"High","Low")</f>
        <v>Low</v>
      </c>
      <c r="N1922" s="2" t="str">
        <f>VLOOKUP(ESales_DB[[#This Row],[Customer_ID]],Ecustom_DB[],3,FALSE)</f>
        <v>Dr. Suzanne Bullock</v>
      </c>
      <c r="O1922" s="2" t="str">
        <f>_xlfn.XLOOKUP(ESales_DB[[#This Row],[Product_ID]],Eproduct_DB[Product_ID],Eproduct_DB[Category])</f>
        <v>Electronics</v>
      </c>
      <c r="P1922" s="2" t="str">
        <f>_xlfn.XLOOKUP(ESales_DB[[#This Row],[Product_ID]],Eproduct_DB[Product_ID],Eproduct_DB[Product_Name])</f>
        <v>Wireless Mouse</v>
      </c>
      <c r="Q1922" s="2" t="str">
        <f>_xlfn.XLOOKUP(ESales_DB[[#This Row],[Store_ID]],Estore_DB[Store_ID],Estore_DB[Region])</f>
        <v>East</v>
      </c>
      <c r="R1922" t="str">
        <f>VLOOKUP(ESales_DB[[#This Row],[Customer_ID]],Ecustom_DB[],10,FALSE)</f>
        <v>Platinum</v>
      </c>
      <c r="S1922" t="str">
        <f>IF(ESales_DB[[#This Row],[Quantity1]]&gt;3,"Bulk order","Normal order")</f>
        <v>Normal order</v>
      </c>
    </row>
    <row r="1923" spans="1:19" x14ac:dyDescent="0.3">
      <c r="A1923" t="s">
        <v>2754</v>
      </c>
      <c r="B1923" s="4">
        <v>45637</v>
      </c>
      <c r="C1923" s="4" t="str">
        <f>TEXT(ESales_DB[[#This Row],[Order_Date]],"mmm")</f>
        <v>Dec</v>
      </c>
      <c r="D1923" t="s">
        <v>1190</v>
      </c>
      <c r="E1923" t="s">
        <v>1710</v>
      </c>
      <c r="F1923" t="s">
        <v>1757</v>
      </c>
      <c r="G1923">
        <v>3</v>
      </c>
      <c r="H1923" s="10">
        <f>IF(ISBLANK(ESales_DB[[#This Row],[Quantity]]),AVERAGEIF(ESales_DB[Product_ID],ESales_DB[[#This Row],[Product_ID]],ESales_DB[Quantity]),ESales_DB[[#This Row],[Quantity]])</f>
        <v>3</v>
      </c>
      <c r="I1923" s="2">
        <v>138.86000000000001</v>
      </c>
      <c r="J1923">
        <v>0.11</v>
      </c>
      <c r="K1923" t="s">
        <v>1826</v>
      </c>
      <c r="L1923" s="2">
        <v>370.75619999999998</v>
      </c>
      <c r="M1923" s="2" t="str">
        <f>IF(ESales_DB[[#This Row],[Total_Amount]]&gt;1000,"High","Low")</f>
        <v>Low</v>
      </c>
      <c r="N1923" s="2" t="str">
        <f>VLOOKUP(ESales_DB[[#This Row],[Customer_ID]],Ecustom_DB[],3,FALSE)</f>
        <v>Erika Padilla</v>
      </c>
      <c r="O1923" s="2" t="str">
        <f>_xlfn.XLOOKUP(ESales_DB[[#This Row],[Product_ID]],Eproduct_DB[Product_ID],Eproduct_DB[Category])</f>
        <v>Sports</v>
      </c>
      <c r="P1923" s="2" t="str">
        <f>_xlfn.XLOOKUP(ESales_DB[[#This Row],[Product_ID]],Eproduct_DB[Product_ID],Eproduct_DB[Product_Name])</f>
        <v>Badminton Racket Set</v>
      </c>
      <c r="Q1923" s="2" t="str">
        <f>_xlfn.XLOOKUP(ESales_DB[[#This Row],[Store_ID]],Estore_DB[Store_ID],Estore_DB[Region])</f>
        <v>North</v>
      </c>
      <c r="R1923" t="str">
        <f>VLOOKUP(ESales_DB[[#This Row],[Customer_ID]],Ecustom_DB[],10,FALSE)</f>
        <v>Silver</v>
      </c>
      <c r="S1923" t="str">
        <f>IF(ESales_DB[[#This Row],[Quantity1]]&gt;3,"Bulk order","Normal order")</f>
        <v>Normal order</v>
      </c>
    </row>
    <row r="1924" spans="1:19" x14ac:dyDescent="0.3">
      <c r="A1924" t="s">
        <v>2755</v>
      </c>
      <c r="B1924" s="4">
        <v>45706</v>
      </c>
      <c r="C1924" s="4" t="str">
        <f>TEXT(ESales_DB[[#This Row],[Order_Date]],"mmm")</f>
        <v>Feb</v>
      </c>
      <c r="D1924" t="s">
        <v>532</v>
      </c>
      <c r="E1924" t="s">
        <v>1592</v>
      </c>
      <c r="F1924" t="s">
        <v>1752</v>
      </c>
      <c r="G1924">
        <v>1</v>
      </c>
      <c r="H1924" s="10">
        <f>IF(ISBLANK(ESales_DB[[#This Row],[Quantity]]),AVERAGEIF(ESales_DB[Product_ID],ESales_DB[[#This Row],[Product_ID]],ESales_DB[Quantity]),ESales_DB[[#This Row],[Quantity]])</f>
        <v>1</v>
      </c>
      <c r="I1924" s="2">
        <v>588.92999999999995</v>
      </c>
      <c r="J1924">
        <v>0.03</v>
      </c>
      <c r="K1924" t="s">
        <v>1829</v>
      </c>
      <c r="L1924" s="2">
        <v>571.26209999999992</v>
      </c>
      <c r="M1924" s="2" t="str">
        <f>IF(ESales_DB[[#This Row],[Total_Amount]]&gt;1000,"High","Low")</f>
        <v>Low</v>
      </c>
      <c r="N1924" s="2" t="str">
        <f>VLOOKUP(ESales_DB[[#This Row],[Customer_ID]],Ecustom_DB[],3,FALSE)</f>
        <v>Brian Choi</v>
      </c>
      <c r="O1924" s="2" t="str">
        <f>_xlfn.XLOOKUP(ESales_DB[[#This Row],[Product_ID]],Eproduct_DB[Product_ID],Eproduct_DB[Category])</f>
        <v>Sports</v>
      </c>
      <c r="P1924" s="2" t="str">
        <f>_xlfn.XLOOKUP(ESales_DB[[#This Row],[Product_ID]],Eproduct_DB[Product_ID],Eproduct_DB[Product_Name])</f>
        <v>Carbon Fiber Tennis Racket</v>
      </c>
      <c r="Q1924" s="2" t="str">
        <f>_xlfn.XLOOKUP(ESales_DB[[#This Row],[Store_ID]],Estore_DB[Store_ID],Estore_DB[Region])</f>
        <v>East</v>
      </c>
      <c r="R1924" t="str">
        <f>VLOOKUP(ESales_DB[[#This Row],[Customer_ID]],Ecustom_DB[],10,FALSE)</f>
        <v>Gold</v>
      </c>
      <c r="S1924" t="str">
        <f>IF(ESales_DB[[#This Row],[Quantity1]]&gt;3,"Bulk order","Normal order")</f>
        <v>Normal order</v>
      </c>
    </row>
    <row r="1925" spans="1:19" x14ac:dyDescent="0.3">
      <c r="A1925" t="s">
        <v>1919</v>
      </c>
      <c r="B1925" s="4">
        <v>45657</v>
      </c>
      <c r="C1925" s="4" t="str">
        <f>TEXT(ESales_DB[[#This Row],[Order_Date]],"mmm")</f>
        <v>Dec</v>
      </c>
      <c r="D1925" t="s">
        <v>241</v>
      </c>
      <c r="E1925" t="s">
        <v>1586</v>
      </c>
      <c r="F1925" t="s">
        <v>1769</v>
      </c>
      <c r="G1925">
        <v>2</v>
      </c>
      <c r="H1925" s="10">
        <f>IF(ISBLANK(ESales_DB[[#This Row],[Quantity]]),AVERAGEIF(ESales_DB[Product_ID],ESales_DB[[#This Row],[Product_ID]],ESales_DB[Quantity]),ESales_DB[[#This Row],[Quantity]])</f>
        <v>2</v>
      </c>
      <c r="I1925" s="2">
        <v>327.52</v>
      </c>
      <c r="J1925">
        <v>0.15</v>
      </c>
      <c r="K1925" t="s">
        <v>1826</v>
      </c>
      <c r="L1925" s="2">
        <v>556.78399999999999</v>
      </c>
      <c r="M1925" s="2" t="str">
        <f>IF(ESales_DB[[#This Row],[Total_Amount]]&gt;1000,"High","Low")</f>
        <v>Low</v>
      </c>
      <c r="N1925" s="2" t="str">
        <f>VLOOKUP(ESales_DB[[#This Row],[Customer_ID]],Ecustom_DB[],3,FALSE)</f>
        <v>Michael Thomas</v>
      </c>
      <c r="O1925" s="2" t="str">
        <f>_xlfn.XLOOKUP(ESales_DB[[#This Row],[Product_ID]],Eproduct_DB[Product_ID],Eproduct_DB[Category])</f>
        <v>Sports</v>
      </c>
      <c r="P1925" s="2" t="str">
        <f>_xlfn.XLOOKUP(ESales_DB[[#This Row],[Product_ID]],Eproduct_DB[Product_ID],Eproduct_DB[Product_Name])</f>
        <v>Knee Support Brace</v>
      </c>
      <c r="Q1925" s="2" t="str">
        <f>_xlfn.XLOOKUP(ESales_DB[[#This Row],[Store_ID]],Estore_DB[Store_ID],Estore_DB[Region])</f>
        <v>South</v>
      </c>
      <c r="R1925" t="str">
        <f>VLOOKUP(ESales_DB[[#This Row],[Customer_ID]],Ecustom_DB[],10,FALSE)</f>
        <v>Silver</v>
      </c>
      <c r="S1925" t="str">
        <f>IF(ESales_DB[[#This Row],[Quantity1]]&gt;3,"Bulk order","Normal order")</f>
        <v>Normal order</v>
      </c>
    </row>
    <row r="1926" spans="1:19" x14ac:dyDescent="0.3">
      <c r="A1926" t="s">
        <v>2756</v>
      </c>
      <c r="B1926" s="4">
        <v>45557</v>
      </c>
      <c r="C1926" s="4" t="str">
        <f>TEXT(ESales_DB[[#This Row],[Order_Date]],"mmm")</f>
        <v>Sep</v>
      </c>
      <c r="D1926" t="s">
        <v>1254</v>
      </c>
      <c r="E1926" t="s">
        <v>1652</v>
      </c>
      <c r="F1926" t="s">
        <v>1773</v>
      </c>
      <c r="G1926">
        <v>2</v>
      </c>
      <c r="H1926" s="10">
        <f>IF(ISBLANK(ESales_DB[[#This Row],[Quantity]]),AVERAGEIF(ESales_DB[Product_ID],ESales_DB[[#This Row],[Product_ID]],ESales_DB[Quantity]),ESales_DB[[#This Row],[Quantity]])</f>
        <v>2</v>
      </c>
      <c r="I1926" s="2">
        <v>576.83000000000004</v>
      </c>
      <c r="J1926">
        <v>0.19</v>
      </c>
      <c r="K1926" t="s">
        <v>1826</v>
      </c>
      <c r="L1926" s="2">
        <v>934.46460000000013</v>
      </c>
      <c r="M1926" s="2" t="str">
        <f>IF(ESales_DB[[#This Row],[Total_Amount]]&gt;1000,"High","Low")</f>
        <v>Low</v>
      </c>
      <c r="N1926" s="2" t="str">
        <f>VLOOKUP(ESales_DB[[#This Row],[Customer_ID]],Ecustom_DB[],3,FALSE)</f>
        <v>Justin Ingram</v>
      </c>
      <c r="O1926" s="2" t="str">
        <f>_xlfn.XLOOKUP(ESales_DB[[#This Row],[Product_ID]],Eproduct_DB[Product_ID],Eproduct_DB[Category])</f>
        <v>Sports</v>
      </c>
      <c r="P1926" s="2" t="str">
        <f>_xlfn.XLOOKUP(ESales_DB[[#This Row],[Product_ID]],Eproduct_DB[Product_ID],Eproduct_DB[Product_Name])</f>
        <v>Rugby Ball</v>
      </c>
      <c r="Q1926" s="2" t="str">
        <f>_xlfn.XLOOKUP(ESales_DB[[#This Row],[Store_ID]],Estore_DB[Store_ID],Estore_DB[Region])</f>
        <v>North</v>
      </c>
      <c r="R1926" t="str">
        <f>VLOOKUP(ESales_DB[[#This Row],[Customer_ID]],Ecustom_DB[],10,FALSE)</f>
        <v>Bronze</v>
      </c>
      <c r="S1926" t="str">
        <f>IF(ESales_DB[[#This Row],[Quantity1]]&gt;3,"Bulk order","Normal order")</f>
        <v>Normal order</v>
      </c>
    </row>
    <row r="1927" spans="1:19" x14ac:dyDescent="0.3">
      <c r="A1927" t="s">
        <v>2757</v>
      </c>
      <c r="B1927" s="4">
        <v>45338</v>
      </c>
      <c r="C1927" s="4" t="str">
        <f>TEXT(ESales_DB[[#This Row],[Order_Date]],"mmm")</f>
        <v>Feb</v>
      </c>
      <c r="D1927" t="s">
        <v>1017</v>
      </c>
      <c r="E1927" t="s">
        <v>1678</v>
      </c>
      <c r="F1927" t="s">
        <v>1794</v>
      </c>
      <c r="G1927">
        <v>1</v>
      </c>
      <c r="H1927" s="10">
        <f>IF(ISBLANK(ESales_DB[[#This Row],[Quantity]]),AVERAGEIF(ESales_DB[Product_ID],ESales_DB[[#This Row],[Product_ID]],ESales_DB[Quantity]),ESales_DB[[#This Row],[Quantity]])</f>
        <v>1</v>
      </c>
      <c r="I1927" s="2">
        <v>681.3</v>
      </c>
      <c r="J1927">
        <v>0.05</v>
      </c>
      <c r="K1927" t="s">
        <v>1824</v>
      </c>
      <c r="L1927" s="2">
        <v>647.2349999999999</v>
      </c>
      <c r="M1927" s="2" t="str">
        <f>IF(ESales_DB[[#This Row],[Total_Amount]]&gt;1000,"High","Low")</f>
        <v>Low</v>
      </c>
      <c r="N1927" s="2" t="str">
        <f>VLOOKUP(ESales_DB[[#This Row],[Customer_ID]],Ecustom_DB[],3,FALSE)</f>
        <v>Kristy Dunlap</v>
      </c>
      <c r="O1927" s="2" t="str">
        <f>_xlfn.XLOOKUP(ESales_DB[[#This Row],[Product_ID]],Eproduct_DB[Product_ID],Eproduct_DB[Category])</f>
        <v>Sports</v>
      </c>
      <c r="P1927" s="2" t="str">
        <f>_xlfn.XLOOKUP(ESales_DB[[#This Row],[Product_ID]],Eproduct_DB[Product_ID],Eproduct_DB[Product_Name])</f>
        <v>Adjustable Dumbbells 20kg</v>
      </c>
      <c r="Q1927" s="2" t="str">
        <f>_xlfn.XLOOKUP(ESales_DB[[#This Row],[Store_ID]],Estore_DB[Store_ID],Estore_DB[Region])</f>
        <v>North</v>
      </c>
      <c r="R1927" t="str">
        <f>VLOOKUP(ESales_DB[[#This Row],[Customer_ID]],Ecustom_DB[],10,FALSE)</f>
        <v>Platinum</v>
      </c>
      <c r="S1927" t="str">
        <f>IF(ESales_DB[[#This Row],[Quantity1]]&gt;3,"Bulk order","Normal order")</f>
        <v>Normal order</v>
      </c>
    </row>
    <row r="1928" spans="1:19" x14ac:dyDescent="0.3">
      <c r="A1928" t="s">
        <v>2758</v>
      </c>
      <c r="B1928" s="4">
        <v>45441</v>
      </c>
      <c r="C1928" s="4" t="str">
        <f>TEXT(ESales_DB[[#This Row],[Order_Date]],"mmm")</f>
        <v>May</v>
      </c>
      <c r="D1928" t="s">
        <v>1411</v>
      </c>
      <c r="E1928" t="s">
        <v>1598</v>
      </c>
      <c r="F1928" t="s">
        <v>1801</v>
      </c>
      <c r="G1928">
        <v>3</v>
      </c>
      <c r="H1928" s="10">
        <f>IF(ISBLANK(ESales_DB[[#This Row],[Quantity]]),AVERAGEIF(ESales_DB[Product_ID],ESales_DB[[#This Row],[Product_ID]],ESales_DB[Quantity]),ESales_DB[[#This Row],[Quantity]])</f>
        <v>3</v>
      </c>
      <c r="I1928" s="2">
        <v>504.97</v>
      </c>
      <c r="J1928">
        <v>0.3</v>
      </c>
      <c r="K1928" t="s">
        <v>1824</v>
      </c>
      <c r="L1928" s="2">
        <v>1060.4369999999999</v>
      </c>
      <c r="M1928" s="2" t="str">
        <f>IF(ESales_DB[[#This Row],[Total_Amount]]&gt;1000,"High","Low")</f>
        <v>High</v>
      </c>
      <c r="N1928" s="2" t="str">
        <f>VLOOKUP(ESales_DB[[#This Row],[Customer_ID]],Ecustom_DB[],3,FALSE)</f>
        <v>Christina Robertson</v>
      </c>
      <c r="O1928" s="2" t="str">
        <f>_xlfn.XLOOKUP(ESales_DB[[#This Row],[Product_ID]],Eproduct_DB[Product_ID],Eproduct_DB[Category])</f>
        <v>Clothing</v>
      </c>
      <c r="P1928" s="2" t="str">
        <f>_xlfn.XLOOKUP(ESales_DB[[#This Row],[Product_ID]],Eproduct_DB[Product_ID],Eproduct_DB[Product_Name])</f>
        <v>Women's Scarf Set</v>
      </c>
      <c r="Q1928" s="2" t="str">
        <f>_xlfn.XLOOKUP(ESales_DB[[#This Row],[Store_ID]],Estore_DB[Store_ID],Estore_DB[Region])</f>
        <v>North</v>
      </c>
      <c r="R1928" t="str">
        <f>VLOOKUP(ESales_DB[[#This Row],[Customer_ID]],Ecustom_DB[],10,FALSE)</f>
        <v>Platinum</v>
      </c>
      <c r="S1928" t="str">
        <f>IF(ESales_DB[[#This Row],[Quantity1]]&gt;3,"Bulk order","Normal order")</f>
        <v>Normal order</v>
      </c>
    </row>
    <row r="1929" spans="1:19" x14ac:dyDescent="0.3">
      <c r="A1929" t="s">
        <v>2759</v>
      </c>
      <c r="B1929" s="4">
        <v>45396</v>
      </c>
      <c r="C1929" s="4" t="str">
        <f>TEXT(ESales_DB[[#This Row],[Order_Date]],"mmm")</f>
        <v>Apr</v>
      </c>
      <c r="D1929" t="s">
        <v>224</v>
      </c>
      <c r="E1929" t="s">
        <v>1624</v>
      </c>
      <c r="F1929" t="s">
        <v>1792</v>
      </c>
      <c r="G1929">
        <v>3</v>
      </c>
      <c r="H1929" s="10">
        <f>IF(ISBLANK(ESales_DB[[#This Row],[Quantity]]),AVERAGEIF(ESales_DB[Product_ID],ESales_DB[[#This Row],[Product_ID]],ESales_DB[Quantity]),ESales_DB[[#This Row],[Quantity]])</f>
        <v>3</v>
      </c>
      <c r="I1929" s="2">
        <v>649.78</v>
      </c>
      <c r="J1929">
        <v>0.1</v>
      </c>
      <c r="K1929" t="s">
        <v>1826</v>
      </c>
      <c r="L1929" s="2">
        <v>1754.4059999999999</v>
      </c>
      <c r="M1929" s="2" t="str">
        <f>IF(ESales_DB[[#This Row],[Total_Amount]]&gt;1000,"High","Low")</f>
        <v>High</v>
      </c>
      <c r="N1929" s="2" t="str">
        <f>VLOOKUP(ESales_DB[[#This Row],[Customer_ID]],Ecustom_DB[],3,FALSE)</f>
        <v>Dr. David Smith</v>
      </c>
      <c r="O1929" s="2" t="str">
        <f>_xlfn.XLOOKUP(ESales_DB[[#This Row],[Product_ID]],Eproduct_DB[Product_ID],Eproduct_DB[Category])</f>
        <v>Sports</v>
      </c>
      <c r="P1929" s="2" t="str">
        <f>_xlfn.XLOOKUP(ESales_DB[[#This Row],[Product_ID]],Eproduct_DB[Product_ID],Eproduct_DB[Product_Name])</f>
        <v>Sports Water Hydration Pack</v>
      </c>
      <c r="Q1929" s="2" t="str">
        <f>_xlfn.XLOOKUP(ESales_DB[[#This Row],[Store_ID]],Estore_DB[Store_ID],Estore_DB[Region])</f>
        <v>South</v>
      </c>
      <c r="R1929" t="str">
        <f>VLOOKUP(ESales_DB[[#This Row],[Customer_ID]],Ecustom_DB[],10,FALSE)</f>
        <v>Silver</v>
      </c>
      <c r="S1929" t="str">
        <f>IF(ESales_DB[[#This Row],[Quantity1]]&gt;3,"Bulk order","Normal order")</f>
        <v>Normal order</v>
      </c>
    </row>
    <row r="1930" spans="1:19" x14ac:dyDescent="0.3">
      <c r="A1930" t="s">
        <v>2760</v>
      </c>
      <c r="B1930" s="4">
        <v>45317</v>
      </c>
      <c r="C1930" s="4" t="str">
        <f>TEXT(ESales_DB[[#This Row],[Order_Date]],"mmm")</f>
        <v>Jan</v>
      </c>
      <c r="D1930" t="s">
        <v>785</v>
      </c>
      <c r="E1930" t="s">
        <v>1626</v>
      </c>
      <c r="F1930" t="s">
        <v>1786</v>
      </c>
      <c r="G1930">
        <v>2</v>
      </c>
      <c r="H1930" s="10">
        <f>IF(ISBLANK(ESales_DB[[#This Row],[Quantity]]),AVERAGEIF(ESales_DB[Product_ID],ESales_DB[[#This Row],[Product_ID]],ESales_DB[Quantity]),ESales_DB[[#This Row],[Quantity]])</f>
        <v>2</v>
      </c>
      <c r="I1930" s="2">
        <v>986.73</v>
      </c>
      <c r="J1930">
        <v>0.05</v>
      </c>
      <c r="K1930" t="s">
        <v>1826</v>
      </c>
      <c r="L1930" s="2">
        <v>1874.787</v>
      </c>
      <c r="M1930" s="2" t="str">
        <f>IF(ESales_DB[[#This Row],[Total_Amount]]&gt;1000,"High","Low")</f>
        <v>High</v>
      </c>
      <c r="N1930" s="2" t="str">
        <f>VLOOKUP(ESales_DB[[#This Row],[Customer_ID]],Ecustom_DB[],3,FALSE)</f>
        <v>Laura Soto</v>
      </c>
      <c r="O1930" s="2" t="str">
        <f>_xlfn.XLOOKUP(ESales_DB[[#This Row],[Product_ID]],Eproduct_DB[Product_ID],Eproduct_DB[Category])</f>
        <v>Electronics</v>
      </c>
      <c r="P1930" s="2" t="str">
        <f>_xlfn.XLOOKUP(ESales_DB[[#This Row],[Product_ID]],Eproduct_DB[Product_ID],Eproduct_DB[Product_Name])</f>
        <v>Portable Power Bank</v>
      </c>
      <c r="Q1930" s="2" t="str">
        <f>_xlfn.XLOOKUP(ESales_DB[[#This Row],[Store_ID]],Estore_DB[Store_ID],Estore_DB[Region])</f>
        <v>South</v>
      </c>
      <c r="R1930" t="str">
        <f>VLOOKUP(ESales_DB[[#This Row],[Customer_ID]],Ecustom_DB[],10,FALSE)</f>
        <v>Platinum</v>
      </c>
      <c r="S1930" t="str">
        <f>IF(ESales_DB[[#This Row],[Quantity1]]&gt;3,"Bulk order","Normal order")</f>
        <v>Normal order</v>
      </c>
    </row>
    <row r="1931" spans="1:19" x14ac:dyDescent="0.3">
      <c r="A1931" t="s">
        <v>2761</v>
      </c>
      <c r="B1931" s="4">
        <v>45235</v>
      </c>
      <c r="C1931" s="4" t="str">
        <f>TEXT(ESales_DB[[#This Row],[Order_Date]],"mmm")</f>
        <v>Nov</v>
      </c>
      <c r="D1931" t="s">
        <v>414</v>
      </c>
      <c r="E1931" t="s">
        <v>1574</v>
      </c>
      <c r="F1931" t="s">
        <v>1801</v>
      </c>
      <c r="G1931">
        <v>2</v>
      </c>
      <c r="H1931" s="10">
        <f>IF(ISBLANK(ESales_DB[[#This Row],[Quantity]]),AVERAGEIF(ESales_DB[Product_ID],ESales_DB[[#This Row],[Product_ID]],ESales_DB[Quantity]),ESales_DB[[#This Row],[Quantity]])</f>
        <v>2</v>
      </c>
      <c r="I1931" s="2">
        <v>65.44</v>
      </c>
      <c r="J1931">
        <v>0.05</v>
      </c>
      <c r="K1931" t="s">
        <v>1826</v>
      </c>
      <c r="L1931" s="2">
        <v>124.336</v>
      </c>
      <c r="M1931" s="2" t="str">
        <f>IF(ESales_DB[[#This Row],[Total_Amount]]&gt;1000,"High","Low")</f>
        <v>Low</v>
      </c>
      <c r="N1931" s="2" t="str">
        <f>VLOOKUP(ESales_DB[[#This Row],[Customer_ID]],Ecustom_DB[],3,FALSE)</f>
        <v>Michael Jones</v>
      </c>
      <c r="O1931" s="2" t="str">
        <f>_xlfn.XLOOKUP(ESales_DB[[#This Row],[Product_ID]],Eproduct_DB[Product_ID],Eproduct_DB[Category])</f>
        <v>Electronics</v>
      </c>
      <c r="P1931" s="2" t="str">
        <f>_xlfn.XLOOKUP(ESales_DB[[#This Row],[Product_ID]],Eproduct_DB[Product_ID],Eproduct_DB[Product_Name])</f>
        <v>USB-C Fast Charger</v>
      </c>
      <c r="Q1931" s="2" t="str">
        <f>_xlfn.XLOOKUP(ESales_DB[[#This Row],[Store_ID]],Estore_DB[Store_ID],Estore_DB[Region])</f>
        <v>North</v>
      </c>
      <c r="R1931" t="str">
        <f>VLOOKUP(ESales_DB[[#This Row],[Customer_ID]],Ecustom_DB[],10,FALSE)</f>
        <v>Bronze</v>
      </c>
      <c r="S1931" t="str">
        <f>IF(ESales_DB[[#This Row],[Quantity1]]&gt;3,"Bulk order","Normal order")</f>
        <v>Normal order</v>
      </c>
    </row>
    <row r="1932" spans="1:19" x14ac:dyDescent="0.3">
      <c r="A1932" t="s">
        <v>2762</v>
      </c>
      <c r="B1932" s="4">
        <v>45824</v>
      </c>
      <c r="C1932" s="4" t="str">
        <f>TEXT(ESales_DB[[#This Row],[Order_Date]],"mmm")</f>
        <v>Jun</v>
      </c>
      <c r="D1932" t="s">
        <v>1196</v>
      </c>
      <c r="E1932" t="s">
        <v>1674</v>
      </c>
      <c r="F1932" t="s">
        <v>1797</v>
      </c>
      <c r="G1932">
        <v>3</v>
      </c>
      <c r="H1932" s="10">
        <f>IF(ISBLANK(ESales_DB[[#This Row],[Quantity]]),AVERAGEIF(ESales_DB[Product_ID],ESales_DB[[#This Row],[Product_ID]],ESales_DB[Quantity]),ESales_DB[[#This Row],[Quantity]])</f>
        <v>3</v>
      </c>
      <c r="I1932" s="2">
        <v>953.74</v>
      </c>
      <c r="J1932">
        <v>0.04</v>
      </c>
      <c r="K1932" t="s">
        <v>1824</v>
      </c>
      <c r="L1932" s="2">
        <v>2746.7712000000001</v>
      </c>
      <c r="M1932" s="2" t="str">
        <f>IF(ESales_DB[[#This Row],[Total_Amount]]&gt;1000,"High","Low")</f>
        <v>High</v>
      </c>
      <c r="N1932" s="2" t="str">
        <f>VLOOKUP(ESales_DB[[#This Row],[Customer_ID]],Ecustom_DB[],3,FALSE)</f>
        <v>Kristine Higgins</v>
      </c>
      <c r="O1932" s="2" t="str">
        <f>_xlfn.XLOOKUP(ESales_DB[[#This Row],[Product_ID]],Eproduct_DB[Product_ID],Eproduct_DB[Category])</f>
        <v>Beauty</v>
      </c>
      <c r="P1932" s="2" t="str">
        <f>_xlfn.XLOOKUP(ESales_DB[[#This Row],[Product_ID]],Eproduct_DB[Product_ID],Eproduct_DB[Product_Name])</f>
        <v>Organic Sunscreen Lotion</v>
      </c>
      <c r="Q1932" s="2" t="str">
        <f>_xlfn.XLOOKUP(ESales_DB[[#This Row],[Store_ID]],Estore_DB[Store_ID],Estore_DB[Region])</f>
        <v>East</v>
      </c>
      <c r="R1932" t="str">
        <f>VLOOKUP(ESales_DB[[#This Row],[Customer_ID]],Ecustom_DB[],10,FALSE)</f>
        <v>Silver</v>
      </c>
      <c r="S1932" t="str">
        <f>IF(ESales_DB[[#This Row],[Quantity1]]&gt;3,"Bulk order","Normal order")</f>
        <v>Normal order</v>
      </c>
    </row>
    <row r="1933" spans="1:19" x14ac:dyDescent="0.3">
      <c r="A1933" t="s">
        <v>2763</v>
      </c>
      <c r="B1933" s="4">
        <v>45543</v>
      </c>
      <c r="C1933" s="4" t="str">
        <f>TEXT(ESales_DB[[#This Row],[Order_Date]],"mmm")</f>
        <v>Sep</v>
      </c>
      <c r="D1933" t="s">
        <v>247</v>
      </c>
      <c r="E1933" t="s">
        <v>1700</v>
      </c>
      <c r="F1933" t="s">
        <v>1789</v>
      </c>
      <c r="G1933">
        <v>3</v>
      </c>
      <c r="H1933" s="10">
        <f>IF(ISBLANK(ESales_DB[[#This Row],[Quantity]]),AVERAGEIF(ESales_DB[Product_ID],ESales_DB[[#This Row],[Product_ID]],ESales_DB[Quantity]),ESales_DB[[#This Row],[Quantity]])</f>
        <v>3</v>
      </c>
      <c r="I1933" s="2">
        <v>904.48</v>
      </c>
      <c r="J1933">
        <v>0.21</v>
      </c>
      <c r="K1933" t="s">
        <v>1826</v>
      </c>
      <c r="L1933" s="2">
        <v>2143.6176</v>
      </c>
      <c r="M1933" s="2" t="str">
        <f>IF(ESales_DB[[#This Row],[Total_Amount]]&gt;1000,"High","Low")</f>
        <v>High</v>
      </c>
      <c r="N1933" s="2" t="str">
        <f>VLOOKUP(ESales_DB[[#This Row],[Customer_ID]],Ecustom_DB[],3,FALSE)</f>
        <v>Amber Mcclain</v>
      </c>
      <c r="O1933" s="2" t="str">
        <f>_xlfn.XLOOKUP(ESales_DB[[#This Row],[Product_ID]],Eproduct_DB[Product_ID],Eproduct_DB[Category])</f>
        <v>Electronics</v>
      </c>
      <c r="P1933" s="2" t="str">
        <f>_xlfn.XLOOKUP(ESales_DB[[#This Row],[Product_ID]],Eproduct_DB[Product_ID],Eproduct_DB[Product_Name])</f>
        <v>Wireless Mouse</v>
      </c>
      <c r="Q1933" s="2" t="str">
        <f>_xlfn.XLOOKUP(ESales_DB[[#This Row],[Store_ID]],Estore_DB[Store_ID],Estore_DB[Region])</f>
        <v>East</v>
      </c>
      <c r="R1933" t="str">
        <f>VLOOKUP(ESales_DB[[#This Row],[Customer_ID]],Ecustom_DB[],10,FALSE)</f>
        <v>Silver</v>
      </c>
      <c r="S1933" t="str">
        <f>IF(ESales_DB[[#This Row],[Quantity1]]&gt;3,"Bulk order","Normal order")</f>
        <v>Normal order</v>
      </c>
    </row>
    <row r="1934" spans="1:19" x14ac:dyDescent="0.3">
      <c r="A1934" t="s">
        <v>2764</v>
      </c>
      <c r="B1934" s="4">
        <v>45595</v>
      </c>
      <c r="C1934" s="4" t="str">
        <f>TEXT(ESales_DB[[#This Row],[Order_Date]],"mmm")</f>
        <v>Oct</v>
      </c>
      <c r="D1934" t="s">
        <v>1513</v>
      </c>
      <c r="E1934" t="s">
        <v>1672</v>
      </c>
      <c r="F1934" t="s">
        <v>1801</v>
      </c>
      <c r="G1934">
        <v>3</v>
      </c>
      <c r="H1934" s="10">
        <f>IF(ISBLANK(ESales_DB[[#This Row],[Quantity]]),AVERAGEIF(ESales_DB[Product_ID],ESales_DB[[#This Row],[Product_ID]],ESales_DB[Quantity]),ESales_DB[[#This Row],[Quantity]])</f>
        <v>3</v>
      </c>
      <c r="I1934" s="2">
        <v>920.82</v>
      </c>
      <c r="J1934">
        <v>0.1</v>
      </c>
      <c r="K1934" t="s">
        <v>1826</v>
      </c>
      <c r="L1934" s="2">
        <v>2486.2139999999999</v>
      </c>
      <c r="M1934" s="2" t="str">
        <f>IF(ESales_DB[[#This Row],[Total_Amount]]&gt;1000,"High","Low")</f>
        <v>High</v>
      </c>
      <c r="N1934" s="2" t="str">
        <f>VLOOKUP(ESales_DB[[#This Row],[Customer_ID]],Ecustom_DB[],3,FALSE)</f>
        <v>Darrell Miller</v>
      </c>
      <c r="O1934" s="2" t="str">
        <f>_xlfn.XLOOKUP(ESales_DB[[#This Row],[Product_ID]],Eproduct_DB[Product_ID],Eproduct_DB[Category])</f>
        <v>Electronics</v>
      </c>
      <c r="P1934" s="2" t="str">
        <f>_xlfn.XLOOKUP(ESales_DB[[#This Row],[Product_ID]],Eproduct_DB[Product_ID],Eproduct_DB[Product_Name])</f>
        <v>Laptop Cooling Pad</v>
      </c>
      <c r="Q1934" s="2" t="str">
        <f>_xlfn.XLOOKUP(ESales_DB[[#This Row],[Store_ID]],Estore_DB[Store_ID],Estore_DB[Region])</f>
        <v>North</v>
      </c>
      <c r="R1934" t="str">
        <f>VLOOKUP(ESales_DB[[#This Row],[Customer_ID]],Ecustom_DB[],10,FALSE)</f>
        <v>Platinum</v>
      </c>
      <c r="S1934" t="str">
        <f>IF(ESales_DB[[#This Row],[Quantity1]]&gt;3,"Bulk order","Normal order")</f>
        <v>Normal order</v>
      </c>
    </row>
    <row r="1935" spans="1:19" x14ac:dyDescent="0.3">
      <c r="A1935" t="s">
        <v>2765</v>
      </c>
      <c r="B1935" s="4">
        <v>45803</v>
      </c>
      <c r="C1935" s="4" t="str">
        <f>TEXT(ESales_DB[[#This Row],[Order_Date]],"mmm")</f>
        <v>May</v>
      </c>
      <c r="D1935" t="s">
        <v>963</v>
      </c>
      <c r="E1935" t="s">
        <v>1604</v>
      </c>
      <c r="F1935" t="s">
        <v>1757</v>
      </c>
      <c r="G1935">
        <v>1</v>
      </c>
      <c r="H1935" s="10">
        <f>IF(ISBLANK(ESales_DB[[#This Row],[Quantity]]),AVERAGEIF(ESales_DB[Product_ID],ESales_DB[[#This Row],[Product_ID]],ESales_DB[Quantity]),ESales_DB[[#This Row],[Quantity]])</f>
        <v>1</v>
      </c>
      <c r="I1935" s="2">
        <v>182.28</v>
      </c>
      <c r="J1935">
        <v>0.15</v>
      </c>
      <c r="K1935" t="s">
        <v>1829</v>
      </c>
      <c r="L1935" s="2">
        <v>154.93799999999999</v>
      </c>
      <c r="M1935" s="2" t="str">
        <f>IF(ESales_DB[[#This Row],[Total_Amount]]&gt;1000,"High","Low")</f>
        <v>Low</v>
      </c>
      <c r="N1935" s="2" t="str">
        <f>VLOOKUP(ESales_DB[[#This Row],[Customer_ID]],Ecustom_DB[],3,FALSE)</f>
        <v>Roberta Green</v>
      </c>
      <c r="O1935" s="2" t="str">
        <f>_xlfn.XLOOKUP(ESales_DB[[#This Row],[Product_ID]],Eproduct_DB[Product_ID],Eproduct_DB[Category])</f>
        <v>Sports</v>
      </c>
      <c r="P1935" s="2" t="str">
        <f>_xlfn.XLOOKUP(ESales_DB[[#This Row],[Product_ID]],Eproduct_DB[Product_ID],Eproduct_DB[Product_Name])</f>
        <v>Sports Stopwatch Timer</v>
      </c>
      <c r="Q1935" s="2" t="str">
        <f>_xlfn.XLOOKUP(ESales_DB[[#This Row],[Store_ID]],Estore_DB[Store_ID],Estore_DB[Region])</f>
        <v>North</v>
      </c>
      <c r="R1935" t="str">
        <f>VLOOKUP(ESales_DB[[#This Row],[Customer_ID]],Ecustom_DB[],10,FALSE)</f>
        <v>Platinum</v>
      </c>
      <c r="S1935" t="str">
        <f>IF(ESales_DB[[#This Row],[Quantity1]]&gt;3,"Bulk order","Normal order")</f>
        <v>Normal order</v>
      </c>
    </row>
    <row r="1936" spans="1:19" x14ac:dyDescent="0.3">
      <c r="A1936" t="s">
        <v>1920</v>
      </c>
      <c r="B1936" s="4">
        <v>45530</v>
      </c>
      <c r="C1936" s="4" t="str">
        <f>TEXT(ESales_DB[[#This Row],[Order_Date]],"mmm")</f>
        <v>Aug</v>
      </c>
      <c r="D1936" t="s">
        <v>942</v>
      </c>
      <c r="E1936" t="s">
        <v>1742</v>
      </c>
      <c r="F1936" t="s">
        <v>1813</v>
      </c>
      <c r="G1936">
        <v>2</v>
      </c>
      <c r="H1936" s="10">
        <f>IF(ISBLANK(ESales_DB[[#This Row],[Quantity]]),AVERAGEIF(ESales_DB[Product_ID],ESales_DB[[#This Row],[Product_ID]],ESales_DB[Quantity]),ESales_DB[[#This Row],[Quantity]])</f>
        <v>2</v>
      </c>
      <c r="I1936" s="2">
        <v>569.36</v>
      </c>
      <c r="J1936">
        <v>0.01</v>
      </c>
      <c r="K1936" t="s">
        <v>1826</v>
      </c>
      <c r="M1936" s="2" t="str">
        <f>IF(ESales_DB[[#This Row],[Total_Amount]]&gt;1000,"High","Low")</f>
        <v>Low</v>
      </c>
      <c r="N1936" s="2" t="str">
        <f>VLOOKUP(ESales_DB[[#This Row],[Customer_ID]],Ecustom_DB[],3,FALSE)</f>
        <v>Tracy Stephens</v>
      </c>
      <c r="O1936" s="2" t="str">
        <f>_xlfn.XLOOKUP(ESales_DB[[#This Row],[Product_ID]],Eproduct_DB[Product_ID],Eproduct_DB[Category])</f>
        <v>Sports</v>
      </c>
      <c r="P1936" s="2" t="str">
        <f>_xlfn.XLOOKUP(ESales_DB[[#This Row],[Product_ID]],Eproduct_DB[Product_ID],Eproduct_DB[Product_Name])</f>
        <v>Cricket Bat</v>
      </c>
      <c r="Q1936" s="2" t="str">
        <f>_xlfn.XLOOKUP(ESales_DB[[#This Row],[Store_ID]],Estore_DB[Store_ID],Estore_DB[Region])</f>
        <v>East</v>
      </c>
      <c r="R1936" t="str">
        <f>VLOOKUP(ESales_DB[[#This Row],[Customer_ID]],Ecustom_DB[],10,FALSE)</f>
        <v>Platinum</v>
      </c>
      <c r="S1936" t="str">
        <f>IF(ESales_DB[[#This Row],[Quantity1]]&gt;3,"Bulk order","Normal order")</f>
        <v>Normal order</v>
      </c>
    </row>
    <row r="1937" spans="1:19" x14ac:dyDescent="0.3">
      <c r="A1937" t="s">
        <v>2766</v>
      </c>
      <c r="B1937" s="4">
        <v>45880</v>
      </c>
      <c r="C1937" s="4" t="str">
        <f>TEXT(ESales_DB[[#This Row],[Order_Date]],"mmm")</f>
        <v>Aug</v>
      </c>
      <c r="D1937" t="s">
        <v>1377</v>
      </c>
      <c r="E1937" t="s">
        <v>1610</v>
      </c>
      <c r="F1937" t="s">
        <v>1804</v>
      </c>
      <c r="G1937">
        <v>3</v>
      </c>
      <c r="H1937" s="10">
        <f>IF(ISBLANK(ESales_DB[[#This Row],[Quantity]]),AVERAGEIF(ESales_DB[Product_ID],ESales_DB[[#This Row],[Product_ID]],ESales_DB[Quantity]),ESales_DB[[#This Row],[Quantity]])</f>
        <v>3</v>
      </c>
      <c r="I1937" s="2">
        <v>938.68</v>
      </c>
      <c r="J1937">
        <v>0.14000000000000001</v>
      </c>
      <c r="K1937" t="s">
        <v>1824</v>
      </c>
      <c r="L1937" s="2">
        <v>2421.7944000000002</v>
      </c>
      <c r="M1937" s="2" t="str">
        <f>IF(ESales_DB[[#This Row],[Total_Amount]]&gt;1000,"High","Low")</f>
        <v>High</v>
      </c>
      <c r="N1937" s="2" t="str">
        <f>VLOOKUP(ESales_DB[[#This Row],[Customer_ID]],Ecustom_DB[],3,FALSE)</f>
        <v>Gene Lee</v>
      </c>
      <c r="O1937" s="2" t="str">
        <f>_xlfn.XLOOKUP(ESales_DB[[#This Row],[Product_ID]],Eproduct_DB[Product_ID],Eproduct_DB[Category])</f>
        <v>Sports</v>
      </c>
      <c r="P1937" s="2" t="str">
        <f>_xlfn.XLOOKUP(ESales_DB[[#This Row],[Product_ID]],Eproduct_DB[Product_ID],Eproduct_DB[Product_Name])</f>
        <v>Basketball</v>
      </c>
      <c r="Q1937" s="2" t="str">
        <f>_xlfn.XLOOKUP(ESales_DB[[#This Row],[Store_ID]],Estore_DB[Store_ID],Estore_DB[Region])</f>
        <v>West</v>
      </c>
      <c r="R1937" t="str">
        <f>VLOOKUP(ESales_DB[[#This Row],[Customer_ID]],Ecustom_DB[],10,FALSE)</f>
        <v>Platinum</v>
      </c>
      <c r="S1937" t="str">
        <f>IF(ESales_DB[[#This Row],[Quantity1]]&gt;3,"Bulk order","Normal order")</f>
        <v>Normal order</v>
      </c>
    </row>
    <row r="1938" spans="1:19" x14ac:dyDescent="0.3">
      <c r="A1938" t="s">
        <v>2767</v>
      </c>
      <c r="B1938" s="4">
        <v>45690</v>
      </c>
      <c r="C1938" s="4" t="str">
        <f>TEXT(ESales_DB[[#This Row],[Order_Date]],"mmm")</f>
        <v>Feb</v>
      </c>
      <c r="D1938" t="s">
        <v>295</v>
      </c>
      <c r="E1938" t="s">
        <v>1730</v>
      </c>
      <c r="F1938" t="s">
        <v>1773</v>
      </c>
      <c r="G1938">
        <v>3</v>
      </c>
      <c r="H1938" s="10">
        <f>IF(ISBLANK(ESales_DB[[#This Row],[Quantity]]),AVERAGEIF(ESales_DB[Product_ID],ESales_DB[[#This Row],[Product_ID]],ESales_DB[Quantity]),ESales_DB[[#This Row],[Quantity]])</f>
        <v>3</v>
      </c>
      <c r="I1938" s="2">
        <v>219.96</v>
      </c>
      <c r="J1938">
        <v>0.18</v>
      </c>
      <c r="K1938" t="s">
        <v>1826</v>
      </c>
      <c r="L1938" s="2">
        <v>541.10160000000008</v>
      </c>
      <c r="M1938" s="2" t="str">
        <f>IF(ESales_DB[[#This Row],[Total_Amount]]&gt;1000,"High","Low")</f>
        <v>Low</v>
      </c>
      <c r="N1938" s="2" t="str">
        <f>VLOOKUP(ESales_DB[[#This Row],[Customer_ID]],Ecustom_DB[],3,FALSE)</f>
        <v>Krystal Ford</v>
      </c>
      <c r="O1938" s="2" t="str">
        <f>_xlfn.XLOOKUP(ESales_DB[[#This Row],[Product_ID]],Eproduct_DB[Product_ID],Eproduct_DB[Category])</f>
        <v>Clothing</v>
      </c>
      <c r="P1938" s="2" t="str">
        <f>_xlfn.XLOOKUP(ESales_DB[[#This Row],[Product_ID]],Eproduct_DB[Product_ID],Eproduct_DB[Product_Name])</f>
        <v>Women's High Heels</v>
      </c>
      <c r="Q1938" s="2" t="str">
        <f>_xlfn.XLOOKUP(ESales_DB[[#This Row],[Store_ID]],Estore_DB[Store_ID],Estore_DB[Region])</f>
        <v>North</v>
      </c>
      <c r="R1938" t="str">
        <f>VLOOKUP(ESales_DB[[#This Row],[Customer_ID]],Ecustom_DB[],10,FALSE)</f>
        <v>Platinum</v>
      </c>
      <c r="S1938" t="str">
        <f>IF(ESales_DB[[#This Row],[Quantity1]]&gt;3,"Bulk order","Normal order")</f>
        <v>Normal order</v>
      </c>
    </row>
    <row r="1939" spans="1:19" x14ac:dyDescent="0.3">
      <c r="A1939" t="s">
        <v>2768</v>
      </c>
      <c r="B1939" s="4">
        <v>45841</v>
      </c>
      <c r="C1939" s="4" t="str">
        <f>TEXT(ESales_DB[[#This Row],[Order_Date]],"mmm")</f>
        <v>Jul</v>
      </c>
      <c r="D1939" t="s">
        <v>1458</v>
      </c>
      <c r="E1939" t="s">
        <v>1690</v>
      </c>
      <c r="F1939" t="s">
        <v>1810</v>
      </c>
      <c r="G1939">
        <v>3</v>
      </c>
      <c r="H1939" s="10">
        <f>IF(ISBLANK(ESales_DB[[#This Row],[Quantity]]),AVERAGEIF(ESales_DB[Product_ID],ESales_DB[[#This Row],[Product_ID]],ESales_DB[Quantity]),ESales_DB[[#This Row],[Quantity]])</f>
        <v>3</v>
      </c>
      <c r="I1939" s="2">
        <v>385.74</v>
      </c>
      <c r="J1939">
        <v>0.27</v>
      </c>
      <c r="K1939" t="s">
        <v>1824</v>
      </c>
      <c r="L1939" s="2">
        <v>844.77059999999994</v>
      </c>
      <c r="M1939" s="2" t="str">
        <f>IF(ESales_DB[[#This Row],[Total_Amount]]&gt;1000,"High","Low")</f>
        <v>Low</v>
      </c>
      <c r="N1939" s="2" t="str">
        <f>VLOOKUP(ESales_DB[[#This Row],[Customer_ID]],Ecustom_DB[],3,FALSE)</f>
        <v>Laura Mathews</v>
      </c>
      <c r="O1939" s="2" t="str">
        <f>_xlfn.XLOOKUP(ESales_DB[[#This Row],[Product_ID]],Eproduct_DB[Product_ID],Eproduct_DB[Category])</f>
        <v>Beauty</v>
      </c>
      <c r="P1939" s="2" t="str">
        <f>_xlfn.XLOOKUP(ESales_DB[[#This Row],[Product_ID]],Eproduct_DB[Product_ID],Eproduct_DB[Product_Name])</f>
        <v>Hair Repair Oil Treatment</v>
      </c>
      <c r="Q1939" s="2" t="str">
        <f>_xlfn.XLOOKUP(ESales_DB[[#This Row],[Store_ID]],Estore_DB[Store_ID],Estore_DB[Region])</f>
        <v>East</v>
      </c>
      <c r="R1939" t="str">
        <f>VLOOKUP(ESales_DB[[#This Row],[Customer_ID]],Ecustom_DB[],10,FALSE)</f>
        <v>Bronze</v>
      </c>
      <c r="S1939" t="str">
        <f>IF(ESales_DB[[#This Row],[Quantity1]]&gt;3,"Bulk order","Normal order")</f>
        <v>Normal order</v>
      </c>
    </row>
    <row r="1940" spans="1:19" x14ac:dyDescent="0.3">
      <c r="A1940" t="s">
        <v>2769</v>
      </c>
      <c r="B1940" s="4">
        <v>45380</v>
      </c>
      <c r="C1940" s="4" t="str">
        <f>TEXT(ESales_DB[[#This Row],[Order_Date]],"mmm")</f>
        <v>Mar</v>
      </c>
      <c r="D1940" t="s">
        <v>1400</v>
      </c>
      <c r="E1940" t="s">
        <v>1710</v>
      </c>
      <c r="F1940" t="s">
        <v>1810</v>
      </c>
      <c r="G1940">
        <v>2</v>
      </c>
      <c r="H1940" s="10">
        <f>IF(ISBLANK(ESales_DB[[#This Row],[Quantity]]),AVERAGEIF(ESales_DB[Product_ID],ESales_DB[[#This Row],[Product_ID]],ESales_DB[Quantity]),ESales_DB[[#This Row],[Quantity]])</f>
        <v>2</v>
      </c>
      <c r="I1940" s="2">
        <v>830.94</v>
      </c>
      <c r="J1940">
        <v>0.28000000000000003</v>
      </c>
      <c r="K1940" t="s">
        <v>1826</v>
      </c>
      <c r="L1940" s="2">
        <v>1196.5536</v>
      </c>
      <c r="M1940" s="2" t="str">
        <f>IF(ESales_DB[[#This Row],[Total_Amount]]&gt;1000,"High","Low")</f>
        <v>High</v>
      </c>
      <c r="N1940" s="2" t="str">
        <f>VLOOKUP(ESales_DB[[#This Row],[Customer_ID]],Ecustom_DB[],3,FALSE)</f>
        <v>April Phillips</v>
      </c>
      <c r="O1940" s="2" t="str">
        <f>_xlfn.XLOOKUP(ESales_DB[[#This Row],[Product_ID]],Eproduct_DB[Product_ID],Eproduct_DB[Category])</f>
        <v>Sports</v>
      </c>
      <c r="P1940" s="2" t="str">
        <f>_xlfn.XLOOKUP(ESales_DB[[#This Row],[Product_ID]],Eproduct_DB[Product_ID],Eproduct_DB[Product_Name])</f>
        <v>Badminton Racket Set</v>
      </c>
      <c r="Q1940" s="2" t="str">
        <f>_xlfn.XLOOKUP(ESales_DB[[#This Row],[Store_ID]],Estore_DB[Store_ID],Estore_DB[Region])</f>
        <v>East</v>
      </c>
      <c r="R1940" t="str">
        <f>VLOOKUP(ESales_DB[[#This Row],[Customer_ID]],Ecustom_DB[],10,FALSE)</f>
        <v>Platinum</v>
      </c>
      <c r="S1940" t="str">
        <f>IF(ESales_DB[[#This Row],[Quantity1]]&gt;3,"Bulk order","Normal order")</f>
        <v>Normal order</v>
      </c>
    </row>
    <row r="1941" spans="1:19" x14ac:dyDescent="0.3">
      <c r="A1941" t="s">
        <v>2770</v>
      </c>
      <c r="B1941" s="4">
        <v>45503</v>
      </c>
      <c r="C1941" s="4" t="str">
        <f>TEXT(ESales_DB[[#This Row],[Order_Date]],"mmm")</f>
        <v>Jul</v>
      </c>
      <c r="D1941" t="s">
        <v>1196</v>
      </c>
      <c r="E1941" t="s">
        <v>1551</v>
      </c>
      <c r="F1941" t="s">
        <v>1786</v>
      </c>
      <c r="G1941">
        <v>3</v>
      </c>
      <c r="H1941" s="10">
        <f>IF(ISBLANK(ESales_DB[[#This Row],[Quantity]]),AVERAGEIF(ESales_DB[Product_ID],ESales_DB[[#This Row],[Product_ID]],ESales_DB[Quantity]),ESales_DB[[#This Row],[Quantity]])</f>
        <v>3</v>
      </c>
      <c r="I1941" s="2">
        <v>462.75</v>
      </c>
      <c r="J1941">
        <v>0.22</v>
      </c>
      <c r="K1941" t="s">
        <v>1826</v>
      </c>
      <c r="L1941" s="2">
        <v>1082.835</v>
      </c>
      <c r="M1941" s="2" t="str">
        <f>IF(ESales_DB[[#This Row],[Total_Amount]]&gt;1000,"High","Low")</f>
        <v>High</v>
      </c>
      <c r="N1941" s="2" t="str">
        <f>VLOOKUP(ESales_DB[[#This Row],[Customer_ID]],Ecustom_DB[],3,FALSE)</f>
        <v>Kristine Higgins</v>
      </c>
      <c r="O1941" s="2" t="str">
        <f>_xlfn.XLOOKUP(ESales_DB[[#This Row],[Product_ID]],Eproduct_DB[Product_ID],Eproduct_DB[Category])</f>
        <v>Clothing</v>
      </c>
      <c r="P1941" s="2" t="str">
        <f>_xlfn.XLOOKUP(ESales_DB[[#This Row],[Product_ID]],Eproduct_DB[Product_ID],Eproduct_DB[Product_Name])</f>
        <v>Men's Running Jacket</v>
      </c>
      <c r="Q1941" s="2" t="str">
        <f>_xlfn.XLOOKUP(ESales_DB[[#This Row],[Store_ID]],Estore_DB[Store_ID],Estore_DB[Region])</f>
        <v>South</v>
      </c>
      <c r="R1941" t="str">
        <f>VLOOKUP(ESales_DB[[#This Row],[Customer_ID]],Ecustom_DB[],10,FALSE)</f>
        <v>Silver</v>
      </c>
      <c r="S1941" t="str">
        <f>IF(ESales_DB[[#This Row],[Quantity1]]&gt;3,"Bulk order","Normal order")</f>
        <v>Normal order</v>
      </c>
    </row>
    <row r="1942" spans="1:19" x14ac:dyDescent="0.3">
      <c r="A1942" t="s">
        <v>2771</v>
      </c>
      <c r="B1942" s="4">
        <v>45567</v>
      </c>
      <c r="C1942" s="4" t="str">
        <f>TEXT(ESales_DB[[#This Row],[Order_Date]],"mmm")</f>
        <v>Oct</v>
      </c>
      <c r="D1942" t="s">
        <v>247</v>
      </c>
      <c r="E1942" t="s">
        <v>1576</v>
      </c>
      <c r="F1942" t="s">
        <v>1801</v>
      </c>
      <c r="G1942">
        <v>4</v>
      </c>
      <c r="H1942" s="10">
        <f>IF(ISBLANK(ESales_DB[[#This Row],[Quantity]]),AVERAGEIF(ESales_DB[Product_ID],ESales_DB[[#This Row],[Product_ID]],ESales_DB[Quantity]),ESales_DB[[#This Row],[Quantity]])</f>
        <v>4</v>
      </c>
      <c r="I1942" s="2">
        <v>973.9</v>
      </c>
      <c r="J1942">
        <v>0.02</v>
      </c>
      <c r="K1942" t="s">
        <v>1829</v>
      </c>
      <c r="L1942" s="2">
        <v>3817.6880000000001</v>
      </c>
      <c r="M1942" s="2" t="str">
        <f>IF(ESales_DB[[#This Row],[Total_Amount]]&gt;1000,"High","Low")</f>
        <v>High</v>
      </c>
      <c r="N1942" s="2" t="str">
        <f>VLOOKUP(ESales_DB[[#This Row],[Customer_ID]],Ecustom_DB[],3,FALSE)</f>
        <v>Amber Mcclain</v>
      </c>
      <c r="O1942" s="2" t="str">
        <f>_xlfn.XLOOKUP(ESales_DB[[#This Row],[Product_ID]],Eproduct_DB[Product_ID],Eproduct_DB[Category])</f>
        <v>Home</v>
      </c>
      <c r="P1942" s="2" t="str">
        <f>_xlfn.XLOOKUP(ESales_DB[[#This Row],[Product_ID]],Eproduct_DB[Product_ID],Eproduct_DB[Product_Name])</f>
        <v>Decorative Wall Mirror</v>
      </c>
      <c r="Q1942" s="2" t="str">
        <f>_xlfn.XLOOKUP(ESales_DB[[#This Row],[Store_ID]],Estore_DB[Store_ID],Estore_DB[Region])</f>
        <v>North</v>
      </c>
      <c r="R1942" t="str">
        <f>VLOOKUP(ESales_DB[[#This Row],[Customer_ID]],Ecustom_DB[],10,FALSE)</f>
        <v>Silver</v>
      </c>
      <c r="S1942" t="str">
        <f>IF(ESales_DB[[#This Row],[Quantity1]]&gt;3,"Bulk order","Normal order")</f>
        <v>Bulk order</v>
      </c>
    </row>
    <row r="1943" spans="1:19" x14ac:dyDescent="0.3">
      <c r="A1943" t="s">
        <v>2772</v>
      </c>
      <c r="B1943" s="4">
        <v>45600</v>
      </c>
      <c r="C1943" s="4" t="str">
        <f>TEXT(ESales_DB[[#This Row],[Order_Date]],"mmm")</f>
        <v>Nov</v>
      </c>
      <c r="D1943" t="s">
        <v>475</v>
      </c>
      <c r="E1943" t="s">
        <v>1618</v>
      </c>
      <c r="F1943" t="s">
        <v>1757</v>
      </c>
      <c r="G1943">
        <v>2</v>
      </c>
      <c r="H1943" s="10">
        <f>IF(ISBLANK(ESales_DB[[#This Row],[Quantity]]),AVERAGEIF(ESales_DB[Product_ID],ESales_DB[[#This Row],[Product_ID]],ESales_DB[Quantity]),ESales_DB[[#This Row],[Quantity]])</f>
        <v>2</v>
      </c>
      <c r="I1943" s="2">
        <v>157.18</v>
      </c>
      <c r="J1943">
        <v>0.15</v>
      </c>
      <c r="K1943" t="s">
        <v>1824</v>
      </c>
      <c r="L1943" s="2">
        <v>267.20600000000002</v>
      </c>
      <c r="M1943" s="2" t="str">
        <f>IF(ESales_DB[[#This Row],[Total_Amount]]&gt;1000,"High","Low")</f>
        <v>Low</v>
      </c>
      <c r="N1943" s="2" t="str">
        <f>VLOOKUP(ESales_DB[[#This Row],[Customer_ID]],Ecustom_DB[],3,FALSE)</f>
        <v>Patty Francis</v>
      </c>
      <c r="O1943" s="2" t="str">
        <f>_xlfn.XLOOKUP(ESales_DB[[#This Row],[Product_ID]],Eproduct_DB[Product_ID],Eproduct_DB[Category])</f>
        <v>Home</v>
      </c>
      <c r="P1943" s="2" t="str">
        <f>_xlfn.XLOOKUP(ESales_DB[[#This Row],[Product_ID]],Eproduct_DB[Product_ID],Eproduct_DB[Product_Name])</f>
        <v>Bedroom Table Lamp</v>
      </c>
      <c r="Q1943" s="2" t="str">
        <f>_xlfn.XLOOKUP(ESales_DB[[#This Row],[Store_ID]],Estore_DB[Store_ID],Estore_DB[Region])</f>
        <v>North</v>
      </c>
      <c r="R1943" t="str">
        <f>VLOOKUP(ESales_DB[[#This Row],[Customer_ID]],Ecustom_DB[],10,FALSE)</f>
        <v>Gold</v>
      </c>
      <c r="S1943" t="str">
        <f>IF(ESales_DB[[#This Row],[Quantity1]]&gt;3,"Bulk order","Normal order")</f>
        <v>Normal order</v>
      </c>
    </row>
    <row r="1944" spans="1:19" x14ac:dyDescent="0.3">
      <c r="A1944" t="s">
        <v>2773</v>
      </c>
      <c r="B1944" s="4">
        <v>45415</v>
      </c>
      <c r="C1944" s="4" t="str">
        <f>TEXT(ESales_DB[[#This Row],[Order_Date]],"mmm")</f>
        <v>May</v>
      </c>
      <c r="D1944" t="s">
        <v>63</v>
      </c>
      <c r="E1944" t="s">
        <v>1694</v>
      </c>
      <c r="F1944" t="s">
        <v>1797</v>
      </c>
      <c r="G1944">
        <v>3</v>
      </c>
      <c r="H1944" s="10">
        <f>IF(ISBLANK(ESales_DB[[#This Row],[Quantity]]),AVERAGEIF(ESales_DB[Product_ID],ESales_DB[[#This Row],[Product_ID]],ESales_DB[Quantity]),ESales_DB[[#This Row],[Quantity]])</f>
        <v>3</v>
      </c>
      <c r="I1944" s="2">
        <v>239.57</v>
      </c>
      <c r="J1944">
        <v>0.16</v>
      </c>
      <c r="K1944" t="s">
        <v>1824</v>
      </c>
      <c r="L1944" s="2">
        <v>603.71640000000002</v>
      </c>
      <c r="M1944" s="2" t="str">
        <f>IF(ESales_DB[[#This Row],[Total_Amount]]&gt;1000,"High","Low")</f>
        <v>Low</v>
      </c>
      <c r="N1944" s="2" t="str">
        <f>VLOOKUP(ESales_DB[[#This Row],[Customer_ID]],Ecustom_DB[],3,FALSE)</f>
        <v>Nathan Hernandez</v>
      </c>
      <c r="O1944" s="2" t="str">
        <f>_xlfn.XLOOKUP(ESales_DB[[#This Row],[Product_ID]],Eproduct_DB[Product_ID],Eproduct_DB[Category])</f>
        <v>Sports</v>
      </c>
      <c r="P1944" s="2" t="str">
        <f>_xlfn.XLOOKUP(ESales_DB[[#This Row],[Product_ID]],Eproduct_DB[Product_ID],Eproduct_DB[Product_Name])</f>
        <v>Shin Guards – Adult</v>
      </c>
      <c r="Q1944" s="2" t="str">
        <f>_xlfn.XLOOKUP(ESales_DB[[#This Row],[Store_ID]],Estore_DB[Store_ID],Estore_DB[Region])</f>
        <v>East</v>
      </c>
      <c r="R1944" t="str">
        <f>VLOOKUP(ESales_DB[[#This Row],[Customer_ID]],Ecustom_DB[],10,FALSE)</f>
        <v>Silver</v>
      </c>
      <c r="S1944" t="str">
        <f>IF(ESales_DB[[#This Row],[Quantity1]]&gt;3,"Bulk order","Normal order")</f>
        <v>Normal order</v>
      </c>
    </row>
    <row r="1945" spans="1:19" x14ac:dyDescent="0.3">
      <c r="A1945" t="s">
        <v>2774</v>
      </c>
      <c r="B1945" s="4">
        <v>45343</v>
      </c>
      <c r="C1945" s="4" t="str">
        <f>TEXT(ESales_DB[[#This Row],[Order_Date]],"mmm")</f>
        <v>Feb</v>
      </c>
      <c r="D1945" t="s">
        <v>1029</v>
      </c>
      <c r="E1945" t="s">
        <v>1565</v>
      </c>
      <c r="F1945" t="s">
        <v>1804</v>
      </c>
      <c r="G1945">
        <v>4</v>
      </c>
      <c r="H1945" s="10">
        <f>IF(ISBLANK(ESales_DB[[#This Row],[Quantity]]),AVERAGEIF(ESales_DB[Product_ID],ESales_DB[[#This Row],[Product_ID]],ESales_DB[Quantity]),ESales_DB[[#This Row],[Quantity]])</f>
        <v>4</v>
      </c>
      <c r="I1945" s="2">
        <v>583.21</v>
      </c>
      <c r="J1945">
        <v>0.2</v>
      </c>
      <c r="K1945" t="s">
        <v>1824</v>
      </c>
      <c r="L1945" s="2">
        <v>1866.2719999999999</v>
      </c>
      <c r="M1945" s="2" t="str">
        <f>IF(ESales_DB[[#This Row],[Total_Amount]]&gt;1000,"High","Low")</f>
        <v>High</v>
      </c>
      <c r="N1945" s="2" t="str">
        <f>VLOOKUP(ESales_DB[[#This Row],[Customer_ID]],Ecustom_DB[],3,FALSE)</f>
        <v>Reginald Willis</v>
      </c>
      <c r="O1945" s="2" t="str">
        <f>_xlfn.XLOOKUP(ESales_DB[[#This Row],[Product_ID]],Eproduct_DB[Product_ID],Eproduct_DB[Category])</f>
        <v>Sports</v>
      </c>
      <c r="P1945" s="2" t="str">
        <f>_xlfn.XLOOKUP(ESales_DB[[#This Row],[Product_ID]],Eproduct_DB[Product_ID],Eproduct_DB[Product_Name])</f>
        <v>Adjustable Dumbbell Set</v>
      </c>
      <c r="Q1945" s="2" t="str">
        <f>_xlfn.XLOOKUP(ESales_DB[[#This Row],[Store_ID]],Estore_DB[Store_ID],Estore_DB[Region])</f>
        <v>West</v>
      </c>
      <c r="R1945" t="str">
        <f>VLOOKUP(ESales_DB[[#This Row],[Customer_ID]],Ecustom_DB[],10,FALSE)</f>
        <v>Bronze</v>
      </c>
      <c r="S1945" t="str">
        <f>IF(ESales_DB[[#This Row],[Quantity1]]&gt;3,"Bulk order","Normal order")</f>
        <v>Bulk order</v>
      </c>
    </row>
    <row r="1946" spans="1:19" x14ac:dyDescent="0.3">
      <c r="A1946" t="s">
        <v>2775</v>
      </c>
      <c r="B1946" s="4">
        <v>45399</v>
      </c>
      <c r="C1946" s="4" t="str">
        <f>TEXT(ESales_DB[[#This Row],[Order_Date]],"mmm")</f>
        <v>Apr</v>
      </c>
      <c r="D1946" t="s">
        <v>1283</v>
      </c>
      <c r="E1946" t="s">
        <v>1710</v>
      </c>
      <c r="F1946" t="s">
        <v>1782</v>
      </c>
      <c r="G1946">
        <v>3</v>
      </c>
      <c r="H1946" s="10">
        <f>IF(ISBLANK(ESales_DB[[#This Row],[Quantity]]),AVERAGEIF(ESales_DB[Product_ID],ESales_DB[[#This Row],[Product_ID]],ESales_DB[Quantity]),ESales_DB[[#This Row],[Quantity]])</f>
        <v>3</v>
      </c>
      <c r="I1946" s="2">
        <v>758.75</v>
      </c>
      <c r="J1946">
        <v>0.27</v>
      </c>
      <c r="K1946" t="s">
        <v>1826</v>
      </c>
      <c r="L1946" s="2">
        <v>1661.6624999999999</v>
      </c>
      <c r="M1946" s="2" t="str">
        <f>IF(ESales_DB[[#This Row],[Total_Amount]]&gt;1000,"High","Low")</f>
        <v>High</v>
      </c>
      <c r="N1946" s="2" t="str">
        <f>VLOOKUP(ESales_DB[[#This Row],[Customer_ID]],Ecustom_DB[],3,FALSE)</f>
        <v>Megan Ryan</v>
      </c>
      <c r="O1946" s="2" t="str">
        <f>_xlfn.XLOOKUP(ESales_DB[[#This Row],[Product_ID]],Eproduct_DB[Product_ID],Eproduct_DB[Category])</f>
        <v>Sports</v>
      </c>
      <c r="P1946" s="2" t="str">
        <f>_xlfn.XLOOKUP(ESales_DB[[#This Row],[Product_ID]],Eproduct_DB[Product_ID],Eproduct_DB[Product_Name])</f>
        <v>Badminton Racket Set</v>
      </c>
      <c r="Q1946" s="2" t="str">
        <f>_xlfn.XLOOKUP(ESales_DB[[#This Row],[Store_ID]],Estore_DB[Store_ID],Estore_DB[Region])</f>
        <v>West</v>
      </c>
      <c r="R1946" t="str">
        <f>VLOOKUP(ESales_DB[[#This Row],[Customer_ID]],Ecustom_DB[],10,FALSE)</f>
        <v>Bronze</v>
      </c>
      <c r="S1946" t="str">
        <f>IF(ESales_DB[[#This Row],[Quantity1]]&gt;3,"Bulk order","Normal order")</f>
        <v>Normal order</v>
      </c>
    </row>
    <row r="1947" spans="1:19" x14ac:dyDescent="0.3">
      <c r="A1947" t="s">
        <v>1921</v>
      </c>
      <c r="B1947" s="4">
        <v>45556</v>
      </c>
      <c r="C1947" s="4" t="str">
        <f>TEXT(ESales_DB[[#This Row],[Order_Date]],"mmm")</f>
        <v>Sep</v>
      </c>
      <c r="D1947" t="s">
        <v>1011</v>
      </c>
      <c r="E1947" t="s">
        <v>1746</v>
      </c>
      <c r="F1947" t="s">
        <v>1776</v>
      </c>
      <c r="G1947">
        <v>2</v>
      </c>
      <c r="H1947" s="10">
        <f>IF(ISBLANK(ESales_DB[[#This Row],[Quantity]]),AVERAGEIF(ESales_DB[Product_ID],ESales_DB[[#This Row],[Product_ID]],ESales_DB[Quantity]),ESales_DB[[#This Row],[Quantity]])</f>
        <v>2</v>
      </c>
      <c r="I1947" s="2">
        <v>68.290000000000006</v>
      </c>
      <c r="J1947">
        <v>0.14000000000000001</v>
      </c>
      <c r="K1947" t="s">
        <v>1829</v>
      </c>
      <c r="L1947" s="2">
        <v>117.4588</v>
      </c>
      <c r="M1947" s="2" t="str">
        <f>IF(ESales_DB[[#This Row],[Total_Amount]]&gt;1000,"High","Low")</f>
        <v>Low</v>
      </c>
      <c r="N1947" s="2" t="str">
        <f>VLOOKUP(ESales_DB[[#This Row],[Customer_ID]],Ecustom_DB[],3,FALSE)</f>
        <v>Darren Burton</v>
      </c>
      <c r="O1947" s="2" t="str">
        <f>_xlfn.XLOOKUP(ESales_DB[[#This Row],[Product_ID]],Eproduct_DB[Product_ID],Eproduct_DB[Category])</f>
        <v>Home</v>
      </c>
      <c r="P1947" s="2" t="str">
        <f>_xlfn.XLOOKUP(ESales_DB[[#This Row],[Product_ID]],Eproduct_DB[Product_ID],Eproduct_DB[Product_Name])</f>
        <v>Stainless Steel Cookware Set</v>
      </c>
      <c r="Q1947" s="2" t="str">
        <f>_xlfn.XLOOKUP(ESales_DB[[#This Row],[Store_ID]],Estore_DB[Store_ID],Estore_DB[Region])</f>
        <v>East</v>
      </c>
      <c r="R1947" t="str">
        <f>VLOOKUP(ESales_DB[[#This Row],[Customer_ID]],Ecustom_DB[],10,FALSE)</f>
        <v>Bronze</v>
      </c>
      <c r="S1947" t="str">
        <f>IF(ESales_DB[[#This Row],[Quantity1]]&gt;3,"Bulk order","Normal order")</f>
        <v>Normal order</v>
      </c>
    </row>
    <row r="1948" spans="1:19" x14ac:dyDescent="0.3">
      <c r="A1948" t="s">
        <v>2776</v>
      </c>
      <c r="B1948" s="4">
        <v>45689</v>
      </c>
      <c r="C1948" s="4" t="str">
        <f>TEXT(ESales_DB[[#This Row],[Order_Date]],"mmm")</f>
        <v>Feb</v>
      </c>
      <c r="D1948" t="s">
        <v>975</v>
      </c>
      <c r="E1948" t="s">
        <v>1670</v>
      </c>
      <c r="F1948" t="s">
        <v>1773</v>
      </c>
      <c r="G1948">
        <v>4</v>
      </c>
      <c r="H1948" s="10">
        <f>IF(ISBLANK(ESales_DB[[#This Row],[Quantity]]),AVERAGEIF(ESales_DB[Product_ID],ESales_DB[[#This Row],[Product_ID]],ESales_DB[Quantity]),ESales_DB[[#This Row],[Quantity]])</f>
        <v>4</v>
      </c>
      <c r="I1948" s="2">
        <v>372.42</v>
      </c>
      <c r="J1948">
        <v>0.19</v>
      </c>
      <c r="K1948" t="s">
        <v>1824</v>
      </c>
      <c r="L1948" s="2">
        <v>1206.6407999999999</v>
      </c>
      <c r="M1948" s="2" t="str">
        <f>IF(ESales_DB[[#This Row],[Total_Amount]]&gt;1000,"High","Low")</f>
        <v>High</v>
      </c>
      <c r="N1948" s="2" t="str">
        <f>VLOOKUP(ESales_DB[[#This Row],[Customer_ID]],Ecustom_DB[],3,FALSE)</f>
        <v>Stacy Collins</v>
      </c>
      <c r="O1948" s="2" t="str">
        <f>_xlfn.XLOOKUP(ESales_DB[[#This Row],[Product_ID]],Eproduct_DB[Product_ID],Eproduct_DB[Category])</f>
        <v>Sports</v>
      </c>
      <c r="P1948" s="2" t="str">
        <f>_xlfn.XLOOKUP(ESales_DB[[#This Row],[Product_ID]],Eproduct_DB[Product_ID],Eproduct_DB[Product_Name])</f>
        <v>Tennis Ball 3-Pack</v>
      </c>
      <c r="Q1948" s="2" t="str">
        <f>_xlfn.XLOOKUP(ESales_DB[[#This Row],[Store_ID]],Estore_DB[Store_ID],Estore_DB[Region])</f>
        <v>North</v>
      </c>
      <c r="R1948" t="str">
        <f>VLOOKUP(ESales_DB[[#This Row],[Customer_ID]],Ecustom_DB[],10,FALSE)</f>
        <v>Bronze</v>
      </c>
      <c r="S1948" t="str">
        <f>IF(ESales_DB[[#This Row],[Quantity1]]&gt;3,"Bulk order","Normal order")</f>
        <v>Bulk order</v>
      </c>
    </row>
    <row r="1949" spans="1:19" x14ac:dyDescent="0.3">
      <c r="A1949" t="s">
        <v>2777</v>
      </c>
      <c r="B1949" s="4">
        <v>45699</v>
      </c>
      <c r="C1949" s="4" t="str">
        <f>TEXT(ESales_DB[[#This Row],[Order_Date]],"mmm")</f>
        <v>Feb</v>
      </c>
      <c r="D1949" t="s">
        <v>517</v>
      </c>
      <c r="E1949" t="s">
        <v>1674</v>
      </c>
      <c r="F1949" t="s">
        <v>1813</v>
      </c>
      <c r="G1949">
        <v>4</v>
      </c>
      <c r="H1949" s="10">
        <f>IF(ISBLANK(ESales_DB[[#This Row],[Quantity]]),AVERAGEIF(ESales_DB[Product_ID],ESales_DB[[#This Row],[Product_ID]],ESales_DB[Quantity]),ESales_DB[[#This Row],[Quantity]])</f>
        <v>4</v>
      </c>
      <c r="I1949" s="2">
        <v>286.27999999999997</v>
      </c>
      <c r="J1949">
        <v>0.28000000000000003</v>
      </c>
      <c r="K1949" t="s">
        <v>1826</v>
      </c>
      <c r="L1949" s="2">
        <v>824.48639999999989</v>
      </c>
      <c r="M1949" s="2" t="str">
        <f>IF(ESales_DB[[#This Row],[Total_Amount]]&gt;1000,"High","Low")</f>
        <v>Low</v>
      </c>
      <c r="N1949" s="2" t="str">
        <f>VLOOKUP(ESales_DB[[#This Row],[Customer_ID]],Ecustom_DB[],3,FALSE)</f>
        <v>Julie Hale</v>
      </c>
      <c r="O1949" s="2" t="str">
        <f>_xlfn.XLOOKUP(ESales_DB[[#This Row],[Product_ID]],Eproduct_DB[Product_ID],Eproduct_DB[Category])</f>
        <v>Beauty</v>
      </c>
      <c r="P1949" s="2" t="str">
        <f>_xlfn.XLOOKUP(ESales_DB[[#This Row],[Product_ID]],Eproduct_DB[Product_ID],Eproduct_DB[Product_Name])</f>
        <v>Organic Sunscreen Lotion</v>
      </c>
      <c r="Q1949" s="2" t="str">
        <f>_xlfn.XLOOKUP(ESales_DB[[#This Row],[Store_ID]],Estore_DB[Store_ID],Estore_DB[Region])</f>
        <v>East</v>
      </c>
      <c r="R1949" t="str">
        <f>VLOOKUP(ESales_DB[[#This Row],[Customer_ID]],Ecustom_DB[],10,FALSE)</f>
        <v>Gold</v>
      </c>
      <c r="S1949" t="str">
        <f>IF(ESales_DB[[#This Row],[Quantity1]]&gt;3,"Bulk order","Normal order")</f>
        <v>Bulk order</v>
      </c>
    </row>
    <row r="1950" spans="1:19" x14ac:dyDescent="0.3">
      <c r="A1950" t="s">
        <v>2778</v>
      </c>
      <c r="B1950" s="4">
        <v>45663</v>
      </c>
      <c r="C1950" s="4" t="str">
        <f>TEXT(ESales_DB[[#This Row],[Order_Date]],"mmm")</f>
        <v>Jan</v>
      </c>
      <c r="D1950" t="s">
        <v>887</v>
      </c>
      <c r="E1950" t="s">
        <v>1694</v>
      </c>
      <c r="F1950" t="s">
        <v>1792</v>
      </c>
      <c r="G1950">
        <v>3</v>
      </c>
      <c r="H1950" s="10">
        <f>IF(ISBLANK(ESales_DB[[#This Row],[Quantity]]),AVERAGEIF(ESales_DB[Product_ID],ESales_DB[[#This Row],[Product_ID]],ESales_DB[Quantity]),ESales_DB[[#This Row],[Quantity]])</f>
        <v>3</v>
      </c>
      <c r="I1950" s="2">
        <v>488.37</v>
      </c>
      <c r="J1950">
        <v>0.27</v>
      </c>
      <c r="K1950" t="s">
        <v>1829</v>
      </c>
      <c r="L1950" s="2">
        <v>1069.5302999999999</v>
      </c>
      <c r="M1950" s="2" t="str">
        <f>IF(ESales_DB[[#This Row],[Total_Amount]]&gt;1000,"High","Low")</f>
        <v>High</v>
      </c>
      <c r="N1950" s="2" t="str">
        <f>VLOOKUP(ESales_DB[[#This Row],[Customer_ID]],Ecustom_DB[],3,FALSE)</f>
        <v>Aaron Luna</v>
      </c>
      <c r="O1950" s="2" t="str">
        <f>_xlfn.XLOOKUP(ESales_DB[[#This Row],[Product_ID]],Eproduct_DB[Product_ID],Eproduct_DB[Category])</f>
        <v>Sports</v>
      </c>
      <c r="P1950" s="2" t="str">
        <f>_xlfn.XLOOKUP(ESales_DB[[#This Row],[Product_ID]],Eproduct_DB[Product_ID],Eproduct_DB[Product_Name])</f>
        <v>Shin Guards – Adult</v>
      </c>
      <c r="Q1950" s="2" t="str">
        <f>_xlfn.XLOOKUP(ESales_DB[[#This Row],[Store_ID]],Estore_DB[Store_ID],Estore_DB[Region])</f>
        <v>South</v>
      </c>
      <c r="R1950" t="str">
        <f>VLOOKUP(ESales_DB[[#This Row],[Customer_ID]],Ecustom_DB[],10,FALSE)</f>
        <v>Bronze</v>
      </c>
      <c r="S1950" t="str">
        <f>IF(ESales_DB[[#This Row],[Quantity1]]&gt;3,"Bulk order","Normal order")</f>
        <v>Normal order</v>
      </c>
    </row>
    <row r="1951" spans="1:19" x14ac:dyDescent="0.3">
      <c r="A1951" t="s">
        <v>2779</v>
      </c>
      <c r="B1951" s="4">
        <v>45377</v>
      </c>
      <c r="C1951" s="4" t="str">
        <f>TEXT(ESales_DB[[#This Row],[Order_Date]],"mmm")</f>
        <v>Mar</v>
      </c>
      <c r="D1951" t="s">
        <v>1446</v>
      </c>
      <c r="E1951" t="s">
        <v>1722</v>
      </c>
      <c r="F1951" t="s">
        <v>1782</v>
      </c>
      <c r="G1951">
        <v>3</v>
      </c>
      <c r="H1951" s="10">
        <f>IF(ISBLANK(ESales_DB[[#This Row],[Quantity]]),AVERAGEIF(ESales_DB[Product_ID],ESales_DB[[#This Row],[Product_ID]],ESales_DB[Quantity]),ESales_DB[[#This Row],[Quantity]])</f>
        <v>3</v>
      </c>
      <c r="I1951" s="2">
        <v>662.82</v>
      </c>
      <c r="J1951">
        <v>0.01</v>
      </c>
      <c r="K1951" t="s">
        <v>1829</v>
      </c>
      <c r="L1951" s="2">
        <v>1968.5753999999999</v>
      </c>
      <c r="M1951" s="2" t="str">
        <f>IF(ESales_DB[[#This Row],[Total_Amount]]&gt;1000,"High","Low")</f>
        <v>High</v>
      </c>
      <c r="N1951" s="2" t="str">
        <f>VLOOKUP(ESales_DB[[#This Row],[Customer_ID]],Ecustom_DB[],3,FALSE)</f>
        <v>James Foster</v>
      </c>
      <c r="O1951" s="2" t="str">
        <f>_xlfn.XLOOKUP(ESales_DB[[#This Row],[Product_ID]],Eproduct_DB[Product_ID],Eproduct_DB[Category])</f>
        <v>Home</v>
      </c>
      <c r="P1951" s="2" t="str">
        <f>_xlfn.XLOOKUP(ESales_DB[[#This Row],[Product_ID]],Eproduct_DB[Product_ID],Eproduct_DB[Product_Name])</f>
        <v>LED Bedside Lamp</v>
      </c>
      <c r="Q1951" s="2" t="str">
        <f>_xlfn.XLOOKUP(ESales_DB[[#This Row],[Store_ID]],Estore_DB[Store_ID],Estore_DB[Region])</f>
        <v>West</v>
      </c>
      <c r="R1951" t="str">
        <f>VLOOKUP(ESales_DB[[#This Row],[Customer_ID]],Ecustom_DB[],10,FALSE)</f>
        <v>Gold</v>
      </c>
      <c r="S1951" t="str">
        <f>IF(ESales_DB[[#This Row],[Quantity1]]&gt;3,"Bulk order","Normal order")</f>
        <v>Normal order</v>
      </c>
    </row>
    <row r="1952" spans="1:19" x14ac:dyDescent="0.3">
      <c r="A1952" t="s">
        <v>2780</v>
      </c>
      <c r="B1952" s="4">
        <v>45412</v>
      </c>
      <c r="C1952" s="4" t="str">
        <f>TEXT(ESales_DB[[#This Row],[Order_Date]],"mmm")</f>
        <v>Apr</v>
      </c>
      <c r="D1952" t="s">
        <v>1527</v>
      </c>
      <c r="E1952" t="s">
        <v>1557</v>
      </c>
      <c r="F1952" t="s">
        <v>1804</v>
      </c>
      <c r="G1952">
        <v>2</v>
      </c>
      <c r="H1952" s="10">
        <f>IF(ISBLANK(ESales_DB[[#This Row],[Quantity]]),AVERAGEIF(ESales_DB[Product_ID],ESales_DB[[#This Row],[Product_ID]],ESales_DB[Quantity]),ESales_DB[[#This Row],[Quantity]])</f>
        <v>2</v>
      </c>
      <c r="I1952" s="2">
        <v>824.34</v>
      </c>
      <c r="J1952">
        <v>0.1</v>
      </c>
      <c r="K1952" t="s">
        <v>1829</v>
      </c>
      <c r="L1952" s="2">
        <v>1483.8119999999999</v>
      </c>
      <c r="M1952" s="2" t="str">
        <f>IF(ESales_DB[[#This Row],[Total_Amount]]&gt;1000,"High","Low")</f>
        <v>High</v>
      </c>
      <c r="N1952" s="2" t="str">
        <f>VLOOKUP(ESales_DB[[#This Row],[Customer_ID]],Ecustom_DB[],3,FALSE)</f>
        <v>Sarah Marsh</v>
      </c>
      <c r="O1952" s="2" t="str">
        <f>_xlfn.XLOOKUP(ESales_DB[[#This Row],[Product_ID]],Eproduct_DB[Product_ID],Eproduct_DB[Category])</f>
        <v>Beauty</v>
      </c>
      <c r="P1952" s="2" t="str">
        <f>_xlfn.XLOOKUP(ESales_DB[[#This Row],[Product_ID]],Eproduct_DB[Product_ID],Eproduct_DB[Product_Name])</f>
        <v>Herbal Face Moisturizer</v>
      </c>
      <c r="Q1952" s="2" t="str">
        <f>_xlfn.XLOOKUP(ESales_DB[[#This Row],[Store_ID]],Estore_DB[Store_ID],Estore_DB[Region])</f>
        <v>West</v>
      </c>
      <c r="R1952" t="str">
        <f>VLOOKUP(ESales_DB[[#This Row],[Customer_ID]],Ecustom_DB[],10,FALSE)</f>
        <v>Gold</v>
      </c>
      <c r="S1952" t="str">
        <f>IF(ESales_DB[[#This Row],[Quantity1]]&gt;3,"Bulk order","Normal order")</f>
        <v>Normal order</v>
      </c>
    </row>
    <row r="1953" spans="1:19" x14ac:dyDescent="0.3">
      <c r="A1953" t="s">
        <v>2781</v>
      </c>
      <c r="B1953" s="4">
        <v>45349</v>
      </c>
      <c r="C1953" s="4" t="str">
        <f>TEXT(ESales_DB[[#This Row],[Order_Date]],"mmm")</f>
        <v>Feb</v>
      </c>
      <c r="D1953" t="s">
        <v>396</v>
      </c>
      <c r="E1953" t="s">
        <v>1666</v>
      </c>
      <c r="F1953" t="s">
        <v>1782</v>
      </c>
      <c r="G1953">
        <v>1</v>
      </c>
      <c r="H1953" s="10">
        <f>IF(ISBLANK(ESales_DB[[#This Row],[Quantity]]),AVERAGEIF(ESales_DB[Product_ID],ESales_DB[[#This Row],[Product_ID]],ESales_DB[Quantity]),ESales_DB[[#This Row],[Quantity]])</f>
        <v>1</v>
      </c>
      <c r="I1953" s="2">
        <v>437.12</v>
      </c>
      <c r="J1953">
        <v>0.21</v>
      </c>
      <c r="K1953" t="s">
        <v>1824</v>
      </c>
      <c r="L1953" s="2">
        <v>345.32479999999998</v>
      </c>
      <c r="M1953" s="2" t="str">
        <f>IF(ESales_DB[[#This Row],[Total_Amount]]&gt;1000,"High","Low")</f>
        <v>Low</v>
      </c>
      <c r="N1953" s="2" t="str">
        <f>VLOOKUP(ESales_DB[[#This Row],[Customer_ID]],Ecustom_DB[],3,FALSE)</f>
        <v>Edward Hall</v>
      </c>
      <c r="O1953" s="2" t="str">
        <f>_xlfn.XLOOKUP(ESales_DB[[#This Row],[Product_ID]],Eproduct_DB[Product_ID],Eproduct_DB[Category])</f>
        <v>Beauty</v>
      </c>
      <c r="P1953" s="2" t="str">
        <f>_xlfn.XLOOKUP(ESales_DB[[#This Row],[Product_ID]],Eproduct_DB[Product_ID],Eproduct_DB[Product_Name])</f>
        <v>Men's Hair Styling Gel</v>
      </c>
      <c r="Q1953" s="2" t="str">
        <f>_xlfn.XLOOKUP(ESales_DB[[#This Row],[Store_ID]],Estore_DB[Store_ID],Estore_DB[Region])</f>
        <v>West</v>
      </c>
      <c r="R1953" t="str">
        <f>VLOOKUP(ESales_DB[[#This Row],[Customer_ID]],Ecustom_DB[],10,FALSE)</f>
        <v>Gold</v>
      </c>
      <c r="S1953" t="str">
        <f>IF(ESales_DB[[#This Row],[Quantity1]]&gt;3,"Bulk order","Normal order")</f>
        <v>Normal order</v>
      </c>
    </row>
    <row r="1954" spans="1:19" x14ac:dyDescent="0.3">
      <c r="A1954" t="s">
        <v>2782</v>
      </c>
      <c r="B1954" s="4">
        <v>45486</v>
      </c>
      <c r="C1954" s="4" t="str">
        <f>TEXT(ESales_DB[[#This Row],[Order_Date]],"mmm")</f>
        <v>Jul</v>
      </c>
      <c r="D1954" t="s">
        <v>1118</v>
      </c>
      <c r="E1954" t="s">
        <v>1724</v>
      </c>
      <c r="F1954" t="s">
        <v>1776</v>
      </c>
      <c r="G1954">
        <v>3</v>
      </c>
      <c r="H1954" s="10">
        <f>IF(ISBLANK(ESales_DB[[#This Row],[Quantity]]),AVERAGEIF(ESales_DB[Product_ID],ESales_DB[[#This Row],[Product_ID]],ESales_DB[Quantity]),ESales_DB[[#This Row],[Quantity]])</f>
        <v>3</v>
      </c>
      <c r="I1954" s="2">
        <v>23.37</v>
      </c>
      <c r="J1954">
        <v>0.15</v>
      </c>
      <c r="K1954" t="s">
        <v>1826</v>
      </c>
      <c r="L1954" s="2">
        <v>59.593499999999999</v>
      </c>
      <c r="M1954" s="2" t="str">
        <f>IF(ESales_DB[[#This Row],[Total_Amount]]&gt;1000,"High","Low")</f>
        <v>Low</v>
      </c>
      <c r="N1954" s="2" t="str">
        <f>VLOOKUP(ESales_DB[[#This Row],[Customer_ID]],Ecustom_DB[],3,FALSE)</f>
        <v>Manuel Castillo</v>
      </c>
      <c r="O1954" s="2" t="str">
        <f>_xlfn.XLOOKUP(ESales_DB[[#This Row],[Product_ID]],Eproduct_DB[Product_ID],Eproduct_DB[Category])</f>
        <v>Sports</v>
      </c>
      <c r="P1954" s="2" t="str">
        <f>_xlfn.XLOOKUP(ESales_DB[[#This Row],[Product_ID]],Eproduct_DB[Product_ID],Eproduct_DB[Product_Name])</f>
        <v>Sports Wrist Sweatbands</v>
      </c>
      <c r="Q1954" s="2" t="str">
        <f>_xlfn.XLOOKUP(ESales_DB[[#This Row],[Store_ID]],Estore_DB[Store_ID],Estore_DB[Region])</f>
        <v>East</v>
      </c>
      <c r="R1954" t="str">
        <f>VLOOKUP(ESales_DB[[#This Row],[Customer_ID]],Ecustom_DB[],10,FALSE)</f>
        <v>Gold</v>
      </c>
      <c r="S1954" t="str">
        <f>IF(ESales_DB[[#This Row],[Quantity1]]&gt;3,"Bulk order","Normal order")</f>
        <v>Normal order</v>
      </c>
    </row>
    <row r="1955" spans="1:19" x14ac:dyDescent="0.3">
      <c r="A1955" t="s">
        <v>2783</v>
      </c>
      <c r="B1955" s="4">
        <v>45761</v>
      </c>
      <c r="C1955" s="4" t="str">
        <f>TEXT(ESales_DB[[#This Row],[Order_Date]],"mmm")</f>
        <v>Apr</v>
      </c>
      <c r="D1955" t="s">
        <v>616</v>
      </c>
      <c r="E1955" t="s">
        <v>1620</v>
      </c>
      <c r="F1955" t="s">
        <v>1782</v>
      </c>
      <c r="G1955">
        <v>1</v>
      </c>
      <c r="H1955" s="10">
        <f>IF(ISBLANK(ESales_DB[[#This Row],[Quantity]]),AVERAGEIF(ESales_DB[Product_ID],ESales_DB[[#This Row],[Product_ID]],ESales_DB[Quantity]),ESales_DB[[#This Row],[Quantity]])</f>
        <v>1</v>
      </c>
      <c r="I1955" s="2">
        <v>579.69000000000005</v>
      </c>
      <c r="J1955">
        <v>0.02</v>
      </c>
      <c r="K1955" t="s">
        <v>1824</v>
      </c>
      <c r="L1955" s="2">
        <v>568.09620000000007</v>
      </c>
      <c r="M1955" s="2" t="str">
        <f>IF(ESales_DB[[#This Row],[Total_Amount]]&gt;1000,"High","Low")</f>
        <v>Low</v>
      </c>
      <c r="N1955" s="2" t="str">
        <f>VLOOKUP(ESales_DB[[#This Row],[Customer_ID]],Ecustom_DB[],3,FALSE)</f>
        <v>Dr. Suzanne Bullock</v>
      </c>
      <c r="O1955" s="2" t="str">
        <f>_xlfn.XLOOKUP(ESales_DB[[#This Row],[Product_ID]],Eproduct_DB[Product_ID],Eproduct_DB[Category])</f>
        <v>Clothing</v>
      </c>
      <c r="P1955" s="2" t="str">
        <f>_xlfn.XLOOKUP(ESales_DB[[#This Row],[Product_ID]],Eproduct_DB[Product_ID],Eproduct_DB[Product_Name])</f>
        <v>Women's Summer Dress</v>
      </c>
      <c r="Q1955" s="2" t="str">
        <f>_xlfn.XLOOKUP(ESales_DB[[#This Row],[Store_ID]],Estore_DB[Store_ID],Estore_DB[Region])</f>
        <v>West</v>
      </c>
      <c r="R1955" t="str">
        <f>VLOOKUP(ESales_DB[[#This Row],[Customer_ID]],Ecustom_DB[],10,FALSE)</f>
        <v>Platinum</v>
      </c>
      <c r="S1955" t="str">
        <f>IF(ESales_DB[[#This Row],[Quantity1]]&gt;3,"Bulk order","Normal order")</f>
        <v>Normal order</v>
      </c>
    </row>
    <row r="1956" spans="1:19" x14ac:dyDescent="0.3">
      <c r="A1956" t="s">
        <v>2784</v>
      </c>
      <c r="B1956" s="4">
        <v>45639</v>
      </c>
      <c r="C1956" s="4" t="str">
        <f>TEXT(ESales_DB[[#This Row],[Order_Date]],"mmm")</f>
        <v>Dec</v>
      </c>
      <c r="D1956" t="s">
        <v>1334</v>
      </c>
      <c r="E1956" t="s">
        <v>1704</v>
      </c>
      <c r="F1956" t="s">
        <v>1799</v>
      </c>
      <c r="G1956">
        <v>3</v>
      </c>
      <c r="H1956" s="10">
        <f>IF(ISBLANK(ESales_DB[[#This Row],[Quantity]]),AVERAGEIF(ESales_DB[Product_ID],ESales_DB[[#This Row],[Product_ID]],ESales_DB[Quantity]),ESales_DB[[#This Row],[Quantity]])</f>
        <v>3</v>
      </c>
      <c r="I1956" s="2">
        <v>240.51</v>
      </c>
      <c r="J1956">
        <v>7.0000000000000007E-2</v>
      </c>
      <c r="K1956" t="s">
        <v>1824</v>
      </c>
      <c r="L1956" s="2">
        <v>671.02289999999994</v>
      </c>
      <c r="M1956" s="2" t="str">
        <f>IF(ESales_DB[[#This Row],[Total_Amount]]&gt;1000,"High","Low")</f>
        <v>Low</v>
      </c>
      <c r="N1956" s="2" t="str">
        <f>VLOOKUP(ESales_DB[[#This Row],[Customer_ID]],Ecustom_DB[],3,FALSE)</f>
        <v>Kimberly Roberts</v>
      </c>
      <c r="O1956" s="2" t="str">
        <f>_xlfn.XLOOKUP(ESales_DB[[#This Row],[Product_ID]],Eproduct_DB[Product_ID],Eproduct_DB[Category])</f>
        <v>Home</v>
      </c>
      <c r="P1956" s="2" t="str">
        <f>_xlfn.XLOOKUP(ESales_DB[[#This Row],[Product_ID]],Eproduct_DB[Product_ID],Eproduct_DB[Product_Name])</f>
        <v>Essential Oil Diffuser</v>
      </c>
      <c r="Q1956" s="2" t="str">
        <f>_xlfn.XLOOKUP(ESales_DB[[#This Row],[Store_ID]],Estore_DB[Store_ID],Estore_DB[Region])</f>
        <v>South</v>
      </c>
      <c r="R1956" t="str">
        <f>VLOOKUP(ESales_DB[[#This Row],[Customer_ID]],Ecustom_DB[],10,FALSE)</f>
        <v>Gold</v>
      </c>
      <c r="S1956" t="str">
        <f>IF(ESales_DB[[#This Row],[Quantity1]]&gt;3,"Bulk order","Normal order")</f>
        <v>Normal order</v>
      </c>
    </row>
    <row r="1957" spans="1:19" x14ac:dyDescent="0.3">
      <c r="A1957" t="s">
        <v>2785</v>
      </c>
      <c r="B1957" s="4">
        <v>45893</v>
      </c>
      <c r="C1957" s="4" t="str">
        <f>TEXT(ESales_DB[[#This Row],[Order_Date]],"mmm")</f>
        <v>Aug</v>
      </c>
      <c r="D1957" t="s">
        <v>1193</v>
      </c>
      <c r="E1957" t="s">
        <v>1598</v>
      </c>
      <c r="F1957" t="s">
        <v>1799</v>
      </c>
      <c r="G1957">
        <v>2</v>
      </c>
      <c r="H1957" s="10">
        <f>IF(ISBLANK(ESales_DB[[#This Row],[Quantity]]),AVERAGEIF(ESales_DB[Product_ID],ESales_DB[[#This Row],[Product_ID]],ESales_DB[Quantity]),ESales_DB[[#This Row],[Quantity]])</f>
        <v>2</v>
      </c>
      <c r="I1957" s="2">
        <v>855.4</v>
      </c>
      <c r="J1957">
        <v>0.08</v>
      </c>
      <c r="K1957" t="s">
        <v>1829</v>
      </c>
      <c r="L1957" s="2">
        <v>1573.9359999999999</v>
      </c>
      <c r="M1957" s="2" t="str">
        <f>IF(ESales_DB[[#This Row],[Total_Amount]]&gt;1000,"High","Low")</f>
        <v>High</v>
      </c>
      <c r="N1957" s="2" t="str">
        <f>VLOOKUP(ESales_DB[[#This Row],[Customer_ID]],Ecustom_DB[],3,FALSE)</f>
        <v>Martha Brown</v>
      </c>
      <c r="O1957" s="2" t="str">
        <f>_xlfn.XLOOKUP(ESales_DB[[#This Row],[Product_ID]],Eproduct_DB[Product_ID],Eproduct_DB[Category])</f>
        <v>Clothing</v>
      </c>
      <c r="P1957" s="2" t="str">
        <f>_xlfn.XLOOKUP(ESales_DB[[#This Row],[Product_ID]],Eproduct_DB[Product_ID],Eproduct_DB[Product_Name])</f>
        <v>Women's Scarf Set</v>
      </c>
      <c r="Q1957" s="2" t="str">
        <f>_xlfn.XLOOKUP(ESales_DB[[#This Row],[Store_ID]],Estore_DB[Store_ID],Estore_DB[Region])</f>
        <v>South</v>
      </c>
      <c r="R1957" t="str">
        <f>VLOOKUP(ESales_DB[[#This Row],[Customer_ID]],Ecustom_DB[],10,FALSE)</f>
        <v>Gold</v>
      </c>
      <c r="S1957" t="str">
        <f>IF(ESales_DB[[#This Row],[Quantity1]]&gt;3,"Bulk order","Normal order")</f>
        <v>Normal order</v>
      </c>
    </row>
    <row r="1958" spans="1:19" x14ac:dyDescent="0.3">
      <c r="A1958" t="s">
        <v>1922</v>
      </c>
      <c r="B1958" s="4">
        <v>45523</v>
      </c>
      <c r="C1958" s="4" t="str">
        <f>TEXT(ESales_DB[[#This Row],[Order_Date]],"mmm")</f>
        <v>Aug</v>
      </c>
      <c r="D1958" t="s">
        <v>782</v>
      </c>
      <c r="E1958" t="s">
        <v>1648</v>
      </c>
      <c r="F1958" t="s">
        <v>1789</v>
      </c>
      <c r="G1958">
        <v>1</v>
      </c>
      <c r="H1958" s="10">
        <f>IF(ISBLANK(ESales_DB[[#This Row],[Quantity]]),AVERAGEIF(ESales_DB[Product_ID],ESales_DB[[#This Row],[Product_ID]],ESales_DB[Quantity]),ESales_DB[[#This Row],[Quantity]])</f>
        <v>1</v>
      </c>
      <c r="I1958" s="2">
        <v>842.9</v>
      </c>
      <c r="J1958">
        <v>0.06</v>
      </c>
      <c r="K1958" t="s">
        <v>1829</v>
      </c>
      <c r="L1958" s="2">
        <v>792.32599999999991</v>
      </c>
      <c r="M1958" s="2" t="str">
        <f>IF(ESales_DB[[#This Row],[Total_Amount]]&gt;1000,"High","Low")</f>
        <v>Low</v>
      </c>
      <c r="N1958" s="2" t="str">
        <f>VLOOKUP(ESales_DB[[#This Row],[Customer_ID]],Ecustom_DB[],3,FALSE)</f>
        <v>Nancy Page</v>
      </c>
      <c r="O1958" s="2" t="str">
        <f>_xlfn.XLOOKUP(ESales_DB[[#This Row],[Product_ID]],Eproduct_DB[Product_ID],Eproduct_DB[Category])</f>
        <v>Sports</v>
      </c>
      <c r="P1958" s="2" t="str">
        <f>_xlfn.XLOOKUP(ESales_DB[[#This Row],[Product_ID]],Eproduct_DB[Product_ID],Eproduct_DB[Product_Name])</f>
        <v>Boxing Hand Wraps</v>
      </c>
      <c r="Q1958" s="2" t="str">
        <f>_xlfn.XLOOKUP(ESales_DB[[#This Row],[Store_ID]],Estore_DB[Store_ID],Estore_DB[Region])</f>
        <v>East</v>
      </c>
      <c r="R1958" t="str">
        <f>VLOOKUP(ESales_DB[[#This Row],[Customer_ID]],Ecustom_DB[],10,FALSE)</f>
        <v>Bronze</v>
      </c>
      <c r="S1958" t="str">
        <f>IF(ESales_DB[[#This Row],[Quantity1]]&gt;3,"Bulk order","Normal order")</f>
        <v>Normal order</v>
      </c>
    </row>
    <row r="1959" spans="1:19" x14ac:dyDescent="0.3">
      <c r="A1959" t="s">
        <v>2786</v>
      </c>
      <c r="B1959" s="4">
        <v>45227</v>
      </c>
      <c r="C1959" s="4" t="str">
        <f>TEXT(ESales_DB[[#This Row],[Order_Date]],"mmm")</f>
        <v>Oct</v>
      </c>
      <c r="D1959" t="s">
        <v>40</v>
      </c>
      <c r="E1959" t="s">
        <v>1728</v>
      </c>
      <c r="F1959" t="s">
        <v>1779</v>
      </c>
      <c r="G1959">
        <v>1</v>
      </c>
      <c r="H1959" s="10">
        <f>IF(ISBLANK(ESales_DB[[#This Row],[Quantity]]),AVERAGEIF(ESales_DB[Product_ID],ESales_DB[[#This Row],[Product_ID]],ESales_DB[Quantity]),ESales_DB[[#This Row],[Quantity]])</f>
        <v>1</v>
      </c>
      <c r="I1959" s="2">
        <v>537.26</v>
      </c>
      <c r="J1959">
        <v>0.09</v>
      </c>
      <c r="K1959" t="s">
        <v>1824</v>
      </c>
      <c r="L1959" s="2">
        <v>488.90660000000003</v>
      </c>
      <c r="M1959" s="2" t="str">
        <f>IF(ESales_DB[[#This Row],[Total_Amount]]&gt;1000,"High","Low")</f>
        <v>Low</v>
      </c>
      <c r="N1959" s="2" t="str">
        <f>VLOOKUP(ESales_DB[[#This Row],[Customer_ID]],Ecustom_DB[],3,FALSE)</f>
        <v>Daniel Boyd</v>
      </c>
      <c r="O1959" s="2" t="str">
        <f>_xlfn.XLOOKUP(ESales_DB[[#This Row],[Product_ID]],Eproduct_DB[Product_ID],Eproduct_DB[Category])</f>
        <v>Electronics</v>
      </c>
      <c r="P1959" s="2" t="str">
        <f>_xlfn.XLOOKUP(ESales_DB[[#This Row],[Product_ID]],Eproduct_DB[Product_ID],Eproduct_DB[Product_Name])</f>
        <v>Gaming Mouse Pad XL</v>
      </c>
      <c r="Q1959" s="2" t="str">
        <f>_xlfn.XLOOKUP(ESales_DB[[#This Row],[Store_ID]],Estore_DB[Store_ID],Estore_DB[Region])</f>
        <v>South</v>
      </c>
      <c r="R1959" t="str">
        <f>VLOOKUP(ESales_DB[[#This Row],[Customer_ID]],Ecustom_DB[],10,FALSE)</f>
        <v>Bronze</v>
      </c>
      <c r="S1959" t="str">
        <f>IF(ESales_DB[[#This Row],[Quantity1]]&gt;3,"Bulk order","Normal order")</f>
        <v>Normal order</v>
      </c>
    </row>
    <row r="1960" spans="1:19" x14ac:dyDescent="0.3">
      <c r="A1960" t="s">
        <v>2787</v>
      </c>
      <c r="B1960" s="4">
        <v>45637</v>
      </c>
      <c r="C1960" s="4" t="str">
        <f>TEXT(ESales_DB[[#This Row],[Order_Date]],"mmm")</f>
        <v>Dec</v>
      </c>
      <c r="D1960" t="s">
        <v>1199</v>
      </c>
      <c r="E1960" t="s">
        <v>1650</v>
      </c>
      <c r="F1960" t="s">
        <v>1789</v>
      </c>
      <c r="G1960">
        <v>3</v>
      </c>
      <c r="H1960" s="10">
        <f>IF(ISBLANK(ESales_DB[[#This Row],[Quantity]]),AVERAGEIF(ESales_DB[Product_ID],ESales_DB[[#This Row],[Product_ID]],ESales_DB[Quantity]),ESales_DB[[#This Row],[Quantity]])</f>
        <v>3</v>
      </c>
      <c r="I1960" s="2">
        <v>918.26</v>
      </c>
      <c r="J1960">
        <v>0.17</v>
      </c>
      <c r="K1960" t="s">
        <v>1829</v>
      </c>
      <c r="L1960" s="2">
        <v>2286.4674</v>
      </c>
      <c r="M1960" s="2" t="str">
        <f>IF(ESales_DB[[#This Row],[Total_Amount]]&gt;1000,"High","Low")</f>
        <v>High</v>
      </c>
      <c r="N1960" s="2" t="str">
        <f>VLOOKUP(ESales_DB[[#This Row],[Customer_ID]],Ecustom_DB[],3,FALSE)</f>
        <v>Andrew Mason</v>
      </c>
      <c r="O1960" s="2" t="str">
        <f>_xlfn.XLOOKUP(ESales_DB[[#This Row],[Product_ID]],Eproduct_DB[Product_ID],Eproduct_DB[Category])</f>
        <v>Electronics</v>
      </c>
      <c r="P1960" s="2" t="str">
        <f>_xlfn.XLOOKUP(ESales_DB[[#This Row],[Product_ID]],Eproduct_DB[Product_ID],Eproduct_DB[Product_Name])</f>
        <v>HDMI Cable – 2m</v>
      </c>
      <c r="Q1960" s="2" t="str">
        <f>_xlfn.XLOOKUP(ESales_DB[[#This Row],[Store_ID]],Estore_DB[Store_ID],Estore_DB[Region])</f>
        <v>East</v>
      </c>
      <c r="R1960" t="str">
        <f>VLOOKUP(ESales_DB[[#This Row],[Customer_ID]],Ecustom_DB[],10,FALSE)</f>
        <v>Bronze</v>
      </c>
      <c r="S1960" t="str">
        <f>IF(ESales_DB[[#This Row],[Quantity1]]&gt;3,"Bulk order","Normal order")</f>
        <v>Normal order</v>
      </c>
    </row>
    <row r="1961" spans="1:19" x14ac:dyDescent="0.3">
      <c r="A1961" t="s">
        <v>2788</v>
      </c>
      <c r="B1961" s="4">
        <v>45472</v>
      </c>
      <c r="C1961" s="4" t="str">
        <f>TEXT(ESales_DB[[#This Row],[Order_Date]],"mmm")</f>
        <v>Jun</v>
      </c>
      <c r="D1961" t="s">
        <v>341</v>
      </c>
      <c r="E1961" t="s">
        <v>1557</v>
      </c>
      <c r="F1961" t="s">
        <v>1786</v>
      </c>
      <c r="G1961">
        <v>4</v>
      </c>
      <c r="H1961" s="10">
        <f>IF(ISBLANK(ESales_DB[[#This Row],[Quantity]]),AVERAGEIF(ESales_DB[Product_ID],ESales_DB[[#This Row],[Product_ID]],ESales_DB[Quantity]),ESales_DB[[#This Row],[Quantity]])</f>
        <v>4</v>
      </c>
      <c r="I1961" s="2">
        <v>579.70000000000005</v>
      </c>
      <c r="J1961">
        <v>0.18</v>
      </c>
      <c r="K1961" t="s">
        <v>1826</v>
      </c>
      <c r="L1961" s="2">
        <v>1901.4159999999999</v>
      </c>
      <c r="M1961" s="2" t="str">
        <f>IF(ESales_DB[[#This Row],[Total_Amount]]&gt;1000,"High","Low")</f>
        <v>High</v>
      </c>
      <c r="N1961" s="2" t="str">
        <f>VLOOKUP(ESales_DB[[#This Row],[Customer_ID]],Ecustom_DB[],3,FALSE)</f>
        <v>Amy Fowler</v>
      </c>
      <c r="O1961" s="2" t="str">
        <f>_xlfn.XLOOKUP(ESales_DB[[#This Row],[Product_ID]],Eproduct_DB[Product_ID],Eproduct_DB[Category])</f>
        <v>Beauty</v>
      </c>
      <c r="P1961" s="2" t="str">
        <f>_xlfn.XLOOKUP(ESales_DB[[#This Row],[Product_ID]],Eproduct_DB[Product_ID],Eproduct_DB[Product_Name])</f>
        <v>Herbal Face Moisturizer</v>
      </c>
      <c r="Q1961" s="2" t="str">
        <f>_xlfn.XLOOKUP(ESales_DB[[#This Row],[Store_ID]],Estore_DB[Store_ID],Estore_DB[Region])</f>
        <v>South</v>
      </c>
      <c r="R1961" t="str">
        <f>VLOOKUP(ESales_DB[[#This Row],[Customer_ID]],Ecustom_DB[],10,FALSE)</f>
        <v>Platinum</v>
      </c>
      <c r="S1961" t="str">
        <f>IF(ESales_DB[[#This Row],[Quantity1]]&gt;3,"Bulk order","Normal order")</f>
        <v>Bulk order</v>
      </c>
    </row>
    <row r="1962" spans="1:19" x14ac:dyDescent="0.3">
      <c r="A1962" t="s">
        <v>2789</v>
      </c>
      <c r="B1962" s="4">
        <v>45710</v>
      </c>
      <c r="C1962" s="4" t="str">
        <f>TEXT(ESales_DB[[#This Row],[Order_Date]],"mmm")</f>
        <v>Feb</v>
      </c>
      <c r="D1962" t="s">
        <v>490</v>
      </c>
      <c r="E1962" t="s">
        <v>1634</v>
      </c>
      <c r="F1962" t="s">
        <v>1776</v>
      </c>
      <c r="G1962">
        <v>1</v>
      </c>
      <c r="H1962" s="10">
        <f>IF(ISBLANK(ESales_DB[[#This Row],[Quantity]]),AVERAGEIF(ESales_DB[Product_ID],ESales_DB[[#This Row],[Product_ID]],ESales_DB[Quantity]),ESales_DB[[#This Row],[Quantity]])</f>
        <v>1</v>
      </c>
      <c r="I1962" s="2">
        <v>824.32</v>
      </c>
      <c r="J1962">
        <v>0.18</v>
      </c>
      <c r="K1962" t="s">
        <v>1824</v>
      </c>
      <c r="L1962" s="2">
        <v>675.94240000000013</v>
      </c>
      <c r="M1962" s="2" t="str">
        <f>IF(ESales_DB[[#This Row],[Total_Amount]]&gt;1000,"High","Low")</f>
        <v>Low</v>
      </c>
      <c r="N1962" s="2" t="str">
        <f>VLOOKUP(ESales_DB[[#This Row],[Customer_ID]],Ecustom_DB[],3,FALSE)</f>
        <v>Cameron Simpson</v>
      </c>
      <c r="O1962" s="2" t="str">
        <f>_xlfn.XLOOKUP(ESales_DB[[#This Row],[Product_ID]],Eproduct_DB[Product_ID],Eproduct_DB[Category])</f>
        <v>Electronics</v>
      </c>
      <c r="P1962" s="2" t="str">
        <f>_xlfn.XLOOKUP(ESales_DB[[#This Row],[Product_ID]],Eproduct_DB[Product_ID],Eproduct_DB[Product_Name])</f>
        <v>USB External Hard Drive</v>
      </c>
      <c r="Q1962" s="2" t="str">
        <f>_xlfn.XLOOKUP(ESales_DB[[#This Row],[Store_ID]],Estore_DB[Store_ID],Estore_DB[Region])</f>
        <v>East</v>
      </c>
      <c r="R1962" t="str">
        <f>VLOOKUP(ESales_DB[[#This Row],[Customer_ID]],Ecustom_DB[],10,FALSE)</f>
        <v>Platinum</v>
      </c>
      <c r="S1962" t="str">
        <f>IF(ESales_DB[[#This Row],[Quantity1]]&gt;3,"Bulk order","Normal order")</f>
        <v>Normal order</v>
      </c>
    </row>
    <row r="1963" spans="1:19" x14ac:dyDescent="0.3">
      <c r="A1963" t="s">
        <v>2790</v>
      </c>
      <c r="B1963" s="4">
        <v>45682</v>
      </c>
      <c r="C1963" s="4" t="str">
        <f>TEXT(ESales_DB[[#This Row],[Order_Date]],"mmm")</f>
        <v>Jan</v>
      </c>
      <c r="D1963" t="s">
        <v>384</v>
      </c>
      <c r="E1963" t="s">
        <v>1640</v>
      </c>
      <c r="F1963" t="s">
        <v>1801</v>
      </c>
      <c r="G1963">
        <v>4</v>
      </c>
      <c r="H1963" s="10">
        <f>IF(ISBLANK(ESales_DB[[#This Row],[Quantity]]),AVERAGEIF(ESales_DB[Product_ID],ESales_DB[[#This Row],[Product_ID]],ESales_DB[Quantity]),ESales_DB[[#This Row],[Quantity]])</f>
        <v>4</v>
      </c>
      <c r="I1963" s="2">
        <v>614.99</v>
      </c>
      <c r="J1963">
        <v>0.16</v>
      </c>
      <c r="K1963" t="s">
        <v>1826</v>
      </c>
      <c r="L1963" s="2">
        <v>2066.3663999999999</v>
      </c>
      <c r="M1963" s="2" t="str">
        <f>IF(ESales_DB[[#This Row],[Total_Amount]]&gt;1000,"High","Low")</f>
        <v>High</v>
      </c>
      <c r="N1963" s="2" t="str">
        <f>VLOOKUP(ESales_DB[[#This Row],[Customer_ID]],Ecustom_DB[],3,FALSE)</f>
        <v>Amy Walker</v>
      </c>
      <c r="O1963" s="2" t="str">
        <f>_xlfn.XLOOKUP(ESales_DB[[#This Row],[Product_ID]],Eproduct_DB[Product_ID],Eproduct_DB[Category])</f>
        <v>Clothing</v>
      </c>
      <c r="P1963" s="2" t="str">
        <f>_xlfn.XLOOKUP(ESales_DB[[#This Row],[Product_ID]],Eproduct_DB[Product_ID],Eproduct_DB[Product_Name])</f>
        <v>Men's Winter Jacket</v>
      </c>
      <c r="Q1963" s="2" t="str">
        <f>_xlfn.XLOOKUP(ESales_DB[[#This Row],[Store_ID]],Estore_DB[Store_ID],Estore_DB[Region])</f>
        <v>North</v>
      </c>
      <c r="R1963" t="str">
        <f>VLOOKUP(ESales_DB[[#This Row],[Customer_ID]],Ecustom_DB[],10,FALSE)</f>
        <v>Silver</v>
      </c>
      <c r="S1963" t="str">
        <f>IF(ESales_DB[[#This Row],[Quantity1]]&gt;3,"Bulk order","Normal order")</f>
        <v>Bulk order</v>
      </c>
    </row>
    <row r="1964" spans="1:19" x14ac:dyDescent="0.3">
      <c r="A1964" t="s">
        <v>2791</v>
      </c>
      <c r="B1964" s="4">
        <v>45730</v>
      </c>
      <c r="C1964" s="4" t="str">
        <f>TEXT(ESales_DB[[#This Row],[Order_Date]],"mmm")</f>
        <v>Mar</v>
      </c>
      <c r="D1964" t="s">
        <v>441</v>
      </c>
      <c r="E1964" t="s">
        <v>1672</v>
      </c>
      <c r="F1964" t="s">
        <v>1752</v>
      </c>
      <c r="G1964">
        <v>4</v>
      </c>
      <c r="H1964" s="10">
        <f>IF(ISBLANK(ESales_DB[[#This Row],[Quantity]]),AVERAGEIF(ESales_DB[Product_ID],ESales_DB[[#This Row],[Product_ID]],ESales_DB[Quantity]),ESales_DB[[#This Row],[Quantity]])</f>
        <v>4</v>
      </c>
      <c r="I1964" s="2">
        <v>189.21</v>
      </c>
      <c r="J1964">
        <v>0.06</v>
      </c>
      <c r="K1964" t="s">
        <v>1829</v>
      </c>
      <c r="L1964" s="2">
        <v>711.42959999999994</v>
      </c>
      <c r="M1964" s="2" t="str">
        <f>IF(ESales_DB[[#This Row],[Total_Amount]]&gt;1000,"High","Low")</f>
        <v>Low</v>
      </c>
      <c r="N1964" s="2" t="str">
        <f>VLOOKUP(ESales_DB[[#This Row],[Customer_ID]],Ecustom_DB[],3,FALSE)</f>
        <v>Susan Mcdonald</v>
      </c>
      <c r="O1964" s="2" t="str">
        <f>_xlfn.XLOOKUP(ESales_DB[[#This Row],[Product_ID]],Eproduct_DB[Product_ID],Eproduct_DB[Category])</f>
        <v>Electronics</v>
      </c>
      <c r="P1964" s="2" t="str">
        <f>_xlfn.XLOOKUP(ESales_DB[[#This Row],[Product_ID]],Eproduct_DB[Product_ID],Eproduct_DB[Product_Name])</f>
        <v>Laptop Cooling Pad</v>
      </c>
      <c r="Q1964" s="2" t="str">
        <f>_xlfn.XLOOKUP(ESales_DB[[#This Row],[Store_ID]],Estore_DB[Store_ID],Estore_DB[Region])</f>
        <v>East</v>
      </c>
      <c r="R1964" t="str">
        <f>VLOOKUP(ESales_DB[[#This Row],[Customer_ID]],Ecustom_DB[],10,FALSE)</f>
        <v>Silver</v>
      </c>
      <c r="S1964" t="str">
        <f>IF(ESales_DB[[#This Row],[Quantity1]]&gt;3,"Bulk order","Normal order")</f>
        <v>Bulk order</v>
      </c>
    </row>
    <row r="1965" spans="1:19" x14ac:dyDescent="0.3">
      <c r="A1965" t="s">
        <v>2792</v>
      </c>
      <c r="B1965" s="4">
        <v>45629</v>
      </c>
      <c r="C1965" s="4" t="str">
        <f>TEXT(ESales_DB[[#This Row],[Order_Date]],"mmm")</f>
        <v>Dec</v>
      </c>
      <c r="D1965" t="s">
        <v>517</v>
      </c>
      <c r="E1965" t="s">
        <v>1672</v>
      </c>
      <c r="F1965" t="s">
        <v>1799</v>
      </c>
      <c r="G1965">
        <v>2</v>
      </c>
      <c r="H1965" s="10">
        <f>IF(ISBLANK(ESales_DB[[#This Row],[Quantity]]),AVERAGEIF(ESales_DB[Product_ID],ESales_DB[[#This Row],[Product_ID]],ESales_DB[Quantity]),ESales_DB[[#This Row],[Quantity]])</f>
        <v>2</v>
      </c>
      <c r="I1965" s="2">
        <v>233.33</v>
      </c>
      <c r="J1965">
        <v>0.05</v>
      </c>
      <c r="K1965" t="s">
        <v>1824</v>
      </c>
      <c r="L1965" s="2">
        <v>443.327</v>
      </c>
      <c r="M1965" s="2" t="str">
        <f>IF(ESales_DB[[#This Row],[Total_Amount]]&gt;1000,"High","Low")</f>
        <v>Low</v>
      </c>
      <c r="N1965" s="2" t="str">
        <f>VLOOKUP(ESales_DB[[#This Row],[Customer_ID]],Ecustom_DB[],3,FALSE)</f>
        <v>Julie Hale</v>
      </c>
      <c r="O1965" s="2" t="str">
        <f>_xlfn.XLOOKUP(ESales_DB[[#This Row],[Product_ID]],Eproduct_DB[Product_ID],Eproduct_DB[Category])</f>
        <v>Electronics</v>
      </c>
      <c r="P1965" s="2" t="str">
        <f>_xlfn.XLOOKUP(ESales_DB[[#This Row],[Product_ID]],Eproduct_DB[Product_ID],Eproduct_DB[Product_Name])</f>
        <v>Laptop Cooling Pad</v>
      </c>
      <c r="Q1965" s="2" t="str">
        <f>_xlfn.XLOOKUP(ESales_DB[[#This Row],[Store_ID]],Estore_DB[Store_ID],Estore_DB[Region])</f>
        <v>South</v>
      </c>
      <c r="R1965" t="str">
        <f>VLOOKUP(ESales_DB[[#This Row],[Customer_ID]],Ecustom_DB[],10,FALSE)</f>
        <v>Gold</v>
      </c>
      <c r="S1965" t="str">
        <f>IF(ESales_DB[[#This Row],[Quantity1]]&gt;3,"Bulk order","Normal order")</f>
        <v>Normal order</v>
      </c>
    </row>
    <row r="1966" spans="1:19" x14ac:dyDescent="0.3">
      <c r="A1966" t="s">
        <v>2793</v>
      </c>
      <c r="B1966" s="4">
        <v>45783</v>
      </c>
      <c r="C1966" s="4" t="str">
        <f>TEXT(ESales_DB[[#This Row],[Order_Date]],"mmm")</f>
        <v>May</v>
      </c>
      <c r="D1966" t="s">
        <v>794</v>
      </c>
      <c r="E1966" t="s">
        <v>1626</v>
      </c>
      <c r="F1966" t="s">
        <v>1810</v>
      </c>
      <c r="G1966">
        <v>3</v>
      </c>
      <c r="H1966" s="10">
        <f>IF(ISBLANK(ESales_DB[[#This Row],[Quantity]]),AVERAGEIF(ESales_DB[Product_ID],ESales_DB[[#This Row],[Product_ID]],ESales_DB[Quantity]),ESales_DB[[#This Row],[Quantity]])</f>
        <v>3</v>
      </c>
      <c r="I1966" s="2">
        <v>529.89</v>
      </c>
      <c r="J1966">
        <v>0.21</v>
      </c>
      <c r="K1966" t="s">
        <v>1824</v>
      </c>
      <c r="L1966" s="2">
        <v>1255.8393000000001</v>
      </c>
      <c r="M1966" s="2" t="str">
        <f>IF(ESales_DB[[#This Row],[Total_Amount]]&gt;1000,"High","Low")</f>
        <v>High</v>
      </c>
      <c r="N1966" s="2" t="str">
        <f>VLOOKUP(ESales_DB[[#This Row],[Customer_ID]],Ecustom_DB[],3,FALSE)</f>
        <v>Nicholas Webb</v>
      </c>
      <c r="O1966" s="2" t="str">
        <f>_xlfn.XLOOKUP(ESales_DB[[#This Row],[Product_ID]],Eproduct_DB[Product_ID],Eproduct_DB[Category])</f>
        <v>Electronics</v>
      </c>
      <c r="P1966" s="2" t="str">
        <f>_xlfn.XLOOKUP(ESales_DB[[#This Row],[Product_ID]],Eproduct_DB[Product_ID],Eproduct_DB[Product_Name])</f>
        <v>Portable Power Bank</v>
      </c>
      <c r="Q1966" s="2" t="str">
        <f>_xlfn.XLOOKUP(ESales_DB[[#This Row],[Store_ID]],Estore_DB[Store_ID],Estore_DB[Region])</f>
        <v>East</v>
      </c>
      <c r="R1966" t="str">
        <f>VLOOKUP(ESales_DB[[#This Row],[Customer_ID]],Ecustom_DB[],10,FALSE)</f>
        <v>Gold</v>
      </c>
      <c r="S1966" t="str">
        <f>IF(ESales_DB[[#This Row],[Quantity1]]&gt;3,"Bulk order","Normal order")</f>
        <v>Normal order</v>
      </c>
    </row>
    <row r="1967" spans="1:19" x14ac:dyDescent="0.3">
      <c r="A1967" t="s">
        <v>2794</v>
      </c>
      <c r="B1967" s="4">
        <v>45518</v>
      </c>
      <c r="C1967" s="4" t="str">
        <f>TEXT(ESales_DB[[#This Row],[Order_Date]],"mmm")</f>
        <v>Aug</v>
      </c>
      <c r="D1967" t="s">
        <v>1504</v>
      </c>
      <c r="E1967" t="s">
        <v>1732</v>
      </c>
      <c r="F1967" t="s">
        <v>1757</v>
      </c>
      <c r="G1967">
        <v>2</v>
      </c>
      <c r="H1967" s="10">
        <f>IF(ISBLANK(ESales_DB[[#This Row],[Quantity]]),AVERAGEIF(ESales_DB[Product_ID],ESales_DB[[#This Row],[Product_ID]],ESales_DB[Quantity]),ESales_DB[[#This Row],[Quantity]])</f>
        <v>2</v>
      </c>
      <c r="I1967" s="2">
        <v>954.1</v>
      </c>
      <c r="J1967">
        <v>0.17</v>
      </c>
      <c r="K1967" t="s">
        <v>1826</v>
      </c>
      <c r="L1967" s="2">
        <v>1583.806</v>
      </c>
      <c r="M1967" s="2" t="str">
        <f>IF(ESales_DB[[#This Row],[Total_Amount]]&gt;1000,"High","Low")</f>
        <v>High</v>
      </c>
      <c r="N1967" s="2" t="str">
        <f>VLOOKUP(ESales_DB[[#This Row],[Customer_ID]],Ecustom_DB[],3,FALSE)</f>
        <v>Melinda Thomas</v>
      </c>
      <c r="O1967" s="2" t="str">
        <f>_xlfn.XLOOKUP(ESales_DB[[#This Row],[Product_ID]],Eproduct_DB[Product_ID],Eproduct_DB[Category])</f>
        <v>Home</v>
      </c>
      <c r="P1967" s="2" t="str">
        <f>_xlfn.XLOOKUP(ESales_DB[[#This Row],[Product_ID]],Eproduct_DB[Product_ID],Eproduct_DB[Product_Name])</f>
        <v>Microwave Oven</v>
      </c>
      <c r="Q1967" s="2" t="str">
        <f>_xlfn.XLOOKUP(ESales_DB[[#This Row],[Store_ID]],Estore_DB[Store_ID],Estore_DB[Region])</f>
        <v>North</v>
      </c>
      <c r="R1967" t="str">
        <f>VLOOKUP(ESales_DB[[#This Row],[Customer_ID]],Ecustom_DB[],10,FALSE)</f>
        <v>Silver</v>
      </c>
      <c r="S1967" t="str">
        <f>IF(ESales_DB[[#This Row],[Quantity1]]&gt;3,"Bulk order","Normal order")</f>
        <v>Normal order</v>
      </c>
    </row>
    <row r="1968" spans="1:19" x14ac:dyDescent="0.3">
      <c r="A1968" t="s">
        <v>2795</v>
      </c>
      <c r="B1968" s="4">
        <v>45274</v>
      </c>
      <c r="C1968" s="4" t="str">
        <f>TEXT(ESales_DB[[#This Row],[Order_Date]],"mmm")</f>
        <v>Dec</v>
      </c>
      <c r="D1968" t="s">
        <v>1017</v>
      </c>
      <c r="E1968" t="s">
        <v>1678</v>
      </c>
      <c r="F1968" t="s">
        <v>1779</v>
      </c>
      <c r="G1968">
        <v>1</v>
      </c>
      <c r="H1968" s="10">
        <f>IF(ISBLANK(ESales_DB[[#This Row],[Quantity]]),AVERAGEIF(ESales_DB[Product_ID],ESales_DB[[#This Row],[Product_ID]],ESales_DB[Quantity]),ESales_DB[[#This Row],[Quantity]])</f>
        <v>1</v>
      </c>
      <c r="I1968" s="2">
        <v>370.04</v>
      </c>
      <c r="J1968">
        <v>0.04</v>
      </c>
      <c r="K1968" t="s">
        <v>1829</v>
      </c>
      <c r="L1968" s="2">
        <v>355.23840000000001</v>
      </c>
      <c r="M1968" s="2" t="str">
        <f>IF(ESales_DB[[#This Row],[Total_Amount]]&gt;1000,"High","Low")</f>
        <v>Low</v>
      </c>
      <c r="N1968" s="2" t="str">
        <f>VLOOKUP(ESales_DB[[#This Row],[Customer_ID]],Ecustom_DB[],3,FALSE)</f>
        <v>Kristy Dunlap</v>
      </c>
      <c r="O1968" s="2" t="str">
        <f>_xlfn.XLOOKUP(ESales_DB[[#This Row],[Product_ID]],Eproduct_DB[Product_ID],Eproduct_DB[Category])</f>
        <v>Sports</v>
      </c>
      <c r="P1968" s="2" t="str">
        <f>_xlfn.XLOOKUP(ESales_DB[[#This Row],[Product_ID]],Eproduct_DB[Product_ID],Eproduct_DB[Product_Name])</f>
        <v>Adjustable Dumbbells 20kg</v>
      </c>
      <c r="Q1968" s="2" t="str">
        <f>_xlfn.XLOOKUP(ESales_DB[[#This Row],[Store_ID]],Estore_DB[Store_ID],Estore_DB[Region])</f>
        <v>South</v>
      </c>
      <c r="R1968" t="str">
        <f>VLOOKUP(ESales_DB[[#This Row],[Customer_ID]],Ecustom_DB[],10,FALSE)</f>
        <v>Platinum</v>
      </c>
      <c r="S1968" t="str">
        <f>IF(ESales_DB[[#This Row],[Quantity1]]&gt;3,"Bulk order","Normal order")</f>
        <v>Normal order</v>
      </c>
    </row>
    <row r="1969" spans="1:19" x14ac:dyDescent="0.3">
      <c r="A1969" t="s">
        <v>1923</v>
      </c>
      <c r="B1969" s="4">
        <v>45587</v>
      </c>
      <c r="C1969" s="4" t="str">
        <f>TEXT(ESales_DB[[#This Row],[Order_Date]],"mmm")</f>
        <v>Oct</v>
      </c>
      <c r="D1969" t="s">
        <v>911</v>
      </c>
      <c r="E1969" t="s">
        <v>1551</v>
      </c>
      <c r="F1969" t="s">
        <v>1766</v>
      </c>
      <c r="G1969">
        <v>3</v>
      </c>
      <c r="H1969" s="10">
        <f>IF(ISBLANK(ESales_DB[[#This Row],[Quantity]]),AVERAGEIF(ESales_DB[Product_ID],ESales_DB[[#This Row],[Product_ID]],ESales_DB[Quantity]),ESales_DB[[#This Row],[Quantity]])</f>
        <v>3</v>
      </c>
      <c r="I1969" s="2">
        <v>751.94</v>
      </c>
      <c r="J1969">
        <v>0.26</v>
      </c>
      <c r="K1969" t="s">
        <v>1826</v>
      </c>
      <c r="L1969" s="2">
        <v>1669.3068000000001</v>
      </c>
      <c r="M1969" s="2" t="str">
        <f>IF(ESales_DB[[#This Row],[Total_Amount]]&gt;1000,"High","Low")</f>
        <v>High</v>
      </c>
      <c r="N1969" s="2" t="str">
        <f>VLOOKUP(ESales_DB[[#This Row],[Customer_ID]],Ecustom_DB[],3,FALSE)</f>
        <v>Cynthia Roberts</v>
      </c>
      <c r="O1969" s="2" t="str">
        <f>_xlfn.XLOOKUP(ESales_DB[[#This Row],[Product_ID]],Eproduct_DB[Product_ID],Eproduct_DB[Category])</f>
        <v>Clothing</v>
      </c>
      <c r="P1969" s="2" t="str">
        <f>_xlfn.XLOOKUP(ESales_DB[[#This Row],[Product_ID]],Eproduct_DB[Product_ID],Eproduct_DB[Product_Name])</f>
        <v>Men's Running Jacket</v>
      </c>
      <c r="Q1969" s="2" t="str">
        <f>_xlfn.XLOOKUP(ESales_DB[[#This Row],[Store_ID]],Estore_DB[Store_ID],Estore_DB[Region])</f>
        <v>North</v>
      </c>
      <c r="R1969" t="str">
        <f>VLOOKUP(ESales_DB[[#This Row],[Customer_ID]],Ecustom_DB[],10,FALSE)</f>
        <v>Gold</v>
      </c>
      <c r="S1969" t="str">
        <f>IF(ESales_DB[[#This Row],[Quantity1]]&gt;3,"Bulk order","Normal order")</f>
        <v>Normal order</v>
      </c>
    </row>
    <row r="1970" spans="1:19" x14ac:dyDescent="0.3">
      <c r="A1970" t="s">
        <v>2796</v>
      </c>
      <c r="B1970" s="4">
        <v>45297</v>
      </c>
      <c r="C1970" s="4" t="str">
        <f>TEXT(ESales_DB[[#This Row],[Order_Date]],"mmm")</f>
        <v>Jan</v>
      </c>
      <c r="D1970" t="s">
        <v>227</v>
      </c>
      <c r="E1970" t="s">
        <v>1740</v>
      </c>
      <c r="F1970" t="s">
        <v>1813</v>
      </c>
      <c r="G1970">
        <v>4</v>
      </c>
      <c r="H1970" s="10">
        <f>IF(ISBLANK(ESales_DB[[#This Row],[Quantity]]),AVERAGEIF(ESales_DB[Product_ID],ESales_DB[[#This Row],[Product_ID]],ESales_DB[Quantity]),ESales_DB[[#This Row],[Quantity]])</f>
        <v>4</v>
      </c>
      <c r="I1970" s="2">
        <v>492.71</v>
      </c>
      <c r="J1970">
        <v>0.08</v>
      </c>
      <c r="K1970" t="s">
        <v>1824</v>
      </c>
      <c r="L1970" s="2">
        <v>1813.1728000000001</v>
      </c>
      <c r="M1970" s="2" t="str">
        <f>IF(ESales_DB[[#This Row],[Total_Amount]]&gt;1000,"High","Low")</f>
        <v>High</v>
      </c>
      <c r="N1970" s="2" t="str">
        <f>VLOOKUP(ESales_DB[[#This Row],[Customer_ID]],Ecustom_DB[],3,FALSE)</f>
        <v>Kristin Stein</v>
      </c>
      <c r="O1970" s="2" t="str">
        <f>_xlfn.XLOOKUP(ESales_DB[[#This Row],[Product_ID]],Eproduct_DB[Product_ID],Eproduct_DB[Category])</f>
        <v>Clothing</v>
      </c>
      <c r="P1970" s="2" t="str">
        <f>_xlfn.XLOOKUP(ESales_DB[[#This Row],[Product_ID]],Eproduct_DB[Product_ID],Eproduct_DB[Product_Name])</f>
        <v>Women's Formal Blazer</v>
      </c>
      <c r="Q1970" s="2" t="str">
        <f>_xlfn.XLOOKUP(ESales_DB[[#This Row],[Store_ID]],Estore_DB[Store_ID],Estore_DB[Region])</f>
        <v>East</v>
      </c>
      <c r="R1970" t="str">
        <f>VLOOKUP(ESales_DB[[#This Row],[Customer_ID]],Ecustom_DB[],10,FALSE)</f>
        <v>Silver</v>
      </c>
      <c r="S1970" t="str">
        <f>IF(ESales_DB[[#This Row],[Quantity1]]&gt;3,"Bulk order","Normal order")</f>
        <v>Bulk order</v>
      </c>
    </row>
    <row r="1971" spans="1:19" x14ac:dyDescent="0.3">
      <c r="A1971" t="s">
        <v>2797</v>
      </c>
      <c r="B1971" s="4">
        <v>45530</v>
      </c>
      <c r="C1971" s="4" t="str">
        <f>TEXT(ESales_DB[[#This Row],[Order_Date]],"mmm")</f>
        <v>Aug</v>
      </c>
      <c r="D1971" t="s">
        <v>890</v>
      </c>
      <c r="E1971" t="s">
        <v>1730</v>
      </c>
      <c r="F1971" t="s">
        <v>1797</v>
      </c>
      <c r="G1971">
        <v>4</v>
      </c>
      <c r="H1971" s="10">
        <f>IF(ISBLANK(ESales_DB[[#This Row],[Quantity]]),AVERAGEIF(ESales_DB[Product_ID],ESales_DB[[#This Row],[Product_ID]],ESales_DB[Quantity]),ESales_DB[[#This Row],[Quantity]])</f>
        <v>4</v>
      </c>
      <c r="I1971" s="2">
        <v>853.26</v>
      </c>
      <c r="J1971">
        <v>0.24</v>
      </c>
      <c r="K1971" t="s">
        <v>1829</v>
      </c>
      <c r="L1971" s="2">
        <v>2593.9104000000002</v>
      </c>
      <c r="M1971" s="2" t="str">
        <f>IF(ESales_DB[[#This Row],[Total_Amount]]&gt;1000,"High","Low")</f>
        <v>High</v>
      </c>
      <c r="N1971" s="2" t="str">
        <f>VLOOKUP(ESales_DB[[#This Row],[Customer_ID]],Ecustom_DB[],3,FALSE)</f>
        <v>Antonio Leon</v>
      </c>
      <c r="O1971" s="2" t="str">
        <f>_xlfn.XLOOKUP(ESales_DB[[#This Row],[Product_ID]],Eproduct_DB[Product_ID],Eproduct_DB[Category])</f>
        <v>Clothing</v>
      </c>
      <c r="P1971" s="2" t="str">
        <f>_xlfn.XLOOKUP(ESales_DB[[#This Row],[Product_ID]],Eproduct_DB[Product_ID],Eproduct_DB[Product_Name])</f>
        <v>Women's High Heels</v>
      </c>
      <c r="Q1971" s="2" t="str">
        <f>_xlfn.XLOOKUP(ESales_DB[[#This Row],[Store_ID]],Estore_DB[Store_ID],Estore_DB[Region])</f>
        <v>East</v>
      </c>
      <c r="R1971" t="str">
        <f>VLOOKUP(ESales_DB[[#This Row],[Customer_ID]],Ecustom_DB[],10,FALSE)</f>
        <v>Bronze</v>
      </c>
      <c r="S1971" t="str">
        <f>IF(ESales_DB[[#This Row],[Quantity1]]&gt;3,"Bulk order","Normal order")</f>
        <v>Bulk order</v>
      </c>
    </row>
    <row r="1972" spans="1:19" x14ac:dyDescent="0.3">
      <c r="A1972" t="s">
        <v>2798</v>
      </c>
      <c r="B1972" s="4">
        <v>45740</v>
      </c>
      <c r="C1972" s="4" t="str">
        <f>TEXT(ESales_DB[[#This Row],[Order_Date]],"mmm")</f>
        <v>Mar</v>
      </c>
      <c r="D1972" t="s">
        <v>1263</v>
      </c>
      <c r="E1972" t="s">
        <v>1551</v>
      </c>
      <c r="F1972" t="s">
        <v>1804</v>
      </c>
      <c r="G1972">
        <v>1</v>
      </c>
      <c r="H1972" s="10">
        <f>IF(ISBLANK(ESales_DB[[#This Row],[Quantity]]),AVERAGEIF(ESales_DB[Product_ID],ESales_DB[[#This Row],[Product_ID]],ESales_DB[Quantity]),ESales_DB[[#This Row],[Quantity]])</f>
        <v>1</v>
      </c>
      <c r="I1972" s="2">
        <v>402.47</v>
      </c>
      <c r="J1972">
        <v>0.19</v>
      </c>
      <c r="K1972" t="s">
        <v>1826</v>
      </c>
      <c r="L1972" s="2">
        <v>326.00070000000011</v>
      </c>
      <c r="M1972" s="2" t="str">
        <f>IF(ESales_DB[[#This Row],[Total_Amount]]&gt;1000,"High","Low")</f>
        <v>Low</v>
      </c>
      <c r="N1972" s="2" t="str">
        <f>VLOOKUP(ESales_DB[[#This Row],[Customer_ID]],Ecustom_DB[],3,FALSE)</f>
        <v>David Lozano</v>
      </c>
      <c r="O1972" s="2" t="str">
        <f>_xlfn.XLOOKUP(ESales_DB[[#This Row],[Product_ID]],Eproduct_DB[Product_ID],Eproduct_DB[Category])</f>
        <v>Clothing</v>
      </c>
      <c r="P1972" s="2" t="str">
        <f>_xlfn.XLOOKUP(ESales_DB[[#This Row],[Product_ID]],Eproduct_DB[Product_ID],Eproduct_DB[Product_Name])</f>
        <v>Men's Running Jacket</v>
      </c>
      <c r="Q1972" s="2" t="str">
        <f>_xlfn.XLOOKUP(ESales_DB[[#This Row],[Store_ID]],Estore_DB[Store_ID],Estore_DB[Region])</f>
        <v>West</v>
      </c>
      <c r="R1972" t="str">
        <f>VLOOKUP(ESales_DB[[#This Row],[Customer_ID]],Ecustom_DB[],10,FALSE)</f>
        <v>Gold</v>
      </c>
      <c r="S1972" t="str">
        <f>IF(ESales_DB[[#This Row],[Quantity1]]&gt;3,"Bulk order","Normal order")</f>
        <v>Normal order</v>
      </c>
    </row>
    <row r="1973" spans="1:19" x14ac:dyDescent="0.3">
      <c r="A1973" t="s">
        <v>2799</v>
      </c>
      <c r="B1973" s="4">
        <v>45311</v>
      </c>
      <c r="C1973" s="4" t="str">
        <f>TEXT(ESales_DB[[#This Row],[Order_Date]],"mmm")</f>
        <v>Jan</v>
      </c>
      <c r="D1973" t="s">
        <v>1252</v>
      </c>
      <c r="E1973" t="s">
        <v>1656</v>
      </c>
      <c r="F1973" t="s">
        <v>1810</v>
      </c>
      <c r="G1973">
        <v>2</v>
      </c>
      <c r="H1973" s="10">
        <f>IF(ISBLANK(ESales_DB[[#This Row],[Quantity]]),AVERAGEIF(ESales_DB[Product_ID],ESales_DB[[#This Row],[Product_ID]],ESales_DB[Quantity]),ESales_DB[[#This Row],[Quantity]])</f>
        <v>2</v>
      </c>
      <c r="I1973" s="2">
        <v>528.29999999999995</v>
      </c>
      <c r="J1973">
        <v>0.24</v>
      </c>
      <c r="K1973" t="s">
        <v>1824</v>
      </c>
      <c r="L1973" s="2">
        <v>803.01599999999996</v>
      </c>
      <c r="M1973" s="2" t="str">
        <f>IF(ESales_DB[[#This Row],[Total_Amount]]&gt;1000,"High","Low")</f>
        <v>Low</v>
      </c>
      <c r="N1973" s="2" t="str">
        <f>VLOOKUP(ESales_DB[[#This Row],[Customer_ID]],Ecustom_DB[],3,FALSE)</f>
        <v>Cassandra Perez</v>
      </c>
      <c r="O1973" s="2" t="str">
        <f>_xlfn.XLOOKUP(ESales_DB[[#This Row],[Product_ID]],Eproduct_DB[Product_ID],Eproduct_DB[Category])</f>
        <v>Sports</v>
      </c>
      <c r="P1973" s="2" t="str">
        <f>_xlfn.XLOOKUP(ESales_DB[[#This Row],[Product_ID]],Eproduct_DB[Product_ID],Eproduct_DB[Product_Name])</f>
        <v>Sports Stopwatch Pro</v>
      </c>
      <c r="Q1973" s="2" t="str">
        <f>_xlfn.XLOOKUP(ESales_DB[[#This Row],[Store_ID]],Estore_DB[Store_ID],Estore_DB[Region])</f>
        <v>East</v>
      </c>
      <c r="R1973" t="str">
        <f>VLOOKUP(ESales_DB[[#This Row],[Customer_ID]],Ecustom_DB[],10,FALSE)</f>
        <v>Bronze</v>
      </c>
      <c r="S1973" t="str">
        <f>IF(ESales_DB[[#This Row],[Quantity1]]&gt;3,"Bulk order","Normal order")</f>
        <v>Normal order</v>
      </c>
    </row>
    <row r="1974" spans="1:19" x14ac:dyDescent="0.3">
      <c r="A1974" t="s">
        <v>2800</v>
      </c>
      <c r="B1974" s="4">
        <v>45667</v>
      </c>
      <c r="C1974" s="4" t="str">
        <f>TEXT(ESales_DB[[#This Row],[Order_Date]],"mmm")</f>
        <v>Jan</v>
      </c>
      <c r="D1974" t="s">
        <v>1374</v>
      </c>
      <c r="E1974" t="s">
        <v>1568</v>
      </c>
      <c r="F1974" t="s">
        <v>1776</v>
      </c>
      <c r="G1974">
        <v>4</v>
      </c>
      <c r="H1974" s="10">
        <f>IF(ISBLANK(ESales_DB[[#This Row],[Quantity]]),AVERAGEIF(ESales_DB[Product_ID],ESales_DB[[#This Row],[Product_ID]],ESales_DB[Quantity]),ESales_DB[[#This Row],[Quantity]])</f>
        <v>4</v>
      </c>
      <c r="I1974" s="2">
        <v>599.85</v>
      </c>
      <c r="J1974">
        <v>0.25</v>
      </c>
      <c r="K1974" t="s">
        <v>1824</v>
      </c>
      <c r="L1974" s="2">
        <v>1799.55</v>
      </c>
      <c r="M1974" s="2" t="str">
        <f>IF(ESales_DB[[#This Row],[Total_Amount]]&gt;1000,"High","Low")</f>
        <v>High</v>
      </c>
      <c r="N1974" s="2" t="str">
        <f>VLOOKUP(ESales_DB[[#This Row],[Customer_ID]],Ecustom_DB[],3,FALSE)</f>
        <v>Cheryl Carr</v>
      </c>
      <c r="O1974" s="2" t="str">
        <f>_xlfn.XLOOKUP(ESales_DB[[#This Row],[Product_ID]],Eproduct_DB[Product_ID],Eproduct_DB[Category])</f>
        <v>Home</v>
      </c>
      <c r="P1974" s="2" t="str">
        <f>_xlfn.XLOOKUP(ESales_DB[[#This Row],[Product_ID]],Eproduct_DB[Product_ID],Eproduct_DB[Product_Name])</f>
        <v>Ceramic Kitchen Bowl Set</v>
      </c>
      <c r="Q1974" s="2" t="str">
        <f>_xlfn.XLOOKUP(ESales_DB[[#This Row],[Store_ID]],Estore_DB[Store_ID],Estore_DB[Region])</f>
        <v>East</v>
      </c>
      <c r="R1974" t="str">
        <f>VLOOKUP(ESales_DB[[#This Row],[Customer_ID]],Ecustom_DB[],10,FALSE)</f>
        <v>Gold</v>
      </c>
      <c r="S1974" t="str">
        <f>IF(ESales_DB[[#This Row],[Quantity1]]&gt;3,"Bulk order","Normal order")</f>
        <v>Bulk order</v>
      </c>
    </row>
    <row r="1975" spans="1:19" x14ac:dyDescent="0.3">
      <c r="A1975" t="s">
        <v>2801</v>
      </c>
      <c r="B1975" s="4">
        <v>45281</v>
      </c>
      <c r="C1975" s="4" t="str">
        <f>TEXT(ESales_DB[[#This Row],[Order_Date]],"mmm")</f>
        <v>Dec</v>
      </c>
      <c r="D1975" t="s">
        <v>957</v>
      </c>
      <c r="E1975" t="s">
        <v>1580</v>
      </c>
      <c r="F1975" t="s">
        <v>1786</v>
      </c>
      <c r="G1975">
        <v>2</v>
      </c>
      <c r="H1975" s="10">
        <f>IF(ISBLANK(ESales_DB[[#This Row],[Quantity]]),AVERAGEIF(ESales_DB[Product_ID],ESales_DB[[#This Row],[Product_ID]],ESales_DB[Quantity]),ESales_DB[[#This Row],[Quantity]])</f>
        <v>2</v>
      </c>
      <c r="I1975" s="2">
        <v>61.42</v>
      </c>
      <c r="J1975">
        <v>0.08</v>
      </c>
      <c r="K1975" t="s">
        <v>1826</v>
      </c>
      <c r="L1975" s="2">
        <v>113.0128</v>
      </c>
      <c r="M1975" s="2" t="str">
        <f>IF(ESales_DB[[#This Row],[Total_Amount]]&gt;1000,"High","Low")</f>
        <v>Low</v>
      </c>
      <c r="N1975" s="2" t="str">
        <f>VLOOKUP(ESales_DB[[#This Row],[Customer_ID]],Ecustom_DB[],3,FALSE)</f>
        <v>John Sloan</v>
      </c>
      <c r="O1975" s="2" t="str">
        <f>_xlfn.XLOOKUP(ESales_DB[[#This Row],[Product_ID]],Eproduct_DB[Product_ID],Eproduct_DB[Category])</f>
        <v>Beauty</v>
      </c>
      <c r="P1975" s="2" t="str">
        <f>_xlfn.XLOOKUP(ESales_DB[[#This Row],[Product_ID]],Eproduct_DB[Product_ID],Eproduct_DB[Product_Name])</f>
        <v>Beard Grooming Kit</v>
      </c>
      <c r="Q1975" s="2" t="str">
        <f>_xlfn.XLOOKUP(ESales_DB[[#This Row],[Store_ID]],Estore_DB[Store_ID],Estore_DB[Region])</f>
        <v>South</v>
      </c>
      <c r="R1975" t="str">
        <f>VLOOKUP(ESales_DB[[#This Row],[Customer_ID]],Ecustom_DB[],10,FALSE)</f>
        <v>Platinum</v>
      </c>
      <c r="S1975" t="str">
        <f>IF(ESales_DB[[#This Row],[Quantity1]]&gt;3,"Bulk order","Normal order")</f>
        <v>Normal order</v>
      </c>
    </row>
    <row r="1976" spans="1:19" x14ac:dyDescent="0.3">
      <c r="A1976" t="s">
        <v>2802</v>
      </c>
      <c r="B1976" s="4">
        <v>45693</v>
      </c>
      <c r="C1976" s="4" t="str">
        <f>TEXT(ESales_DB[[#This Row],[Order_Date]],"mmm")</f>
        <v>Feb</v>
      </c>
      <c r="D1976" t="s">
        <v>797</v>
      </c>
      <c r="E1976" t="s">
        <v>1586</v>
      </c>
      <c r="F1976" t="s">
        <v>1789</v>
      </c>
      <c r="G1976">
        <v>2</v>
      </c>
      <c r="H1976" s="10">
        <f>IF(ISBLANK(ESales_DB[[#This Row],[Quantity]]),AVERAGEIF(ESales_DB[Product_ID],ESales_DB[[#This Row],[Product_ID]],ESales_DB[Quantity]),ESales_DB[[#This Row],[Quantity]])</f>
        <v>2</v>
      </c>
      <c r="I1976" s="2">
        <v>466.42</v>
      </c>
      <c r="J1976">
        <v>0.12</v>
      </c>
      <c r="K1976" t="s">
        <v>1826</v>
      </c>
      <c r="L1976" s="2">
        <v>820.89920000000006</v>
      </c>
      <c r="M1976" s="2" t="str">
        <f>IF(ESales_DB[[#This Row],[Total_Amount]]&gt;1000,"High","Low")</f>
        <v>Low</v>
      </c>
      <c r="N1976" s="2" t="str">
        <f>VLOOKUP(ESales_DB[[#This Row],[Customer_ID]],Ecustom_DB[],3,FALSE)</f>
        <v>Lauren George</v>
      </c>
      <c r="O1976" s="2" t="str">
        <f>_xlfn.XLOOKUP(ESales_DB[[#This Row],[Product_ID]],Eproduct_DB[Product_ID],Eproduct_DB[Category])</f>
        <v>Sports</v>
      </c>
      <c r="P1976" s="2" t="str">
        <f>_xlfn.XLOOKUP(ESales_DB[[#This Row],[Product_ID]],Eproduct_DB[Product_ID],Eproduct_DB[Product_Name])</f>
        <v>Knee Support Brace</v>
      </c>
      <c r="Q1976" s="2" t="str">
        <f>_xlfn.XLOOKUP(ESales_DB[[#This Row],[Store_ID]],Estore_DB[Store_ID],Estore_DB[Region])</f>
        <v>East</v>
      </c>
      <c r="R1976" t="str">
        <f>VLOOKUP(ESales_DB[[#This Row],[Customer_ID]],Ecustom_DB[],10,FALSE)</f>
        <v>Gold</v>
      </c>
      <c r="S1976" t="str">
        <f>IF(ESales_DB[[#This Row],[Quantity1]]&gt;3,"Bulk order","Normal order")</f>
        <v>Normal order</v>
      </c>
    </row>
    <row r="1977" spans="1:19" x14ac:dyDescent="0.3">
      <c r="A1977" t="s">
        <v>2803</v>
      </c>
      <c r="B1977" s="4">
        <v>45857</v>
      </c>
      <c r="C1977" s="4" t="str">
        <f>TEXT(ESales_DB[[#This Row],[Order_Date]],"mmm")</f>
        <v>Jul</v>
      </c>
      <c r="D1977" t="s">
        <v>353</v>
      </c>
      <c r="E1977" t="s">
        <v>1610</v>
      </c>
      <c r="F1977" t="s">
        <v>1773</v>
      </c>
      <c r="G1977">
        <v>4</v>
      </c>
      <c r="H1977" s="10">
        <f>IF(ISBLANK(ESales_DB[[#This Row],[Quantity]]),AVERAGEIF(ESales_DB[Product_ID],ESales_DB[[#This Row],[Product_ID]],ESales_DB[Quantity]),ESales_DB[[#This Row],[Quantity]])</f>
        <v>4</v>
      </c>
      <c r="I1977" s="2">
        <v>540.69000000000005</v>
      </c>
      <c r="J1977">
        <v>0.09</v>
      </c>
      <c r="K1977" t="s">
        <v>1829</v>
      </c>
      <c r="L1977" s="2">
        <v>1968.1116</v>
      </c>
      <c r="M1977" s="2" t="str">
        <f>IF(ESales_DB[[#This Row],[Total_Amount]]&gt;1000,"High","Low")</f>
        <v>High</v>
      </c>
      <c r="N1977" s="2" t="str">
        <f>VLOOKUP(ESales_DB[[#This Row],[Customer_ID]],Ecustom_DB[],3,FALSE)</f>
        <v>Sheila Wilson</v>
      </c>
      <c r="O1977" s="2" t="str">
        <f>_xlfn.XLOOKUP(ESales_DB[[#This Row],[Product_ID]],Eproduct_DB[Product_ID],Eproduct_DB[Category])</f>
        <v>Sports</v>
      </c>
      <c r="P1977" s="2" t="str">
        <f>_xlfn.XLOOKUP(ESales_DB[[#This Row],[Product_ID]],Eproduct_DB[Product_ID],Eproduct_DB[Product_Name])</f>
        <v>Basketball</v>
      </c>
      <c r="Q1977" s="2" t="str">
        <f>_xlfn.XLOOKUP(ESales_DB[[#This Row],[Store_ID]],Estore_DB[Store_ID],Estore_DB[Region])</f>
        <v>North</v>
      </c>
      <c r="R1977" t="str">
        <f>VLOOKUP(ESales_DB[[#This Row],[Customer_ID]],Ecustom_DB[],10,FALSE)</f>
        <v>Silver</v>
      </c>
      <c r="S1977" t="str">
        <f>IF(ESales_DB[[#This Row],[Quantity1]]&gt;3,"Bulk order","Normal order")</f>
        <v>Bulk order</v>
      </c>
    </row>
    <row r="1978" spans="1:19" x14ac:dyDescent="0.3">
      <c r="A1978" t="s">
        <v>2804</v>
      </c>
      <c r="B1978" s="4">
        <v>45737</v>
      </c>
      <c r="C1978" s="4" t="str">
        <f>TEXT(ESales_DB[[#This Row],[Order_Date]],"mmm")</f>
        <v>Mar</v>
      </c>
      <c r="D1978" t="s">
        <v>942</v>
      </c>
      <c r="E1978" t="s">
        <v>1586</v>
      </c>
      <c r="F1978" t="s">
        <v>1797</v>
      </c>
      <c r="G1978">
        <v>3</v>
      </c>
      <c r="H1978" s="10">
        <f>IF(ISBLANK(ESales_DB[[#This Row],[Quantity]]),AVERAGEIF(ESales_DB[Product_ID],ESales_DB[[#This Row],[Product_ID]],ESales_DB[Quantity]),ESales_DB[[#This Row],[Quantity]])</f>
        <v>3</v>
      </c>
      <c r="I1978" s="2">
        <v>677.46</v>
      </c>
      <c r="J1978">
        <v>0.05</v>
      </c>
      <c r="K1978" t="s">
        <v>1824</v>
      </c>
      <c r="L1978" s="2">
        <v>1930.761</v>
      </c>
      <c r="M1978" s="2" t="str">
        <f>IF(ESales_DB[[#This Row],[Total_Amount]]&gt;1000,"High","Low")</f>
        <v>High</v>
      </c>
      <c r="N1978" s="2" t="str">
        <f>VLOOKUP(ESales_DB[[#This Row],[Customer_ID]],Ecustom_DB[],3,FALSE)</f>
        <v>Tracy Stephens</v>
      </c>
      <c r="O1978" s="2" t="str">
        <f>_xlfn.XLOOKUP(ESales_DB[[#This Row],[Product_ID]],Eproduct_DB[Product_ID],Eproduct_DB[Category])</f>
        <v>Sports</v>
      </c>
      <c r="P1978" s="2" t="str">
        <f>_xlfn.XLOOKUP(ESales_DB[[#This Row],[Product_ID]],Eproduct_DB[Product_ID],Eproduct_DB[Product_Name])</f>
        <v>Knee Support Brace</v>
      </c>
      <c r="Q1978" s="2" t="str">
        <f>_xlfn.XLOOKUP(ESales_DB[[#This Row],[Store_ID]],Estore_DB[Store_ID],Estore_DB[Region])</f>
        <v>East</v>
      </c>
      <c r="R1978" t="str">
        <f>VLOOKUP(ESales_DB[[#This Row],[Customer_ID]],Ecustom_DB[],10,FALSE)</f>
        <v>Platinum</v>
      </c>
      <c r="S1978" t="str">
        <f>IF(ESales_DB[[#This Row],[Quantity1]]&gt;3,"Bulk order","Normal order")</f>
        <v>Normal order</v>
      </c>
    </row>
    <row r="1979" spans="1:19" x14ac:dyDescent="0.3">
      <c r="A1979" t="s">
        <v>2805</v>
      </c>
      <c r="B1979" s="4">
        <v>45771</v>
      </c>
      <c r="C1979" s="4" t="str">
        <f>TEXT(ESales_DB[[#This Row],[Order_Date]],"mmm")</f>
        <v>Apr</v>
      </c>
      <c r="D1979" t="s">
        <v>1032</v>
      </c>
      <c r="E1979" t="s">
        <v>1590</v>
      </c>
      <c r="F1979" t="s">
        <v>1757</v>
      </c>
      <c r="G1979">
        <v>3</v>
      </c>
      <c r="H1979" s="10">
        <f>IF(ISBLANK(ESales_DB[[#This Row],[Quantity]]),AVERAGEIF(ESales_DB[Product_ID],ESales_DB[[#This Row],[Product_ID]],ESales_DB[Quantity]),ESales_DB[[#This Row],[Quantity]])</f>
        <v>3</v>
      </c>
      <c r="I1979" s="2">
        <v>614.63</v>
      </c>
      <c r="J1979">
        <v>0.06</v>
      </c>
      <c r="K1979" t="s">
        <v>1826</v>
      </c>
      <c r="L1979" s="2">
        <v>1733.2565999999999</v>
      </c>
      <c r="M1979" s="2" t="str">
        <f>IF(ESales_DB[[#This Row],[Total_Amount]]&gt;1000,"High","Low")</f>
        <v>High</v>
      </c>
      <c r="N1979" s="2" t="str">
        <f>VLOOKUP(ESales_DB[[#This Row],[Customer_ID]],Ecustom_DB[],3,FALSE)</f>
        <v>Mario Harvey Jr.</v>
      </c>
      <c r="O1979" s="2" t="str">
        <f>_xlfn.XLOOKUP(ESales_DB[[#This Row],[Product_ID]],Eproduct_DB[Product_ID],Eproduct_DB[Category])</f>
        <v>Home</v>
      </c>
      <c r="P1979" s="2" t="str">
        <f>_xlfn.XLOOKUP(ESales_DB[[#This Row],[Product_ID]],Eproduct_DB[Product_ID],Eproduct_DB[Product_Name])</f>
        <v>Multi-Purpose Storage Box</v>
      </c>
      <c r="Q1979" s="2" t="str">
        <f>_xlfn.XLOOKUP(ESales_DB[[#This Row],[Store_ID]],Estore_DB[Store_ID],Estore_DB[Region])</f>
        <v>North</v>
      </c>
      <c r="R1979" t="str">
        <f>VLOOKUP(ESales_DB[[#This Row],[Customer_ID]],Ecustom_DB[],10,FALSE)</f>
        <v>Platinum</v>
      </c>
      <c r="S1979" t="str">
        <f>IF(ESales_DB[[#This Row],[Quantity1]]&gt;3,"Bulk order","Normal order")</f>
        <v>Normal order</v>
      </c>
    </row>
    <row r="1980" spans="1:19" x14ac:dyDescent="0.3">
      <c r="A1980" t="s">
        <v>1924</v>
      </c>
      <c r="B1980" s="4">
        <v>45580</v>
      </c>
      <c r="C1980" s="4" t="str">
        <f>TEXT(ESales_DB[[#This Row],[Order_Date]],"mmm")</f>
        <v>Oct</v>
      </c>
      <c r="D1980" t="s">
        <v>449</v>
      </c>
      <c r="E1980" t="s">
        <v>1660</v>
      </c>
      <c r="F1980" t="s">
        <v>1779</v>
      </c>
      <c r="G1980">
        <v>4</v>
      </c>
      <c r="H1980" s="10">
        <f>IF(ISBLANK(ESales_DB[[#This Row],[Quantity]]),AVERAGEIF(ESales_DB[Product_ID],ESales_DB[[#This Row],[Product_ID]],ESales_DB[Quantity]),ESales_DB[[#This Row],[Quantity]])</f>
        <v>4</v>
      </c>
      <c r="I1980" s="2">
        <v>476.28</v>
      </c>
      <c r="J1980">
        <v>0.17</v>
      </c>
      <c r="K1980" t="s">
        <v>1824</v>
      </c>
      <c r="L1980" s="2">
        <v>1581.2496000000001</v>
      </c>
      <c r="M1980" s="2" t="str">
        <f>IF(ESales_DB[[#This Row],[Total_Amount]]&gt;1000,"High","Low")</f>
        <v>High</v>
      </c>
      <c r="N1980" s="2" t="str">
        <f>VLOOKUP(ESales_DB[[#This Row],[Customer_ID]],Ecustom_DB[],3,FALSE)</f>
        <v>Joseph Richards</v>
      </c>
      <c r="O1980" s="2" t="str">
        <f>_xlfn.XLOOKUP(ESales_DB[[#This Row],[Product_ID]],Eproduct_DB[Product_ID],Eproduct_DB[Category])</f>
        <v>Home</v>
      </c>
      <c r="P1980" s="2" t="str">
        <f>_xlfn.XLOOKUP(ESales_DB[[#This Row],[Product_ID]],Eproduct_DB[Product_ID],Eproduct_DB[Product_Name])</f>
        <v>Premium Blanket Throw</v>
      </c>
      <c r="Q1980" s="2" t="str">
        <f>_xlfn.XLOOKUP(ESales_DB[[#This Row],[Store_ID]],Estore_DB[Store_ID],Estore_DB[Region])</f>
        <v>South</v>
      </c>
      <c r="R1980" t="str">
        <f>VLOOKUP(ESales_DB[[#This Row],[Customer_ID]],Ecustom_DB[],10,FALSE)</f>
        <v>Bronze</v>
      </c>
      <c r="S1980" t="str">
        <f>IF(ESales_DB[[#This Row],[Quantity1]]&gt;3,"Bulk order","Normal order")</f>
        <v>Bulk order</v>
      </c>
    </row>
    <row r="1981" spans="1:19" x14ac:dyDescent="0.3">
      <c r="A1981" t="s">
        <v>2806</v>
      </c>
      <c r="B1981" s="4">
        <v>45272</v>
      </c>
      <c r="C1981" s="4" t="str">
        <f>TEXT(ESales_DB[[#This Row],[Order_Date]],"mmm")</f>
        <v>Dec</v>
      </c>
      <c r="D1981" t="s">
        <v>746</v>
      </c>
      <c r="E1981" t="s">
        <v>1680</v>
      </c>
      <c r="F1981" t="s">
        <v>1782</v>
      </c>
      <c r="G1981">
        <v>4</v>
      </c>
      <c r="H1981" s="10">
        <f>IF(ISBLANK(ESales_DB[[#This Row],[Quantity]]),AVERAGEIF(ESales_DB[Product_ID],ESales_DB[[#This Row],[Product_ID]],ESales_DB[Quantity]),ESales_DB[[#This Row],[Quantity]])</f>
        <v>4</v>
      </c>
      <c r="I1981" s="2">
        <v>649.52</v>
      </c>
      <c r="J1981">
        <v>0.11</v>
      </c>
      <c r="K1981" t="s">
        <v>1824</v>
      </c>
      <c r="L1981" s="2">
        <v>2312.2912000000001</v>
      </c>
      <c r="M1981" s="2" t="str">
        <f>IF(ESales_DB[[#This Row],[Total_Amount]]&gt;1000,"High","Low")</f>
        <v>High</v>
      </c>
      <c r="N1981" s="2" t="str">
        <f>VLOOKUP(ESales_DB[[#This Row],[Customer_ID]],Ecustom_DB[],3,FALSE)</f>
        <v>Christy Hill</v>
      </c>
      <c r="O1981" s="2" t="str">
        <f>_xlfn.XLOOKUP(ESales_DB[[#This Row],[Product_ID]],Eproduct_DB[Product_ID],Eproduct_DB[Category])</f>
        <v>Beauty</v>
      </c>
      <c r="P1981" s="2" t="str">
        <f>_xlfn.XLOOKUP(ESales_DB[[#This Row],[Product_ID]],Eproduct_DB[Product_ID],Eproduct_DB[Product_Name])</f>
        <v>Women's Hair Dryer Brush</v>
      </c>
      <c r="Q1981" s="2" t="str">
        <f>_xlfn.XLOOKUP(ESales_DB[[#This Row],[Store_ID]],Estore_DB[Store_ID],Estore_DB[Region])</f>
        <v>West</v>
      </c>
      <c r="R1981" t="str">
        <f>VLOOKUP(ESales_DB[[#This Row],[Customer_ID]],Ecustom_DB[],10,FALSE)</f>
        <v>Platinum</v>
      </c>
      <c r="S1981" t="str">
        <f>IF(ESales_DB[[#This Row],[Quantity1]]&gt;3,"Bulk order","Normal order")</f>
        <v>Bulk order</v>
      </c>
    </row>
    <row r="1982" spans="1:19" x14ac:dyDescent="0.3">
      <c r="A1982" t="s">
        <v>2807</v>
      </c>
      <c r="B1982" s="4">
        <v>45481</v>
      </c>
      <c r="C1982" s="4" t="str">
        <f>TEXT(ESales_DB[[#This Row],[Order_Date]],"mmm")</f>
        <v>Jul</v>
      </c>
      <c r="D1982" t="s">
        <v>1377</v>
      </c>
      <c r="E1982" t="s">
        <v>1718</v>
      </c>
      <c r="F1982" t="s">
        <v>1782</v>
      </c>
      <c r="G1982">
        <v>2</v>
      </c>
      <c r="H1982" s="10">
        <f>IF(ISBLANK(ESales_DB[[#This Row],[Quantity]]),AVERAGEIF(ESales_DB[Product_ID],ESales_DB[[#This Row],[Product_ID]],ESales_DB[Quantity]),ESales_DB[[#This Row],[Quantity]])</f>
        <v>2</v>
      </c>
      <c r="I1982" s="2">
        <v>943.93</v>
      </c>
      <c r="J1982">
        <v>0.22</v>
      </c>
      <c r="K1982" t="s">
        <v>1826</v>
      </c>
      <c r="L1982" s="2">
        <v>1472.5308</v>
      </c>
      <c r="M1982" s="2" t="str">
        <f>IF(ESales_DB[[#This Row],[Total_Amount]]&gt;1000,"High","Low")</f>
        <v>High</v>
      </c>
      <c r="N1982" s="2" t="str">
        <f>VLOOKUP(ESales_DB[[#This Row],[Customer_ID]],Ecustom_DB[],3,FALSE)</f>
        <v>Gene Lee</v>
      </c>
      <c r="O1982" s="2" t="str">
        <f>_xlfn.XLOOKUP(ESales_DB[[#This Row],[Product_ID]],Eproduct_DB[Product_ID],Eproduct_DB[Category])</f>
        <v>Clothing</v>
      </c>
      <c r="P1982" s="2" t="str">
        <f>_xlfn.XLOOKUP(ESales_DB[[#This Row],[Product_ID]],Eproduct_DB[Product_ID],Eproduct_DB[Product_Name])</f>
        <v>Women's Beanie Hat</v>
      </c>
      <c r="Q1982" s="2" t="str">
        <f>_xlfn.XLOOKUP(ESales_DB[[#This Row],[Store_ID]],Estore_DB[Store_ID],Estore_DB[Region])</f>
        <v>West</v>
      </c>
      <c r="R1982" t="str">
        <f>VLOOKUP(ESales_DB[[#This Row],[Customer_ID]],Ecustom_DB[],10,FALSE)</f>
        <v>Platinum</v>
      </c>
      <c r="S1982" t="str">
        <f>IF(ESales_DB[[#This Row],[Quantity1]]&gt;3,"Bulk order","Normal order")</f>
        <v>Normal order</v>
      </c>
    </row>
    <row r="1983" spans="1:19" x14ac:dyDescent="0.3">
      <c r="A1983" t="s">
        <v>2808</v>
      </c>
      <c r="B1983" s="4">
        <v>45228</v>
      </c>
      <c r="C1983" s="4" t="str">
        <f>TEXT(ESales_DB[[#This Row],[Order_Date]],"mmm")</f>
        <v>Oct</v>
      </c>
      <c r="D1983" t="s">
        <v>550</v>
      </c>
      <c r="E1983" t="s">
        <v>1610</v>
      </c>
      <c r="F1983" t="s">
        <v>1782</v>
      </c>
      <c r="G1983">
        <v>4</v>
      </c>
      <c r="H1983" s="10">
        <f>IF(ISBLANK(ESales_DB[[#This Row],[Quantity]]),AVERAGEIF(ESales_DB[Product_ID],ESales_DB[[#This Row],[Product_ID]],ESales_DB[Quantity]),ESales_DB[[#This Row],[Quantity]])</f>
        <v>4</v>
      </c>
      <c r="I1983" s="2">
        <v>538.73</v>
      </c>
      <c r="J1983">
        <v>0.03</v>
      </c>
      <c r="K1983" t="s">
        <v>1824</v>
      </c>
      <c r="L1983" s="2">
        <v>2090.2723999999998</v>
      </c>
      <c r="M1983" s="2" t="str">
        <f>IF(ESales_DB[[#This Row],[Total_Amount]]&gt;1000,"High","Low")</f>
        <v>High</v>
      </c>
      <c r="N1983" s="2" t="str">
        <f>VLOOKUP(ESales_DB[[#This Row],[Customer_ID]],Ecustom_DB[],3,FALSE)</f>
        <v>Jason Wheeler</v>
      </c>
      <c r="O1983" s="2" t="str">
        <f>_xlfn.XLOOKUP(ESales_DB[[#This Row],[Product_ID]],Eproduct_DB[Product_ID],Eproduct_DB[Category])</f>
        <v>Sports</v>
      </c>
      <c r="P1983" s="2" t="str">
        <f>_xlfn.XLOOKUP(ESales_DB[[#This Row],[Product_ID]],Eproduct_DB[Product_ID],Eproduct_DB[Product_Name])</f>
        <v>Basketball</v>
      </c>
      <c r="Q1983" s="2" t="str">
        <f>_xlfn.XLOOKUP(ESales_DB[[#This Row],[Store_ID]],Estore_DB[Store_ID],Estore_DB[Region])</f>
        <v>West</v>
      </c>
      <c r="R1983" t="str">
        <f>VLOOKUP(ESales_DB[[#This Row],[Customer_ID]],Ecustom_DB[],10,FALSE)</f>
        <v>Platinum</v>
      </c>
      <c r="S1983" t="str">
        <f>IF(ESales_DB[[#This Row],[Quantity1]]&gt;3,"Bulk order","Normal order")</f>
        <v>Bulk order</v>
      </c>
    </row>
    <row r="1984" spans="1:19" x14ac:dyDescent="0.3">
      <c r="A1984" t="s">
        <v>2809</v>
      </c>
      <c r="B1984" s="4">
        <v>45432</v>
      </c>
      <c r="C1984" s="4" t="str">
        <f>TEXT(ESales_DB[[#This Row],[Order_Date]],"mmm")</f>
        <v>May</v>
      </c>
      <c r="D1984" t="s">
        <v>318</v>
      </c>
      <c r="E1984" t="s">
        <v>1680</v>
      </c>
      <c r="F1984" t="s">
        <v>1782</v>
      </c>
      <c r="G1984">
        <v>2</v>
      </c>
      <c r="H1984" s="10">
        <f>IF(ISBLANK(ESales_DB[[#This Row],[Quantity]]),AVERAGEIF(ESales_DB[Product_ID],ESales_DB[[#This Row],[Product_ID]],ESales_DB[Quantity]),ESales_DB[[#This Row],[Quantity]])</f>
        <v>2</v>
      </c>
      <c r="I1984" s="2">
        <v>853.93</v>
      </c>
      <c r="J1984">
        <v>0.01</v>
      </c>
      <c r="K1984" t="s">
        <v>1826</v>
      </c>
      <c r="L1984" s="2">
        <v>1690.7814000000001</v>
      </c>
      <c r="M1984" s="2" t="str">
        <f>IF(ESales_DB[[#This Row],[Total_Amount]]&gt;1000,"High","Low")</f>
        <v>High</v>
      </c>
      <c r="N1984" s="2" t="str">
        <f>VLOOKUP(ESales_DB[[#This Row],[Customer_ID]],Ecustom_DB[],3,FALSE)</f>
        <v>Timothy Wright</v>
      </c>
      <c r="O1984" s="2" t="str">
        <f>_xlfn.XLOOKUP(ESales_DB[[#This Row],[Product_ID]],Eproduct_DB[Product_ID],Eproduct_DB[Category])</f>
        <v>Beauty</v>
      </c>
      <c r="P1984" s="2" t="str">
        <f>_xlfn.XLOOKUP(ESales_DB[[#This Row],[Product_ID]],Eproduct_DB[Product_ID],Eproduct_DB[Product_Name])</f>
        <v>Women's Hair Dryer Brush</v>
      </c>
      <c r="Q1984" s="2" t="str">
        <f>_xlfn.XLOOKUP(ESales_DB[[#This Row],[Store_ID]],Estore_DB[Store_ID],Estore_DB[Region])</f>
        <v>West</v>
      </c>
      <c r="R1984" t="str">
        <f>VLOOKUP(ESales_DB[[#This Row],[Customer_ID]],Ecustom_DB[],10,FALSE)</f>
        <v>Silver</v>
      </c>
      <c r="S1984" t="str">
        <f>IF(ESales_DB[[#This Row],[Quantity1]]&gt;3,"Bulk order","Normal order")</f>
        <v>Normal order</v>
      </c>
    </row>
    <row r="1985" spans="1:19" x14ac:dyDescent="0.3">
      <c r="A1985" t="s">
        <v>2810</v>
      </c>
      <c r="B1985" s="4">
        <v>45914</v>
      </c>
      <c r="C1985" s="4" t="str">
        <f>TEXT(ESales_DB[[#This Row],[Order_Date]],"mmm")</f>
        <v>Sep</v>
      </c>
      <c r="D1985" t="s">
        <v>1510</v>
      </c>
      <c r="E1985" t="s">
        <v>1606</v>
      </c>
      <c r="F1985" t="s">
        <v>1769</v>
      </c>
      <c r="G1985">
        <v>4</v>
      </c>
      <c r="H1985" s="10">
        <f>IF(ISBLANK(ESales_DB[[#This Row],[Quantity]]),AVERAGEIF(ESales_DB[Product_ID],ESales_DB[[#This Row],[Product_ID]],ESales_DB[Quantity]),ESales_DB[[#This Row],[Quantity]])</f>
        <v>4</v>
      </c>
      <c r="I1985" s="2">
        <v>465.42</v>
      </c>
      <c r="J1985">
        <v>0.26</v>
      </c>
      <c r="K1985" t="s">
        <v>1829</v>
      </c>
      <c r="L1985" s="2">
        <v>1377.6432</v>
      </c>
      <c r="M1985" s="2" t="str">
        <f>IF(ESales_DB[[#This Row],[Total_Amount]]&gt;1000,"High","Low")</f>
        <v>High</v>
      </c>
      <c r="N1985" s="2" t="str">
        <f>VLOOKUP(ESales_DB[[#This Row],[Customer_ID]],Ecustom_DB[],3,FALSE)</f>
        <v>Kaitlin Brown</v>
      </c>
      <c r="O1985" s="2" t="str">
        <f>_xlfn.XLOOKUP(ESales_DB[[#This Row],[Product_ID]],Eproduct_DB[Product_ID],Eproduct_DB[Category])</f>
        <v>Home</v>
      </c>
      <c r="P1985" s="2" t="str">
        <f>_xlfn.XLOOKUP(ESales_DB[[#This Row],[Product_ID]],Eproduct_DB[Product_ID],Eproduct_DB[Product_Name])</f>
        <v>Fabric Sofa Throw Blanket</v>
      </c>
      <c r="Q1985" s="2" t="str">
        <f>_xlfn.XLOOKUP(ESales_DB[[#This Row],[Store_ID]],Estore_DB[Store_ID],Estore_DB[Region])</f>
        <v>South</v>
      </c>
      <c r="R1985" t="str">
        <f>VLOOKUP(ESales_DB[[#This Row],[Customer_ID]],Ecustom_DB[],10,FALSE)</f>
        <v>Gold</v>
      </c>
      <c r="S1985" t="str">
        <f>IF(ESales_DB[[#This Row],[Quantity1]]&gt;3,"Bulk order","Normal order")</f>
        <v>Bulk order</v>
      </c>
    </row>
    <row r="1986" spans="1:19" x14ac:dyDescent="0.3">
      <c r="A1986" t="s">
        <v>2811</v>
      </c>
      <c r="B1986" s="4">
        <v>45758</v>
      </c>
      <c r="C1986" s="4" t="str">
        <f>TEXT(ESales_DB[[#This Row],[Order_Date]],"mmm")</f>
        <v>Apr</v>
      </c>
      <c r="D1986" t="s">
        <v>208</v>
      </c>
      <c r="E1986" t="s">
        <v>1546</v>
      </c>
      <c r="F1986" t="s">
        <v>1792</v>
      </c>
      <c r="G1986">
        <v>4</v>
      </c>
      <c r="H1986" s="10">
        <f>IF(ISBLANK(ESales_DB[[#This Row],[Quantity]]),AVERAGEIF(ESales_DB[Product_ID],ESales_DB[[#This Row],[Product_ID]],ESales_DB[Quantity]),ESales_DB[[#This Row],[Quantity]])</f>
        <v>4</v>
      </c>
      <c r="I1986" s="2">
        <v>880.26</v>
      </c>
      <c r="J1986">
        <v>0.11</v>
      </c>
      <c r="K1986" t="s">
        <v>1829</v>
      </c>
      <c r="L1986" s="2">
        <v>3133.7256000000002</v>
      </c>
      <c r="M1986" s="2" t="str">
        <f>IF(ESales_DB[[#This Row],[Total_Amount]]&gt;1000,"High","Low")</f>
        <v>High</v>
      </c>
      <c r="N1986" s="2" t="str">
        <f>VLOOKUP(ESales_DB[[#This Row],[Customer_ID]],Ecustom_DB[],3,FALSE)</f>
        <v>Wayne Mcpherson</v>
      </c>
      <c r="O1986" s="2" t="str">
        <f>_xlfn.XLOOKUP(ESales_DB[[#This Row],[Product_ID]],Eproduct_DB[Product_ID],Eproduct_DB[Category])</f>
        <v>Clothing</v>
      </c>
      <c r="P1986" s="2" t="str">
        <f>_xlfn.XLOOKUP(ESales_DB[[#This Row],[Product_ID]],Eproduct_DB[Product_ID],Eproduct_DB[Product_Name])</f>
        <v>Men's Graphic T-Shirt</v>
      </c>
      <c r="Q1986" s="2" t="str">
        <f>_xlfn.XLOOKUP(ESales_DB[[#This Row],[Store_ID]],Estore_DB[Store_ID],Estore_DB[Region])</f>
        <v>South</v>
      </c>
      <c r="R1986" t="str">
        <f>VLOOKUP(ESales_DB[[#This Row],[Customer_ID]],Ecustom_DB[],10,FALSE)</f>
        <v>Bronze</v>
      </c>
      <c r="S1986" t="str">
        <f>IF(ESales_DB[[#This Row],[Quantity1]]&gt;3,"Bulk order","Normal order")</f>
        <v>Bulk order</v>
      </c>
    </row>
    <row r="1987" spans="1:19" x14ac:dyDescent="0.3">
      <c r="A1987" t="s">
        <v>2812</v>
      </c>
      <c r="B1987" s="4">
        <v>45429</v>
      </c>
      <c r="C1987" s="4" t="str">
        <f>TEXT(ESales_DB[[#This Row],[Order_Date]],"mmm")</f>
        <v>May</v>
      </c>
      <c r="D1987" t="s">
        <v>1487</v>
      </c>
      <c r="E1987" t="s">
        <v>1650</v>
      </c>
      <c r="F1987" t="s">
        <v>1792</v>
      </c>
      <c r="G1987">
        <v>3</v>
      </c>
      <c r="H1987" s="10">
        <f>IF(ISBLANK(ESales_DB[[#This Row],[Quantity]]),AVERAGEIF(ESales_DB[Product_ID],ESales_DB[[#This Row],[Product_ID]],ESales_DB[Quantity]),ESales_DB[[#This Row],[Quantity]])</f>
        <v>3</v>
      </c>
      <c r="I1987" s="2">
        <v>461.02</v>
      </c>
      <c r="J1987">
        <v>0.28999999999999998</v>
      </c>
      <c r="K1987" t="s">
        <v>1826</v>
      </c>
      <c r="L1987" s="2">
        <v>981.97259999999994</v>
      </c>
      <c r="M1987" s="2" t="str">
        <f>IF(ESales_DB[[#This Row],[Total_Amount]]&gt;1000,"High","Low")</f>
        <v>Low</v>
      </c>
      <c r="N1987" s="2" t="str">
        <f>VLOOKUP(ESales_DB[[#This Row],[Customer_ID]],Ecustom_DB[],3,FALSE)</f>
        <v>Sarah Smith</v>
      </c>
      <c r="O1987" s="2" t="str">
        <f>_xlfn.XLOOKUP(ESales_DB[[#This Row],[Product_ID]],Eproduct_DB[Product_ID],Eproduct_DB[Category])</f>
        <v>Electronics</v>
      </c>
      <c r="P1987" s="2" t="str">
        <f>_xlfn.XLOOKUP(ESales_DB[[#This Row],[Product_ID]],Eproduct_DB[Product_ID],Eproduct_DB[Product_Name])</f>
        <v>HDMI Cable – 2m</v>
      </c>
      <c r="Q1987" s="2" t="str">
        <f>_xlfn.XLOOKUP(ESales_DB[[#This Row],[Store_ID]],Estore_DB[Store_ID],Estore_DB[Region])</f>
        <v>South</v>
      </c>
      <c r="R1987" t="str">
        <f>VLOOKUP(ESales_DB[[#This Row],[Customer_ID]],Ecustom_DB[],10,FALSE)</f>
        <v>Gold</v>
      </c>
      <c r="S1987" t="str">
        <f>IF(ESales_DB[[#This Row],[Quantity1]]&gt;3,"Bulk order","Normal order")</f>
        <v>Normal order</v>
      </c>
    </row>
    <row r="1988" spans="1:19" x14ac:dyDescent="0.3">
      <c r="A1988" t="s">
        <v>2813</v>
      </c>
      <c r="B1988" s="4">
        <v>45578</v>
      </c>
      <c r="C1988" s="4" t="str">
        <f>TEXT(ESales_DB[[#This Row],[Order_Date]],"mmm")</f>
        <v>Oct</v>
      </c>
      <c r="D1988" t="s">
        <v>110</v>
      </c>
      <c r="E1988" t="s">
        <v>1598</v>
      </c>
      <c r="F1988" t="s">
        <v>1797</v>
      </c>
      <c r="G1988">
        <v>1</v>
      </c>
      <c r="H1988" s="10">
        <f>IF(ISBLANK(ESales_DB[[#This Row],[Quantity]]),AVERAGEIF(ESales_DB[Product_ID],ESales_DB[[#This Row],[Product_ID]],ESales_DB[Quantity]),ESales_DB[[#This Row],[Quantity]])</f>
        <v>1</v>
      </c>
      <c r="I1988" s="2">
        <v>531.99</v>
      </c>
      <c r="J1988">
        <v>0.17</v>
      </c>
      <c r="K1988" t="s">
        <v>1826</v>
      </c>
      <c r="L1988" s="2">
        <v>441.55169999999998</v>
      </c>
      <c r="M1988" s="2" t="str">
        <f>IF(ESales_DB[[#This Row],[Total_Amount]]&gt;1000,"High","Low")</f>
        <v>Low</v>
      </c>
      <c r="N1988" s="2" t="str">
        <f>VLOOKUP(ESales_DB[[#This Row],[Customer_ID]],Ecustom_DB[],3,FALSE)</f>
        <v>Amber Carlson</v>
      </c>
      <c r="O1988" s="2" t="str">
        <f>_xlfn.XLOOKUP(ESales_DB[[#This Row],[Product_ID]],Eproduct_DB[Product_ID],Eproduct_DB[Category])</f>
        <v>Clothing</v>
      </c>
      <c r="P1988" s="2" t="str">
        <f>_xlfn.XLOOKUP(ESales_DB[[#This Row],[Product_ID]],Eproduct_DB[Product_ID],Eproduct_DB[Product_Name])</f>
        <v>Women's Scarf Set</v>
      </c>
      <c r="Q1988" s="2" t="str">
        <f>_xlfn.XLOOKUP(ESales_DB[[#This Row],[Store_ID]],Estore_DB[Store_ID],Estore_DB[Region])</f>
        <v>East</v>
      </c>
      <c r="R1988" t="str">
        <f>VLOOKUP(ESales_DB[[#This Row],[Customer_ID]],Ecustom_DB[],10,FALSE)</f>
        <v>Gold</v>
      </c>
      <c r="S1988" t="str">
        <f>IF(ESales_DB[[#This Row],[Quantity1]]&gt;3,"Bulk order","Normal order")</f>
        <v>Normal order</v>
      </c>
    </row>
    <row r="1989" spans="1:19" x14ac:dyDescent="0.3">
      <c r="A1989" t="s">
        <v>2814</v>
      </c>
      <c r="B1989" s="4">
        <v>45486</v>
      </c>
      <c r="C1989" s="4" t="str">
        <f>TEXT(ESales_DB[[#This Row],[Order_Date]],"mmm")</f>
        <v>Jul</v>
      </c>
      <c r="D1989" t="s">
        <v>27</v>
      </c>
      <c r="E1989" t="s">
        <v>1642</v>
      </c>
      <c r="F1989" t="s">
        <v>1807</v>
      </c>
      <c r="G1989">
        <v>2</v>
      </c>
      <c r="H1989" s="10">
        <f>IF(ISBLANK(ESales_DB[[#This Row],[Quantity]]),AVERAGEIF(ESales_DB[Product_ID],ESales_DB[[#This Row],[Product_ID]],ESales_DB[Quantity]),ESales_DB[[#This Row],[Quantity]])</f>
        <v>2</v>
      </c>
      <c r="I1989" s="2">
        <v>274.08999999999997</v>
      </c>
      <c r="J1989">
        <v>0.13</v>
      </c>
      <c r="K1989" t="s">
        <v>1826</v>
      </c>
      <c r="L1989" s="2">
        <v>476.91660000000002</v>
      </c>
      <c r="M1989" s="2" t="str">
        <f>IF(ESales_DB[[#This Row],[Total_Amount]]&gt;1000,"High","Low")</f>
        <v>Low</v>
      </c>
      <c r="N1989" s="2" t="str">
        <f>VLOOKUP(ESales_DB[[#This Row],[Customer_ID]],Ecustom_DB[],3,FALSE)</f>
        <v>Caroline Collins</v>
      </c>
      <c r="O1989" s="2" t="str">
        <f>_xlfn.XLOOKUP(ESales_DB[[#This Row],[Product_ID]],Eproduct_DB[Product_ID],Eproduct_DB[Category])</f>
        <v>Beauty</v>
      </c>
      <c r="P1989" s="2" t="str">
        <f>_xlfn.XLOOKUP(ESales_DB[[#This Row],[Product_ID]],Eproduct_DB[Product_ID],Eproduct_DB[Product_Name])</f>
        <v>Makeup Brush Set</v>
      </c>
      <c r="Q1989" s="2" t="str">
        <f>_xlfn.XLOOKUP(ESales_DB[[#This Row],[Store_ID]],Estore_DB[Store_ID],Estore_DB[Region])</f>
        <v>North</v>
      </c>
      <c r="R1989" t="str">
        <f>VLOOKUP(ESales_DB[[#This Row],[Customer_ID]],Ecustom_DB[],10,FALSE)</f>
        <v>Silver</v>
      </c>
      <c r="S1989" t="str">
        <f>IF(ESales_DB[[#This Row],[Quantity1]]&gt;3,"Bulk order","Normal order")</f>
        <v>Normal order</v>
      </c>
    </row>
    <row r="1990" spans="1:19" x14ac:dyDescent="0.3">
      <c r="A1990" t="s">
        <v>2815</v>
      </c>
      <c r="B1990" s="4">
        <v>45694</v>
      </c>
      <c r="C1990" s="4" t="str">
        <f>TEXT(ESales_DB[[#This Row],[Order_Date]],"mmm")</f>
        <v>Feb</v>
      </c>
      <c r="D1990" t="s">
        <v>1371</v>
      </c>
      <c r="E1990" t="s">
        <v>1724</v>
      </c>
      <c r="F1990" t="s">
        <v>1789</v>
      </c>
      <c r="G1990">
        <v>1</v>
      </c>
      <c r="H1990" s="10">
        <f>IF(ISBLANK(ESales_DB[[#This Row],[Quantity]]),AVERAGEIF(ESales_DB[Product_ID],ESales_DB[[#This Row],[Product_ID]],ESales_DB[Quantity]),ESales_DB[[#This Row],[Quantity]])</f>
        <v>1</v>
      </c>
      <c r="I1990" s="2">
        <v>66.14</v>
      </c>
      <c r="J1990">
        <v>0.14000000000000001</v>
      </c>
      <c r="K1990" t="s">
        <v>1829</v>
      </c>
      <c r="L1990" s="2">
        <v>56.880400000000002</v>
      </c>
      <c r="M1990" s="2" t="str">
        <f>IF(ESales_DB[[#This Row],[Total_Amount]]&gt;1000,"High","Low")</f>
        <v>Low</v>
      </c>
      <c r="N1990" s="2" t="str">
        <f>VLOOKUP(ESales_DB[[#This Row],[Customer_ID]],Ecustom_DB[],3,FALSE)</f>
        <v>Adam Castro</v>
      </c>
      <c r="O1990" s="2" t="str">
        <f>_xlfn.XLOOKUP(ESales_DB[[#This Row],[Product_ID]],Eproduct_DB[Product_ID],Eproduct_DB[Category])</f>
        <v>Sports</v>
      </c>
      <c r="P1990" s="2" t="str">
        <f>_xlfn.XLOOKUP(ESales_DB[[#This Row],[Product_ID]],Eproduct_DB[Product_ID],Eproduct_DB[Product_Name])</f>
        <v>Sports Wrist Sweatbands</v>
      </c>
      <c r="Q1990" s="2" t="str">
        <f>_xlfn.XLOOKUP(ESales_DB[[#This Row],[Store_ID]],Estore_DB[Store_ID],Estore_DB[Region])</f>
        <v>East</v>
      </c>
      <c r="R1990" t="str">
        <f>VLOOKUP(ESales_DB[[#This Row],[Customer_ID]],Ecustom_DB[],10,FALSE)</f>
        <v>Silver</v>
      </c>
      <c r="S1990" t="str">
        <f>IF(ESales_DB[[#This Row],[Quantity1]]&gt;3,"Bulk order","Normal order")</f>
        <v>Normal order</v>
      </c>
    </row>
    <row r="1991" spans="1:19" x14ac:dyDescent="0.3">
      <c r="A1991" t="s">
        <v>1925</v>
      </c>
      <c r="B1991" s="4">
        <v>45479</v>
      </c>
      <c r="C1991" s="4" t="str">
        <f>TEXT(ESales_DB[[#This Row],[Order_Date]],"mmm")</f>
        <v>Jul</v>
      </c>
      <c r="D1991" t="s">
        <v>1023</v>
      </c>
      <c r="E1991" t="s">
        <v>1656</v>
      </c>
      <c r="F1991" t="s">
        <v>1766</v>
      </c>
      <c r="G1991">
        <v>3</v>
      </c>
      <c r="H1991" s="10">
        <f>IF(ISBLANK(ESales_DB[[#This Row],[Quantity]]),AVERAGEIF(ESales_DB[Product_ID],ESales_DB[[#This Row],[Product_ID]],ESales_DB[Quantity]),ESales_DB[[#This Row],[Quantity]])</f>
        <v>3</v>
      </c>
      <c r="I1991" s="2">
        <v>541.99</v>
      </c>
      <c r="J1991">
        <v>0.24</v>
      </c>
      <c r="K1991" t="s">
        <v>1829</v>
      </c>
      <c r="L1991" s="2">
        <v>1235.7372</v>
      </c>
      <c r="M1991" s="2" t="str">
        <f>IF(ESales_DB[[#This Row],[Total_Amount]]&gt;1000,"High","Low")</f>
        <v>High</v>
      </c>
      <c r="N1991" s="2" t="str">
        <f>VLOOKUP(ESales_DB[[#This Row],[Customer_ID]],Ecustom_DB[],3,FALSE)</f>
        <v>Andrew Smith</v>
      </c>
      <c r="O1991" s="2" t="str">
        <f>_xlfn.XLOOKUP(ESales_DB[[#This Row],[Product_ID]],Eproduct_DB[Product_ID],Eproduct_DB[Category])</f>
        <v>Sports</v>
      </c>
      <c r="P1991" s="2" t="str">
        <f>_xlfn.XLOOKUP(ESales_DB[[#This Row],[Product_ID]],Eproduct_DB[Product_ID],Eproduct_DB[Product_Name])</f>
        <v>Sports Stopwatch Pro</v>
      </c>
      <c r="Q1991" s="2" t="str">
        <f>_xlfn.XLOOKUP(ESales_DB[[#This Row],[Store_ID]],Estore_DB[Store_ID],Estore_DB[Region])</f>
        <v>North</v>
      </c>
      <c r="R1991" t="str">
        <f>VLOOKUP(ESales_DB[[#This Row],[Customer_ID]],Ecustom_DB[],10,FALSE)</f>
        <v>Bronze</v>
      </c>
      <c r="S1991" t="str">
        <f>IF(ESales_DB[[#This Row],[Quantity1]]&gt;3,"Bulk order","Normal order")</f>
        <v>Normal order</v>
      </c>
    </row>
    <row r="1992" spans="1:19" x14ac:dyDescent="0.3">
      <c r="A1992" t="s">
        <v>2816</v>
      </c>
      <c r="B1992" s="4">
        <v>45875</v>
      </c>
      <c r="C1992" s="4" t="str">
        <f>TEXT(ESales_DB[[#This Row],[Order_Date]],"mmm")</f>
        <v>Aug</v>
      </c>
      <c r="D1992" t="s">
        <v>281</v>
      </c>
      <c r="E1992" t="s">
        <v>1588</v>
      </c>
      <c r="F1992" t="s">
        <v>1786</v>
      </c>
      <c r="G1992">
        <v>3</v>
      </c>
      <c r="H1992" s="10">
        <f>IF(ISBLANK(ESales_DB[[#This Row],[Quantity]]),AVERAGEIF(ESales_DB[Product_ID],ESales_DB[[#This Row],[Product_ID]],ESales_DB[Quantity]),ESales_DB[[#This Row],[Quantity]])</f>
        <v>3</v>
      </c>
      <c r="I1992" s="2">
        <v>955.82</v>
      </c>
      <c r="J1992">
        <v>0.16</v>
      </c>
      <c r="K1992" t="s">
        <v>1829</v>
      </c>
      <c r="L1992" s="2">
        <v>2408.6664000000001</v>
      </c>
      <c r="M1992" s="2" t="str">
        <f>IF(ESales_DB[[#This Row],[Total_Amount]]&gt;1000,"High","Low")</f>
        <v>High</v>
      </c>
      <c r="N1992" s="2" t="str">
        <f>VLOOKUP(ESales_DB[[#This Row],[Customer_ID]],Ecustom_DB[],3,FALSE)</f>
        <v>Katherine Young</v>
      </c>
      <c r="O1992" s="2" t="str">
        <f>_xlfn.XLOOKUP(ESales_DB[[#This Row],[Product_ID]],Eproduct_DB[Product_ID],Eproduct_DB[Category])</f>
        <v>Sports</v>
      </c>
      <c r="P1992" s="2" t="str">
        <f>_xlfn.XLOOKUP(ESales_DB[[#This Row],[Product_ID]],Eproduct_DB[Product_ID],Eproduct_DB[Product_Name])</f>
        <v>Outdoor Sports Water Bottle</v>
      </c>
      <c r="Q1992" s="2" t="str">
        <f>_xlfn.XLOOKUP(ESales_DB[[#This Row],[Store_ID]],Estore_DB[Store_ID],Estore_DB[Region])</f>
        <v>South</v>
      </c>
      <c r="R1992" t="str">
        <f>VLOOKUP(ESales_DB[[#This Row],[Customer_ID]],Ecustom_DB[],10,FALSE)</f>
        <v>Gold</v>
      </c>
      <c r="S1992" t="str">
        <f>IF(ESales_DB[[#This Row],[Quantity1]]&gt;3,"Bulk order","Normal order")</f>
        <v>Normal order</v>
      </c>
    </row>
    <row r="1993" spans="1:19" x14ac:dyDescent="0.3">
      <c r="A1993" t="s">
        <v>2817</v>
      </c>
      <c r="B1993" s="4">
        <v>45432</v>
      </c>
      <c r="C1993" s="4" t="str">
        <f>TEXT(ESales_DB[[#This Row],[Order_Date]],"mmm")</f>
        <v>May</v>
      </c>
      <c r="D1993" t="s">
        <v>1005</v>
      </c>
      <c r="E1993" t="s">
        <v>1592</v>
      </c>
      <c r="F1993" t="s">
        <v>1794</v>
      </c>
      <c r="G1993">
        <v>1</v>
      </c>
      <c r="H1993" s="10">
        <f>IF(ISBLANK(ESales_DB[[#This Row],[Quantity]]),AVERAGEIF(ESales_DB[Product_ID],ESales_DB[[#This Row],[Product_ID]],ESales_DB[Quantity]),ESales_DB[[#This Row],[Quantity]])</f>
        <v>1</v>
      </c>
      <c r="I1993" s="2">
        <v>904.92</v>
      </c>
      <c r="J1993">
        <v>0.13</v>
      </c>
      <c r="K1993" t="s">
        <v>1824</v>
      </c>
      <c r="L1993" s="2">
        <v>787.28039999999999</v>
      </c>
      <c r="M1993" s="2" t="str">
        <f>IF(ESales_DB[[#This Row],[Total_Amount]]&gt;1000,"High","Low")</f>
        <v>Low</v>
      </c>
      <c r="N1993" s="2" t="str">
        <f>VLOOKUP(ESales_DB[[#This Row],[Customer_ID]],Ecustom_DB[],3,FALSE)</f>
        <v>Casey Simpson</v>
      </c>
      <c r="O1993" s="2" t="str">
        <f>_xlfn.XLOOKUP(ESales_DB[[#This Row],[Product_ID]],Eproduct_DB[Product_ID],Eproduct_DB[Category])</f>
        <v>Sports</v>
      </c>
      <c r="P1993" s="2" t="str">
        <f>_xlfn.XLOOKUP(ESales_DB[[#This Row],[Product_ID]],Eproduct_DB[Product_ID],Eproduct_DB[Product_Name])</f>
        <v>Carbon Fiber Tennis Racket</v>
      </c>
      <c r="Q1993" s="2" t="str">
        <f>_xlfn.XLOOKUP(ESales_DB[[#This Row],[Store_ID]],Estore_DB[Store_ID],Estore_DB[Region])</f>
        <v>North</v>
      </c>
      <c r="R1993" t="str">
        <f>VLOOKUP(ESales_DB[[#This Row],[Customer_ID]],Ecustom_DB[],10,FALSE)</f>
        <v>Platinum</v>
      </c>
      <c r="S1993" t="str">
        <f>IF(ESales_DB[[#This Row],[Quantity1]]&gt;3,"Bulk order","Normal order")</f>
        <v>Normal order</v>
      </c>
    </row>
    <row r="1994" spans="1:19" x14ac:dyDescent="0.3">
      <c r="A1994" t="s">
        <v>2818</v>
      </c>
      <c r="B1994" s="4">
        <v>45575</v>
      </c>
      <c r="C1994" s="4" t="str">
        <f>TEXT(ESales_DB[[#This Row],[Order_Date]],"mmm")</f>
        <v>Oct</v>
      </c>
      <c r="D1994" t="s">
        <v>8</v>
      </c>
      <c r="E1994" t="s">
        <v>1628</v>
      </c>
      <c r="F1994" t="s">
        <v>1779</v>
      </c>
      <c r="G1994">
        <v>3</v>
      </c>
      <c r="H1994" s="10">
        <f>IF(ISBLANK(ESales_DB[[#This Row],[Quantity]]),AVERAGEIF(ESales_DB[Product_ID],ESales_DB[[#This Row],[Product_ID]],ESales_DB[Quantity]),ESales_DB[[#This Row],[Quantity]])</f>
        <v>3</v>
      </c>
      <c r="I1994" s="2">
        <v>490.02</v>
      </c>
      <c r="J1994">
        <v>0.26</v>
      </c>
      <c r="K1994" t="s">
        <v>1824</v>
      </c>
      <c r="L1994" s="2">
        <v>1087.8444</v>
      </c>
      <c r="M1994" s="2" t="str">
        <f>IF(ESales_DB[[#This Row],[Total_Amount]]&gt;1000,"High","Low")</f>
        <v>High</v>
      </c>
      <c r="N1994" s="2" t="str">
        <f>VLOOKUP(ESales_DB[[#This Row],[Customer_ID]],Ecustom_DB[],3,FALSE)</f>
        <v>Sheena Bonilla</v>
      </c>
      <c r="O1994" s="2" t="str">
        <f>_xlfn.XLOOKUP(ESales_DB[[#This Row],[Product_ID]],Eproduct_DB[Product_ID],Eproduct_DB[Category])</f>
        <v>Electronics</v>
      </c>
      <c r="P1994" s="2" t="str">
        <f>_xlfn.XLOOKUP(ESales_DB[[#This Row],[Product_ID]],Eproduct_DB[Product_ID],Eproduct_DB[Product_Name])</f>
        <v>Noise-Canceling Headphones</v>
      </c>
      <c r="Q1994" s="2" t="str">
        <f>_xlfn.XLOOKUP(ESales_DB[[#This Row],[Store_ID]],Estore_DB[Store_ID],Estore_DB[Region])</f>
        <v>South</v>
      </c>
      <c r="R1994" t="str">
        <f>VLOOKUP(ESales_DB[[#This Row],[Customer_ID]],Ecustom_DB[],10,FALSE)</f>
        <v>Uncategorized</v>
      </c>
      <c r="S1994" t="str">
        <f>IF(ESales_DB[[#This Row],[Quantity1]]&gt;3,"Bulk order","Normal order")</f>
        <v>Normal order</v>
      </c>
    </row>
    <row r="1995" spans="1:19" x14ac:dyDescent="0.3">
      <c r="A1995" t="s">
        <v>2819</v>
      </c>
      <c r="B1995" s="4">
        <v>45340</v>
      </c>
      <c r="C1995" s="4" t="str">
        <f>TEXT(ESales_DB[[#This Row],[Order_Date]],"mmm")</f>
        <v>Feb</v>
      </c>
      <c r="D1995" t="s">
        <v>1136</v>
      </c>
      <c r="E1995" t="s">
        <v>1586</v>
      </c>
      <c r="F1995" t="s">
        <v>1776</v>
      </c>
      <c r="G1995">
        <v>2</v>
      </c>
      <c r="H1995" s="10">
        <f>IF(ISBLANK(ESales_DB[[#This Row],[Quantity]]),AVERAGEIF(ESales_DB[Product_ID],ESales_DB[[#This Row],[Product_ID]],ESales_DB[Quantity]),ESales_DB[[#This Row],[Quantity]])</f>
        <v>2</v>
      </c>
      <c r="I1995" s="2">
        <v>957.54</v>
      </c>
      <c r="J1995">
        <v>0.1</v>
      </c>
      <c r="K1995" t="s">
        <v>1829</v>
      </c>
      <c r="L1995" s="2">
        <v>1723.5719999999999</v>
      </c>
      <c r="M1995" s="2" t="str">
        <f>IF(ESales_DB[[#This Row],[Total_Amount]]&gt;1000,"High","Low")</f>
        <v>High</v>
      </c>
      <c r="N1995" s="2" t="str">
        <f>VLOOKUP(ESales_DB[[#This Row],[Customer_ID]],Ecustom_DB[],3,FALSE)</f>
        <v>Elizabeth Smith</v>
      </c>
      <c r="O1995" s="2" t="str">
        <f>_xlfn.XLOOKUP(ESales_DB[[#This Row],[Product_ID]],Eproduct_DB[Product_ID],Eproduct_DB[Category])</f>
        <v>Sports</v>
      </c>
      <c r="P1995" s="2" t="str">
        <f>_xlfn.XLOOKUP(ESales_DB[[#This Row],[Product_ID]],Eproduct_DB[Product_ID],Eproduct_DB[Product_Name])</f>
        <v>Knee Support Brace</v>
      </c>
      <c r="Q1995" s="2" t="str">
        <f>_xlfn.XLOOKUP(ESales_DB[[#This Row],[Store_ID]],Estore_DB[Store_ID],Estore_DB[Region])</f>
        <v>East</v>
      </c>
      <c r="R1995" t="str">
        <f>VLOOKUP(ESales_DB[[#This Row],[Customer_ID]],Ecustom_DB[],10,FALSE)</f>
        <v>Bronze</v>
      </c>
      <c r="S1995" t="str">
        <f>IF(ESales_DB[[#This Row],[Quantity1]]&gt;3,"Bulk order","Normal order")</f>
        <v>Normal order</v>
      </c>
    </row>
    <row r="1996" spans="1:19" x14ac:dyDescent="0.3">
      <c r="A1996" t="s">
        <v>2820</v>
      </c>
      <c r="B1996" s="4">
        <v>45926</v>
      </c>
      <c r="C1996" s="4" t="str">
        <f>TEXT(ESales_DB[[#This Row],[Order_Date]],"mmm")</f>
        <v>Sep</v>
      </c>
      <c r="D1996" t="s">
        <v>1035</v>
      </c>
      <c r="E1996" t="s">
        <v>1746</v>
      </c>
      <c r="F1996" t="s">
        <v>1797</v>
      </c>
      <c r="G1996">
        <v>2</v>
      </c>
      <c r="H1996" s="10">
        <f>IF(ISBLANK(ESales_DB[[#This Row],[Quantity]]),AVERAGEIF(ESales_DB[Product_ID],ESales_DB[[#This Row],[Product_ID]],ESales_DB[Quantity]),ESales_DB[[#This Row],[Quantity]])</f>
        <v>2</v>
      </c>
      <c r="I1996" s="2">
        <v>314.39999999999998</v>
      </c>
      <c r="J1996">
        <v>7.0000000000000007E-2</v>
      </c>
      <c r="K1996" t="s">
        <v>1826</v>
      </c>
      <c r="L1996" s="2">
        <v>584.78399999999988</v>
      </c>
      <c r="M1996" s="2" t="str">
        <f>IF(ESales_DB[[#This Row],[Total_Amount]]&gt;1000,"High","Low")</f>
        <v>Low</v>
      </c>
      <c r="N1996" s="2" t="str">
        <f>VLOOKUP(ESales_DB[[#This Row],[Customer_ID]],Ecustom_DB[],3,FALSE)</f>
        <v>Victor Mcintosh</v>
      </c>
      <c r="O1996" s="2" t="str">
        <f>_xlfn.XLOOKUP(ESales_DB[[#This Row],[Product_ID]],Eproduct_DB[Product_ID],Eproduct_DB[Category])</f>
        <v>Home</v>
      </c>
      <c r="P1996" s="2" t="str">
        <f>_xlfn.XLOOKUP(ESales_DB[[#This Row],[Product_ID]],Eproduct_DB[Product_ID],Eproduct_DB[Product_Name])</f>
        <v>Stainless Steel Cookware Set</v>
      </c>
      <c r="Q1996" s="2" t="str">
        <f>_xlfn.XLOOKUP(ESales_DB[[#This Row],[Store_ID]],Estore_DB[Store_ID],Estore_DB[Region])</f>
        <v>East</v>
      </c>
      <c r="R1996" t="str">
        <f>VLOOKUP(ESales_DB[[#This Row],[Customer_ID]],Ecustom_DB[],10,FALSE)</f>
        <v>Bronze</v>
      </c>
      <c r="S1996" t="str">
        <f>IF(ESales_DB[[#This Row],[Quantity1]]&gt;3,"Bulk order","Normal order")</f>
        <v>Normal order</v>
      </c>
    </row>
    <row r="1997" spans="1:19" x14ac:dyDescent="0.3">
      <c r="A1997" t="s">
        <v>2821</v>
      </c>
      <c r="B1997" s="4">
        <v>45373</v>
      </c>
      <c r="C1997" s="4" t="str">
        <f>TEXT(ESales_DB[[#This Row],[Order_Date]],"mmm")</f>
        <v>Mar</v>
      </c>
      <c r="D1997" t="s">
        <v>1229</v>
      </c>
      <c r="E1997" t="s">
        <v>1596</v>
      </c>
      <c r="F1997" t="s">
        <v>1776</v>
      </c>
      <c r="G1997">
        <v>3</v>
      </c>
      <c r="H1997" s="10">
        <f>IF(ISBLANK(ESales_DB[[#This Row],[Quantity]]),AVERAGEIF(ESales_DB[Product_ID],ESales_DB[[#This Row],[Product_ID]],ESales_DB[Quantity]),ESales_DB[[#This Row],[Quantity]])</f>
        <v>3</v>
      </c>
      <c r="I1997" s="2">
        <v>480.11</v>
      </c>
      <c r="J1997">
        <v>0.11</v>
      </c>
      <c r="K1997" t="s">
        <v>1826</v>
      </c>
      <c r="L1997" s="2">
        <v>1281.8937000000001</v>
      </c>
      <c r="M1997" s="2" t="str">
        <f>IF(ESales_DB[[#This Row],[Total_Amount]]&gt;1000,"High","Low")</f>
        <v>High</v>
      </c>
      <c r="N1997" s="2" t="str">
        <f>VLOOKUP(ESales_DB[[#This Row],[Customer_ID]],Ecustom_DB[],3,FALSE)</f>
        <v>Alejandro Evans</v>
      </c>
      <c r="O1997" s="2" t="str">
        <f>_xlfn.XLOOKUP(ESales_DB[[#This Row],[Product_ID]],Eproduct_DB[Product_ID],Eproduct_DB[Category])</f>
        <v>Sports</v>
      </c>
      <c r="P1997" s="2" t="str">
        <f>_xlfn.XLOOKUP(ESales_DB[[#This Row],[Product_ID]],Eproduct_DB[Product_ID],Eproduct_DB[Product_Name])</f>
        <v>Foldable Camping Chair</v>
      </c>
      <c r="Q1997" s="2" t="str">
        <f>_xlfn.XLOOKUP(ESales_DB[[#This Row],[Store_ID]],Estore_DB[Store_ID],Estore_DB[Region])</f>
        <v>East</v>
      </c>
      <c r="R1997" t="str">
        <f>VLOOKUP(ESales_DB[[#This Row],[Customer_ID]],Ecustom_DB[],10,FALSE)</f>
        <v>Bronze</v>
      </c>
      <c r="S1997" t="str">
        <f>IF(ESales_DB[[#This Row],[Quantity1]]&gt;3,"Bulk order","Normal order")</f>
        <v>Normal order</v>
      </c>
    </row>
    <row r="1998" spans="1:19" x14ac:dyDescent="0.3">
      <c r="A1998" t="s">
        <v>2822</v>
      </c>
      <c r="B1998" s="4">
        <v>45579</v>
      </c>
      <c r="C1998" s="4" t="str">
        <f>TEXT(ESales_DB[[#This Row],[Order_Date]],"mmm")</f>
        <v>Oct</v>
      </c>
      <c r="D1998" t="s">
        <v>1211</v>
      </c>
      <c r="E1998" t="s">
        <v>1644</v>
      </c>
      <c r="F1998" t="s">
        <v>1776</v>
      </c>
      <c r="G1998">
        <v>4</v>
      </c>
      <c r="H1998" s="10">
        <f>IF(ISBLANK(ESales_DB[[#This Row],[Quantity]]),AVERAGEIF(ESales_DB[Product_ID],ESales_DB[[#This Row],[Product_ID]],ESales_DB[Quantity]),ESales_DB[[#This Row],[Quantity]])</f>
        <v>4</v>
      </c>
      <c r="I1998" s="2">
        <v>826.55</v>
      </c>
      <c r="J1998">
        <v>0.28000000000000003</v>
      </c>
      <c r="K1998" t="s">
        <v>1824</v>
      </c>
      <c r="L1998" s="2">
        <v>2380.4639999999999</v>
      </c>
      <c r="M1998" s="2" t="str">
        <f>IF(ESales_DB[[#This Row],[Total_Amount]]&gt;1000,"High","Low")</f>
        <v>High</v>
      </c>
      <c r="N1998" s="2" t="str">
        <f>VLOOKUP(ESales_DB[[#This Row],[Customer_ID]],Ecustom_DB[],3,FALSE)</f>
        <v>Timothy Valenzuela</v>
      </c>
      <c r="O1998" s="2" t="str">
        <f>_xlfn.XLOOKUP(ESales_DB[[#This Row],[Product_ID]],Eproduct_DB[Product_ID],Eproduct_DB[Category])</f>
        <v>Electronics</v>
      </c>
      <c r="P1998" s="2" t="str">
        <f>_xlfn.XLOOKUP(ESales_DB[[#This Row],[Product_ID]],Eproduct_DB[Product_ID],Eproduct_DB[Product_Name])</f>
        <v>Car Dashboard Phone Holder</v>
      </c>
      <c r="Q1998" s="2" t="str">
        <f>_xlfn.XLOOKUP(ESales_DB[[#This Row],[Store_ID]],Estore_DB[Store_ID],Estore_DB[Region])</f>
        <v>East</v>
      </c>
      <c r="R1998" t="str">
        <f>VLOOKUP(ESales_DB[[#This Row],[Customer_ID]],Ecustom_DB[],10,FALSE)</f>
        <v>Platinum</v>
      </c>
      <c r="S1998" t="str">
        <f>IF(ESales_DB[[#This Row],[Quantity1]]&gt;3,"Bulk order","Normal order")</f>
        <v>Bulk order</v>
      </c>
    </row>
    <row r="1999" spans="1:19" x14ac:dyDescent="0.3">
      <c r="A1999" t="s">
        <v>2823</v>
      </c>
      <c r="B1999" s="4">
        <v>45805</v>
      </c>
      <c r="C1999" s="4" t="str">
        <f>TEXT(ESales_DB[[#This Row],[Order_Date]],"mmm")</f>
        <v>May</v>
      </c>
      <c r="D1999" t="s">
        <v>625</v>
      </c>
      <c r="E1999" t="s">
        <v>1602</v>
      </c>
      <c r="F1999" t="s">
        <v>1766</v>
      </c>
      <c r="G1999">
        <v>3</v>
      </c>
      <c r="H1999" s="10">
        <f>IF(ISBLANK(ESales_DB[[#This Row],[Quantity]]),AVERAGEIF(ESales_DB[Product_ID],ESales_DB[[#This Row],[Product_ID]],ESales_DB[Quantity]),ESales_DB[[#This Row],[Quantity]])</f>
        <v>3</v>
      </c>
      <c r="I1999" s="2">
        <v>530.16999999999996</v>
      </c>
      <c r="J1999">
        <v>0.18</v>
      </c>
      <c r="K1999" t="s">
        <v>1826</v>
      </c>
      <c r="L1999" s="2">
        <v>1304.2182</v>
      </c>
      <c r="M1999" s="2" t="str">
        <f>IF(ESales_DB[[#This Row],[Total_Amount]]&gt;1000,"High","Low")</f>
        <v>High</v>
      </c>
      <c r="N1999" s="2" t="str">
        <f>VLOOKUP(ESales_DB[[#This Row],[Customer_ID]],Ecustom_DB[],3,FALSE)</f>
        <v>Christopher Stewart</v>
      </c>
      <c r="O1999" s="2" t="str">
        <f>_xlfn.XLOOKUP(ESales_DB[[#This Row],[Product_ID]],Eproduct_DB[Product_ID],Eproduct_DB[Category])</f>
        <v>Home</v>
      </c>
      <c r="P1999" s="2" t="str">
        <f>_xlfn.XLOOKUP(ESales_DB[[#This Row],[Product_ID]],Eproduct_DB[Product_ID],Eproduct_DB[Product_Name])</f>
        <v>Decorative Floor Vase</v>
      </c>
      <c r="Q1999" s="2" t="str">
        <f>_xlfn.XLOOKUP(ESales_DB[[#This Row],[Store_ID]],Estore_DB[Store_ID],Estore_DB[Region])</f>
        <v>North</v>
      </c>
      <c r="R1999" t="str">
        <f>VLOOKUP(ESales_DB[[#This Row],[Customer_ID]],Ecustom_DB[],10,FALSE)</f>
        <v>Bronze</v>
      </c>
      <c r="S1999" t="str">
        <f>IF(ESales_DB[[#This Row],[Quantity1]]&gt;3,"Bulk order","Normal order")</f>
        <v>Normal order</v>
      </c>
    </row>
    <row r="2000" spans="1:19" x14ac:dyDescent="0.3">
      <c r="A2000" t="s">
        <v>2824</v>
      </c>
      <c r="B2000" s="4">
        <v>45522</v>
      </c>
      <c r="C2000" s="4" t="str">
        <f>TEXT(ESales_DB[[#This Row],[Order_Date]],"mmm")</f>
        <v>Aug</v>
      </c>
      <c r="D2000" t="s">
        <v>1266</v>
      </c>
      <c r="E2000" t="s">
        <v>1616</v>
      </c>
      <c r="F2000" t="s">
        <v>1807</v>
      </c>
      <c r="G2000">
        <v>3</v>
      </c>
      <c r="H2000" s="10">
        <f>IF(ISBLANK(ESales_DB[[#This Row],[Quantity]]),AVERAGEIF(ESales_DB[Product_ID],ESales_DB[[#This Row],[Product_ID]],ESales_DB[Quantity]),ESales_DB[[#This Row],[Quantity]])</f>
        <v>3</v>
      </c>
      <c r="I2000" s="2">
        <v>336.17</v>
      </c>
      <c r="J2000">
        <v>0.04</v>
      </c>
      <c r="K2000" t="s">
        <v>1829</v>
      </c>
      <c r="L2000" s="2">
        <v>968.16959999999995</v>
      </c>
      <c r="M2000" s="2" t="str">
        <f>IF(ESales_DB[[#This Row],[Total_Amount]]&gt;1000,"High","Low")</f>
        <v>Low</v>
      </c>
      <c r="N2000" s="2" t="str">
        <f>VLOOKUP(ESales_DB[[#This Row],[Customer_ID]],Ecustom_DB[],3,FALSE)</f>
        <v>Joseph Mendoza</v>
      </c>
      <c r="O2000" s="2" t="str">
        <f>_xlfn.XLOOKUP(ESales_DB[[#This Row],[Product_ID]],Eproduct_DB[Product_ID],Eproduct_DB[Category])</f>
        <v>Electronics</v>
      </c>
      <c r="P2000" s="2" t="str">
        <f>_xlfn.XLOOKUP(ESales_DB[[#This Row],[Product_ID]],Eproduct_DB[Product_ID],Eproduct_DB[Product_Name])</f>
        <v>Gaming Mechanical Keyboard</v>
      </c>
      <c r="Q2000" s="2" t="str">
        <f>_xlfn.XLOOKUP(ESales_DB[[#This Row],[Store_ID]],Estore_DB[Store_ID],Estore_DB[Region])</f>
        <v>North</v>
      </c>
      <c r="R2000" t="str">
        <f>VLOOKUP(ESales_DB[[#This Row],[Customer_ID]],Ecustom_DB[],10,FALSE)</f>
        <v>Gold</v>
      </c>
      <c r="S2000" t="str">
        <f>IF(ESales_DB[[#This Row],[Quantity1]]&gt;3,"Bulk order","Normal order")</f>
        <v>Normal order</v>
      </c>
    </row>
    <row r="2001" spans="1:19" x14ac:dyDescent="0.3">
      <c r="A2001" t="s">
        <v>2825</v>
      </c>
      <c r="B2001" s="4">
        <v>45304</v>
      </c>
      <c r="C2001" s="4" t="str">
        <f>TEXT(ESales_DB[[#This Row],[Order_Date]],"mmm")</f>
        <v>Jan</v>
      </c>
      <c r="D2001" t="s">
        <v>1307</v>
      </c>
      <c r="E2001" t="s">
        <v>1710</v>
      </c>
      <c r="F2001" t="s">
        <v>1782</v>
      </c>
      <c r="G2001">
        <v>4</v>
      </c>
      <c r="H2001" s="10">
        <f>IF(ISBLANK(ESales_DB[[#This Row],[Quantity]]),AVERAGEIF(ESales_DB[Product_ID],ESales_DB[[#This Row],[Product_ID]],ESales_DB[Quantity]),ESales_DB[[#This Row],[Quantity]])</f>
        <v>4</v>
      </c>
      <c r="I2001" s="2">
        <v>22.51</v>
      </c>
      <c r="J2001">
        <v>0.27</v>
      </c>
      <c r="K2001" t="s">
        <v>1826</v>
      </c>
      <c r="L2001" s="2">
        <v>65.729200000000006</v>
      </c>
      <c r="M2001" s="2" t="str">
        <f>IF(ESales_DB[[#This Row],[Total_Amount]]&gt;1000,"High","Low")</f>
        <v>Low</v>
      </c>
      <c r="N2001" s="2" t="str">
        <f>VLOOKUP(ESales_DB[[#This Row],[Customer_ID]],Ecustom_DB[],3,FALSE)</f>
        <v>Holly Robinson</v>
      </c>
      <c r="O2001" s="2" t="str">
        <f>_xlfn.XLOOKUP(ESales_DB[[#This Row],[Product_ID]],Eproduct_DB[Product_ID],Eproduct_DB[Category])</f>
        <v>Sports</v>
      </c>
      <c r="P2001" s="2" t="str">
        <f>_xlfn.XLOOKUP(ESales_DB[[#This Row],[Product_ID]],Eproduct_DB[Product_ID],Eproduct_DB[Product_Name])</f>
        <v>Badminton Racket Set</v>
      </c>
      <c r="Q2001" s="2" t="str">
        <f>_xlfn.XLOOKUP(ESales_DB[[#This Row],[Store_ID]],Estore_DB[Store_ID],Estore_DB[Region])</f>
        <v>West</v>
      </c>
      <c r="R2001" t="str">
        <f>VLOOKUP(ESales_DB[[#This Row],[Customer_ID]],Ecustom_DB[],10,FALSE)</f>
        <v>Platinum</v>
      </c>
      <c r="S2001" t="str">
        <f>IF(ESales_DB[[#This Row],[Quantity1]]&gt;3,"Bulk order","Normal order")</f>
        <v>Bulk order</v>
      </c>
    </row>
    <row r="2004" spans="1:19" x14ac:dyDescent="0.3">
      <c r="K2004" s="2">
        <f>(H2001*I2001)*(1-0.27)</f>
        <v>65.729200000000006</v>
      </c>
    </row>
    <row r="2006" spans="1:19" x14ac:dyDescent="0.3">
      <c r="G2006" t="s">
        <v>3967</v>
      </c>
      <c r="I2006" s="2">
        <f>(G2001*I2001)*(1-0.17)</f>
        <v>74.733199999999997</v>
      </c>
    </row>
  </sheetData>
  <phoneticPr fontId="6" type="noConversion"/>
  <conditionalFormatting sqref="M1:M1048576">
    <cfRule type="containsText" dxfId="4" priority="6" operator="containsText" text="High">
      <formula>NOT(ISERROR(SEARCH("High",M1)))</formula>
    </cfRule>
    <cfRule type="containsText" dxfId="3" priority="7" operator="containsText" text="High">
      <formula>NOT(ISERROR(SEARCH("High",M1)))</formula>
    </cfRule>
  </conditionalFormatting>
  <conditionalFormatting sqref="S2:S2001">
    <cfRule type="containsText" dxfId="2" priority="1" operator="containsText" text="Normal order">
      <formula>NOT(ISERROR(SEARCH("Normal order",S2)))</formula>
    </cfRule>
    <cfRule type="containsText" dxfId="1" priority="4" operator="containsText" text="Bulk Order">
      <formula>NOT(ISERROR(SEARCH("Bulk Order",S2)))</formula>
    </cfRule>
    <cfRule type="dataBar" priority="5">
      <dataBar>
        <cfvo type="min"/>
        <cfvo type="max"/>
        <color rgb="FFD6007B"/>
      </dataBar>
      <extLst>
        <ext xmlns:x14="http://schemas.microsoft.com/office/spreadsheetml/2009/9/main" uri="{B025F937-C7B1-47D3-B67F-A62EFF666E3E}">
          <x14:id>{0619DE95-2A3B-499C-B247-3A780BD1E750}</x14:id>
        </ext>
      </extLst>
    </cfRule>
  </conditionalFormatting>
  <conditionalFormatting sqref="S4">
    <cfRule type="containsText" dxfId="0" priority="2" operator="containsText" text="Normal order">
      <formula>NOT(ISERROR(SEARCH("Normal order",S4)))</formula>
    </cfRule>
    <cfRule type="colorScale" priority="3">
      <colorScale>
        <cfvo type="min"/>
        <cfvo type="max"/>
        <color rgb="FFFCFCFF"/>
        <color rgb="FF63BE7B"/>
      </colorScale>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619DE95-2A3B-499C-B247-3A780BD1E750}">
            <x14:dataBar minLength="0" maxLength="100" border="1" negativeBarBorderColorSameAsPositive="0">
              <x14:cfvo type="autoMin"/>
              <x14:cfvo type="autoMax"/>
              <x14:borderColor rgb="FFD6007B"/>
              <x14:negativeFillColor rgb="FFFF0000"/>
              <x14:negativeBorderColor rgb="FFFF0000"/>
              <x14:axisColor rgb="FF000000"/>
            </x14:dataBar>
          </x14:cfRule>
          <xm:sqref>S2:S2001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845B5-334A-4399-BD88-4770DEBDB1EF}">
  <dimension ref="B3:I53"/>
  <sheetViews>
    <sheetView topLeftCell="A37" workbookViewId="0">
      <selection activeCell="B48" sqref="B48"/>
    </sheetView>
  </sheetViews>
  <sheetFormatPr defaultRowHeight="14.4" x14ac:dyDescent="0.3"/>
  <cols>
    <col min="2" max="2" width="29" bestFit="1" customWidth="1"/>
    <col min="3" max="3" width="25.109375" customWidth="1"/>
    <col min="4" max="4" width="17.21875" customWidth="1"/>
    <col min="5" max="5" width="17.88671875" customWidth="1"/>
    <col min="6" max="6" width="16.88671875" customWidth="1"/>
    <col min="7" max="7" width="15.44140625" customWidth="1"/>
    <col min="8" max="8" width="18.109375" customWidth="1"/>
    <col min="9" max="9" width="12.77734375" customWidth="1"/>
  </cols>
  <sheetData>
    <row r="3" spans="2:3" ht="23.4" customHeight="1" x14ac:dyDescent="0.45">
      <c r="B3" s="50" t="s">
        <v>3987</v>
      </c>
      <c r="C3" s="51"/>
    </row>
    <row r="4" spans="2:3" x14ac:dyDescent="0.3">
      <c r="B4" s="20"/>
      <c r="C4" s="21"/>
    </row>
    <row r="5" spans="2:3" ht="15.6" x14ac:dyDescent="0.3">
      <c r="B5" s="22" t="s">
        <v>3974</v>
      </c>
      <c r="C5" s="23">
        <v>1087.6289866733468</v>
      </c>
    </row>
    <row r="6" spans="2:3" ht="15.6" x14ac:dyDescent="0.3">
      <c r="B6" s="22" t="s">
        <v>3975</v>
      </c>
      <c r="C6" s="23">
        <v>18.356935715625582</v>
      </c>
    </row>
    <row r="7" spans="2:3" ht="15.6" x14ac:dyDescent="0.3">
      <c r="B7" s="22" t="s">
        <v>3976</v>
      </c>
      <c r="C7" s="23">
        <v>868.71820000000002</v>
      </c>
    </row>
    <row r="8" spans="2:3" ht="15.6" x14ac:dyDescent="0.3">
      <c r="B8" s="22" t="s">
        <v>3977</v>
      </c>
      <c r="C8" s="23" t="e">
        <v>#N/A</v>
      </c>
    </row>
    <row r="9" spans="2:3" ht="15.6" x14ac:dyDescent="0.3">
      <c r="B9" s="22" t="s">
        <v>3978</v>
      </c>
      <c r="C9" s="23">
        <v>820.1257643677277</v>
      </c>
    </row>
    <row r="10" spans="2:3" ht="15.6" x14ac:dyDescent="0.3">
      <c r="B10" s="22" t="s">
        <v>3979</v>
      </c>
      <c r="C10" s="23">
        <v>672606.26937974966</v>
      </c>
    </row>
    <row r="11" spans="2:3" ht="15.6" x14ac:dyDescent="0.3">
      <c r="B11" s="22" t="s">
        <v>3980</v>
      </c>
      <c r="C11" s="23">
        <v>4.1826530542493856E-2</v>
      </c>
    </row>
    <row r="12" spans="2:3" ht="15.6" x14ac:dyDescent="0.3">
      <c r="B12" s="22" t="s">
        <v>3981</v>
      </c>
      <c r="C12" s="23">
        <v>0.87824015949649448</v>
      </c>
    </row>
    <row r="13" spans="2:3" ht="15.6" x14ac:dyDescent="0.3">
      <c r="B13" s="22" t="s">
        <v>3982</v>
      </c>
      <c r="C13" s="23">
        <v>3889.7838000000002</v>
      </c>
    </row>
    <row r="14" spans="2:3" ht="15.6" x14ac:dyDescent="0.3">
      <c r="B14" s="22" t="s">
        <v>3983</v>
      </c>
      <c r="C14" s="23">
        <v>18.459</v>
      </c>
    </row>
    <row r="15" spans="2:3" ht="15.6" x14ac:dyDescent="0.3">
      <c r="B15" s="22" t="s">
        <v>3984</v>
      </c>
      <c r="C15" s="23">
        <v>3908.2428</v>
      </c>
    </row>
    <row r="16" spans="2:3" ht="15.6" x14ac:dyDescent="0.3">
      <c r="B16" s="22" t="s">
        <v>3985</v>
      </c>
      <c r="C16" s="23">
        <v>2170907.4574000002</v>
      </c>
    </row>
    <row r="17" spans="2:6" ht="15.6" x14ac:dyDescent="0.3">
      <c r="B17" s="24" t="s">
        <v>3986</v>
      </c>
      <c r="C17" s="25">
        <v>1996</v>
      </c>
    </row>
    <row r="21" spans="2:6" x14ac:dyDescent="0.3">
      <c r="B21" s="31" t="s">
        <v>3999</v>
      </c>
      <c r="C21" s="31"/>
    </row>
    <row r="22" spans="2:6" x14ac:dyDescent="0.3">
      <c r="B22" s="32" t="s">
        <v>3989</v>
      </c>
      <c r="C22" s="33">
        <f>AVERAGE(ESales_DB[Total_Amount])</f>
        <v>1087.6289866733441</v>
      </c>
    </row>
    <row r="23" spans="2:6" x14ac:dyDescent="0.3">
      <c r="B23" s="34"/>
      <c r="C23" s="34"/>
    </row>
    <row r="24" spans="2:6" x14ac:dyDescent="0.3">
      <c r="B24" s="31" t="s">
        <v>4000</v>
      </c>
      <c r="C24" s="31"/>
    </row>
    <row r="25" spans="2:6" x14ac:dyDescent="0.3">
      <c r="B25" s="32" t="s">
        <v>3990</v>
      </c>
      <c r="C25" s="32">
        <f>SUM(ESales_DB[Total_Amount])</f>
        <v>2170907.4573999951</v>
      </c>
    </row>
    <row r="26" spans="2:6" x14ac:dyDescent="0.3">
      <c r="B26" s="32"/>
      <c r="C26" s="32"/>
    </row>
    <row r="27" spans="2:6" x14ac:dyDescent="0.3">
      <c r="B27" s="31" t="s">
        <v>4001</v>
      </c>
      <c r="C27" s="31"/>
    </row>
    <row r="28" spans="2:6" x14ac:dyDescent="0.3">
      <c r="B28" s="32" t="s">
        <v>3993</v>
      </c>
      <c r="C28" s="32">
        <f>MAX(ESales_DB[Total_Amount])</f>
        <v>3908.2428</v>
      </c>
      <c r="F28" s="14"/>
    </row>
    <row r="29" spans="2:6" x14ac:dyDescent="0.3">
      <c r="B29" s="32"/>
      <c r="C29" s="32"/>
    </row>
    <row r="30" spans="2:6" x14ac:dyDescent="0.3">
      <c r="B30" s="31" t="s">
        <v>4002</v>
      </c>
      <c r="C30" s="31"/>
    </row>
    <row r="31" spans="2:6" x14ac:dyDescent="0.3">
      <c r="B31" s="32" t="s">
        <v>3991</v>
      </c>
      <c r="C31" s="32">
        <f>COUNTIF(ESales_DB[Orders range],"Bulk order")</f>
        <v>481</v>
      </c>
    </row>
    <row r="32" spans="2:6" x14ac:dyDescent="0.3">
      <c r="B32" s="32" t="s">
        <v>3994</v>
      </c>
      <c r="C32" s="32">
        <f>COUNTIF(ESales_DB[Sales Performance],"High")</f>
        <v>893</v>
      </c>
    </row>
    <row r="33" spans="2:9" x14ac:dyDescent="0.3">
      <c r="B33" s="32"/>
      <c r="C33" s="32"/>
    </row>
    <row r="34" spans="2:9" x14ac:dyDescent="0.3">
      <c r="B34" s="31" t="s">
        <v>4003</v>
      </c>
      <c r="C34" s="31"/>
    </row>
    <row r="35" spans="2:9" x14ac:dyDescent="0.3">
      <c r="B35" s="32" t="s">
        <v>3992</v>
      </c>
      <c r="C35" s="32">
        <f>COUNTA(ESales_DB[Sales_ID])</f>
        <v>2000</v>
      </c>
    </row>
    <row r="36" spans="2:9" x14ac:dyDescent="0.3">
      <c r="B36" s="32"/>
      <c r="C36" s="32"/>
    </row>
    <row r="37" spans="2:9" x14ac:dyDescent="0.3">
      <c r="B37" s="31" t="s">
        <v>4004</v>
      </c>
      <c r="C37" s="31"/>
    </row>
    <row r="38" spans="2:9" x14ac:dyDescent="0.3">
      <c r="B38" s="32" t="s">
        <v>4005</v>
      </c>
      <c r="C38" s="35" t="str">
        <f>TEXT(Analysis!B2,"MMMM")</f>
        <v>January</v>
      </c>
    </row>
    <row r="44" spans="2:9" x14ac:dyDescent="0.3">
      <c r="B44" s="29" t="s">
        <v>4006</v>
      </c>
      <c r="C44" s="29"/>
      <c r="D44" s="29"/>
    </row>
    <row r="47" spans="2:9" x14ac:dyDescent="0.3">
      <c r="B47" s="30" t="s">
        <v>3995</v>
      </c>
      <c r="C47" s="30" t="s">
        <v>3969</v>
      </c>
      <c r="D47" s="30" t="s">
        <v>3973</v>
      </c>
      <c r="E47" s="30" t="s">
        <v>3996</v>
      </c>
      <c r="F47" s="30" t="s">
        <v>1818</v>
      </c>
      <c r="G47" s="30" t="s">
        <v>3997</v>
      </c>
      <c r="H47" s="30" t="s">
        <v>3972</v>
      </c>
      <c r="I47" s="30" t="s">
        <v>1750</v>
      </c>
    </row>
    <row r="48" spans="2:9" x14ac:dyDescent="0.3">
      <c r="B48" s="28" t="s">
        <v>541</v>
      </c>
      <c r="C48" s="26" t="str">
        <f>_xlfn.XLOOKUP(B48,ESales_DB[Customer_ID],ESales_DB[Customer Name])</f>
        <v>Mariah Brown</v>
      </c>
      <c r="D48" s="26" t="str">
        <f>_xlfn.XLOOKUP(B48,ESales_DB[Customer_ID],ESales_DB[Loyalty Level])</f>
        <v>Silver</v>
      </c>
      <c r="E48" s="26" t="str">
        <f>_xlfn.XLOOKUP(B48,ESales_DB[Customer_ID],ESales_DB[Product Category])</f>
        <v>Clothing</v>
      </c>
      <c r="F48" s="26">
        <f>_xlfn.XLOOKUP(B48,ESales_DB[Customer_ID],ESales_DB[Quantity1])</f>
        <v>3</v>
      </c>
      <c r="G48" s="27">
        <f>_xlfn.XLOOKUP(B48,ESales_DB[Customer_ID],ESales_DB[Total_Amount])</f>
        <v>769.04399999999998</v>
      </c>
      <c r="H48" s="26" t="str">
        <f>_xlfn.XLOOKUP(B48,ESales_DB[Customer_ID],ESales_DB[Sales Performance])</f>
        <v>Low</v>
      </c>
      <c r="I48" s="26" t="str">
        <f>_xlfn.XLOOKUP(B48,ESales_DB[Customer_ID],ESales_DB[Store Region])</f>
        <v>South</v>
      </c>
    </row>
    <row r="51" spans="2:3" x14ac:dyDescent="0.3">
      <c r="B51" s="38" t="s">
        <v>3998</v>
      </c>
    </row>
    <row r="53" spans="2:3" x14ac:dyDescent="0.3">
      <c r="B53" s="36" t="str">
        <f>INDEX(ESales_DB[],7,14)</f>
        <v>Amy Walker</v>
      </c>
      <c r="C53" s="37" t="str">
        <f>INDEX(ESales_DB[Product_ID],MATCH(B53,ESales_DB[Customer Name],0))</f>
        <v>PROD73</v>
      </c>
    </row>
  </sheetData>
  <mergeCells count="1">
    <mergeCell ref="B3:C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7960607-2740-438C-8C1A-DD44F2A09E8F}">
          <x14:formula1>
            <xm:f>Sales_Fact!$D$2:$D$2001</xm:f>
          </x14:formula1>
          <xm:sqref>B48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67978-30F1-4D38-891D-17D486BABAC2}">
  <dimension ref="A1:B73"/>
  <sheetViews>
    <sheetView tabSelected="1" workbookViewId="0">
      <selection activeCell="F26" sqref="F26"/>
    </sheetView>
  </sheetViews>
  <sheetFormatPr defaultRowHeight="14.4" x14ac:dyDescent="0.3"/>
  <cols>
    <col min="1" max="1" width="25.44140625" bestFit="1" customWidth="1"/>
    <col min="2" max="2" width="19.77734375" bestFit="1" customWidth="1"/>
  </cols>
  <sheetData>
    <row r="1" spans="1:2" x14ac:dyDescent="0.3">
      <c r="A1" s="39" t="s">
        <v>4009</v>
      </c>
      <c r="B1" s="39"/>
    </row>
    <row r="3" spans="1:2" x14ac:dyDescent="0.3">
      <c r="A3" s="29" t="s">
        <v>1538</v>
      </c>
      <c r="B3" s="29" t="s">
        <v>4008</v>
      </c>
    </row>
    <row r="4" spans="1:2" x14ac:dyDescent="0.3">
      <c r="A4" s="41" t="s">
        <v>1558</v>
      </c>
      <c r="B4" s="48">
        <v>321362.08990000014</v>
      </c>
    </row>
    <row r="5" spans="1:2" x14ac:dyDescent="0.3">
      <c r="A5" s="41" t="s">
        <v>1547</v>
      </c>
      <c r="B5" s="48">
        <v>377055.37410000007</v>
      </c>
    </row>
    <row r="6" spans="1:2" x14ac:dyDescent="0.3">
      <c r="A6" s="41" t="s">
        <v>1563</v>
      </c>
      <c r="B6" s="48">
        <v>504311.348</v>
      </c>
    </row>
    <row r="7" spans="1:2" x14ac:dyDescent="0.3">
      <c r="A7" s="41" t="s">
        <v>1544</v>
      </c>
      <c r="B7" s="48">
        <v>427295.8036000001</v>
      </c>
    </row>
    <row r="8" spans="1:2" x14ac:dyDescent="0.3">
      <c r="A8" s="41" t="s">
        <v>1566</v>
      </c>
      <c r="B8" s="48">
        <v>540882.84180000005</v>
      </c>
    </row>
    <row r="9" spans="1:2" x14ac:dyDescent="0.3">
      <c r="A9" s="40" t="s">
        <v>4007</v>
      </c>
      <c r="B9" s="29">
        <v>2170907.4574000002</v>
      </c>
    </row>
    <row r="12" spans="1:2" x14ac:dyDescent="0.3">
      <c r="A12" s="39" t="s">
        <v>4010</v>
      </c>
      <c r="B12" s="39"/>
    </row>
    <row r="14" spans="1:2" x14ac:dyDescent="0.3">
      <c r="A14" s="29" t="s">
        <v>1750</v>
      </c>
      <c r="B14" s="29" t="s">
        <v>4008</v>
      </c>
    </row>
    <row r="15" spans="1:2" x14ac:dyDescent="0.3">
      <c r="A15" s="42" t="s">
        <v>1754</v>
      </c>
      <c r="B15" s="48">
        <v>619851.20530000061</v>
      </c>
    </row>
    <row r="16" spans="1:2" x14ac:dyDescent="0.3">
      <c r="A16" s="42" t="s">
        <v>1759</v>
      </c>
      <c r="B16" s="48">
        <v>645166.75039999944</v>
      </c>
    </row>
    <row r="17" spans="1:2" x14ac:dyDescent="0.3">
      <c r="A17" s="42" t="s">
        <v>1763</v>
      </c>
      <c r="B17" s="48">
        <v>635213.09570000041</v>
      </c>
    </row>
    <row r="18" spans="1:2" x14ac:dyDescent="0.3">
      <c r="A18" s="42" t="s">
        <v>1784</v>
      </c>
      <c r="B18" s="48">
        <v>270676.40600000002</v>
      </c>
    </row>
    <row r="19" spans="1:2" x14ac:dyDescent="0.3">
      <c r="A19" s="40" t="s">
        <v>4007</v>
      </c>
      <c r="B19" s="29">
        <v>2170907.4574000007</v>
      </c>
    </row>
    <row r="22" spans="1:2" x14ac:dyDescent="0.3">
      <c r="A22" s="39" t="s">
        <v>4011</v>
      </c>
      <c r="B22" s="39"/>
    </row>
    <row r="24" spans="1:2" x14ac:dyDescent="0.3">
      <c r="A24" s="29" t="s">
        <v>3973</v>
      </c>
      <c r="B24" s="29" t="s">
        <v>4008</v>
      </c>
    </row>
    <row r="25" spans="1:2" x14ac:dyDescent="0.3">
      <c r="A25" s="41" t="s">
        <v>26</v>
      </c>
      <c r="B25" s="42">
        <v>522623.38190000009</v>
      </c>
    </row>
    <row r="26" spans="1:2" x14ac:dyDescent="0.3">
      <c r="A26" s="41" t="s">
        <v>13</v>
      </c>
      <c r="B26" s="42">
        <v>516196.27920000005</v>
      </c>
    </row>
    <row r="27" spans="1:2" x14ac:dyDescent="0.3">
      <c r="A27" s="41" t="s">
        <v>19</v>
      </c>
      <c r="B27" s="42">
        <v>654777.59459999995</v>
      </c>
    </row>
    <row r="28" spans="1:2" x14ac:dyDescent="0.3">
      <c r="A28" s="41" t="s">
        <v>31</v>
      </c>
      <c r="B28" s="42">
        <v>459797.86640000023</v>
      </c>
    </row>
    <row r="29" spans="1:2" x14ac:dyDescent="0.3">
      <c r="A29" s="41" t="s">
        <v>3962</v>
      </c>
      <c r="B29" s="42">
        <v>17512.335299999999</v>
      </c>
    </row>
    <row r="30" spans="1:2" x14ac:dyDescent="0.3">
      <c r="A30" s="40" t="s">
        <v>4007</v>
      </c>
      <c r="B30" s="29">
        <v>2170907.4574000002</v>
      </c>
    </row>
    <row r="33" spans="1:2" x14ac:dyDescent="0.3">
      <c r="A33" s="39" t="s">
        <v>4012</v>
      </c>
      <c r="B33" s="39"/>
    </row>
    <row r="35" spans="1:2" x14ac:dyDescent="0.3">
      <c r="A35" s="29" t="s">
        <v>4012</v>
      </c>
      <c r="B35" s="29" t="s">
        <v>4013</v>
      </c>
    </row>
    <row r="36" spans="1:2" x14ac:dyDescent="0.3">
      <c r="A36" s="41" t="s">
        <v>1829</v>
      </c>
      <c r="B36" s="42">
        <v>660</v>
      </c>
    </row>
    <row r="37" spans="1:2" x14ac:dyDescent="0.3">
      <c r="A37" s="41" t="s">
        <v>1824</v>
      </c>
      <c r="B37" s="42">
        <v>645</v>
      </c>
    </row>
    <row r="38" spans="1:2" x14ac:dyDescent="0.3">
      <c r="A38" s="41" t="s">
        <v>1826</v>
      </c>
      <c r="B38" s="42">
        <v>695</v>
      </c>
    </row>
    <row r="39" spans="1:2" x14ac:dyDescent="0.3">
      <c r="A39" s="40" t="s">
        <v>4007</v>
      </c>
      <c r="B39" s="29">
        <v>2000</v>
      </c>
    </row>
    <row r="42" spans="1:2" x14ac:dyDescent="0.3">
      <c r="A42" s="39" t="s">
        <v>4017</v>
      </c>
      <c r="B42" s="39"/>
    </row>
    <row r="44" spans="1:2" x14ac:dyDescent="0.3">
      <c r="A44" s="40" t="s">
        <v>3961</v>
      </c>
      <c r="B44" s="40" t="s">
        <v>4008</v>
      </c>
    </row>
    <row r="45" spans="1:2" x14ac:dyDescent="0.3">
      <c r="A45" s="41" t="s">
        <v>4018</v>
      </c>
      <c r="B45" s="49">
        <v>174449.13999999996</v>
      </c>
    </row>
    <row r="46" spans="1:2" x14ac:dyDescent="0.3">
      <c r="A46" s="41" t="s">
        <v>4019</v>
      </c>
      <c r="B46" s="49">
        <v>155073.93909999993</v>
      </c>
    </row>
    <row r="47" spans="1:2" x14ac:dyDescent="0.3">
      <c r="A47" s="41" t="s">
        <v>4020</v>
      </c>
      <c r="B47" s="49">
        <v>210704.52200000011</v>
      </c>
    </row>
    <row r="48" spans="1:2" x14ac:dyDescent="0.3">
      <c r="A48" s="41" t="s">
        <v>4021</v>
      </c>
      <c r="B48" s="49">
        <v>192864.0352999999</v>
      </c>
    </row>
    <row r="49" spans="1:2" x14ac:dyDescent="0.3">
      <c r="A49" s="41" t="s">
        <v>4022</v>
      </c>
      <c r="B49" s="49">
        <v>146511.96290000007</v>
      </c>
    </row>
    <row r="50" spans="1:2" x14ac:dyDescent="0.3">
      <c r="A50" s="41" t="s">
        <v>4023</v>
      </c>
      <c r="B50" s="49">
        <v>162640.01649999994</v>
      </c>
    </row>
    <row r="51" spans="1:2" x14ac:dyDescent="0.3">
      <c r="A51" s="41" t="s">
        <v>4024</v>
      </c>
      <c r="B51" s="49">
        <v>194512.57700000002</v>
      </c>
    </row>
    <row r="52" spans="1:2" x14ac:dyDescent="0.3">
      <c r="A52" s="41" t="s">
        <v>4025</v>
      </c>
      <c r="B52" s="49">
        <v>191032.39979999996</v>
      </c>
    </row>
    <row r="53" spans="1:2" x14ac:dyDescent="0.3">
      <c r="A53" s="41" t="s">
        <v>4026</v>
      </c>
      <c r="B53" s="49">
        <v>187144.39880000014</v>
      </c>
    </row>
    <row r="54" spans="1:2" x14ac:dyDescent="0.3">
      <c r="A54" s="41" t="s">
        <v>4027</v>
      </c>
      <c r="B54" s="49">
        <v>186168.20670000001</v>
      </c>
    </row>
    <row r="55" spans="1:2" x14ac:dyDescent="0.3">
      <c r="A55" s="41" t="s">
        <v>4028</v>
      </c>
      <c r="B55" s="49">
        <v>187386.1682000001</v>
      </c>
    </row>
    <row r="56" spans="1:2" x14ac:dyDescent="0.3">
      <c r="A56" s="41" t="s">
        <v>4029</v>
      </c>
      <c r="B56" s="49">
        <v>182420.09109999999</v>
      </c>
    </row>
    <row r="57" spans="1:2" x14ac:dyDescent="0.3">
      <c r="A57" s="40" t="s">
        <v>4007</v>
      </c>
      <c r="B57" s="29">
        <v>2170907.4574000002</v>
      </c>
    </row>
    <row r="60" spans="1:2" x14ac:dyDescent="0.3">
      <c r="A60" s="39" t="s">
        <v>4014</v>
      </c>
      <c r="B60" s="39"/>
    </row>
    <row r="62" spans="1:2" x14ac:dyDescent="0.3">
      <c r="A62" s="40" t="s">
        <v>4030</v>
      </c>
      <c r="B62" s="40" t="s">
        <v>4016</v>
      </c>
    </row>
    <row r="63" spans="1:2" x14ac:dyDescent="0.3">
      <c r="A63" s="41" t="s">
        <v>3893</v>
      </c>
      <c r="B63" s="44">
        <v>87</v>
      </c>
    </row>
    <row r="64" spans="1:2" x14ac:dyDescent="0.3">
      <c r="A64" s="41" t="s">
        <v>3890</v>
      </c>
      <c r="B64" s="44">
        <v>84</v>
      </c>
    </row>
    <row r="65" spans="1:2" x14ac:dyDescent="0.3">
      <c r="A65" s="41" t="s">
        <v>3896</v>
      </c>
      <c r="B65" s="44">
        <v>84</v>
      </c>
    </row>
    <row r="66" spans="1:2" x14ac:dyDescent="0.3">
      <c r="A66" s="41" t="s">
        <v>3934</v>
      </c>
      <c r="B66" s="44">
        <v>77</v>
      </c>
    </row>
    <row r="67" spans="1:2" x14ac:dyDescent="0.3">
      <c r="A67" s="41" t="s">
        <v>3937</v>
      </c>
      <c r="B67" s="44">
        <v>73</v>
      </c>
    </row>
    <row r="68" spans="1:2" x14ac:dyDescent="0.3">
      <c r="A68" s="41" t="s">
        <v>3865</v>
      </c>
      <c r="B68" s="44">
        <v>72</v>
      </c>
    </row>
    <row r="69" spans="1:2" x14ac:dyDescent="0.3">
      <c r="A69" s="41" t="s">
        <v>3869</v>
      </c>
      <c r="B69" s="44">
        <v>70</v>
      </c>
    </row>
    <row r="70" spans="1:2" x14ac:dyDescent="0.3">
      <c r="A70" s="41" t="s">
        <v>3955</v>
      </c>
      <c r="B70" s="44">
        <v>68</v>
      </c>
    </row>
    <row r="71" spans="1:2" x14ac:dyDescent="0.3">
      <c r="A71" s="41" t="s">
        <v>3950</v>
      </c>
      <c r="B71" s="44">
        <v>68</v>
      </c>
    </row>
    <row r="72" spans="1:2" x14ac:dyDescent="0.3">
      <c r="A72" s="41" t="s">
        <v>3922</v>
      </c>
      <c r="B72" s="44">
        <v>68</v>
      </c>
    </row>
    <row r="73" spans="1:2" x14ac:dyDescent="0.3">
      <c r="A73" s="40" t="s">
        <v>4007</v>
      </c>
      <c r="B73" s="43">
        <v>751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97558-96C5-49E1-AD03-C2FA5BB9188A}">
  <dimension ref="F2:I104"/>
  <sheetViews>
    <sheetView workbookViewId="0">
      <selection activeCell="Q59" sqref="Q59"/>
    </sheetView>
  </sheetViews>
  <sheetFormatPr defaultRowHeight="14.4" x14ac:dyDescent="0.3"/>
  <cols>
    <col min="8" max="8" width="20.6640625" customWidth="1"/>
  </cols>
  <sheetData>
    <row r="2" spans="7:8" ht="23.4" x14ac:dyDescent="0.45">
      <c r="G2" s="45" t="s">
        <v>4009</v>
      </c>
      <c r="H2" s="45"/>
    </row>
    <row r="22" spans="7:8" ht="23.4" x14ac:dyDescent="0.45">
      <c r="G22" s="45" t="s">
        <v>4010</v>
      </c>
      <c r="H22" s="45"/>
    </row>
    <row r="42" spans="6:7" ht="23.4" x14ac:dyDescent="0.45">
      <c r="F42" s="45" t="s">
        <v>4011</v>
      </c>
      <c r="G42" s="45"/>
    </row>
    <row r="62" spans="6:7" ht="23.4" x14ac:dyDescent="0.45">
      <c r="F62" s="45" t="s">
        <v>4012</v>
      </c>
      <c r="G62" s="45"/>
    </row>
    <row r="83" spans="6:9" ht="23.4" x14ac:dyDescent="0.45">
      <c r="F83" s="45" t="s">
        <v>4014</v>
      </c>
      <c r="I83" s="45"/>
    </row>
    <row r="104" spans="6:7" ht="23.4" x14ac:dyDescent="0.45">
      <c r="F104" s="45" t="s">
        <v>4017</v>
      </c>
      <c r="G104" s="4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FD8FC-E14F-48A5-8AF0-B4227BFED690}">
  <dimension ref="A1:X1"/>
  <sheetViews>
    <sheetView showGridLines="0" workbookViewId="0">
      <selection activeCell="X1" sqref="X1"/>
    </sheetView>
  </sheetViews>
  <sheetFormatPr defaultRowHeight="14.4" x14ac:dyDescent="0.3"/>
  <sheetData>
    <row r="1" spans="1:24" ht="25.8" x14ac:dyDescent="0.5">
      <c r="A1" s="46"/>
      <c r="B1" s="46"/>
      <c r="C1" s="46"/>
      <c r="D1" s="46"/>
      <c r="E1" s="46"/>
      <c r="F1" s="46"/>
      <c r="G1" s="46"/>
      <c r="H1" s="46"/>
      <c r="I1" s="47" t="s">
        <v>4031</v>
      </c>
      <c r="J1" s="47"/>
      <c r="K1" s="47"/>
      <c r="L1" s="46"/>
      <c r="M1" s="46"/>
      <c r="N1" s="46"/>
      <c r="O1" s="46"/>
      <c r="P1" s="46"/>
      <c r="Q1" s="46"/>
      <c r="R1" s="46"/>
      <c r="S1" s="46"/>
      <c r="T1" s="46"/>
      <c r="U1" s="46"/>
      <c r="V1" s="46"/>
      <c r="W1" s="46"/>
      <c r="X1" s="4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08371-A92B-46CB-BDB9-D1E4B3E1642B}">
  <dimension ref="A1:D80"/>
  <sheetViews>
    <sheetView showGridLines="0" topLeftCell="A58" workbookViewId="0">
      <selection activeCell="B54" sqref="B54"/>
    </sheetView>
  </sheetViews>
  <sheetFormatPr defaultRowHeight="14.4" x14ac:dyDescent="0.3"/>
  <cols>
    <col min="1" max="1" width="48.77734375" customWidth="1"/>
    <col min="2" max="2" width="19.44140625" customWidth="1"/>
    <col min="4" max="4" width="21.21875" customWidth="1"/>
    <col min="5" max="5" width="19.88671875" customWidth="1"/>
  </cols>
  <sheetData>
    <row r="1" spans="3:3" ht="35.4" x14ac:dyDescent="0.6">
      <c r="C1" s="15" t="s">
        <v>4032</v>
      </c>
    </row>
    <row r="72" spans="1:4" ht="18" x14ac:dyDescent="0.35">
      <c r="A72" s="16"/>
      <c r="D72" s="16"/>
    </row>
    <row r="73" spans="1:4" x14ac:dyDescent="0.3">
      <c r="A73" s="14"/>
      <c r="B73" s="14"/>
      <c r="D73" s="14"/>
    </row>
    <row r="76" spans="1:4" x14ac:dyDescent="0.3">
      <c r="A76" s="13"/>
      <c r="B76" s="14"/>
      <c r="C76" s="13"/>
      <c r="D76" s="13"/>
    </row>
    <row r="80" spans="1:4" x14ac:dyDescent="0.3">
      <c r="A80" s="1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Customer_Dim</vt:lpstr>
      <vt:lpstr>Product_Dim</vt:lpstr>
      <vt:lpstr>Store_Dim</vt:lpstr>
      <vt:lpstr>Sales_Fact</vt:lpstr>
      <vt:lpstr>Analysis</vt:lpstr>
      <vt:lpstr>Pivot Table</vt:lpstr>
      <vt:lpstr>Data visualization</vt:lpstr>
      <vt:lpstr>Dashboard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Agalya J</cp:lastModifiedBy>
  <dcterms:created xsi:type="dcterms:W3CDTF">2025-10-14T06:00:18Z</dcterms:created>
  <dcterms:modified xsi:type="dcterms:W3CDTF">2026-03-09T10:26:06Z</dcterms:modified>
</cp:coreProperties>
</file>